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" name="목차" state="visible" r:id="rId4"/>
    <sheet sheetId="11" name="Report" state="visible" r:id="rId5"/>
    <sheet sheetId="1" name="Assum" state="visible" r:id="rId6"/>
    <sheet sheetId="2" name="Construction" state="visible" r:id="rId7"/>
    <sheet sheetId="3" name="TIC_Funding" state="visible" r:id="rId8"/>
    <sheet sheetId="4" name="Revenue" state="visible" r:id="rId9"/>
    <sheet sheetId="5" name="Opex" state="visible" r:id="rId10"/>
    <sheet sheetId="6" name="Debt" state="visible" r:id="rId11"/>
    <sheet sheetId="7" name="IS(Y)" state="visible" r:id="rId12"/>
    <sheet sheetId="8" name="CF(Y)" state="visible" r:id="rId13"/>
    <sheet sheetId="9" name="DSCR" state="visible" r:id="rId14"/>
    <sheet sheetId="10" name="IRR" state="visible" r:id="rId15"/>
    <sheet sheetId="12" name="Sensitivity" state="visible" r:id="rId16"/>
  </sheets>
  <calcPr calcId="171027"/>
</workbook>
</file>

<file path=xl/sharedStrings.xml><?xml version="1.0" encoding="utf-8"?>
<sst xmlns="http://schemas.openxmlformats.org/spreadsheetml/2006/main" count="629" uniqueCount="289">
  <si>
    <t>E2E검증_방식2</t>
  </si>
  <si>
    <t>재무모델 (Financial Model) — 재생E AI Agent 자동생성  ·  2026-10-02</t>
  </si>
  <si>
    <t>No</t>
  </si>
  <si>
    <t>시트</t>
  </si>
  <si>
    <t>내용</t>
  </si>
  <si>
    <t>1</t>
  </si>
  <si>
    <t>Assum</t>
  </si>
  <si>
    <t>모든 입력 가정 — 노란 셀(파란 글씨)만 수정하면 전 시트 재계산</t>
  </si>
  <si>
    <t>2</t>
  </si>
  <si>
    <t>TIC_Funding</t>
  </si>
  <si>
    <t>총투자비 · 건설이자 · 재원조달 · 감가상각 기준</t>
  </si>
  <si>
    <t>3</t>
  </si>
  <si>
    <t>Revenue</t>
  </si>
  <si>
    <t>발전량 · 판매단가 · 영업수익 추정</t>
  </si>
  <si>
    <t>4</t>
  </si>
  <si>
    <t>Opex</t>
  </si>
  <si>
    <t>운영비용 추정 (물가상승 반영)</t>
  </si>
  <si>
    <t>5</t>
  </si>
  <si>
    <t>Debt</t>
  </si>
  <si>
    <t>차입금 인출/상환 스케줄 · 이자 · DSRA</t>
  </si>
  <si>
    <t>6</t>
  </si>
  <si>
    <t>IS(Y)</t>
  </si>
  <si>
    <t>추정 손익계산서 (이월결손금·법인세 포함)</t>
  </si>
  <si>
    <t>7</t>
  </si>
  <si>
    <t>CF(Y)</t>
  </si>
  <si>
    <t>추정 현금흐름표 · 배당 · 현금계정</t>
  </si>
  <si>
    <t>8</t>
  </si>
  <si>
    <t>DSCR</t>
  </si>
  <si>
    <t>원리금 상환능력 (단순 DSCR, 최소/평균)</t>
  </si>
  <si>
    <t>9</t>
  </si>
  <si>
    <t>IRR</t>
  </si>
  <si>
    <t>Project IRR / Equity IRR / NPV</t>
  </si>
  <si>
    <t>10</t>
  </si>
  <si>
    <t>Report</t>
  </si>
  <si>
    <t>Executive Summary + 연도별 요약</t>
  </si>
  <si>
    <t>11</t>
  </si>
  <si>
    <t>Sensitivity</t>
  </si>
  <si>
    <t>민감도 분석 (산출값)</t>
  </si>
  <si>
    <t>색상 규칙</t>
  </si>
  <si>
    <t>파란 글씨 + 노란 배경</t>
  </si>
  <si>
    <t>직접 입력하는 가정값 (Assum 시트)</t>
  </si>
  <si>
    <t>검정 글씨</t>
  </si>
  <si>
    <t>해당 시트 내 수식</t>
  </si>
  <si>
    <t>초록 글씨</t>
  </si>
  <si>
    <t>다른 시트를 참조하는 수식</t>
  </si>
  <si>
    <t>단위</t>
  </si>
  <si>
    <t>별도 표기가 없는 금액은 모두 백만원(KRWm)</t>
  </si>
  <si>
    <t>Executive Summary</t>
  </si>
  <si>
    <t>사업 개요</t>
  </si>
  <si>
    <t>사업명</t>
  </si>
  <si>
    <t>설비용량 [MW]</t>
  </si>
  <si>
    <t>이용률 [%]</t>
  </si>
  <si>
    <t>준공(COD)</t>
  </si>
  <si>
    <t>2028-04</t>
  </si>
  <si>
    <t>운영기간 [Year]</t>
  </si>
  <si>
    <t>재원조달</t>
  </si>
  <si>
    <t>총투자비(TIC) [KRWm]</t>
  </si>
  <si>
    <t xml:space="preserve">  건설이자(IDC) [KRWm]</t>
  </si>
  <si>
    <t>자기자본 [KRWm]</t>
  </si>
  <si>
    <t>선순위 차입금 [KRWm]</t>
  </si>
  <si>
    <t>차입비율 [%]</t>
  </si>
  <si>
    <t>수익성 지표</t>
  </si>
  <si>
    <t>Project IRR (세후) [%]</t>
  </si>
  <si>
    <t>Equity IRR (FCFE) [%]</t>
  </si>
  <si>
    <t>Equity IRR (배당) [%]</t>
  </si>
  <si>
    <t>NPV [KRWm]</t>
  </si>
  <si>
    <t>최소 DSCR [x]</t>
  </si>
  <si>
    <t>평균 DSCR [x]</t>
  </si>
  <si>
    <t>LCOE [KRW/kWh]</t>
  </si>
  <si>
    <t>투자비 회수기간 [Year]</t>
  </si>
  <si>
    <t>연평균 EBITDA [KRWm]</t>
  </si>
  <si>
    <t>EBITDA Margin [%]</t>
  </si>
  <si>
    <t>연도별 요약</t>
  </si>
  <si>
    <t>구  분</t>
  </si>
  <si>
    <t>unit</t>
  </si>
  <si>
    <t>합 계</t>
  </si>
  <si>
    <t>건설기간</t>
  </si>
  <si>
    <t>1년차</t>
  </si>
  <si>
    <t>2년차</t>
  </si>
  <si>
    <t>3년차</t>
  </si>
  <si>
    <t>4년차</t>
  </si>
  <si>
    <t>5년차</t>
  </si>
  <si>
    <t>6년차</t>
  </si>
  <si>
    <t>7년차</t>
  </si>
  <si>
    <t>8년차</t>
  </si>
  <si>
    <t>9년차</t>
  </si>
  <si>
    <t>10년차</t>
  </si>
  <si>
    <t>11년차</t>
  </si>
  <si>
    <t>12년차</t>
  </si>
  <si>
    <t>13년차</t>
  </si>
  <si>
    <t>14년차</t>
  </si>
  <si>
    <t>15년차</t>
  </si>
  <si>
    <t>16년차</t>
  </si>
  <si>
    <t>17년차</t>
  </si>
  <si>
    <t>18년차</t>
  </si>
  <si>
    <t>19년차</t>
  </si>
  <si>
    <t>20년차</t>
  </si>
  <si>
    <t>영업수익</t>
  </si>
  <si>
    <t>영업비용</t>
  </si>
  <si>
    <t>EBITDA</t>
  </si>
  <si>
    <t>당기순이익</t>
  </si>
  <si>
    <t>CFADS</t>
  </si>
  <si>
    <t>원리금(DS)</t>
  </si>
  <si>
    <t>배당금</t>
  </si>
  <si>
    <t>Project FCF</t>
  </si>
  <si>
    <t>Assumption — 파란색 셀만 수정하면 전 시트가 재계산됩니다</t>
  </si>
  <si>
    <t>노랑 배경 + 파란 글씨 = 직접 입력값 / 회색 = 수식</t>
  </si>
  <si>
    <t>General</t>
  </si>
  <si>
    <t>[text]</t>
  </si>
  <si>
    <t>설비용량</t>
  </si>
  <si>
    <t>[MW]</t>
  </si>
  <si>
    <t>이용률</t>
  </si>
  <si>
    <t>[%]</t>
  </si>
  <si>
    <t>일일발전시간 ÷ 24</t>
  </si>
  <si>
    <t>일일 발전시간(환산)</t>
  </si>
  <si>
    <t>[h/day]</t>
  </si>
  <si>
    <t>Degradation</t>
  </si>
  <si>
    <t>[%/yr]</t>
  </si>
  <si>
    <t>소내 소비율</t>
  </si>
  <si>
    <t>Timing</t>
  </si>
  <si>
    <t>착공시점</t>
  </si>
  <si>
    <t>[Date]</t>
  </si>
  <si>
    <t>2027-04</t>
  </si>
  <si>
    <t>공사기간</t>
  </si>
  <si>
    <t>[Month]</t>
  </si>
  <si>
    <t>운영기간</t>
  </si>
  <si>
    <t>[Year]</t>
  </si>
  <si>
    <t>TIC &amp; Funding</t>
  </si>
  <si>
    <t>총사업비(건설이자 제외)</t>
  </si>
  <si>
    <t>[KRWm]</t>
  </si>
  <si>
    <t>최초 DSRA</t>
  </si>
  <si>
    <t>차입비율(Gearing)</t>
  </si>
  <si>
    <t>기준: 총사업비 + 최초DSRA (건설이자는 전액 차입 조달)</t>
  </si>
  <si>
    <t>자기자본</t>
  </si>
  <si>
    <t>건설이자(IDC)</t>
  </si>
  <si>
    <t>Construction 시트에서 월단위 산출</t>
  </si>
  <si>
    <t>총투자비(TIC)</t>
  </si>
  <si>
    <t>소요자금 합계</t>
  </si>
  <si>
    <t>차입금</t>
  </si>
  <si>
    <t>실질 차입비율(TIC 기준)</t>
  </si>
  <si>
    <t>이자율(건설기간)</t>
  </si>
  <si>
    <t>이자율(운영기간)</t>
  </si>
  <si>
    <t>거치기간</t>
  </si>
  <si>
    <t>상환기간</t>
  </si>
  <si>
    <t>상환방식</t>
  </si>
  <si>
    <t>[1/2/3]</t>
  </si>
  <si>
    <t>1: 원금균등  2: 원리금균등  3: DSCR 스컬프팅(수동 스케줄)</t>
  </si>
  <si>
    <t>연간 상환횟수</t>
  </si>
  <si>
    <t>[회/년]</t>
  </si>
  <si>
    <t>이자는 연중 평균잔액 기준으로 계산</t>
  </si>
  <si>
    <t>스컬프팅 균등 DSCR(산출)</t>
  </si>
  <si>
    <t>[x]</t>
  </si>
  <si>
    <t>상환방식 3 선택 시 완전상환되는 균등 DSCR</t>
  </si>
  <si>
    <t>판매단가</t>
  </si>
  <si>
    <t>[KRW/kWh]</t>
  </si>
  <si>
    <t>PPA 또는 SMP+REC 가중평균</t>
  </si>
  <si>
    <t>단가 상승률</t>
  </si>
  <si>
    <t>Cost</t>
  </si>
  <si>
    <t>운영비(연간, 1년차)</t>
  </si>
  <si>
    <t>[KRWm/yr]</t>
  </si>
  <si>
    <t>운영비 상승률</t>
  </si>
  <si>
    <t>철거·복구비(만기)</t>
  </si>
  <si>
    <t>Accounting &amp; Tax</t>
  </si>
  <si>
    <t>감가상각 대상비율</t>
  </si>
  <si>
    <t>TIC 중 감가상각 대상 (토지선납·금융비용 등 제외)</t>
  </si>
  <si>
    <t>감가상각 대상자산</t>
  </si>
  <si>
    <t>내용연수</t>
  </si>
  <si>
    <t>법인세 방식</t>
  </si>
  <si>
    <t>[1/2]</t>
  </si>
  <si>
    <t>1: 누진구간(9/19/21%)  2: 단일세율</t>
  </si>
  <si>
    <t>단일 법인세율</t>
  </si>
  <si>
    <t>이월결손금 공제비율</t>
  </si>
  <si>
    <t>Equity &amp; Reserve</t>
  </si>
  <si>
    <t>DSRA 적립기준</t>
  </si>
  <si>
    <t>차기 원리금의 X개월분 적립</t>
  </si>
  <si>
    <t>배당 후 최소보유현금</t>
  </si>
  <si>
    <t>배당제한 DSCR</t>
  </si>
  <si>
    <t>배당개시 연차(Lock-up)</t>
  </si>
  <si>
    <t>Evaluation</t>
  </si>
  <si>
    <t>할인율(NPV·LCOE)</t>
  </si>
  <si>
    <t>건설기간 자금인출 및 건설이자(IDC)</t>
  </si>
  <si>
    <t>월별 인출 스케줄</t>
  </si>
  <si>
    <t>사업비 인출</t>
  </si>
  <si>
    <t>자기자본 인출</t>
  </si>
  <si>
    <t>차입금 인출</t>
  </si>
  <si>
    <t>기초 차입잔액</t>
  </si>
  <si>
    <t>건설이자(월)</t>
  </si>
  <si>
    <t>기말 차입잔액</t>
  </si>
  <si>
    <t>[IDC 합계]</t>
  </si>
  <si>
    <t>준공시점 정산</t>
  </si>
  <si>
    <t>기말 차입잔액(사업비)</t>
  </si>
  <si>
    <t>DSRA — 자기자본 조달</t>
  </si>
  <si>
    <t>DSRA — 차입 조달</t>
  </si>
  <si>
    <t>차입금 합계(운영개시)</t>
  </si>
  <si>
    <t>Check (Assum 차입금과 일치)</t>
  </si>
  <si>
    <t>※ 자기자본을 먼저 인출하고 잔여 소요액을 차입하는 구조이며, 건설이자는 매월 자본화(원금가산)됩니다.</t>
  </si>
  <si>
    <t>※ 공사기간을 24개월 이상으로 늘리려면 열을 추가하거나 생성기에서 다시 만들어 주세요.</t>
  </si>
  <si>
    <t>총투자비 및 재원조달</t>
  </si>
  <si>
    <t>총투자비</t>
  </si>
  <si>
    <t>금액</t>
  </si>
  <si>
    <t>비중</t>
  </si>
  <si>
    <t>선순위 차입금</t>
  </si>
  <si>
    <t>합계</t>
  </si>
  <si>
    <t>Check (소요 - 조달)</t>
  </si>
  <si>
    <t>감가상각</t>
  </si>
  <si>
    <t>연간 상각비</t>
  </si>
  <si>
    <t>※ 건설이자는 자기자본 우선인출 가정 하에 월단위로 자본화하여 산출한 값입니다.</t>
  </si>
  <si>
    <t>영업수익 추정</t>
  </si>
  <si>
    <t>발전량 및 매출</t>
  </si>
  <si>
    <t>Degradation 계수</t>
  </si>
  <si>
    <t>발전량(송전단)</t>
  </si>
  <si>
    <t>[MWh]</t>
  </si>
  <si>
    <t>영업비용 추정</t>
  </si>
  <si>
    <t>운영비용</t>
  </si>
  <si>
    <t>운영비(1년차 기준)</t>
  </si>
  <si>
    <t>물가상승 계수</t>
  </si>
  <si>
    <t>영업비용 합계</t>
  </si>
  <si>
    <t>차입금 인출·상환 스케줄</t>
  </si>
  <si>
    <t>기초잔액</t>
  </si>
  <si>
    <t>원금상환</t>
  </si>
  <si>
    <t>기말잔액</t>
  </si>
  <si>
    <t>이자비용</t>
  </si>
  <si>
    <t>원리금 합계(DS)</t>
  </si>
  <si>
    <t>DSRA (원리금상환적립금)</t>
  </si>
  <si>
    <t>DSRA 잔액(기말)</t>
  </si>
  <si>
    <t>DSRA 증감((+)적립/(-)환입)</t>
  </si>
  <si>
    <t>상환 종료 후 미상환 잔액</t>
  </si>
  <si>
    <t>추정 손익계산서 (연간)</t>
  </si>
  <si>
    <t>손익계산서</t>
  </si>
  <si>
    <t>감가상각비</t>
  </si>
  <si>
    <t>영업이익(EBIT)</t>
  </si>
  <si>
    <t>법인세차감전순이익</t>
  </si>
  <si>
    <t>이월결손금(기초)</t>
  </si>
  <si>
    <t>결손금 공제액</t>
  </si>
  <si>
    <t>과세표준</t>
  </si>
  <si>
    <t>법인세비용</t>
  </si>
  <si>
    <t>이월결손금(기말)</t>
  </si>
  <si>
    <t>EBITDA Margin</t>
  </si>
  <si>
    <t>추정 현금흐름표 (연간)</t>
  </si>
  <si>
    <t>영업활동 현금흐름</t>
  </si>
  <si>
    <t>법인세 지급</t>
  </si>
  <si>
    <t>CFADS (상환가능현금)</t>
  </si>
  <si>
    <t>재무활동 현금흐름</t>
  </si>
  <si>
    <t>원리금 상환</t>
  </si>
  <si>
    <t>DSRA 증감</t>
  </si>
  <si>
    <t>철거·복구비</t>
  </si>
  <si>
    <t>주주귀속 잉여현금(FCFE)</t>
  </si>
  <si>
    <t>배당 및 현금계정</t>
  </si>
  <si>
    <t>배당금 지급</t>
  </si>
  <si>
    <t>기초현금</t>
  </si>
  <si>
    <t>기말현금</t>
  </si>
  <si>
    <t>DSRA 잔액</t>
  </si>
  <si>
    <t>원리금 상환능력 분석</t>
  </si>
  <si>
    <t>단순 DSCR</t>
  </si>
  <si>
    <t>최소 DSCR</t>
  </si>
  <si>
    <t>평균 DSCR</t>
  </si>
  <si>
    <t>※ 상환이 없는 연도는 "-"로 표시되며 최소/평균 산출에서 제외됩니다.</t>
  </si>
  <si>
    <t>수익성 분석 (IRR / NPV)</t>
  </si>
  <si>
    <t>Project IRR</t>
  </si>
  <si>
    <t>법인세</t>
  </si>
  <si>
    <t>Net Cashflow</t>
  </si>
  <si>
    <t>Project IRR (세후)</t>
  </si>
  <si>
    <t>NPV @ 할인율</t>
  </si>
  <si>
    <t>Equity IRR</t>
  </si>
  <si>
    <t>자본금 납입</t>
  </si>
  <si>
    <t>FCFE</t>
  </si>
  <si>
    <t>Net Cashflow (FCFE base)</t>
  </si>
  <si>
    <t>Equity IRR (FCFE 기준)</t>
  </si>
  <si>
    <t>Equity IRR (배당 기준)</t>
  </si>
  <si>
    <t>민감도 분석 (재무모델 생성기 산출값)</t>
  </si>
  <si>
    <t>변동값</t>
  </si>
  <si>
    <t>13.32 %</t>
  </si>
  <si>
    <t>14.06 %</t>
  </si>
  <si>
    <t>14.80 %</t>
  </si>
  <si>
    <t>15.54 %</t>
  </si>
  <si>
    <t>16.28 %</t>
  </si>
  <si>
    <t>차입 금리</t>
  </si>
  <si>
    <t>4.68 %</t>
  </si>
  <si>
    <t>5.27 %</t>
  </si>
  <si>
    <t>5.85 %</t>
  </si>
  <si>
    <t>6.44 %</t>
  </si>
  <si>
    <t>7.02 %</t>
  </si>
  <si>
    <t>매출 단가</t>
  </si>
  <si>
    <t>154.80 원/kWh</t>
  </si>
  <si>
    <t>163.40 원/kWh</t>
  </si>
  <si>
    <t>172.00 원/kWh</t>
  </si>
  <si>
    <t>180.60 원/kWh</t>
  </si>
  <si>
    <t>189.20 원/kWh</t>
  </si>
  <si>
    <t>※ 민감도 표는 각 케이스를 별도 계산한 결과값이며 수식으로 연결되어 있지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</si>
</sst>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%"/>
    <numFmt numFmtId="167" formatCode="0.00&quot;x&quot;"/>
    <numFmt numFmtId="168" formatCode="#,##0.0"/>
    <numFmt numFmtId="169" formatCode="0.0"/>
    <numFmt numFmtId="170" formatCode="0&quot;M&quot;"/>
    <numFmt numFmtId="171" formatCode="0.000"/>
  </numFmts>
  <fonts count="20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sz val="10"/>
      <name val="맑은 고딕"/>
    </font>
    <font>
      <b/>
      <color rgb="FF14483A"/>
      <sz val="10"/>
      <name val="맑은 고딕"/>
    </font>
    <font>
      <b/>
      <sz val="10"/>
      <name val="맑은 고딕"/>
    </font>
    <font>
      <color rgb="FF6B7B76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b/>
      <color rgb="FF008000"/>
      <sz val="10"/>
      <name val="맑은 고딕"/>
    </font>
    <font>
      <b/>
      <color rgb="FFFFFFFF"/>
      <sz val="9"/>
      <name val="맑은 고딕"/>
    </font>
    <font>
      <color rgb="FF000000"/>
      <sz val="10"/>
      <name val="맑은 고딕"/>
    </font>
    <font>
      <color rgb="FF008000"/>
      <sz val="10"/>
      <name val="맑은 고딕"/>
    </font>
    <font>
      <i/>
      <color rgb="FF9AA6A1"/>
      <sz val="9"/>
      <name val="맑은 고딕"/>
    </font>
    <font>
      <color rgb="FF9AA6A1"/>
      <sz val="9"/>
      <name val="맑은 고딕"/>
    </font>
    <font>
      <b/>
      <color rgb="FF0000FF"/>
      <sz val="10"/>
      <name val="맑은 고딕"/>
    </font>
    <font>
      <b/>
      <color rgb="FF2E7D62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2E7D62"/>
      </patternFill>
    </fill>
    <fill>
      <patternFill patternType="solid">
        <fgColor rgb="FFFFF2CC"/>
      </patternFill>
    </fill>
    <fill>
      <patternFill patternType="solid">
        <fgColor rgb="FFF2F5F4"/>
      </patternFill>
    </fill>
    <fill>
      <patternFill patternType="solid">
        <fgColor rgb="FFE8F1ED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0" fillId="2" borderId="0" xfId="0" applyFill="1"/>
    <xf numFmtId="49" fontId="11" fillId="0" borderId="0" xfId="0" applyNumberFormat="1" applyFont="1"/>
    <xf numFmtId="164" fontId="12" fillId="0" borderId="0" xfId="0" applyNumberFormat="1" applyFont="1"/>
    <xf numFmtId="10" fontId="12" fillId="0" borderId="0" xfId="0" applyNumberFormat="1" applyFont="1"/>
    <xf numFmtId="1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/>
    <xf numFmtId="168" fontId="11" fillId="0" borderId="0" xfId="0" applyNumberFormat="1" applyFont="1"/>
    <xf numFmtId="169" fontId="11" fillId="0" borderId="0" xfId="0" applyNumberFormat="1" applyFont="1"/>
    <xf numFmtId="165" fontId="11" fillId="0" borderId="0" xfId="0" applyNumberFormat="1" applyFont="1"/>
    <xf numFmtId="166" fontId="11" fillId="0" borderId="0" xfId="0" applyNumberFormat="1" applyFont="1"/>
    <xf numFmtId="0" fontId="13" fillId="3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/>
    <xf numFmtId="165" fontId="15" fillId="0" borderId="0" xfId="0" applyNumberFormat="1" applyFont="1"/>
    <xf numFmtId="0" fontId="11" fillId="0" borderId="0" xfId="0" applyFont="1"/>
    <xf numFmtId="167" fontId="15" fillId="0" borderId="0" xfId="0" applyNumberFormat="1" applyFont="1"/>
    <xf numFmtId="0" fontId="16" fillId="0" borderId="0" xfId="0" applyFont="1"/>
    <xf numFmtId="0" fontId="17" fillId="0" borderId="0" xfId="0" applyFont="1"/>
    <xf numFmtId="49" fontId="18" fillId="4" borderId="2" xfId="0" applyNumberFormat="1" applyFont="1" applyFill="1" applyBorder="1"/>
    <xf numFmtId="164" fontId="18" fillId="4" borderId="2" xfId="0" applyNumberFormat="1" applyFont="1" applyFill="1" applyBorder="1"/>
    <xf numFmtId="10" fontId="18" fillId="4" borderId="2" xfId="0" applyNumberFormat="1" applyFont="1" applyFill="1" applyBorder="1"/>
    <xf numFmtId="2" fontId="11" fillId="5" borderId="2" xfId="0" applyNumberFormat="1" applyFont="1" applyFill="1" applyBorder="1"/>
    <xf numFmtId="1" fontId="18" fillId="4" borderId="2" xfId="0" applyNumberFormat="1" applyFont="1" applyFill="1" applyBorder="1"/>
    <xf numFmtId="49" fontId="11" fillId="5" borderId="2" xfId="0" applyNumberFormat="1" applyFont="1" applyFill="1" applyBorder="1"/>
    <xf numFmtId="165" fontId="18" fillId="4" borderId="2" xfId="0" applyNumberFormat="1" applyFont="1" applyFill="1" applyBorder="1"/>
    <xf numFmtId="166" fontId="18" fillId="4" borderId="2" xfId="0" applyNumberFormat="1" applyFont="1" applyFill="1" applyBorder="1"/>
    <xf numFmtId="165" fontId="11" fillId="5" borderId="2" xfId="0" applyNumberFormat="1" applyFont="1" applyFill="1" applyBorder="1"/>
    <xf numFmtId="166" fontId="11" fillId="5" borderId="2" xfId="0" applyNumberFormat="1" applyFont="1" applyFill="1" applyBorder="1"/>
    <xf numFmtId="167" fontId="11" fillId="5" borderId="2" xfId="0" applyNumberFormat="1" applyFont="1" applyFill="1" applyBorder="1"/>
    <xf numFmtId="168" fontId="18" fillId="4" borderId="2" xfId="0" applyNumberFormat="1" applyFont="1" applyFill="1" applyBorder="1"/>
    <xf numFmtId="167" fontId="18" fillId="4" borderId="2" xfId="0" applyNumberFormat="1" applyFont="1" applyFill="1" applyBorder="1"/>
    <xf numFmtId="170" fontId="13" fillId="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5" fontId="14" fillId="0" borderId="0" xfId="0" applyNumberFormat="1" applyFont="1"/>
    <xf numFmtId="0" fontId="11" fillId="6" borderId="0" xfId="0" applyFont="1" applyFill="1"/>
    <xf numFmtId="0" fontId="19" fillId="6" borderId="0" xfId="0" applyFont="1" applyFill="1" applyAlignment="1">
      <alignment horizontal="center"/>
    </xf>
    <xf numFmtId="165" fontId="11" fillId="6" borderId="0" xfId="0" applyNumberFormat="1" applyFont="1" applyFill="1"/>
    <xf numFmtId="0" fontId="17" fillId="6" borderId="0" xfId="0" applyFont="1" applyFill="1" applyAlignment="1">
      <alignment horizontal="center"/>
    </xf>
    <xf numFmtId="0" fontId="0" fillId="6" borderId="0" xfId="0" applyFill="1"/>
    <xf numFmtId="166" fontId="14" fillId="0" borderId="0" xfId="0" applyNumberFormat="1" applyFont="1"/>
    <xf numFmtId="166" fontId="11" fillId="6" borderId="0" xfId="0" applyNumberFormat="1" applyFont="1" applyFill="1"/>
    <xf numFmtId="1" fontId="15" fillId="0" borderId="0" xfId="0" applyNumberFormat="1" applyFont="1"/>
    <xf numFmtId="164" fontId="14" fillId="0" borderId="0" xfId="0" applyNumberFormat="1" applyFont="1"/>
    <xf numFmtId="10" fontId="14" fillId="0" borderId="0" xfId="0" applyNumberFormat="1" applyFont="1"/>
    <xf numFmtId="171" fontId="14" fillId="0" borderId="0" xfId="0" applyNumberFormat="1" applyFont="1"/>
    <xf numFmtId="3" fontId="11" fillId="0" borderId="0" xfId="0" applyNumberFormat="1" applyFont="1"/>
    <xf numFmtId="168" fontId="14" fillId="0" borderId="0" xfId="0" applyNumberFormat="1" applyFont="1"/>
    <xf numFmtId="167" fontId="11" fillId="6" borderId="0" xfId="0" applyNumberFormat="1" applyFont="1" applyFill="1"/>
    <xf numFmtId="167" fontId="11" fillId="0" borderId="0" xfId="0" applyNumberFormat="1" applyFont="1"/>
    <xf numFmtId="10" fontId="11" fillId="0" borderId="0" xfId="0" applyNumberFormat="1" applyFont="1"/>
    <xf numFmtId="167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71"/>
  <sheetFormatPr defaultRowHeight="15" outlineLevelRow="0" outlineLevelCol="0" x14ac:dyDescent="55"/>
  <cols>
    <col min="1" max="1" width="2.5" customWidth="1"/>
    <col min="2" max="2" width="34" customWidth="1"/>
    <col min="3" max="3" width="4" customWidth="1"/>
    <col min="4" max="4" width="13" customWidth="1"/>
    <col min="5" max="5" width="3" customWidth="1"/>
    <col min="6" max="6" width="16" customWidth="1"/>
    <col min="7" max="7" width="42" customWidth="1"/>
  </cols>
  <sheetData>
    <row r="1" spans="1:1" x14ac:dyDescent="0.25">
      <c r="A1" s="9" t="s">
        <v>0</v>
      </c>
    </row>
    <row r="2" spans="1:1" x14ac:dyDescent="0.25">
      <c r="A2" s="10" t="s">
        <v>105</v>
      </c>
    </row>
    <row r="3" spans="2:2" x14ac:dyDescent="0.25">
      <c r="B3" s="32" t="s">
        <v>106</v>
      </c>
    </row>
    <row r="4" spans="2:25" x14ac:dyDescent="0.25">
      <c r="B4" s="11" t="s">
        <v>107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6" t="s">
        <v>49</v>
      </c>
      <c r="D6" s="33" t="s">
        <v>108</v>
      </c>
      <c r="F6" s="34" t="s">
        <v>0</v>
      </c>
    </row>
    <row r="7" spans="2:6" x14ac:dyDescent="0.25">
      <c r="B7" s="6" t="s">
        <v>109</v>
      </c>
      <c r="D7" s="33" t="s">
        <v>110</v>
      </c>
      <c r="F7" s="35">
        <v>45.5</v>
      </c>
    </row>
    <row r="8" spans="2:7" x14ac:dyDescent="0.25">
      <c r="B8" s="6" t="s">
        <v>111</v>
      </c>
      <c r="D8" s="33" t="s">
        <v>112</v>
      </c>
      <c r="F8" s="36">
        <v>0.14800000000000002</v>
      </c>
      <c r="G8" s="33" t="s">
        <v>113</v>
      </c>
    </row>
    <row r="9" spans="2:6" x14ac:dyDescent="0.25">
      <c r="B9" s="6" t="s">
        <v>114</v>
      </c>
      <c r="D9" s="33" t="s">
        <v>115</v>
      </c>
      <c r="F9" s="37">
        <f>$F$8*24</f>
        <v>3.5520000000000005</v>
      </c>
    </row>
    <row r="10" spans="2:6" x14ac:dyDescent="0.25">
      <c r="B10" s="6" t="s">
        <v>116</v>
      </c>
      <c r="D10" s="33" t="s">
        <v>117</v>
      </c>
      <c r="F10" s="36">
        <v>0.005</v>
      </c>
    </row>
    <row r="11" spans="2:6" x14ac:dyDescent="0.25">
      <c r="B11" s="6" t="s">
        <v>118</v>
      </c>
      <c r="D11" s="33" t="s">
        <v>112</v>
      </c>
      <c r="F11" s="36">
        <v>0</v>
      </c>
    </row>
    <row r="13" spans="2:25" x14ac:dyDescent="0.25">
      <c r="B13" s="11" t="s">
        <v>119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6" x14ac:dyDescent="0.25">
      <c r="B15" s="6" t="s">
        <v>120</v>
      </c>
      <c r="D15" s="33" t="s">
        <v>121</v>
      </c>
      <c r="F15" s="34" t="s">
        <v>122</v>
      </c>
    </row>
    <row r="16" spans="2:6" x14ac:dyDescent="0.25">
      <c r="B16" s="6" t="s">
        <v>123</v>
      </c>
      <c r="D16" s="33" t="s">
        <v>124</v>
      </c>
      <c r="F16" s="38">
        <v>12</v>
      </c>
    </row>
    <row r="17" spans="2:6" x14ac:dyDescent="0.25">
      <c r="B17" s="6" t="s">
        <v>52</v>
      </c>
      <c r="D17" s="33" t="s">
        <v>121</v>
      </c>
      <c r="F17" s="39" t="s">
        <v>53</v>
      </c>
    </row>
    <row r="18" spans="2:6" x14ac:dyDescent="0.25">
      <c r="B18" s="6" t="s">
        <v>125</v>
      </c>
      <c r="D18" s="33" t="s">
        <v>126</v>
      </c>
      <c r="F18" s="38">
        <v>20</v>
      </c>
    </row>
    <row r="20" spans="2:25" x14ac:dyDescent="0.25">
      <c r="B20" s="11" t="s">
        <v>127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6" x14ac:dyDescent="0.25">
      <c r="B22" s="6" t="s">
        <v>128</v>
      </c>
      <c r="D22" s="33" t="s">
        <v>129</v>
      </c>
      <c r="F22" s="40">
        <v>62000</v>
      </c>
    </row>
    <row r="23" spans="2:6" x14ac:dyDescent="0.25">
      <c r="B23" s="6" t="s">
        <v>130</v>
      </c>
      <c r="D23" s="33" t="s">
        <v>129</v>
      </c>
      <c r="F23" s="40">
        <v>2500</v>
      </c>
    </row>
    <row r="24" spans="2:7" x14ac:dyDescent="0.25">
      <c r="B24" s="6" t="s">
        <v>131</v>
      </c>
      <c r="D24" s="33" t="s">
        <v>112</v>
      </c>
      <c r="F24" s="41">
        <v>0.82</v>
      </c>
      <c r="G24" s="33" t="s">
        <v>132</v>
      </c>
    </row>
    <row r="25" spans="2:6" x14ac:dyDescent="0.25">
      <c r="B25" s="6" t="s">
        <v>133</v>
      </c>
      <c r="D25" s="33" t="s">
        <v>129</v>
      </c>
      <c r="F25" s="42">
        <f>($F$22+$F$23)*(1-$F$24)</f>
        <v>11610.000000000004</v>
      </c>
    </row>
    <row r="26" spans="2:7" x14ac:dyDescent="0.25">
      <c r="B26" s="6" t="s">
        <v>134</v>
      </c>
      <c r="D26" s="33" t="s">
        <v>129</v>
      </c>
      <c r="F26" s="42">
        <f>'Construction'!$D$13</f>
        <v>1400.3662376744846</v>
      </c>
      <c r="G26" s="33" t="s">
        <v>135</v>
      </c>
    </row>
    <row r="27" spans="2:6" x14ac:dyDescent="0.25">
      <c r="B27" s="6" t="s">
        <v>136</v>
      </c>
      <c r="D27" s="33" t="s">
        <v>129</v>
      </c>
      <c r="F27" s="42">
        <f>$F$22+$F$26</f>
        <v>63400.36623767448</v>
      </c>
    </row>
    <row r="28" spans="2:6" x14ac:dyDescent="0.25">
      <c r="B28" s="6" t="s">
        <v>137</v>
      </c>
      <c r="D28" s="33" t="s">
        <v>129</v>
      </c>
      <c r="F28" s="42">
        <f>$F$27+$F$23</f>
        <v>65900.36623767449</v>
      </c>
    </row>
    <row r="29" spans="2:6" x14ac:dyDescent="0.25">
      <c r="B29" s="6" t="s">
        <v>138</v>
      </c>
      <c r="D29" s="33" t="s">
        <v>129</v>
      </c>
      <c r="F29" s="42">
        <f>$F$28-$F$25</f>
        <v>54290.366237674476</v>
      </c>
    </row>
    <row r="30" spans="2:6" x14ac:dyDescent="0.25">
      <c r="B30" s="6" t="s">
        <v>139</v>
      </c>
      <c r="D30" s="33" t="s">
        <v>112</v>
      </c>
      <c r="F30" s="43">
        <f>$F$29/$F$28</f>
        <v>0.8238249548093906</v>
      </c>
    </row>
    <row r="32" spans="2:25" x14ac:dyDescent="0.25">
      <c r="B32" s="11" t="s">
        <v>18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4" spans="2:6" x14ac:dyDescent="0.25">
      <c r="B34" s="6" t="s">
        <v>140</v>
      </c>
      <c r="D34" s="33" t="s">
        <v>112</v>
      </c>
      <c r="F34" s="36">
        <v>0.061</v>
      </c>
    </row>
    <row r="35" spans="2:6" x14ac:dyDescent="0.25">
      <c r="B35" s="6" t="s">
        <v>141</v>
      </c>
      <c r="D35" s="33" t="s">
        <v>112</v>
      </c>
      <c r="F35" s="36">
        <v>0.058499999999999996</v>
      </c>
    </row>
    <row r="36" spans="2:6" x14ac:dyDescent="0.25">
      <c r="B36" s="6" t="s">
        <v>142</v>
      </c>
      <c r="D36" s="33" t="s">
        <v>126</v>
      </c>
      <c r="F36" s="38">
        <v>2</v>
      </c>
    </row>
    <row r="37" spans="2:6" x14ac:dyDescent="0.25">
      <c r="B37" s="6" t="s">
        <v>143</v>
      </c>
      <c r="D37" s="33" t="s">
        <v>126</v>
      </c>
      <c r="F37" s="38">
        <v>15</v>
      </c>
    </row>
    <row r="38" spans="2:7" x14ac:dyDescent="0.25">
      <c r="B38" s="6" t="s">
        <v>144</v>
      </c>
      <c r="D38" s="33" t="s">
        <v>145</v>
      </c>
      <c r="F38" s="38">
        <v>2</v>
      </c>
      <c r="G38" s="33" t="s">
        <v>146</v>
      </c>
    </row>
    <row r="39" spans="2:7" x14ac:dyDescent="0.25">
      <c r="B39" s="6" t="s">
        <v>147</v>
      </c>
      <c r="D39" s="33" t="s">
        <v>148</v>
      </c>
      <c r="F39" s="38">
        <v>2</v>
      </c>
      <c r="G39" s="33" t="s">
        <v>149</v>
      </c>
    </row>
    <row r="40" spans="2:7" x14ac:dyDescent="0.25">
      <c r="B40" s="6" t="s">
        <v>150</v>
      </c>
      <c r="D40" s="33" t="s">
        <v>151</v>
      </c>
      <c r="F40" s="44">
        <v>1.2</v>
      </c>
      <c r="G40" s="33" t="s">
        <v>152</v>
      </c>
    </row>
    <row r="42" spans="2:25" x14ac:dyDescent="0.25">
      <c r="B42" s="11" t="s">
        <v>12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4" spans="2:7" x14ac:dyDescent="0.25">
      <c r="B44" s="6" t="s">
        <v>153</v>
      </c>
      <c r="D44" s="33" t="s">
        <v>154</v>
      </c>
      <c r="F44" s="45">
        <v>172</v>
      </c>
      <c r="G44" s="33" t="s">
        <v>155</v>
      </c>
    </row>
    <row r="45" spans="2:6" x14ac:dyDescent="0.25">
      <c r="B45" s="6" t="s">
        <v>156</v>
      </c>
      <c r="D45" s="33" t="s">
        <v>117</v>
      </c>
      <c r="F45" s="36">
        <v>0.012</v>
      </c>
    </row>
    <row r="47" spans="2:25" x14ac:dyDescent="0.25">
      <c r="B47" s="11" t="s">
        <v>157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9" spans="2:6" x14ac:dyDescent="0.25">
      <c r="B49" s="6" t="s">
        <v>158</v>
      </c>
      <c r="D49" s="33" t="s">
        <v>159</v>
      </c>
      <c r="F49" s="40">
        <v>2200</v>
      </c>
    </row>
    <row r="50" spans="2:6" x14ac:dyDescent="0.25">
      <c r="B50" s="6" t="s">
        <v>160</v>
      </c>
      <c r="D50" s="33" t="s">
        <v>117</v>
      </c>
      <c r="F50" s="36">
        <v>0.018000000000000002</v>
      </c>
    </row>
    <row r="51" spans="2:6" x14ac:dyDescent="0.25">
      <c r="B51" s="6" t="s">
        <v>161</v>
      </c>
      <c r="D51" s="33" t="s">
        <v>129</v>
      </c>
      <c r="F51" s="40">
        <v>1600</v>
      </c>
    </row>
    <row r="53" spans="2:25" x14ac:dyDescent="0.25">
      <c r="B53" s="11" t="s">
        <v>162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5" spans="2:7" x14ac:dyDescent="0.25">
      <c r="B55" s="6" t="s">
        <v>163</v>
      </c>
      <c r="D55" s="33" t="s">
        <v>112</v>
      </c>
      <c r="F55" s="41">
        <v>0.95</v>
      </c>
      <c r="G55" s="33" t="s">
        <v>164</v>
      </c>
    </row>
    <row r="56" spans="2:6" x14ac:dyDescent="0.25">
      <c r="B56" s="6" t="s">
        <v>165</v>
      </c>
      <c r="D56" s="33" t="s">
        <v>129</v>
      </c>
      <c r="F56" s="42">
        <f>$F$27*$F$55</f>
        <v>60230.34792579075</v>
      </c>
    </row>
    <row r="57" spans="2:6" x14ac:dyDescent="0.25">
      <c r="B57" s="6" t="s">
        <v>166</v>
      </c>
      <c r="D57" s="33" t="s">
        <v>126</v>
      </c>
      <c r="F57" s="38">
        <v>18</v>
      </c>
    </row>
    <row r="58" spans="2:7" x14ac:dyDescent="0.25">
      <c r="B58" s="6" t="s">
        <v>167</v>
      </c>
      <c r="D58" s="33" t="s">
        <v>168</v>
      </c>
      <c r="F58" s="38">
        <v>1</v>
      </c>
      <c r="G58" s="33" t="s">
        <v>169</v>
      </c>
    </row>
    <row r="59" spans="2:6" x14ac:dyDescent="0.25">
      <c r="B59" s="6" t="s">
        <v>170</v>
      </c>
      <c r="D59" s="33" t="s">
        <v>112</v>
      </c>
      <c r="F59" s="41">
        <v>0.21</v>
      </c>
    </row>
    <row r="60" spans="2:6" x14ac:dyDescent="0.25">
      <c r="B60" s="6" t="s">
        <v>171</v>
      </c>
      <c r="D60" s="33" t="s">
        <v>112</v>
      </c>
      <c r="F60" s="41">
        <v>0.8</v>
      </c>
    </row>
    <row r="62" spans="2:25" x14ac:dyDescent="0.25">
      <c r="B62" s="11" t="s">
        <v>172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4" spans="2:7" x14ac:dyDescent="0.25">
      <c r="B64" s="6" t="s">
        <v>173</v>
      </c>
      <c r="D64" s="33" t="s">
        <v>124</v>
      </c>
      <c r="F64" s="38">
        <v>6</v>
      </c>
      <c r="G64" s="33" t="s">
        <v>174</v>
      </c>
    </row>
    <row r="65" spans="2:6" x14ac:dyDescent="0.25">
      <c r="B65" s="6" t="s">
        <v>175</v>
      </c>
      <c r="D65" s="33" t="s">
        <v>129</v>
      </c>
      <c r="F65" s="40">
        <v>1000</v>
      </c>
    </row>
    <row r="66" spans="2:6" x14ac:dyDescent="0.25">
      <c r="B66" s="6" t="s">
        <v>176</v>
      </c>
      <c r="D66" s="33" t="s">
        <v>151</v>
      </c>
      <c r="F66" s="46">
        <v>1.1</v>
      </c>
    </row>
    <row r="67" spans="2:6" x14ac:dyDescent="0.25">
      <c r="B67" s="6" t="s">
        <v>177</v>
      </c>
      <c r="D67" s="33" t="s">
        <v>126</v>
      </c>
      <c r="F67" s="38">
        <v>3</v>
      </c>
    </row>
    <row r="69" spans="2:25" x14ac:dyDescent="0.25">
      <c r="B69" s="11" t="s">
        <v>178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1" spans="2:6" x14ac:dyDescent="0.25">
      <c r="B71" s="6" t="s">
        <v>179</v>
      </c>
      <c r="D71" s="33" t="s">
        <v>112</v>
      </c>
      <c r="F71" s="36">
        <v>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AB24"/>
  <sheetViews>
    <sheetView workbookViewId="0">
      <pane xSplit="4" ySplit="7" topLeftCell="E8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11" customWidth="1"/>
    <col min="4" max="4" width="14" customWidth="1"/>
    <col min="5" max="28" width="11" customWidth="1"/>
  </cols>
  <sheetData>
    <row r="1" spans="1:1" x14ac:dyDescent="0.25">
      <c r="A1" s="9" t="s">
        <v>0</v>
      </c>
    </row>
    <row r="2" spans="1:1" x14ac:dyDescent="0.25">
      <c r="A2" s="10" t="s">
        <v>180</v>
      </c>
    </row>
    <row r="4" spans="2:25" x14ac:dyDescent="0.25">
      <c r="B4" s="11" t="s">
        <v>181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8" x14ac:dyDescent="0.25">
      <c r="B6" s="25" t="s">
        <v>73</v>
      </c>
      <c r="C6" s="25" t="s">
        <v>74</v>
      </c>
      <c r="D6" s="25" t="s">
        <v>75</v>
      </c>
      <c r="E6" s="47">
        <v>1</v>
      </c>
      <c r="F6" s="47">
        <v>2</v>
      </c>
      <c r="G6" s="47">
        <v>3</v>
      </c>
      <c r="H6" s="47">
        <v>4</v>
      </c>
      <c r="I6" s="47">
        <v>5</v>
      </c>
      <c r="J6" s="47">
        <v>6</v>
      </c>
      <c r="K6" s="47">
        <v>7</v>
      </c>
      <c r="L6" s="47">
        <v>8</v>
      </c>
      <c r="M6" s="47">
        <v>9</v>
      </c>
      <c r="N6" s="47">
        <v>10</v>
      </c>
      <c r="O6" s="47">
        <v>11</v>
      </c>
      <c r="P6" s="47">
        <v>12</v>
      </c>
      <c r="Q6" s="47">
        <v>13</v>
      </c>
      <c r="R6" s="47">
        <v>14</v>
      </c>
      <c r="S6" s="47">
        <v>15</v>
      </c>
      <c r="T6" s="47">
        <v>16</v>
      </c>
      <c r="U6" s="47">
        <v>17</v>
      </c>
      <c r="V6" s="47">
        <v>18</v>
      </c>
      <c r="W6" s="47">
        <v>19</v>
      </c>
      <c r="X6" s="47">
        <v>20</v>
      </c>
      <c r="Y6" s="47">
        <v>21</v>
      </c>
      <c r="Z6" s="47">
        <v>22</v>
      </c>
      <c r="AA6" s="47">
        <v>23</v>
      </c>
      <c r="AB6" s="47">
        <v>24</v>
      </c>
    </row>
    <row r="8" spans="2:28" x14ac:dyDescent="0.25">
      <c r="B8" s="28" t="s">
        <v>182</v>
      </c>
      <c r="C8" s="48" t="s">
        <v>129</v>
      </c>
      <c r="D8" s="22">
        <f>SUM(E8:AB8)</f>
      </c>
      <c r="E8" s="49">
        <f>IF(1&lt;=Assum!$F$16,Assum!$F$22/Assum!$F$16,0)</f>
        <v>5166.666666666667</v>
      </c>
      <c r="F8" s="49">
        <f>IF(2&lt;=Assum!$F$16,Assum!$F$22/Assum!$F$16,0)</f>
        <v>5166.666666666667</v>
      </c>
      <c r="G8" s="49">
        <f>IF(3&lt;=Assum!$F$16,Assum!$F$22/Assum!$F$16,0)</f>
        <v>5166.666666666667</v>
      </c>
      <c r="H8" s="49">
        <f>IF(4&lt;=Assum!$F$16,Assum!$F$22/Assum!$F$16,0)</f>
        <v>5166.666666666667</v>
      </c>
      <c r="I8" s="49">
        <f>IF(5&lt;=Assum!$F$16,Assum!$F$22/Assum!$F$16,0)</f>
        <v>5166.666666666667</v>
      </c>
      <c r="J8" s="49">
        <f>IF(6&lt;=Assum!$F$16,Assum!$F$22/Assum!$F$16,0)</f>
        <v>5166.666666666667</v>
      </c>
      <c r="K8" s="49">
        <f>IF(7&lt;=Assum!$F$16,Assum!$F$22/Assum!$F$16,0)</f>
        <v>5166.666666666667</v>
      </c>
      <c r="L8" s="49">
        <f>IF(8&lt;=Assum!$F$16,Assum!$F$22/Assum!$F$16,0)</f>
        <v>5166.666666666667</v>
      </c>
      <c r="M8" s="49">
        <f>IF(9&lt;=Assum!$F$16,Assum!$F$22/Assum!$F$16,0)</f>
        <v>5166.666666666667</v>
      </c>
      <c r="N8" s="49">
        <f>IF(10&lt;=Assum!$F$16,Assum!$F$22/Assum!$F$16,0)</f>
        <v>5166.666666666667</v>
      </c>
      <c r="O8" s="49">
        <f>IF(11&lt;=Assum!$F$16,Assum!$F$22/Assum!$F$16,0)</f>
        <v>5166.666666666667</v>
      </c>
      <c r="P8" s="49">
        <f>IF(12&lt;=Assum!$F$16,Assum!$F$22/Assum!$F$16,0)</f>
        <v>5166.666666666667</v>
      </c>
      <c r="Q8" s="49">
        <f>IF(13&lt;=Assum!$F$16,Assum!$F$22/Assum!$F$16,0)</f>
        <v>0</v>
      </c>
      <c r="R8" s="49">
        <f>IF(14&lt;=Assum!$F$16,Assum!$F$22/Assum!$F$16,0)</f>
        <v>0</v>
      </c>
      <c r="S8" s="49">
        <f>IF(15&lt;=Assum!$F$16,Assum!$F$22/Assum!$F$16,0)</f>
        <v>0</v>
      </c>
      <c r="T8" s="49">
        <f>IF(16&lt;=Assum!$F$16,Assum!$F$22/Assum!$F$16,0)</f>
        <v>0</v>
      </c>
      <c r="U8" s="49">
        <f>IF(17&lt;=Assum!$F$16,Assum!$F$22/Assum!$F$16,0)</f>
        <v>0</v>
      </c>
      <c r="V8" s="49">
        <f>IF(18&lt;=Assum!$F$16,Assum!$F$22/Assum!$F$16,0)</f>
        <v>0</v>
      </c>
      <c r="W8" s="49">
        <f>IF(19&lt;=Assum!$F$16,Assum!$F$22/Assum!$F$16,0)</f>
        <v>0</v>
      </c>
      <c r="X8" s="49">
        <f>IF(20&lt;=Assum!$F$16,Assum!$F$22/Assum!$F$16,0)</f>
        <v>0</v>
      </c>
      <c r="Y8" s="49">
        <f>IF(21&lt;=Assum!$F$16,Assum!$F$22/Assum!$F$16,0)</f>
        <v>0</v>
      </c>
      <c r="Z8" s="49">
        <f>IF(22&lt;=Assum!$F$16,Assum!$F$22/Assum!$F$16,0)</f>
        <v>0</v>
      </c>
      <c r="AA8" s="49">
        <f>IF(23&lt;=Assum!$F$16,Assum!$F$22/Assum!$F$16,0)</f>
        <v>0</v>
      </c>
      <c r="AB8" s="49">
        <f>IF(24&lt;=Assum!$F$16,Assum!$F$22/Assum!$F$16,0)</f>
        <v>0</v>
      </c>
    </row>
    <row r="9" spans="2:28" x14ac:dyDescent="0.25">
      <c r="B9" s="28" t="s">
        <v>183</v>
      </c>
      <c r="C9" s="48" t="s">
        <v>129</v>
      </c>
      <c r="D9" s="22">
        <f>SUM(E9:AB9)</f>
      </c>
      <c r="E9" s="49">
        <f>MIN(MAX(0,Assum!$F$25-0),E8)</f>
        <v>5166.666666666667</v>
      </c>
      <c r="F9" s="49">
        <f>MIN(MAX(0,Assum!$F$25-SUM($E$9:E9)),F8)</f>
        <v>5166.666666666667</v>
      </c>
      <c r="G9" s="49">
        <f>MIN(MAX(0,Assum!$F$25-SUM($E$9:F9)),G8)</f>
        <v>1276.6666666666697</v>
      </c>
      <c r="H9" s="49">
        <f>MIN(MAX(0,Assum!$F$25-SUM($E$9:G9)),H8)</f>
        <v>0</v>
      </c>
      <c r="I9" s="49">
        <f>MIN(MAX(0,Assum!$F$25-SUM($E$9:H9)),I8)</f>
        <v>0</v>
      </c>
      <c r="J9" s="49">
        <f>MIN(MAX(0,Assum!$F$25-SUM($E$9:I9)),J8)</f>
        <v>0</v>
      </c>
      <c r="K9" s="49">
        <f>MIN(MAX(0,Assum!$F$25-SUM($E$9:J9)),K8)</f>
        <v>0</v>
      </c>
      <c r="L9" s="49">
        <f>MIN(MAX(0,Assum!$F$25-SUM($E$9:K9)),L8)</f>
        <v>0</v>
      </c>
      <c r="M9" s="49">
        <f>MIN(MAX(0,Assum!$F$25-SUM($E$9:L9)),M8)</f>
        <v>0</v>
      </c>
      <c r="N9" s="49">
        <f>MIN(MAX(0,Assum!$F$25-SUM($E$9:M9)),N8)</f>
        <v>0</v>
      </c>
      <c r="O9" s="49">
        <f>MIN(MAX(0,Assum!$F$25-SUM($E$9:N9)),O8)</f>
        <v>0</v>
      </c>
      <c r="P9" s="49">
        <f>MIN(MAX(0,Assum!$F$25-SUM($E$9:O9)),P8)</f>
        <v>0</v>
      </c>
      <c r="Q9" s="49">
        <f>MIN(MAX(0,Assum!$F$25-SUM($E$9:P9)),Q8)</f>
        <v>0</v>
      </c>
      <c r="R9" s="49">
        <f>MIN(MAX(0,Assum!$F$25-SUM($E$9:Q9)),R8)</f>
        <v>0</v>
      </c>
      <c r="S9" s="49">
        <f>MIN(MAX(0,Assum!$F$25-SUM($E$9:R9)),S8)</f>
        <v>0</v>
      </c>
      <c r="T9" s="49">
        <f>MIN(MAX(0,Assum!$F$25-SUM($E$9:S9)),T8)</f>
        <v>0</v>
      </c>
      <c r="U9" s="49">
        <f>MIN(MAX(0,Assum!$F$25-SUM($E$9:T9)),U8)</f>
        <v>0</v>
      </c>
      <c r="V9" s="49">
        <f>MIN(MAX(0,Assum!$F$25-SUM($E$9:U9)),V8)</f>
        <v>0</v>
      </c>
      <c r="W9" s="49">
        <f>MIN(MAX(0,Assum!$F$25-SUM($E$9:V9)),W8)</f>
        <v>0</v>
      </c>
      <c r="X9" s="49">
        <f>MIN(MAX(0,Assum!$F$25-SUM($E$9:W9)),X8)</f>
        <v>0</v>
      </c>
      <c r="Y9" s="49">
        <f>MIN(MAX(0,Assum!$F$25-SUM($E$9:X9)),Y8)</f>
        <v>0</v>
      </c>
      <c r="Z9" s="49">
        <f>MIN(MAX(0,Assum!$F$25-SUM($E$9:Y9)),Z8)</f>
        <v>0</v>
      </c>
      <c r="AA9" s="49">
        <f>MIN(MAX(0,Assum!$F$25-SUM($E$9:Z9)),AA8)</f>
        <v>0</v>
      </c>
      <c r="AB9" s="49">
        <f>MIN(MAX(0,Assum!$F$25-SUM($E$9:AA9)),AB8)</f>
        <v>0</v>
      </c>
    </row>
    <row r="10" spans="2:28" x14ac:dyDescent="0.25">
      <c r="B10" s="28" t="s">
        <v>184</v>
      </c>
      <c r="C10" s="48" t="s">
        <v>129</v>
      </c>
      <c r="D10" s="22">
        <f>SUM(E10:AB10)</f>
      </c>
      <c r="E10" s="49">
        <f>E8-E9</f>
        <v>0</v>
      </c>
      <c r="F10" s="49">
        <f>F8-F9</f>
        <v>0</v>
      </c>
      <c r="G10" s="49">
        <f>G8-G9</f>
        <v>3889.9999999999973</v>
      </c>
      <c r="H10" s="49">
        <f>H8-H9</f>
        <v>5166.666666666667</v>
      </c>
      <c r="I10" s="49">
        <f>I8-I9</f>
        <v>5166.666666666667</v>
      </c>
      <c r="J10" s="49">
        <f>J8-J9</f>
        <v>5166.666666666667</v>
      </c>
      <c r="K10" s="49">
        <f>K8-K9</f>
        <v>5166.666666666667</v>
      </c>
      <c r="L10" s="49">
        <f>L8-L9</f>
        <v>5166.666666666667</v>
      </c>
      <c r="M10" s="49">
        <f>M8-M9</f>
        <v>5166.666666666667</v>
      </c>
      <c r="N10" s="49">
        <f>N8-N9</f>
        <v>5166.666666666667</v>
      </c>
      <c r="O10" s="49">
        <f>O8-O9</f>
        <v>5166.666666666667</v>
      </c>
      <c r="P10" s="49">
        <f>P8-P9</f>
        <v>5166.666666666667</v>
      </c>
      <c r="Q10" s="49">
        <f>Q8-Q9</f>
        <v>0</v>
      </c>
      <c r="R10" s="49">
        <f>R8-R9</f>
        <v>0</v>
      </c>
      <c r="S10" s="49">
        <f>S8-S9</f>
        <v>0</v>
      </c>
      <c r="T10" s="49">
        <f>T8-T9</f>
        <v>0</v>
      </c>
      <c r="U10" s="49">
        <f>U8-U9</f>
        <v>0</v>
      </c>
      <c r="V10" s="49">
        <f>V8-V9</f>
        <v>0</v>
      </c>
      <c r="W10" s="49">
        <f>W8-W9</f>
        <v>0</v>
      </c>
      <c r="X10" s="49">
        <f>X8-X9</f>
        <v>0</v>
      </c>
      <c r="Y10" s="49">
        <f>Y8-Y9</f>
        <v>0</v>
      </c>
      <c r="Z10" s="49">
        <f>Z8-Z9</f>
        <v>0</v>
      </c>
      <c r="AA10" s="49">
        <f>AA8-AA9</f>
        <v>0</v>
      </c>
      <c r="AB10" s="49">
        <f>AB8-AB9</f>
        <v>0</v>
      </c>
    </row>
    <row r="11" spans="2:28" x14ac:dyDescent="0.25">
      <c r="B11" s="28" t="s">
        <v>185</v>
      </c>
      <c r="C11" s="48" t="s">
        <v>129</v>
      </c>
      <c r="E11" s="49">
        <v>0</v>
      </c>
      <c r="F11" s="49">
        <f>E13</f>
        <v>0</v>
      </c>
      <c r="G11" s="49">
        <f>F13</f>
        <v>0</v>
      </c>
      <c r="H11" s="49">
        <f>G13</f>
        <v>3909.774166666664</v>
      </c>
      <c r="I11" s="49">
        <f>H13</f>
        <v>9122.579407569441</v>
      </c>
      <c r="J11" s="49">
        <f>I13</f>
        <v>14361.883075113474</v>
      </c>
      <c r="K11" s="49">
        <f>J13</f>
        <v>19627.81986963419</v>
      </c>
      <c r="L11" s="49">
        <f>K13</f>
        <v>24920.52517619372</v>
      </c>
      <c r="M11" s="49">
        <f>L13</f>
        <v>30240.135068061598</v>
      </c>
      <c r="N11" s="49">
        <f>M13</f>
        <v>35586.78631021314</v>
      </c>
      <c r="O11" s="49">
        <f>N13</f>
        <v>40960.616362845605</v>
      </c>
      <c r="P11" s="49">
        <f>O13</f>
        <v>46361.76338491229</v>
      </c>
      <c r="Q11" s="49">
        <f>P13</f>
        <v>0</v>
      </c>
      <c r="R11" s="49">
        <f>Q13</f>
        <v>0</v>
      </c>
      <c r="S11" s="49">
        <f>R13</f>
        <v>0</v>
      </c>
      <c r="T11" s="49">
        <f>S13</f>
        <v>0</v>
      </c>
      <c r="U11" s="49">
        <f>T13</f>
        <v>0</v>
      </c>
      <c r="V11" s="49">
        <f>U13</f>
        <v>0</v>
      </c>
      <c r="W11" s="49">
        <f>V13</f>
        <v>0</v>
      </c>
      <c r="X11" s="49">
        <f>W13</f>
        <v>0</v>
      </c>
      <c r="Y11" s="49">
        <f>X13</f>
        <v>0</v>
      </c>
      <c r="Z11" s="49">
        <f>Y13</f>
        <v>0</v>
      </c>
      <c r="AA11" s="49">
        <f>Z13</f>
        <v>0</v>
      </c>
      <c r="AB11" s="49">
        <f>AA13</f>
        <v>0</v>
      </c>
    </row>
    <row r="12" spans="2:28" x14ac:dyDescent="0.25">
      <c r="B12" s="28" t="s">
        <v>186</v>
      </c>
      <c r="C12" s="48" t="s">
        <v>129</v>
      </c>
      <c r="D12" s="22">
        <f>SUM(E12:AB12)</f>
      </c>
      <c r="E12" s="49">
        <f>IF(1&lt;=Assum!$F$16,(E11+E10)*Assum!$F$34/12,0)</f>
        <v>0</v>
      </c>
      <c r="F12" s="49">
        <f>IF(2&lt;=Assum!$F$16,(F11+F10)*Assum!$F$34/12,0)</f>
        <v>0</v>
      </c>
      <c r="G12" s="49">
        <f>IF(3&lt;=Assum!$F$16,(G11+G10)*Assum!$F$34/12,0)</f>
        <v>19.774166666666652</v>
      </c>
      <c r="H12" s="49">
        <f>IF(4&lt;=Assum!$F$16,(H11+H10)*Assum!$F$34/12,0)</f>
        <v>46.13857423611109</v>
      </c>
      <c r="I12" s="49">
        <f>IF(5&lt;=Assum!$F$16,(I11+I10)*Assum!$F$34/12,0)</f>
        <v>72.63700087736687</v>
      </c>
      <c r="J12" s="49">
        <f>IF(6&lt;=Assum!$F$16,(J11+J10)*Assum!$F$34/12,0)</f>
        <v>99.27012785404905</v>
      </c>
      <c r="K12" s="49">
        <f>IF(7&lt;=Assum!$F$16,(K11+K10)*Assum!$F$34/12,0)</f>
        <v>126.03863989286269</v>
      </c>
      <c r="L12" s="49">
        <f>IF(8&lt;=Assum!$F$16,(L11+L10)*Assum!$F$34/12,0)</f>
        <v>152.94322520120699</v>
      </c>
      <c r="M12" s="49">
        <f>IF(9&lt;=Assum!$F$16,(M11+M10)*Assum!$F$34/12,0)</f>
        <v>179.98457548486866</v>
      </c>
      <c r="N12" s="49">
        <f>IF(10&lt;=Assum!$F$16,(N11+N10)*Assum!$F$34/12,0)</f>
        <v>207.16338596580567</v>
      </c>
      <c r="O12" s="49">
        <f>IF(11&lt;=Assum!$F$16,(O11+O10)*Assum!$F$34/12,0)</f>
        <v>234.4803554000207</v>
      </c>
      <c r="P12" s="49">
        <f>IF(12&lt;=Assum!$F$16,(P11+P10)*Assum!$F$34/12,0)</f>
        <v>261.93618609552635</v>
      </c>
      <c r="Q12" s="49">
        <f>IF(13&lt;=Assum!$F$16,(Q11+Q10)*Assum!$F$34/12,0)</f>
        <v>0</v>
      </c>
      <c r="R12" s="49">
        <f>IF(14&lt;=Assum!$F$16,(R11+R10)*Assum!$F$34/12,0)</f>
        <v>0</v>
      </c>
      <c r="S12" s="49">
        <f>IF(15&lt;=Assum!$F$16,(S11+S10)*Assum!$F$34/12,0)</f>
        <v>0</v>
      </c>
      <c r="T12" s="49">
        <f>IF(16&lt;=Assum!$F$16,(T11+T10)*Assum!$F$34/12,0)</f>
        <v>0</v>
      </c>
      <c r="U12" s="49">
        <f>IF(17&lt;=Assum!$F$16,(U11+U10)*Assum!$F$34/12,0)</f>
        <v>0</v>
      </c>
      <c r="V12" s="49">
        <f>IF(18&lt;=Assum!$F$16,(V11+V10)*Assum!$F$34/12,0)</f>
        <v>0</v>
      </c>
      <c r="W12" s="49">
        <f>IF(19&lt;=Assum!$F$16,(W11+W10)*Assum!$F$34/12,0)</f>
        <v>0</v>
      </c>
      <c r="X12" s="49">
        <f>IF(20&lt;=Assum!$F$16,(X11+X10)*Assum!$F$34/12,0)</f>
        <v>0</v>
      </c>
      <c r="Y12" s="49">
        <f>IF(21&lt;=Assum!$F$16,(Y11+Y10)*Assum!$F$34/12,0)</f>
        <v>0</v>
      </c>
      <c r="Z12" s="49">
        <f>IF(22&lt;=Assum!$F$16,(Z11+Z10)*Assum!$F$34/12,0)</f>
        <v>0</v>
      </c>
      <c r="AA12" s="49">
        <f>IF(23&lt;=Assum!$F$16,(AA11+AA10)*Assum!$F$34/12,0)</f>
        <v>0</v>
      </c>
      <c r="AB12" s="49">
        <f>IF(24&lt;=Assum!$F$16,(AB11+AB10)*Assum!$F$34/12,0)</f>
        <v>0</v>
      </c>
    </row>
    <row r="13" spans="2:28" x14ac:dyDescent="0.25">
      <c r="B13" s="50" t="s">
        <v>187</v>
      </c>
      <c r="C13" s="51" t="s">
        <v>188</v>
      </c>
      <c r="D13" s="52">
        <f>SUM(E12:AB12)</f>
        <v>1400.3662376744846</v>
      </c>
      <c r="E13" s="52">
        <f>E11+E10+E12</f>
        <v>0</v>
      </c>
      <c r="F13" s="52">
        <f>F11+F10+F12</f>
        <v>0</v>
      </c>
      <c r="G13" s="52">
        <f>G11+G10+G12</f>
        <v>3909.774166666664</v>
      </c>
      <c r="H13" s="52">
        <f>H11+H10+H12</f>
        <v>9122.579407569441</v>
      </c>
      <c r="I13" s="52">
        <f>I11+I10+I12</f>
        <v>14361.883075113474</v>
      </c>
      <c r="J13" s="52">
        <f>J11+J10+J12</f>
        <v>19627.81986963419</v>
      </c>
      <c r="K13" s="52">
        <f>K11+K10+K12</f>
        <v>24920.52517619372</v>
      </c>
      <c r="L13" s="52">
        <f>L11+L10+L12</f>
        <v>30240.135068061598</v>
      </c>
      <c r="M13" s="52">
        <f>M11+M10+M12</f>
        <v>35586.78631021314</v>
      </c>
      <c r="N13" s="52">
        <f>N11+N10+N12</f>
        <v>40960.616362845605</v>
      </c>
      <c r="O13" s="52">
        <f>O11+O10+O12</f>
        <v>46361.76338491229</v>
      </c>
      <c r="P13" s="52">
        <f>P11+P10+P12</f>
        <v>51790.366237674476</v>
      </c>
      <c r="Q13" s="52">
        <f>Q11+Q10+Q12</f>
        <v>0</v>
      </c>
      <c r="R13" s="52">
        <f>R11+R10+R12</f>
        <v>0</v>
      </c>
      <c r="S13" s="52">
        <f>S11+S10+S12</f>
        <v>0</v>
      </c>
      <c r="T13" s="52">
        <f>T11+T10+T12</f>
        <v>0</v>
      </c>
      <c r="U13" s="52">
        <f>U11+U10+U12</f>
        <v>0</v>
      </c>
      <c r="V13" s="52">
        <f>V11+V10+V12</f>
        <v>0</v>
      </c>
      <c r="W13" s="52">
        <f>W11+W10+W12</f>
        <v>0</v>
      </c>
      <c r="X13" s="52">
        <f>X11+X10+X12</f>
        <v>0</v>
      </c>
      <c r="Y13" s="52">
        <f>Y11+Y10+Y12</f>
        <v>0</v>
      </c>
      <c r="Z13" s="22">
        <f>Z11+Z10+Z12</f>
        <v>0</v>
      </c>
      <c r="AA13" s="22">
        <f>AA11+AA10+AA12</f>
        <v>0</v>
      </c>
      <c r="AB13" s="22">
        <f>AB11+AB10+AB12</f>
        <v>0</v>
      </c>
    </row>
    <row r="15" spans="2:25" x14ac:dyDescent="0.25">
      <c r="B15" s="11" t="s">
        <v>189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7" spans="2:4" x14ac:dyDescent="0.25">
      <c r="B17" s="28" t="s">
        <v>190</v>
      </c>
      <c r="C17" s="48" t="s">
        <v>129</v>
      </c>
      <c r="D17" s="49">
        <f>AB13</f>
        <v>51790.366237674476</v>
      </c>
    </row>
    <row r="18" spans="2:4" x14ac:dyDescent="0.25">
      <c r="B18" s="28" t="s">
        <v>191</v>
      </c>
      <c r="C18" s="48" t="s">
        <v>129</v>
      </c>
      <c r="D18" s="49">
        <f>MIN(MAX(0,Assum!$F$25-SUM(E9:AB9)),Assum!$F$23)</f>
        <v>0</v>
      </c>
    </row>
    <row r="19" spans="2:4" x14ac:dyDescent="0.25">
      <c r="B19" s="28" t="s">
        <v>192</v>
      </c>
      <c r="C19" s="48" t="s">
        <v>129</v>
      </c>
      <c r="D19" s="49">
        <f>Assum!$F$23-D18</f>
        <v>2500</v>
      </c>
    </row>
    <row r="20" spans="2:25" x14ac:dyDescent="0.25">
      <c r="B20" s="50" t="s">
        <v>193</v>
      </c>
      <c r="C20" s="53" t="s">
        <v>129</v>
      </c>
      <c r="D20" s="52">
        <f>D17+D19</f>
        <v>54290.366237674476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spans="2:4" x14ac:dyDescent="0.25">
      <c r="B21" s="28" t="s">
        <v>194</v>
      </c>
      <c r="C21" s="48" t="s">
        <v>129</v>
      </c>
      <c r="D21" s="49">
        <f>D20-Assum!$F$29</f>
        <v>0</v>
      </c>
    </row>
    <row r="23" spans="2:2" x14ac:dyDescent="0.25">
      <c r="B23" s="32" t="s">
        <v>195</v>
      </c>
    </row>
    <row r="24" spans="2:2" x14ac:dyDescent="0.25">
      <c r="B24" s="3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197</v>
      </c>
    </row>
    <row r="4" spans="2:25" x14ac:dyDescent="0.25">
      <c r="B4" s="11" t="s">
        <v>198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5" x14ac:dyDescent="0.25">
      <c r="B6" s="25" t="s">
        <v>73</v>
      </c>
      <c r="D6" s="25" t="s">
        <v>199</v>
      </c>
      <c r="E6" s="25" t="s">
        <v>200</v>
      </c>
    </row>
    <row r="7" spans="2:5" x14ac:dyDescent="0.25">
      <c r="B7" s="28" t="s">
        <v>128</v>
      </c>
      <c r="C7" s="48" t="s">
        <v>129</v>
      </c>
      <c r="D7" s="29">
        <f>Assum!$F$22</f>
        <v>62000</v>
      </c>
      <c r="E7" s="55">
        <f>D7/$D$10</f>
        <v>0.9408141948163454</v>
      </c>
    </row>
    <row r="8" spans="2:5" x14ac:dyDescent="0.25">
      <c r="B8" s="28" t="s">
        <v>134</v>
      </c>
      <c r="C8" s="48" t="s">
        <v>129</v>
      </c>
      <c r="D8" s="29">
        <f>Assum!$F$26</f>
        <v>1400.3662376744846</v>
      </c>
      <c r="E8" s="55">
        <f>D8/$D$10</f>
        <v>0.021249748941059923</v>
      </c>
    </row>
    <row r="9" spans="2:5" x14ac:dyDescent="0.25">
      <c r="B9" s="28" t="s">
        <v>130</v>
      </c>
      <c r="C9" s="48" t="s">
        <v>129</v>
      </c>
      <c r="D9" s="29">
        <f>Assum!$F$23</f>
        <v>2500</v>
      </c>
      <c r="E9" s="55">
        <f>D9/$D$10</f>
        <v>0.03793605624259457</v>
      </c>
    </row>
    <row r="10" spans="2:25" x14ac:dyDescent="0.25">
      <c r="B10" s="50" t="s">
        <v>137</v>
      </c>
      <c r="C10" s="53" t="s">
        <v>129</v>
      </c>
      <c r="D10" s="52">
        <f>SUM(D7:D9)</f>
        <v>65900.36623767449</v>
      </c>
      <c r="E10" s="56">
        <f>D10/$D$10</f>
        <v>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3" spans="2:25" x14ac:dyDescent="0.25">
      <c r="B13" s="11" t="s">
        <v>55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5" x14ac:dyDescent="0.25">
      <c r="B15" s="28" t="s">
        <v>133</v>
      </c>
      <c r="C15" s="48" t="s">
        <v>129</v>
      </c>
      <c r="D15" s="29">
        <f>Assum!$F$25</f>
        <v>11610.000000000004</v>
      </c>
      <c r="E15" s="55">
        <f>D15/$D$17</f>
        <v>0.17617504519060925</v>
      </c>
    </row>
    <row r="16" spans="2:5" x14ac:dyDescent="0.25">
      <c r="B16" s="28" t="s">
        <v>201</v>
      </c>
      <c r="C16" s="48" t="s">
        <v>129</v>
      </c>
      <c r="D16" s="29">
        <f>Assum!$F$29</f>
        <v>54290.366237674476</v>
      </c>
      <c r="E16" s="55">
        <f>D16/$D$17</f>
        <v>0.8238249548093906</v>
      </c>
    </row>
    <row r="17" spans="2:25" x14ac:dyDescent="0.25">
      <c r="B17" s="50" t="s">
        <v>202</v>
      </c>
      <c r="C17" s="53" t="s">
        <v>129</v>
      </c>
      <c r="D17" s="52">
        <f>SUM(D15:D16)</f>
        <v>65900.36623767449</v>
      </c>
      <c r="E17" s="56">
        <f>D17/$D$17</f>
        <v>1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2:4" x14ac:dyDescent="0.25">
      <c r="B18" s="28" t="s">
        <v>203</v>
      </c>
      <c r="C18" s="48" t="s">
        <v>129</v>
      </c>
      <c r="D18" s="49">
        <f>D10-D17</f>
        <v>0</v>
      </c>
    </row>
    <row r="21" spans="2:25" x14ac:dyDescent="0.25">
      <c r="B21" s="11" t="s">
        <v>204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3" spans="2:4" x14ac:dyDescent="0.25">
      <c r="B23" s="28" t="s">
        <v>165</v>
      </c>
      <c r="C23" s="48" t="s">
        <v>129</v>
      </c>
      <c r="D23" s="29">
        <f>Assum!$F$56</f>
        <v>60230.34792579075</v>
      </c>
    </row>
    <row r="24" spans="2:4" x14ac:dyDescent="0.25">
      <c r="B24" s="28" t="s">
        <v>166</v>
      </c>
      <c r="C24" s="48" t="s">
        <v>126</v>
      </c>
      <c r="D24" s="57">
        <f>Assum!$F$57</f>
        <v>18</v>
      </c>
    </row>
    <row r="25" spans="2:4" x14ac:dyDescent="0.25">
      <c r="B25" s="30" t="s">
        <v>205</v>
      </c>
      <c r="C25" s="48" t="s">
        <v>159</v>
      </c>
      <c r="D25" s="22">
        <f>D23/D24</f>
        <v>3346.1304403217086</v>
      </c>
    </row>
    <row r="27" spans="2:2" x14ac:dyDescent="0.25">
      <c r="B27" s="3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207</v>
      </c>
    </row>
    <row r="4" spans="2:25" x14ac:dyDescent="0.25">
      <c r="B4" s="11" t="s">
        <v>208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109</v>
      </c>
      <c r="C9" s="48" t="s">
        <v>110</v>
      </c>
      <c r="F9" s="58">
        <f>Assum!$F$7</f>
        <v>45.5</v>
      </c>
      <c r="G9" s="58">
        <f>Assum!$F$7</f>
        <v>45.5</v>
      </c>
      <c r="H9" s="58">
        <f>Assum!$F$7</f>
        <v>45.5</v>
      </c>
      <c r="I9" s="58">
        <f>Assum!$F$7</f>
        <v>45.5</v>
      </c>
      <c r="J9" s="58">
        <f>Assum!$F$7</f>
        <v>45.5</v>
      </c>
      <c r="K9" s="58">
        <f>Assum!$F$7</f>
        <v>45.5</v>
      </c>
      <c r="L9" s="58">
        <f>Assum!$F$7</f>
        <v>45.5</v>
      </c>
      <c r="M9" s="58">
        <f>Assum!$F$7</f>
        <v>45.5</v>
      </c>
      <c r="N9" s="58">
        <f>Assum!$F$7</f>
        <v>45.5</v>
      </c>
      <c r="O9" s="58">
        <f>Assum!$F$7</f>
        <v>45.5</v>
      </c>
      <c r="P9" s="58">
        <f>Assum!$F$7</f>
        <v>45.5</v>
      </c>
      <c r="Q9" s="58">
        <f>Assum!$F$7</f>
        <v>45.5</v>
      </c>
      <c r="R9" s="58">
        <f>Assum!$F$7</f>
        <v>45.5</v>
      </c>
      <c r="S9" s="58">
        <f>Assum!$F$7</f>
        <v>45.5</v>
      </c>
      <c r="T9" s="58">
        <f>Assum!$F$7</f>
        <v>45.5</v>
      </c>
      <c r="U9" s="58">
        <f>Assum!$F$7</f>
        <v>45.5</v>
      </c>
      <c r="V9" s="58">
        <f>Assum!$F$7</f>
        <v>45.5</v>
      </c>
      <c r="W9" s="58">
        <f>Assum!$F$7</f>
        <v>45.5</v>
      </c>
      <c r="X9" s="58">
        <f>Assum!$F$7</f>
        <v>45.5</v>
      </c>
      <c r="Y9" s="58">
        <f>Assum!$F$7</f>
        <v>45.5</v>
      </c>
    </row>
    <row r="10" spans="2:25" x14ac:dyDescent="0.25">
      <c r="B10" s="28" t="s">
        <v>111</v>
      </c>
      <c r="C10" s="48" t="s">
        <v>112</v>
      </c>
      <c r="F10" s="59">
        <f>Assum!$F$8</f>
        <v>0.14800000000000002</v>
      </c>
      <c r="G10" s="59">
        <f>Assum!$F$8</f>
        <v>0.14800000000000002</v>
      </c>
      <c r="H10" s="59">
        <f>Assum!$F$8</f>
        <v>0.14800000000000002</v>
      </c>
      <c r="I10" s="59">
        <f>Assum!$F$8</f>
        <v>0.14800000000000002</v>
      </c>
      <c r="J10" s="59">
        <f>Assum!$F$8</f>
        <v>0.14800000000000002</v>
      </c>
      <c r="K10" s="59">
        <f>Assum!$F$8</f>
        <v>0.14800000000000002</v>
      </c>
      <c r="L10" s="59">
        <f>Assum!$F$8</f>
        <v>0.14800000000000002</v>
      </c>
      <c r="M10" s="59">
        <f>Assum!$F$8</f>
        <v>0.14800000000000002</v>
      </c>
      <c r="N10" s="59">
        <f>Assum!$F$8</f>
        <v>0.14800000000000002</v>
      </c>
      <c r="O10" s="59">
        <f>Assum!$F$8</f>
        <v>0.14800000000000002</v>
      </c>
      <c r="P10" s="59">
        <f>Assum!$F$8</f>
        <v>0.14800000000000002</v>
      </c>
      <c r="Q10" s="59">
        <f>Assum!$F$8</f>
        <v>0.14800000000000002</v>
      </c>
      <c r="R10" s="59">
        <f>Assum!$F$8</f>
        <v>0.14800000000000002</v>
      </c>
      <c r="S10" s="59">
        <f>Assum!$F$8</f>
        <v>0.14800000000000002</v>
      </c>
      <c r="T10" s="59">
        <f>Assum!$F$8</f>
        <v>0.14800000000000002</v>
      </c>
      <c r="U10" s="59">
        <f>Assum!$F$8</f>
        <v>0.14800000000000002</v>
      </c>
      <c r="V10" s="59">
        <f>Assum!$F$8</f>
        <v>0.14800000000000002</v>
      </c>
      <c r="W10" s="59">
        <f>Assum!$F$8</f>
        <v>0.14800000000000002</v>
      </c>
      <c r="X10" s="59">
        <f>Assum!$F$8</f>
        <v>0.14800000000000002</v>
      </c>
      <c r="Y10" s="59">
        <f>Assum!$F$8</f>
        <v>0.14800000000000002</v>
      </c>
    </row>
    <row r="11" spans="2:25" x14ac:dyDescent="0.25">
      <c r="B11" s="28" t="s">
        <v>209</v>
      </c>
      <c r="C11" s="48" t="s">
        <v>112</v>
      </c>
      <c r="F11" s="60">
        <f>(1-Assum!$F$10)^(1-1)</f>
        <v>1</v>
      </c>
      <c r="G11" s="60">
        <f>(1-Assum!$F$10)^(2-1)</f>
        <v>0.995</v>
      </c>
      <c r="H11" s="60">
        <f>(1-Assum!$F$10)^(3-1)</f>
        <v>0.990025</v>
      </c>
      <c r="I11" s="60">
        <f>(1-Assum!$F$10)^(4-1)</f>
        <v>0.985074875</v>
      </c>
      <c r="J11" s="60">
        <f>(1-Assum!$F$10)^(5-1)</f>
        <v>0.980149500625</v>
      </c>
      <c r="K11" s="60">
        <f>(1-Assum!$F$10)^(6-1)</f>
        <v>0.975248753121875</v>
      </c>
      <c r="L11" s="60">
        <f>(1-Assum!$F$10)^(7-1)</f>
        <v>0.9703725093562656</v>
      </c>
      <c r="M11" s="60">
        <f>(1-Assum!$F$10)^(8-1)</f>
        <v>0.9655206468094842</v>
      </c>
      <c r="N11" s="60">
        <f>(1-Assum!$F$10)^(9-1)</f>
        <v>0.9606930435754368</v>
      </c>
      <c r="O11" s="60">
        <f>(1-Assum!$F$10)^(10-1)</f>
        <v>0.9558895783575596</v>
      </c>
      <c r="P11" s="60">
        <f>(1-Assum!$F$10)^(11-1)</f>
        <v>0.9511101304657719</v>
      </c>
      <c r="Q11" s="60">
        <f>(1-Assum!$F$10)^(12-1)</f>
        <v>0.946354579813443</v>
      </c>
      <c r="R11" s="60">
        <f>(1-Assum!$F$10)^(13-1)</f>
        <v>0.9416228069143757</v>
      </c>
      <c r="S11" s="60">
        <f>(1-Assum!$F$10)^(14-1)</f>
        <v>0.9369146928798039</v>
      </c>
      <c r="T11" s="60">
        <f>(1-Assum!$F$10)^(15-1)</f>
        <v>0.9322301194154049</v>
      </c>
      <c r="U11" s="60">
        <f>(1-Assum!$F$10)^(16-1)</f>
        <v>0.9275689688183278</v>
      </c>
      <c r="V11" s="60">
        <f>(1-Assum!$F$10)^(17-1)</f>
        <v>0.9229311239742362</v>
      </c>
      <c r="W11" s="60">
        <f>(1-Assum!$F$10)^(18-1)</f>
        <v>0.918316468354365</v>
      </c>
      <c r="X11" s="60">
        <f>(1-Assum!$F$10)^(19-1)</f>
        <v>0.9137248860125932</v>
      </c>
      <c r="Y11" s="60">
        <f>(1-Assum!$F$10)^(20-1)</f>
        <v>0.9091562615825302</v>
      </c>
    </row>
    <row r="12" spans="2:25" x14ac:dyDescent="0.25">
      <c r="B12" s="30" t="s">
        <v>210</v>
      </c>
      <c r="C12" s="48" t="s">
        <v>211</v>
      </c>
      <c r="D12" s="61">
        <f>SUM(F12:Y12)</f>
      </c>
      <c r="F12" s="61">
        <f>F9*8760*F10*(1-Assum!$F$11)*F11</f>
        <v>58989.84000000001</v>
      </c>
      <c r="G12" s="61">
        <f>G9*8760*G10*(1-Assum!$F$11)*G11</f>
        <v>58694.89080000001</v>
      </c>
      <c r="H12" s="61">
        <f>H9*8760*H10*(1-Assum!$F$11)*H11</f>
        <v>58401.41634600001</v>
      </c>
      <c r="I12" s="61">
        <f>I9*8760*I10*(1-Assum!$F$11)*I11</f>
        <v>58109.40926427001</v>
      </c>
      <c r="J12" s="61">
        <f>J9*8760*J10*(1-Assum!$F$11)*J11</f>
        <v>57818.862217948656</v>
      </c>
      <c r="K12" s="61">
        <f>K9*8760*K10*(1-Assum!$F$11)*K11</f>
        <v>57529.76790685891</v>
      </c>
      <c r="L12" s="61">
        <f>L9*8760*L10*(1-Assum!$F$11)*L11</f>
        <v>57242.119067324624</v>
      </c>
      <c r="M12" s="61">
        <f>M9*8760*M10*(1-Assum!$F$11)*M11</f>
        <v>56955.908471988</v>
      </c>
      <c r="N12" s="61">
        <f>N9*8760*N10*(1-Assum!$F$11)*N11</f>
        <v>56671.12892962806</v>
      </c>
      <c r="O12" s="61">
        <f>O9*8760*O10*(1-Assum!$F$11)*O11</f>
        <v>56387.773284979914</v>
      </c>
      <c r="P12" s="61">
        <f>P9*8760*P10*(1-Assum!$F$11)*P11</f>
        <v>56105.834418555016</v>
      </c>
      <c r="Q12" s="61">
        <f>Q9*8760*Q10*(1-Assum!$F$11)*Q11</f>
        <v>55825.30524646224</v>
      </c>
      <c r="R12" s="61">
        <f>R9*8760*R10*(1-Assum!$F$11)*R11</f>
        <v>55546.17872022993</v>
      </c>
      <c r="S12" s="61">
        <f>S9*8760*S10*(1-Assum!$F$11)*S11</f>
        <v>55268.447826628784</v>
      </c>
      <c r="T12" s="61">
        <f>T9*8760*T10*(1-Assum!$F$11)*T11</f>
        <v>54992.10558749564</v>
      </c>
      <c r="U12" s="61">
        <f>U9*8760*U10*(1-Assum!$F$11)*U11</f>
        <v>54717.145059558155</v>
      </c>
      <c r="V12" s="61">
        <f>V9*8760*V10*(1-Assum!$F$11)*V11</f>
        <v>54443.55933426037</v>
      </c>
      <c r="W12" s="61">
        <f>W9*8760*W10*(1-Assum!$F$11)*W11</f>
        <v>54171.34153758906</v>
      </c>
      <c r="X12" s="61">
        <f>X9*8760*X10*(1-Assum!$F$11)*X11</f>
        <v>53900.48482990112</v>
      </c>
      <c r="Y12" s="61">
        <f>Y9*8760*Y10*(1-Assum!$F$11)*Y11</f>
        <v>53630.98240575161</v>
      </c>
    </row>
    <row r="14" spans="2:25" x14ac:dyDescent="0.25">
      <c r="B14" s="28" t="s">
        <v>153</v>
      </c>
      <c r="C14" s="48" t="s">
        <v>154</v>
      </c>
      <c r="F14" s="62">
        <f>Assum!$F$44*(1+Assum!$F$45)^(1-1)</f>
        <v>172</v>
      </c>
      <c r="G14" s="62">
        <f>Assum!$F$44*(1+Assum!$F$45)^(2-1)</f>
        <v>174.064</v>
      </c>
      <c r="H14" s="62">
        <f>Assum!$F$44*(1+Assum!$F$45)^(3-1)</f>
        <v>176.15276799999998</v>
      </c>
      <c r="I14" s="62">
        <f>Assum!$F$44*(1+Assum!$F$45)^(4-1)</f>
        <v>178.266601216</v>
      </c>
      <c r="J14" s="62">
        <f>Assum!$F$44*(1+Assum!$F$45)^(5-1)</f>
        <v>180.405800430592</v>
      </c>
      <c r="K14" s="62">
        <f>Assum!$F$44*(1+Assum!$F$45)^(6-1)</f>
        <v>182.57067003575912</v>
      </c>
      <c r="L14" s="62">
        <f>Assum!$F$44*(1+Assum!$F$45)^(7-1)</f>
        <v>184.76151807618822</v>
      </c>
      <c r="M14" s="62">
        <f>Assum!$F$44*(1+Assum!$F$45)^(8-1)</f>
        <v>186.9786562931025</v>
      </c>
      <c r="N14" s="62">
        <f>Assum!$F$44*(1+Assum!$F$45)^(9-1)</f>
        <v>189.22240016861974</v>
      </c>
      <c r="O14" s="62">
        <f>Assum!$F$44*(1+Assum!$F$45)^(10-1)</f>
        <v>191.49306897064315</v>
      </c>
      <c r="P14" s="62">
        <f>Assum!$F$44*(1+Assum!$F$45)^(11-1)</f>
        <v>193.79098579829088</v>
      </c>
      <c r="Q14" s="62">
        <f>Assum!$F$44*(1+Assum!$F$45)^(12-1)</f>
        <v>196.11647762787035</v>
      </c>
      <c r="R14" s="62">
        <f>Assum!$F$44*(1+Assum!$F$45)^(13-1)</f>
        <v>198.4698753594048</v>
      </c>
      <c r="S14" s="62">
        <f>Assum!$F$44*(1+Assum!$F$45)^(14-1)</f>
        <v>200.85151386371768</v>
      </c>
      <c r="T14" s="62">
        <f>Assum!$F$44*(1+Assum!$F$45)^(15-1)</f>
        <v>203.2617320300823</v>
      </c>
      <c r="U14" s="62">
        <f>Assum!$F$44*(1+Assum!$F$45)^(16-1)</f>
        <v>205.7008728144433</v>
      </c>
      <c r="V14" s="62">
        <f>Assum!$F$44*(1+Assum!$F$45)^(17-1)</f>
        <v>208.1692832882166</v>
      </c>
      <c r="W14" s="62">
        <f>Assum!$F$44*(1+Assum!$F$45)^(18-1)</f>
        <v>210.6673146876752</v>
      </c>
      <c r="X14" s="62">
        <f>Assum!$F$44*(1+Assum!$F$45)^(19-1)</f>
        <v>213.1953224639273</v>
      </c>
      <c r="Y14" s="62">
        <f>Assum!$F$44*(1+Assum!$F$45)^(20-1)</f>
        <v>215.75366633349444</v>
      </c>
    </row>
    <row r="16" spans="2:25" x14ac:dyDescent="0.25">
      <c r="B16" s="50" t="s">
        <v>97</v>
      </c>
      <c r="C16" s="53" t="s">
        <v>129</v>
      </c>
      <c r="D16" s="52">
        <f>SUM(F16:Y16)</f>
      </c>
      <c r="E16" s="54"/>
      <c r="F16" s="52">
        <f>F12*F14/1000</f>
        <v>10146.252480000003</v>
      </c>
      <c r="G16" s="52">
        <f>G12*G14/1000</f>
        <v>10216.6674722112</v>
      </c>
      <c r="H16" s="52">
        <f>H12*H14/1000</f>
        <v>10287.571144468347</v>
      </c>
      <c r="I16" s="52">
        <f>I12*I14/1000</f>
        <v>10358.966888210958</v>
      </c>
      <c r="J16" s="52">
        <f>J12*J14/1000</f>
        <v>10430.85811841514</v>
      </c>
      <c r="K16" s="52">
        <f>K12*K14/1000</f>
        <v>10503.248273756944</v>
      </c>
      <c r="L16" s="52">
        <f>L12*L14/1000</f>
        <v>10576.140816776817</v>
      </c>
      <c r="M16" s="52">
        <f>M12*M14/1000</f>
        <v>10649.539234045249</v>
      </c>
      <c r="N16" s="52">
        <f>N12*N14/1000</f>
        <v>10723.447036329522</v>
      </c>
      <c r="O16" s="52">
        <f>O12*O14/1000</f>
        <v>10797.867758761648</v>
      </c>
      <c r="P16" s="52">
        <f>P12*P14/1000</f>
        <v>10872.804961007456</v>
      </c>
      <c r="Q16" s="52">
        <f>Q12*Q14/1000</f>
        <v>10948.262227436844</v>
      </c>
      <c r="R16" s="52">
        <f>R12*R14/1000</f>
        <v>11024.243167295257</v>
      </c>
      <c r="S16" s="52">
        <f>S12*S14/1000</f>
        <v>11100.75141487629</v>
      </c>
      <c r="T16" s="52">
        <f>T12*T14/1000</f>
        <v>11177.79062969553</v>
      </c>
      <c r="U16" s="52">
        <f>U12*U14/1000</f>
        <v>11255.364496665617</v>
      </c>
      <c r="V16" s="52">
        <f>V12*V14/1000</f>
        <v>11333.476726272476</v>
      </c>
      <c r="W16" s="52">
        <f>W12*W14/1000</f>
        <v>11412.131054752806</v>
      </c>
      <c r="X16" s="52">
        <f>X12*X14/1000</f>
        <v>11491.331244272791</v>
      </c>
      <c r="Y16" s="52">
        <f>Y12*Y14/1000</f>
        <v>11571.081083108043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212</v>
      </c>
    </row>
    <row r="4" spans="2:25" x14ac:dyDescent="0.25">
      <c r="B4" s="11" t="s">
        <v>213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214</v>
      </c>
      <c r="C9" s="48" t="s">
        <v>129</v>
      </c>
      <c r="F9" s="49">
        <f>Assum!$F$49</f>
        <v>2200</v>
      </c>
      <c r="G9" s="49">
        <f>Assum!$F$49</f>
        <v>2200</v>
      </c>
      <c r="H9" s="49">
        <f>Assum!$F$49</f>
        <v>2200</v>
      </c>
      <c r="I9" s="49">
        <f>Assum!$F$49</f>
        <v>2200</v>
      </c>
      <c r="J9" s="49">
        <f>Assum!$F$49</f>
        <v>2200</v>
      </c>
      <c r="K9" s="49">
        <f>Assum!$F$49</f>
        <v>2200</v>
      </c>
      <c r="L9" s="49">
        <f>Assum!$F$49</f>
        <v>2200</v>
      </c>
      <c r="M9" s="49">
        <f>Assum!$F$49</f>
        <v>2200</v>
      </c>
      <c r="N9" s="49">
        <f>Assum!$F$49</f>
        <v>2200</v>
      </c>
      <c r="O9" s="49">
        <f>Assum!$F$49</f>
        <v>2200</v>
      </c>
      <c r="P9" s="49">
        <f>Assum!$F$49</f>
        <v>2200</v>
      </c>
      <c r="Q9" s="49">
        <f>Assum!$F$49</f>
        <v>2200</v>
      </c>
      <c r="R9" s="49">
        <f>Assum!$F$49</f>
        <v>2200</v>
      </c>
      <c r="S9" s="49">
        <f>Assum!$F$49</f>
        <v>2200</v>
      </c>
      <c r="T9" s="49">
        <f>Assum!$F$49</f>
        <v>2200</v>
      </c>
      <c r="U9" s="49">
        <f>Assum!$F$49</f>
        <v>2200</v>
      </c>
      <c r="V9" s="49">
        <f>Assum!$F$49</f>
        <v>2200</v>
      </c>
      <c r="W9" s="49">
        <f>Assum!$F$49</f>
        <v>2200</v>
      </c>
      <c r="X9" s="49">
        <f>Assum!$F$49</f>
        <v>2200</v>
      </c>
      <c r="Y9" s="49">
        <f>Assum!$F$49</f>
        <v>2200</v>
      </c>
    </row>
    <row r="10" spans="2:25" x14ac:dyDescent="0.25">
      <c r="B10" s="28" t="s">
        <v>215</v>
      </c>
      <c r="C10" s="48" t="s">
        <v>112</v>
      </c>
      <c r="F10" s="60">
        <f>(1+Assum!$F$50)^(1-1)</f>
        <v>1</v>
      </c>
      <c r="G10" s="60">
        <f>(1+Assum!$F$50)^(2-1)</f>
        <v>1.018</v>
      </c>
      <c r="H10" s="60">
        <f>(1+Assum!$F$50)^(3-1)</f>
        <v>1.036324</v>
      </c>
      <c r="I10" s="60">
        <f>(1+Assum!$F$50)^(4-1)</f>
        <v>1.054977832</v>
      </c>
      <c r="J10" s="60">
        <f>(1+Assum!$F$50)^(5-1)</f>
        <v>1.073967432976</v>
      </c>
      <c r="K10" s="60">
        <f>(1+Assum!$F$50)^(6-1)</f>
        <v>1.0932988467695681</v>
      </c>
      <c r="L10" s="60">
        <f>(1+Assum!$F$50)^(7-1)</f>
        <v>1.1129782260114203</v>
      </c>
      <c r="M10" s="60">
        <f>(1+Assum!$F$50)^(8-1)</f>
        <v>1.133011834079626</v>
      </c>
      <c r="N10" s="60">
        <f>(1+Assum!$F$50)^(9-1)</f>
        <v>1.1534060470930592</v>
      </c>
      <c r="O10" s="60">
        <f>(1+Assum!$F$50)^(10-1)</f>
        <v>1.1741673559407342</v>
      </c>
      <c r="P10" s="60">
        <f>(1+Assum!$F$50)^(11-1)</f>
        <v>1.1953023683476676</v>
      </c>
      <c r="Q10" s="60">
        <f>(1+Assum!$F$50)^(12-1)</f>
        <v>1.2168178109779255</v>
      </c>
      <c r="R10" s="60">
        <f>(1+Assum!$F$50)^(13-1)</f>
        <v>1.2387205315755283</v>
      </c>
      <c r="S10" s="60">
        <f>(1+Assum!$F$50)^(14-1)</f>
        <v>1.2610175011438878</v>
      </c>
      <c r="T10" s="60">
        <f>(1+Assum!$F$50)^(15-1)</f>
        <v>1.2837158161644777</v>
      </c>
      <c r="U10" s="60">
        <f>(1+Assum!$F$50)^(16-1)</f>
        <v>1.3068227008554383</v>
      </c>
      <c r="V10" s="60">
        <f>(1+Assum!$F$50)^(17-1)</f>
        <v>1.3303455094708363</v>
      </c>
      <c r="W10" s="60">
        <f>(1+Assum!$F$50)^(18-1)</f>
        <v>1.3542917286413114</v>
      </c>
      <c r="X10" s="60">
        <f>(1+Assum!$F$50)^(19-1)</f>
        <v>1.378668979756855</v>
      </c>
      <c r="Y10" s="60">
        <f>(1+Assum!$F$50)^(20-1)</f>
        <v>1.4034850213924783</v>
      </c>
    </row>
    <row r="12" spans="2:25" x14ac:dyDescent="0.25">
      <c r="B12" s="50" t="s">
        <v>216</v>
      </c>
      <c r="C12" s="53" t="s">
        <v>129</v>
      </c>
      <c r="D12" s="52">
        <f>SUM(F12:Y12)</f>
      </c>
      <c r="E12" s="54"/>
      <c r="F12" s="52">
        <f>F9*F10</f>
        <v>2200</v>
      </c>
      <c r="G12" s="52">
        <f>G9*G10</f>
        <v>2239.6</v>
      </c>
      <c r="H12" s="52">
        <f>H9*H10</f>
        <v>2279.9128</v>
      </c>
      <c r="I12" s="52">
        <f>I9*I10</f>
        <v>2320.9512304</v>
      </c>
      <c r="J12" s="52">
        <f>J9*J10</f>
        <v>2362.7283525472003</v>
      </c>
      <c r="K12" s="52">
        <f>K9*K10</f>
        <v>2405.2574628930497</v>
      </c>
      <c r="L12" s="52">
        <f>L9*L10</f>
        <v>2448.5520972251247</v>
      </c>
      <c r="M12" s="52">
        <f>M9*M10</f>
        <v>2492.6260349751774</v>
      </c>
      <c r="N12" s="52">
        <f>N9*N10</f>
        <v>2537.49330360473</v>
      </c>
      <c r="O12" s="52">
        <f>O9*O10</f>
        <v>2583.168183069615</v>
      </c>
      <c r="P12" s="52">
        <f>P9*P10</f>
        <v>2629.6652103648685</v>
      </c>
      <c r="Q12" s="52">
        <f>Q9*Q10</f>
        <v>2676.999184151436</v>
      </c>
      <c r="R12" s="52">
        <f>R9*R10</f>
        <v>2725.1851694661623</v>
      </c>
      <c r="S12" s="52">
        <f>S9*S10</f>
        <v>2774.238502516553</v>
      </c>
      <c r="T12" s="52">
        <f>T9*T10</f>
        <v>2824.174795561851</v>
      </c>
      <c r="U12" s="52">
        <f>U9*U10</f>
        <v>2875.009941881964</v>
      </c>
      <c r="V12" s="52">
        <f>V9*V10</f>
        <v>2926.7601208358396</v>
      </c>
      <c r="W12" s="52">
        <f>W9*W10</f>
        <v>2979.441803010885</v>
      </c>
      <c r="X12" s="52">
        <f>X9*X10</f>
        <v>3033.071755465081</v>
      </c>
      <c r="Y12" s="52">
        <f>Y9*Y10</f>
        <v>3087.667047063452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217</v>
      </c>
    </row>
    <row r="4" spans="2:25" x14ac:dyDescent="0.25">
      <c r="B4" s="11" t="s">
        <v>201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218</v>
      </c>
      <c r="C9" s="48" t="s">
        <v>129</v>
      </c>
      <c r="F9" s="49">
        <f>'TIC_Funding'!$D$16</f>
        <v>54290.366237674476</v>
      </c>
      <c r="G9" s="49">
        <f>F11</f>
        <v>54290.366237674476</v>
      </c>
      <c r="H9" s="49">
        <f>G11</f>
        <v>54290.366237674476</v>
      </c>
      <c r="I9" s="49">
        <f>H11</f>
        <v>51931.12308806047</v>
      </c>
      <c r="J9" s="49">
        <f>I11</f>
        <v>49433.86421419404</v>
      </c>
      <c r="K9" s="49">
        <f>J11</f>
        <v>46790.51569620643</v>
      </c>
      <c r="L9" s="49">
        <f>K11</f>
        <v>43992.531289916544</v>
      </c>
      <c r="M9" s="49">
        <f>L11</f>
        <v>41030.864795858695</v>
      </c>
      <c r="N9" s="49">
        <f>M11</f>
        <v>37895.940811898465</v>
      </c>
      <c r="O9" s="49">
        <f>N11</f>
        <v>34577.62377487656</v>
      </c>
      <c r="P9" s="49">
        <f>O11</f>
        <v>31065.18519118888</v>
      </c>
      <c r="Q9" s="49">
        <f>P11</f>
        <v>27347.268950355465</v>
      </c>
      <c r="R9" s="49">
        <f>Q11</f>
        <v>23411.854609433296</v>
      </c>
      <c r="S9" s="49">
        <f>R11</f>
        <v>19246.21852956718</v>
      </c>
      <c r="T9" s="49">
        <f>S11</f>
        <v>14836.892739028897</v>
      </c>
      <c r="U9" s="49">
        <f>T11</f>
        <v>10169.621389744123</v>
      </c>
      <c r="V9" s="49">
        <f>U11</f>
        <v>5229.31466652619</v>
      </c>
      <c r="W9" s="49">
        <f>V11</f>
        <v>0</v>
      </c>
      <c r="X9" s="49">
        <f>W11</f>
        <v>0</v>
      </c>
      <c r="Y9" s="49">
        <f>X11</f>
        <v>0</v>
      </c>
    </row>
    <row r="10" spans="2:25" x14ac:dyDescent="0.25">
      <c r="B10" s="28" t="s">
        <v>219</v>
      </c>
      <c r="C10" s="48" t="s">
        <v>129</v>
      </c>
      <c r="D10" s="22">
        <f>SUM(F10:Y10)</f>
      </c>
      <c r="F10" s="49">
        <f>IF(AND(1&gt;Assum!$F$36,1&lt;=Assum!$F$36+Assum!$F$37),MIN(F9,IF(Assum!$F$38=2,-PPMT(Assum!$F$35,1-Assum!$F$36,Assum!$F$37,'TIC_Funding'!$D$16),'TIC_Funding'!$D$16/Assum!$F$37)),0)</f>
        <v>0</v>
      </c>
      <c r="G10" s="49">
        <f>IF(AND(2&gt;Assum!$F$36,2&lt;=Assum!$F$36+Assum!$F$37),MIN(G9,IF(Assum!$F$38=2,-PPMT(Assum!$F$35,2-Assum!$F$36,Assum!$F$37,'TIC_Funding'!$D$16),'TIC_Funding'!$D$16/Assum!$F$37)),0)</f>
        <v>0</v>
      </c>
      <c r="H10" s="49">
        <f>IF(AND(3&gt;Assum!$F$36,3&lt;=Assum!$F$36+Assum!$F$37),MIN(H9,IF(Assum!$F$38=2,-PPMT(Assum!$F$35,3-Assum!$F$36,Assum!$F$37,'TIC_Funding'!$D$16),'TIC_Funding'!$D$16/Assum!$F$37)),0)</f>
        <v>2359.243149614007</v>
      </c>
      <c r="I10" s="49">
        <f>IF(AND(4&gt;Assum!$F$36,4&lt;=Assum!$F$36+Assum!$F$37),MIN(I9,IF(Assum!$F$38=2,-PPMT(Assum!$F$35,4-Assum!$F$36,Assum!$F$37,'TIC_Funding'!$D$16),'TIC_Funding'!$D$16/Assum!$F$37)),0)</f>
        <v>2497.2588738664263</v>
      </c>
      <c r="J10" s="49">
        <f>IF(AND(5&gt;Assum!$F$36,5&lt;=Assum!$F$36+Assum!$F$37),MIN(J9,IF(Assum!$F$38=2,-PPMT(Assum!$F$35,5-Assum!$F$36,Assum!$F$37,'TIC_Funding'!$D$16),'TIC_Funding'!$D$16/Assum!$F$37)),0)</f>
        <v>2643.348517987612</v>
      </c>
      <c r="K10" s="49">
        <f>IF(AND(6&gt;Assum!$F$36,6&lt;=Assum!$F$36+Assum!$F$37),MIN(K9,IF(Assum!$F$38=2,-PPMT(Assum!$F$35,6-Assum!$F$36,Assum!$F$37,'TIC_Funding'!$D$16),'TIC_Funding'!$D$16/Assum!$F$37)),0)</f>
        <v>2797.984406289888</v>
      </c>
      <c r="L10" s="49">
        <f>IF(AND(7&gt;Assum!$F$36,7&lt;=Assum!$F$36+Assum!$F$37),MIN(L9,IF(Assum!$F$38=2,-PPMT(Assum!$F$35,7-Assum!$F$36,Assum!$F$37,'TIC_Funding'!$D$16),'TIC_Funding'!$D$16/Assum!$F$37)),0)</f>
        <v>2961.6664940578457</v>
      </c>
      <c r="M10" s="49">
        <f>IF(AND(8&gt;Assum!$F$36,8&lt;=Assum!$F$36+Assum!$F$37),MIN(M9,IF(Assum!$F$38=2,-PPMT(Assum!$F$35,8-Assum!$F$36,Assum!$F$37,'TIC_Funding'!$D$16),'TIC_Funding'!$D$16/Assum!$F$37)),0)</f>
        <v>3134.92398396023</v>
      </c>
      <c r="N10" s="49">
        <f>IF(AND(9&gt;Assum!$F$36,9&lt;=Assum!$F$36+Assum!$F$37),MIN(N9,IF(Assum!$F$38=2,-PPMT(Assum!$F$35,9-Assum!$F$36,Assum!$F$37,'TIC_Funding'!$D$16),'TIC_Funding'!$D$16/Assum!$F$37)),0)</f>
        <v>3318.3170370219036</v>
      </c>
      <c r="O10" s="49">
        <f>IF(AND(10&gt;Assum!$F$36,10&lt;=Assum!$F$36+Assum!$F$37),MIN(O9,IF(Assum!$F$38=2,-PPMT(Assum!$F$35,10-Assum!$F$36,Assum!$F$37,'TIC_Funding'!$D$16),'TIC_Funding'!$D$16/Assum!$F$37)),0)</f>
        <v>3512.4385836876845</v>
      </c>
      <c r="P10" s="49">
        <f>IF(AND(11&gt;Assum!$F$36,11&lt;=Assum!$F$36+Assum!$F$37),MIN(P9,IF(Assum!$F$38=2,-PPMT(Assum!$F$35,11-Assum!$F$36,Assum!$F$37,'TIC_Funding'!$D$16),'TIC_Funding'!$D$16/Assum!$F$37)),0)</f>
        <v>3717.916240833414</v>
      </c>
      <c r="Q10" s="49">
        <f>IF(AND(12&gt;Assum!$F$36,12&lt;=Assum!$F$36+Assum!$F$37),MIN(Q9,IF(Assum!$F$38=2,-PPMT(Assum!$F$35,12-Assum!$F$36,Assum!$F$37,'TIC_Funding'!$D$16),'TIC_Funding'!$D$16/Assum!$F$37)),0)</f>
        <v>3935.414340922169</v>
      </c>
      <c r="R10" s="49">
        <f>IF(AND(13&gt;Assum!$F$36,13&lt;=Assum!$F$36+Assum!$F$37),MIN(R9,IF(Assum!$F$38=2,-PPMT(Assum!$F$35,13-Assum!$F$36,Assum!$F$37,'TIC_Funding'!$D$16),'TIC_Funding'!$D$16/Assum!$F$37)),0)</f>
        <v>4165.636079866115</v>
      </c>
      <c r="S10" s="49">
        <f>IF(AND(14&gt;Assum!$F$36,14&lt;=Assum!$F$36+Assum!$F$37),MIN(S9,IF(Assum!$F$38=2,-PPMT(Assum!$F$35,14-Assum!$F$36,Assum!$F$37,'TIC_Funding'!$D$16),'TIC_Funding'!$D$16/Assum!$F$37)),0)</f>
        <v>4409.325790538283</v>
      </c>
      <c r="T10" s="49">
        <f>IF(AND(15&gt;Assum!$F$36,15&lt;=Assum!$F$36+Assum!$F$37),MIN(T9,IF(Assum!$F$38=2,-PPMT(Assum!$F$35,15-Assum!$F$36,Assum!$F$37,'TIC_Funding'!$D$16),'TIC_Funding'!$D$16/Assum!$F$37)),0)</f>
        <v>4667.271349284773</v>
      </c>
      <c r="U10" s="49">
        <f>IF(AND(16&gt;Assum!$F$36,16&lt;=Assum!$F$36+Assum!$F$37),MIN(U9,IF(Assum!$F$38=2,-PPMT(Assum!$F$35,16-Assum!$F$36,Assum!$F$37,'TIC_Funding'!$D$16),'TIC_Funding'!$D$16/Assum!$F$37)),0)</f>
        <v>4940.306723217933</v>
      </c>
      <c r="V10" s="49">
        <f>IF(AND(17&gt;Assum!$F$36,17&lt;=Assum!$F$36+Assum!$F$37),MIN(V9,IF(Assum!$F$38=2,-PPMT(Assum!$F$35,17-Assum!$F$36,Assum!$F$37,'TIC_Funding'!$D$16),'TIC_Funding'!$D$16/Assum!$F$37)),0)</f>
        <v>5229.31466652619</v>
      </c>
      <c r="W10" s="49">
        <f>IF(AND(18&gt;Assum!$F$36,18&lt;=Assum!$F$36+Assum!$F$37),MIN(W9,IF(Assum!$F$38=2,-PPMT(Assum!$F$35,18-Assum!$F$36,Assum!$F$37,'TIC_Funding'!$D$16),'TIC_Funding'!$D$16/Assum!$F$37)),0)</f>
        <v>0</v>
      </c>
      <c r="X10" s="49">
        <f>IF(AND(19&gt;Assum!$F$36,19&lt;=Assum!$F$36+Assum!$F$37),MIN(X9,IF(Assum!$F$38=2,-PPMT(Assum!$F$35,19-Assum!$F$36,Assum!$F$37,'TIC_Funding'!$D$16),'TIC_Funding'!$D$16/Assum!$F$37)),0)</f>
        <v>0</v>
      </c>
      <c r="Y10" s="49">
        <f>IF(AND(20&gt;Assum!$F$36,20&lt;=Assum!$F$36+Assum!$F$37),MIN(Y9,IF(Assum!$F$38=2,-PPMT(Assum!$F$35,20-Assum!$F$36,Assum!$F$37,'TIC_Funding'!$D$16),'TIC_Funding'!$D$16/Assum!$F$37)),0)</f>
        <v>0</v>
      </c>
    </row>
    <row r="11" spans="2:25" x14ac:dyDescent="0.25">
      <c r="B11" s="28" t="s">
        <v>220</v>
      </c>
      <c r="C11" s="48" t="s">
        <v>129</v>
      </c>
      <c r="F11" s="49">
        <f>F9-F10</f>
        <v>54290.366237674476</v>
      </c>
      <c r="G11" s="49">
        <f>G9-G10</f>
        <v>54290.366237674476</v>
      </c>
      <c r="H11" s="49">
        <f>H9-H10</f>
        <v>51931.12308806047</v>
      </c>
      <c r="I11" s="49">
        <f>I9-I10</f>
        <v>49433.86421419404</v>
      </c>
      <c r="J11" s="49">
        <f>J9-J10</f>
        <v>46790.51569620643</v>
      </c>
      <c r="K11" s="49">
        <f>K9-K10</f>
        <v>43992.531289916544</v>
      </c>
      <c r="L11" s="49">
        <f>L9-L10</f>
        <v>41030.864795858695</v>
      </c>
      <c r="M11" s="49">
        <f>M9-M10</f>
        <v>37895.940811898465</v>
      </c>
      <c r="N11" s="49">
        <f>N9-N10</f>
        <v>34577.62377487656</v>
      </c>
      <c r="O11" s="49">
        <f>O9-O10</f>
        <v>31065.18519118888</v>
      </c>
      <c r="P11" s="49">
        <f>P9-P10</f>
        <v>27347.268950355465</v>
      </c>
      <c r="Q11" s="49">
        <f>Q9-Q10</f>
        <v>23411.854609433296</v>
      </c>
      <c r="R11" s="49">
        <f>R9-R10</f>
        <v>19246.21852956718</v>
      </c>
      <c r="S11" s="49">
        <f>S9-S10</f>
        <v>14836.892739028897</v>
      </c>
      <c r="T11" s="49">
        <f>T9-T10</f>
        <v>10169.621389744123</v>
      </c>
      <c r="U11" s="49">
        <f>U9-U10</f>
        <v>5229.31466652619</v>
      </c>
      <c r="V11" s="49">
        <f>V9-V10</f>
        <v>0</v>
      </c>
      <c r="W11" s="49">
        <f>W9-W10</f>
        <v>0</v>
      </c>
      <c r="X11" s="49">
        <f>X9-X10</f>
        <v>0</v>
      </c>
      <c r="Y11" s="49">
        <f>Y9-Y10</f>
        <v>0</v>
      </c>
    </row>
    <row r="12" spans="2:25" x14ac:dyDescent="0.25">
      <c r="B12" s="28" t="s">
        <v>221</v>
      </c>
      <c r="C12" s="48" t="s">
        <v>129</v>
      </c>
      <c r="D12" s="22">
        <f>SUM(F12:Y12)</f>
      </c>
      <c r="F12" s="49">
        <f>(F9-F10*(Assum!$F$39-1)/(2*Assum!$F$39))*Assum!$F$35</f>
        <v>3175.9864249039565</v>
      </c>
      <c r="G12" s="49">
        <f>(G9-G10*(Assum!$F$39-1)/(2*Assum!$F$39))*Assum!$F$35</f>
        <v>3175.9864249039565</v>
      </c>
      <c r="H12" s="49">
        <f>(H9-H10*(Assum!$F$39-1)/(2*Assum!$F$39))*Assum!$F$35</f>
        <v>3141.4824938408515</v>
      </c>
      <c r="I12" s="49">
        <f>(I9-I10*(Assum!$F$39-1)/(2*Assum!$F$39))*Assum!$F$35</f>
        <v>3001.4482896212407</v>
      </c>
      <c r="J12" s="49">
        <f>(J9-J10*(Assum!$F$39-1)/(2*Assum!$F$39))*Assum!$F$35</f>
        <v>2853.2220844547824</v>
      </c>
      <c r="K12" s="49">
        <f>(K9-K10*(Assum!$F$39-1)/(2*Assum!$F$39))*Assum!$F$35</f>
        <v>2696.3246462860866</v>
      </c>
      <c r="L12" s="49">
        <f>(L9-L10*(Assum!$F$39-1)/(2*Assum!$F$39))*Assum!$F$35</f>
        <v>2530.248707984522</v>
      </c>
      <c r="M12" s="49">
        <f>(M9-M10*(Assum!$F$39-1)/(2*Assum!$F$39))*Assum!$F$35</f>
        <v>2354.457327292315</v>
      </c>
      <c r="N12" s="49">
        <f>(N9-N10*(Assum!$F$39-1)/(2*Assum!$F$39))*Assum!$F$35</f>
        <v>2168.3821508296146</v>
      </c>
      <c r="O12" s="49">
        <f>(O9-O10*(Assum!$F$39-1)/(2*Assum!$F$39))*Assum!$F$35</f>
        <v>1971.4215765438466</v>
      </c>
      <c r="P12" s="49">
        <f>(P9-P10*(Assum!$F$39-1)/(2*Assum!$F$39))*Assum!$F$35</f>
        <v>1762.9388086623608</v>
      </c>
      <c r="Q12" s="49">
        <f>(Q9-Q10*(Assum!$F$39-1)/(2*Assum!$F$39))*Assum!$F$35</f>
        <v>1542.259798859808</v>
      </c>
      <c r="R12" s="49">
        <f>(R9-R10*(Assum!$F$39-1)/(2*Assum!$F$39))*Assum!$F$35</f>
        <v>1308.6710669838058</v>
      </c>
      <c r="S12" s="49">
        <f>(S9-S10*(Assum!$F$39-1)/(2*Assum!$F$39))*Assum!$F$35</f>
        <v>1061.4173942930577</v>
      </c>
      <c r="T12" s="49">
        <f>(T9-T10*(Assum!$F$39-1)/(2*Assum!$F$39))*Assum!$F$35</f>
        <v>799.6993817499006</v>
      </c>
      <c r="U12" s="49">
        <f>(U9-U10*(Assum!$F$39-1)/(2*Assum!$F$39))*Assum!$F$35</f>
        <v>522.6708654729689</v>
      </c>
      <c r="V12" s="49">
        <f>(V9-V10*(Assum!$F$39-1)/(2*Assum!$F$39))*Assum!$F$35</f>
        <v>229.4361809938366</v>
      </c>
      <c r="W12" s="49">
        <f>(W9-W10*(Assum!$F$39-1)/(2*Assum!$F$39))*Assum!$F$35</f>
        <v>0</v>
      </c>
      <c r="X12" s="49">
        <f>(X9-X10*(Assum!$F$39-1)/(2*Assum!$F$39))*Assum!$F$35</f>
        <v>0</v>
      </c>
      <c r="Y12" s="49">
        <f>(Y9-Y10*(Assum!$F$39-1)/(2*Assum!$F$39))*Assum!$F$35</f>
        <v>0</v>
      </c>
    </row>
    <row r="13" spans="2:25" x14ac:dyDescent="0.25">
      <c r="B13" s="50" t="s">
        <v>222</v>
      </c>
      <c r="C13" s="53" t="s">
        <v>129</v>
      </c>
      <c r="D13" s="52">
        <f>SUM(F13:Y13)</f>
      </c>
      <c r="E13" s="54"/>
      <c r="F13" s="52">
        <f>F10+F12</f>
        <v>3175.9864249039565</v>
      </c>
      <c r="G13" s="52">
        <f>G10+G12</f>
        <v>3175.9864249039565</v>
      </c>
      <c r="H13" s="52">
        <f>H10+H12</f>
        <v>5500.725643454858</v>
      </c>
      <c r="I13" s="52">
        <f>I10+I12</f>
        <v>5498.707163487667</v>
      </c>
      <c r="J13" s="52">
        <f>J10+J12</f>
        <v>5496.570602442394</v>
      </c>
      <c r="K13" s="52">
        <f>K10+K12</f>
        <v>5494.309052575974</v>
      </c>
      <c r="L13" s="52">
        <f>L10+L12</f>
        <v>5491.915202042368</v>
      </c>
      <c r="M13" s="52">
        <f>M10+M12</f>
        <v>5489.381311252545</v>
      </c>
      <c r="N13" s="52">
        <f>N10+N12</f>
        <v>5486.699187851518</v>
      </c>
      <c r="O13" s="52">
        <f>O10+O12</f>
        <v>5483.860160231531</v>
      </c>
      <c r="P13" s="52">
        <f>P10+P12</f>
        <v>5480.855049495774</v>
      </c>
      <c r="Q13" s="52">
        <f>Q10+Q12</f>
        <v>5477.674139781977</v>
      </c>
      <c r="R13" s="52">
        <f>R10+R12</f>
        <v>5474.307146849921</v>
      </c>
      <c r="S13" s="52">
        <f>S10+S12</f>
        <v>5470.743184831341</v>
      </c>
      <c r="T13" s="52">
        <f>T10+T12</f>
        <v>5466.970731034674</v>
      </c>
      <c r="U13" s="52">
        <f>U10+U12</f>
        <v>5462.977588690902</v>
      </c>
      <c r="V13" s="52">
        <f>V10+V12</f>
        <v>5458.750847520027</v>
      </c>
      <c r="W13" s="52">
        <f>W10+W12</f>
        <v>0</v>
      </c>
      <c r="X13" s="52">
        <f>X10+X12</f>
        <v>0</v>
      </c>
      <c r="Y13" s="52">
        <f>Y10+Y12</f>
        <v>0</v>
      </c>
    </row>
    <row r="15" spans="2:25" x14ac:dyDescent="0.25">
      <c r="B15" s="11" t="s">
        <v>223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5" x14ac:dyDescent="0.25">
      <c r="B16" s="28" t="s">
        <v>224</v>
      </c>
      <c r="C16" s="48" t="s">
        <v>129</v>
      </c>
      <c r="F16" s="49">
        <f>IF(1&gt;=Assum!$F$36+Assum!$F$37,0,G13*Assum!$F$64/12)</f>
        <v>1587.9932124519783</v>
      </c>
      <c r="G16" s="49">
        <f>IF(2&gt;=Assum!$F$36+Assum!$F$37,0,H13*Assum!$F$64/12)</f>
        <v>2750.362821727429</v>
      </c>
      <c r="H16" s="49">
        <f>IF(3&gt;=Assum!$F$36+Assum!$F$37,0,I13*Assum!$F$64/12)</f>
        <v>2749.3535817438333</v>
      </c>
      <c r="I16" s="49">
        <f>IF(4&gt;=Assum!$F$36+Assum!$F$37,0,J13*Assum!$F$64/12)</f>
        <v>2748.2853012211976</v>
      </c>
      <c r="J16" s="49">
        <f>IF(5&gt;=Assum!$F$36+Assum!$F$37,0,K13*Assum!$F$64/12)</f>
        <v>2747.1545262879868</v>
      </c>
      <c r="K16" s="49">
        <f>IF(6&gt;=Assum!$F$36+Assum!$F$37,0,L13*Assum!$F$64/12)</f>
        <v>2745.957601021184</v>
      </c>
      <c r="L16" s="49">
        <f>IF(7&gt;=Assum!$F$36+Assum!$F$37,0,M13*Assum!$F$64/12)</f>
        <v>2744.6906556262725</v>
      </c>
      <c r="M16" s="49">
        <f>IF(8&gt;=Assum!$F$36+Assum!$F$37,0,N13*Assum!$F$64/12)</f>
        <v>2743.349593925759</v>
      </c>
      <c r="N16" s="49">
        <f>IF(9&gt;=Assum!$F$36+Assum!$F$37,0,O13*Assum!$F$64/12)</f>
        <v>2741.9300801157656</v>
      </c>
      <c r="O16" s="49">
        <f>IF(10&gt;=Assum!$F$36+Assum!$F$37,0,P13*Assum!$F$64/12)</f>
        <v>2740.427524747887</v>
      </c>
      <c r="P16" s="49">
        <f>IF(11&gt;=Assum!$F$36+Assum!$F$37,0,Q13*Assum!$F$64/12)</f>
        <v>2738.837069890988</v>
      </c>
      <c r="Q16" s="49">
        <f>IF(12&gt;=Assum!$F$36+Assum!$F$37,0,R13*Assum!$F$64/12)</f>
        <v>2737.1535734249605</v>
      </c>
      <c r="R16" s="49">
        <f>IF(13&gt;=Assum!$F$36+Assum!$F$37,0,S13*Assum!$F$64/12)</f>
        <v>2735.37159241567</v>
      </c>
      <c r="S16" s="49">
        <f>IF(14&gt;=Assum!$F$36+Assum!$F$37,0,T13*Assum!$F$64/12)</f>
        <v>2733.485365517337</v>
      </c>
      <c r="T16" s="49">
        <f>IF(15&gt;=Assum!$F$36+Assum!$F$37,0,U13*Assum!$F$64/12)</f>
        <v>2731.488794345451</v>
      </c>
      <c r="U16" s="49">
        <f>IF(16&gt;=Assum!$F$36+Assum!$F$37,0,V13*Assum!$F$64/12)</f>
        <v>2729.3754237600133</v>
      </c>
      <c r="V16" s="49">
        <f>IF(17&gt;=Assum!$F$36+Assum!$F$37,0,W13*Assum!$F$64/12)</f>
        <v>0</v>
      </c>
      <c r="W16" s="49">
        <f>IF(18&gt;=Assum!$F$36+Assum!$F$37,0,X13*Assum!$F$64/12)</f>
        <v>0</v>
      </c>
      <c r="X16" s="49">
        <f>IF(19&gt;=Assum!$F$36+Assum!$F$37,0,Y13*Assum!$F$64/12)</f>
        <v>0</v>
      </c>
      <c r="Y16" s="49">
        <f>IF(20&gt;=Assum!$F$36+Assum!$F$37,0,0*Assum!$F$64/12)</f>
        <v>0</v>
      </c>
    </row>
    <row r="17" spans="2:25" x14ac:dyDescent="0.25">
      <c r="B17" s="28" t="s">
        <v>225</v>
      </c>
      <c r="C17" s="48" t="s">
        <v>129</v>
      </c>
      <c r="D17" s="22">
        <f>SUM(F17:Y17)</f>
      </c>
      <c r="F17" s="49">
        <f>F16-Assum!$F$23</f>
        <v>-912.0067875480217</v>
      </c>
      <c r="G17" s="49">
        <f>G16-F16</f>
        <v>1162.3696092754508</v>
      </c>
      <c r="H17" s="49">
        <f>H16-G16</f>
        <v>-1.0092399835957622</v>
      </c>
      <c r="I17" s="49">
        <f>I16-H16</f>
        <v>-1.0682805226356322</v>
      </c>
      <c r="J17" s="49">
        <f>J16-I16</f>
        <v>-1.130774933210887</v>
      </c>
      <c r="K17" s="49">
        <f>K16-J16</f>
        <v>-1.1969252668027366</v>
      </c>
      <c r="L17" s="49">
        <f>L16-K16</f>
        <v>-1.266945394911545</v>
      </c>
      <c r="M17" s="49">
        <f>M16-L16</f>
        <v>-1.3410617005133645</v>
      </c>
      <c r="N17" s="49">
        <f>N16-M16</f>
        <v>-1.419513809993532</v>
      </c>
      <c r="O17" s="49">
        <f>O16-N16</f>
        <v>-1.502555367878358</v>
      </c>
      <c r="P17" s="49">
        <f>P16-O16</f>
        <v>-1.590454856899214</v>
      </c>
      <c r="Q17" s="49">
        <f>Q16-P16</f>
        <v>-1.6834964660274636</v>
      </c>
      <c r="R17" s="49">
        <f>R16-Q16</f>
        <v>-1.7819810092905755</v>
      </c>
      <c r="S17" s="49">
        <f>S16-R16</f>
        <v>-1.8862268983330068</v>
      </c>
      <c r="T17" s="49">
        <f>T16-S16</f>
        <v>-1.9965711718859893</v>
      </c>
      <c r="U17" s="49">
        <f>U16-T16</f>
        <v>-2.1133705854376785</v>
      </c>
      <c r="V17" s="49">
        <f>V16-U16</f>
        <v>-2729.3754237600133</v>
      </c>
      <c r="W17" s="49">
        <f>W16-V16</f>
        <v>0</v>
      </c>
      <c r="X17" s="49">
        <f>X16-W16</f>
        <v>0</v>
      </c>
      <c r="Y17" s="49">
        <f>Y16-X16</f>
        <v>0</v>
      </c>
    </row>
    <row r="19" spans="2:6" x14ac:dyDescent="0.25">
      <c r="B19" s="30" t="s">
        <v>226</v>
      </c>
      <c r="C19" s="48" t="s">
        <v>129</v>
      </c>
      <c r="D19" s="22">
        <f>Y11</f>
        <v>0</v>
      </c>
      <c r="F19" s="22" t="str">
        <f>IF(ABS(D19)&lt;1,"완전상환 확인 (OK)","경고: 미상환 잔액 발생 — 원금상환 행 재산출 필요")</f>
        <v>완전상환 확인 (OK)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227</v>
      </c>
    </row>
    <row r="4" spans="2:25" x14ac:dyDescent="0.25">
      <c r="B4" s="11" t="s">
        <v>228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97</v>
      </c>
      <c r="C9" s="48" t="s">
        <v>129</v>
      </c>
      <c r="D9" s="22">
        <f>SUM(F9:Y9)</f>
      </c>
      <c r="F9" s="29">
        <f>'Revenue'!F16</f>
        <v>10146.252480000003</v>
      </c>
      <c r="G9" s="29">
        <f>'Revenue'!G16</f>
        <v>10216.6674722112</v>
      </c>
      <c r="H9" s="29">
        <f>'Revenue'!H16</f>
        <v>10287.571144468347</v>
      </c>
      <c r="I9" s="29">
        <f>'Revenue'!I16</f>
        <v>10358.966888210958</v>
      </c>
      <c r="J9" s="29">
        <f>'Revenue'!J16</f>
        <v>10430.85811841514</v>
      </c>
      <c r="K9" s="29">
        <f>'Revenue'!K16</f>
        <v>10503.248273756944</v>
      </c>
      <c r="L9" s="29">
        <f>'Revenue'!L16</f>
        <v>10576.140816776817</v>
      </c>
      <c r="M9" s="29">
        <f>'Revenue'!M16</f>
        <v>10649.539234045249</v>
      </c>
      <c r="N9" s="29">
        <f>'Revenue'!N16</f>
        <v>10723.447036329522</v>
      </c>
      <c r="O9" s="29">
        <f>'Revenue'!O16</f>
        <v>10797.867758761648</v>
      </c>
      <c r="P9" s="29">
        <f>'Revenue'!P16</f>
        <v>10872.804961007456</v>
      </c>
      <c r="Q9" s="29">
        <f>'Revenue'!Q16</f>
        <v>10948.262227436844</v>
      </c>
      <c r="R9" s="29">
        <f>'Revenue'!R16</f>
        <v>11024.243167295257</v>
      </c>
      <c r="S9" s="29">
        <f>'Revenue'!S16</f>
        <v>11100.75141487629</v>
      </c>
      <c r="T9" s="29">
        <f>'Revenue'!T16</f>
        <v>11177.79062969553</v>
      </c>
      <c r="U9" s="29">
        <f>'Revenue'!U16</f>
        <v>11255.364496665617</v>
      </c>
      <c r="V9" s="29">
        <f>'Revenue'!V16</f>
        <v>11333.476726272476</v>
      </c>
      <c r="W9" s="29">
        <f>'Revenue'!W16</f>
        <v>11412.131054752806</v>
      </c>
      <c r="X9" s="29">
        <f>'Revenue'!X16</f>
        <v>11491.331244272791</v>
      </c>
      <c r="Y9" s="29">
        <f>'Revenue'!Y16</f>
        <v>11571.081083108043</v>
      </c>
    </row>
    <row r="10" spans="2:25" x14ac:dyDescent="0.25">
      <c r="B10" s="28" t="s">
        <v>98</v>
      </c>
      <c r="C10" s="48" t="s">
        <v>129</v>
      </c>
      <c r="D10" s="22">
        <f>SUM(F10:Y10)</f>
      </c>
      <c r="F10" s="29">
        <f>-'Opex'!F12</f>
        <v>-2200</v>
      </c>
      <c r="G10" s="29">
        <f>-'Opex'!G12</f>
        <v>-2239.6</v>
      </c>
      <c r="H10" s="29">
        <f>-'Opex'!H12</f>
        <v>-2279.9128</v>
      </c>
      <c r="I10" s="29">
        <f>-'Opex'!I12</f>
        <v>-2320.9512304</v>
      </c>
      <c r="J10" s="29">
        <f>-'Opex'!J12</f>
        <v>-2362.7283525472003</v>
      </c>
      <c r="K10" s="29">
        <f>-'Opex'!K12</f>
        <v>-2405.2574628930497</v>
      </c>
      <c r="L10" s="29">
        <f>-'Opex'!L12</f>
        <v>-2448.5520972251247</v>
      </c>
      <c r="M10" s="29">
        <f>-'Opex'!M12</f>
        <v>-2492.6260349751774</v>
      </c>
      <c r="N10" s="29">
        <f>-'Opex'!N12</f>
        <v>-2537.49330360473</v>
      </c>
      <c r="O10" s="29">
        <f>-'Opex'!O12</f>
        <v>-2583.168183069615</v>
      </c>
      <c r="P10" s="29">
        <f>-'Opex'!P12</f>
        <v>-2629.6652103648685</v>
      </c>
      <c r="Q10" s="29">
        <f>-'Opex'!Q12</f>
        <v>-2676.999184151436</v>
      </c>
      <c r="R10" s="29">
        <f>-'Opex'!R12</f>
        <v>-2725.1851694661623</v>
      </c>
      <c r="S10" s="29">
        <f>-'Opex'!S12</f>
        <v>-2774.238502516553</v>
      </c>
      <c r="T10" s="29">
        <f>-'Opex'!T12</f>
        <v>-2824.174795561851</v>
      </c>
      <c r="U10" s="29">
        <f>-'Opex'!U12</f>
        <v>-2875.009941881964</v>
      </c>
      <c r="V10" s="29">
        <f>-'Opex'!V12</f>
        <v>-2926.7601208358396</v>
      </c>
      <c r="W10" s="29">
        <f>-'Opex'!W12</f>
        <v>-2979.441803010885</v>
      </c>
      <c r="X10" s="29">
        <f>-'Opex'!X12</f>
        <v>-3033.071755465081</v>
      </c>
      <c r="Y10" s="29">
        <f>-'Opex'!Y12</f>
        <v>-3087.667047063452</v>
      </c>
    </row>
    <row r="11" spans="2:25" x14ac:dyDescent="0.25">
      <c r="B11" s="50" t="s">
        <v>99</v>
      </c>
      <c r="C11" s="53" t="s">
        <v>129</v>
      </c>
      <c r="D11" s="52">
        <f>SUM(F11:Y11)</f>
      </c>
      <c r="E11" s="54"/>
      <c r="F11" s="52">
        <f>F9+F10</f>
        <v>7946.252480000003</v>
      </c>
      <c r="G11" s="52">
        <f>G9+G10</f>
        <v>7977.0674722112</v>
      </c>
      <c r="H11" s="52">
        <f>H9+H10</f>
        <v>8007.658344468347</v>
      </c>
      <c r="I11" s="52">
        <f>I9+I10</f>
        <v>8038.015657810958</v>
      </c>
      <c r="J11" s="52">
        <f>J9+J10</f>
        <v>8068.1297658679405</v>
      </c>
      <c r="K11" s="52">
        <f>K9+K10</f>
        <v>8097.990810863895</v>
      </c>
      <c r="L11" s="52">
        <f>L9+L10</f>
        <v>8127.588719551692</v>
      </c>
      <c r="M11" s="52">
        <f>M9+M10</f>
        <v>8156.913199070072</v>
      </c>
      <c r="N11" s="52">
        <f>N9+N10</f>
        <v>8185.953732724793</v>
      </c>
      <c r="O11" s="52">
        <f>O9+O10</f>
        <v>8214.699575692033</v>
      </c>
      <c r="P11" s="52">
        <f>P9+P10</f>
        <v>8243.139750642587</v>
      </c>
      <c r="Q11" s="52">
        <f>Q9+Q10</f>
        <v>8271.263043285408</v>
      </c>
      <c r="R11" s="52">
        <f>R9+R10</f>
        <v>8299.057997829095</v>
      </c>
      <c r="S11" s="52">
        <f>S9+S10</f>
        <v>8326.512912359736</v>
      </c>
      <c r="T11" s="52">
        <f>T9+T10</f>
        <v>8353.615834133678</v>
      </c>
      <c r="U11" s="52">
        <f>U9+U10</f>
        <v>8380.354554783653</v>
      </c>
      <c r="V11" s="52">
        <f>V9+V10</f>
        <v>8406.716605436637</v>
      </c>
      <c r="W11" s="52">
        <f>W9+W10</f>
        <v>8432.689251741922</v>
      </c>
      <c r="X11" s="52">
        <f>X9+X10</f>
        <v>8458.259488807711</v>
      </c>
      <c r="Y11" s="52">
        <f>Y9+Y10</f>
        <v>8483.41403604459</v>
      </c>
    </row>
    <row r="12" spans="2:25" x14ac:dyDescent="0.25">
      <c r="B12" s="28" t="s">
        <v>229</v>
      </c>
      <c r="C12" s="48" t="s">
        <v>129</v>
      </c>
      <c r="D12" s="22">
        <f>SUM(F12:Y12)</f>
      </c>
      <c r="F12" s="49">
        <f>IF(1&lt;=Assum!$F$57,-'TIC_Funding'!$D$25,0)</f>
        <v>-3346.1304403217086</v>
      </c>
      <c r="G12" s="49">
        <f>IF(2&lt;=Assum!$F$57,-'TIC_Funding'!$D$25,0)</f>
        <v>-3346.1304403217086</v>
      </c>
      <c r="H12" s="49">
        <f>IF(3&lt;=Assum!$F$57,-'TIC_Funding'!$D$25,0)</f>
        <v>-3346.1304403217086</v>
      </c>
      <c r="I12" s="49">
        <f>IF(4&lt;=Assum!$F$57,-'TIC_Funding'!$D$25,0)</f>
        <v>-3346.1304403217086</v>
      </c>
      <c r="J12" s="49">
        <f>IF(5&lt;=Assum!$F$57,-'TIC_Funding'!$D$25,0)</f>
        <v>-3346.1304403217086</v>
      </c>
      <c r="K12" s="49">
        <f>IF(6&lt;=Assum!$F$57,-'TIC_Funding'!$D$25,0)</f>
        <v>-3346.1304403217086</v>
      </c>
      <c r="L12" s="49">
        <f>IF(7&lt;=Assum!$F$57,-'TIC_Funding'!$D$25,0)</f>
        <v>-3346.1304403217086</v>
      </c>
      <c r="M12" s="49">
        <f>IF(8&lt;=Assum!$F$57,-'TIC_Funding'!$D$25,0)</f>
        <v>-3346.1304403217086</v>
      </c>
      <c r="N12" s="49">
        <f>IF(9&lt;=Assum!$F$57,-'TIC_Funding'!$D$25,0)</f>
        <v>-3346.1304403217086</v>
      </c>
      <c r="O12" s="49">
        <f>IF(10&lt;=Assum!$F$57,-'TIC_Funding'!$D$25,0)</f>
        <v>-3346.1304403217086</v>
      </c>
      <c r="P12" s="49">
        <f>IF(11&lt;=Assum!$F$57,-'TIC_Funding'!$D$25,0)</f>
        <v>-3346.1304403217086</v>
      </c>
      <c r="Q12" s="49">
        <f>IF(12&lt;=Assum!$F$57,-'TIC_Funding'!$D$25,0)</f>
        <v>-3346.1304403217086</v>
      </c>
      <c r="R12" s="49">
        <f>IF(13&lt;=Assum!$F$57,-'TIC_Funding'!$D$25,0)</f>
        <v>-3346.1304403217086</v>
      </c>
      <c r="S12" s="49">
        <f>IF(14&lt;=Assum!$F$57,-'TIC_Funding'!$D$25,0)</f>
        <v>-3346.1304403217086</v>
      </c>
      <c r="T12" s="49">
        <f>IF(15&lt;=Assum!$F$57,-'TIC_Funding'!$D$25,0)</f>
        <v>-3346.1304403217086</v>
      </c>
      <c r="U12" s="49">
        <f>IF(16&lt;=Assum!$F$57,-'TIC_Funding'!$D$25,0)</f>
        <v>-3346.1304403217086</v>
      </c>
      <c r="V12" s="49">
        <f>IF(17&lt;=Assum!$F$57,-'TIC_Funding'!$D$25,0)</f>
        <v>-3346.1304403217086</v>
      </c>
      <c r="W12" s="49">
        <f>IF(18&lt;=Assum!$F$57,-'TIC_Funding'!$D$25,0)</f>
        <v>-3346.1304403217086</v>
      </c>
      <c r="X12" s="49">
        <f>IF(19&lt;=Assum!$F$57,-'TIC_Funding'!$D$25,0)</f>
        <v>0</v>
      </c>
      <c r="Y12" s="49">
        <f>IF(20&lt;=Assum!$F$57,-'TIC_Funding'!$D$25,0)</f>
        <v>0</v>
      </c>
    </row>
    <row r="13" spans="2:25" x14ac:dyDescent="0.25">
      <c r="B13" s="30" t="s">
        <v>230</v>
      </c>
      <c r="C13" s="48" t="s">
        <v>129</v>
      </c>
      <c r="D13" s="22">
        <f>SUM(F13:Y13)</f>
      </c>
      <c r="F13" s="22">
        <f>F11+F12</f>
        <v>4600.122039678294</v>
      </c>
      <c r="G13" s="22">
        <f>G11+G12</f>
        <v>4630.937031889491</v>
      </c>
      <c r="H13" s="22">
        <f>H11+H12</f>
        <v>4661.527904146638</v>
      </c>
      <c r="I13" s="22">
        <f>I11+I12</f>
        <v>4691.885217489249</v>
      </c>
      <c r="J13" s="22">
        <f>J11+J12</f>
        <v>4721.999325546232</v>
      </c>
      <c r="K13" s="22">
        <f>K11+K12</f>
        <v>4751.8603705421865</v>
      </c>
      <c r="L13" s="22">
        <f>L11+L12</f>
        <v>4781.4582792299825</v>
      </c>
      <c r="M13" s="22">
        <f>M11+M12</f>
        <v>4810.7827587483625</v>
      </c>
      <c r="N13" s="22">
        <f>N11+N12</f>
        <v>4839.8232924030835</v>
      </c>
      <c r="O13" s="22">
        <f>O11+O12</f>
        <v>4868.569135370324</v>
      </c>
      <c r="P13" s="22">
        <f>P11+P12</f>
        <v>4897.009310320878</v>
      </c>
      <c r="Q13" s="22">
        <f>Q11+Q12</f>
        <v>4925.132602963698</v>
      </c>
      <c r="R13" s="22">
        <f>R11+R12</f>
        <v>4952.927557507386</v>
      </c>
      <c r="S13" s="22">
        <f>S11+S12</f>
        <v>4980.382472038027</v>
      </c>
      <c r="T13" s="22">
        <f>T11+T12</f>
        <v>5007.485393811969</v>
      </c>
      <c r="U13" s="22">
        <f>U11+U12</f>
        <v>5034.224114461944</v>
      </c>
      <c r="V13" s="22">
        <f>V11+V12</f>
        <v>5060.586165114928</v>
      </c>
      <c r="W13" s="22">
        <f>W11+W12</f>
        <v>5086.558811420213</v>
      </c>
      <c r="X13" s="22">
        <f>X11+X12</f>
        <v>8458.259488807711</v>
      </c>
      <c r="Y13" s="22">
        <f>Y11+Y12</f>
        <v>8483.41403604459</v>
      </c>
    </row>
    <row r="14" spans="2:25" x14ac:dyDescent="0.25">
      <c r="B14" s="28" t="s">
        <v>221</v>
      </c>
      <c r="C14" s="48" t="s">
        <v>129</v>
      </c>
      <c r="D14" s="22">
        <f>SUM(F14:Y14)</f>
      </c>
      <c r="F14" s="29">
        <f>-'Debt'!F12</f>
        <v>-3175.9864249039565</v>
      </c>
      <c r="G14" s="29">
        <f>-'Debt'!G12</f>
        <v>-3175.9864249039565</v>
      </c>
      <c r="H14" s="29">
        <f>-'Debt'!H12</f>
        <v>-3141.4824938408515</v>
      </c>
      <c r="I14" s="29">
        <f>-'Debt'!I12</f>
        <v>-3001.4482896212407</v>
      </c>
      <c r="J14" s="29">
        <f>-'Debt'!J12</f>
        <v>-2853.2220844547824</v>
      </c>
      <c r="K14" s="29">
        <f>-'Debt'!K12</f>
        <v>-2696.3246462860866</v>
      </c>
      <c r="L14" s="29">
        <f>-'Debt'!L12</f>
        <v>-2530.248707984522</v>
      </c>
      <c r="M14" s="29">
        <f>-'Debt'!M12</f>
        <v>-2354.457327292315</v>
      </c>
      <c r="N14" s="29">
        <f>-'Debt'!N12</f>
        <v>-2168.3821508296146</v>
      </c>
      <c r="O14" s="29">
        <f>-'Debt'!O12</f>
        <v>-1971.4215765438466</v>
      </c>
      <c r="P14" s="29">
        <f>-'Debt'!P12</f>
        <v>-1762.9388086623608</v>
      </c>
      <c r="Q14" s="29">
        <f>-'Debt'!Q12</f>
        <v>-1542.259798859808</v>
      </c>
      <c r="R14" s="29">
        <f>-'Debt'!R12</f>
        <v>-1308.6710669838058</v>
      </c>
      <c r="S14" s="29">
        <f>-'Debt'!S12</f>
        <v>-1061.4173942930577</v>
      </c>
      <c r="T14" s="29">
        <f>-'Debt'!T12</f>
        <v>-799.6993817499006</v>
      </c>
      <c r="U14" s="29">
        <f>-'Debt'!U12</f>
        <v>-522.6708654729689</v>
      </c>
      <c r="V14" s="29">
        <f>-'Debt'!V12</f>
        <v>-229.4361809938366</v>
      </c>
      <c r="W14" s="29">
        <f>-'Debt'!W12</f>
        <v>0</v>
      </c>
      <c r="X14" s="29">
        <f>-'Debt'!X12</f>
        <v>0</v>
      </c>
      <c r="Y14" s="29">
        <f>-'Debt'!Y12</f>
        <v>0</v>
      </c>
    </row>
    <row r="15" spans="2:25" x14ac:dyDescent="0.25">
      <c r="B15" s="30" t="s">
        <v>231</v>
      </c>
      <c r="C15" s="48" t="s">
        <v>129</v>
      </c>
      <c r="D15" s="22">
        <f>SUM(F15:Y15)</f>
      </c>
      <c r="F15" s="22">
        <f>F13+F14</f>
        <v>1424.1356147743372</v>
      </c>
      <c r="G15" s="22">
        <f>G13+G14</f>
        <v>1454.9506069855343</v>
      </c>
      <c r="H15" s="22">
        <f>H13+H14</f>
        <v>1520.0454103057868</v>
      </c>
      <c r="I15" s="22">
        <f>I13+I14</f>
        <v>1690.4369278680083</v>
      </c>
      <c r="J15" s="22">
        <f>J13+J14</f>
        <v>1868.77724109145</v>
      </c>
      <c r="K15" s="22">
        <f>K13+K14</f>
        <v>2055.5357242561</v>
      </c>
      <c r="L15" s="22">
        <f>L13+L14</f>
        <v>2251.2095712454607</v>
      </c>
      <c r="M15" s="22">
        <f>M13+M14</f>
        <v>2456.3254314560477</v>
      </c>
      <c r="N15" s="22">
        <f>N13+N14</f>
        <v>2671.441141573469</v>
      </c>
      <c r="O15" s="22">
        <f>O13+O14</f>
        <v>2897.1475588264775</v>
      </c>
      <c r="P15" s="22">
        <f>P13+P14</f>
        <v>3134.0705016585175</v>
      </c>
      <c r="Q15" s="22">
        <f>Q13+Q14</f>
        <v>3382.8728041038903</v>
      </c>
      <c r="R15" s="22">
        <f>R13+R14</f>
        <v>3644.2564905235804</v>
      </c>
      <c r="S15" s="22">
        <f>S13+S14</f>
        <v>3918.9650777449697</v>
      </c>
      <c r="T15" s="22">
        <f>T13+T14</f>
        <v>4207.786012062068</v>
      </c>
      <c r="U15" s="22">
        <f>U13+U14</f>
        <v>4511.553248988975</v>
      </c>
      <c r="V15" s="22">
        <f>V13+V14</f>
        <v>4831.149984121092</v>
      </c>
      <c r="W15" s="22">
        <f>W13+W14</f>
        <v>5086.558811420213</v>
      </c>
      <c r="X15" s="22">
        <f>X13+X14</f>
        <v>8458.259488807711</v>
      </c>
      <c r="Y15" s="22">
        <f>Y13+Y14</f>
        <v>8483.41403604459</v>
      </c>
    </row>
    <row r="16" spans="2:25" x14ac:dyDescent="0.25">
      <c r="B16" s="28" t="s">
        <v>232</v>
      </c>
      <c r="C16" s="48" t="s">
        <v>129</v>
      </c>
      <c r="F16" s="49">
        <v>0</v>
      </c>
      <c r="G16" s="49">
        <f>F20</f>
        <v>0</v>
      </c>
      <c r="H16" s="49">
        <f>G20</f>
        <v>0</v>
      </c>
      <c r="I16" s="49">
        <f>H20</f>
        <v>0</v>
      </c>
      <c r="J16" s="49">
        <f>I20</f>
        <v>0</v>
      </c>
      <c r="K16" s="49">
        <f>J20</f>
        <v>0</v>
      </c>
      <c r="L16" s="49">
        <f>K20</f>
        <v>0</v>
      </c>
      <c r="M16" s="49">
        <f>L20</f>
        <v>0</v>
      </c>
      <c r="N16" s="49">
        <f>M20</f>
        <v>0</v>
      </c>
      <c r="O16" s="49">
        <f>N20</f>
        <v>0</v>
      </c>
      <c r="P16" s="49">
        <f>O20</f>
        <v>0</v>
      </c>
      <c r="Q16" s="49">
        <f>P20</f>
        <v>0</v>
      </c>
      <c r="R16" s="49">
        <f>Q20</f>
        <v>0</v>
      </c>
      <c r="S16" s="49">
        <f>R20</f>
        <v>0</v>
      </c>
      <c r="T16" s="49">
        <f>S20</f>
        <v>0</v>
      </c>
      <c r="U16" s="49">
        <f>T20</f>
        <v>0</v>
      </c>
      <c r="V16" s="49">
        <f>U20</f>
        <v>0</v>
      </c>
      <c r="W16" s="49">
        <f>V20</f>
        <v>0</v>
      </c>
      <c r="X16" s="49">
        <f>W20</f>
        <v>0</v>
      </c>
      <c r="Y16" s="49">
        <f>X20</f>
        <v>0</v>
      </c>
    </row>
    <row r="17" spans="2:25" x14ac:dyDescent="0.25">
      <c r="B17" s="28" t="s">
        <v>233</v>
      </c>
      <c r="C17" s="48" t="s">
        <v>129</v>
      </c>
      <c r="F17" s="49">
        <f>MIN(MAX(0,F15)*Assum!$F$60,F16)</f>
        <v>0</v>
      </c>
      <c r="G17" s="49">
        <f>MIN(MAX(0,G15)*Assum!$F$60,G16)</f>
        <v>0</v>
      </c>
      <c r="H17" s="49">
        <f>MIN(MAX(0,H15)*Assum!$F$60,H16)</f>
        <v>0</v>
      </c>
      <c r="I17" s="49">
        <f>MIN(MAX(0,I15)*Assum!$F$60,I16)</f>
        <v>0</v>
      </c>
      <c r="J17" s="49">
        <f>MIN(MAX(0,J15)*Assum!$F$60,J16)</f>
        <v>0</v>
      </c>
      <c r="K17" s="49">
        <f>MIN(MAX(0,K15)*Assum!$F$60,K16)</f>
        <v>0</v>
      </c>
      <c r="L17" s="49">
        <f>MIN(MAX(0,L15)*Assum!$F$60,L16)</f>
        <v>0</v>
      </c>
      <c r="M17" s="49">
        <f>MIN(MAX(0,M15)*Assum!$F$60,M16)</f>
        <v>0</v>
      </c>
      <c r="N17" s="49">
        <f>MIN(MAX(0,N15)*Assum!$F$60,N16)</f>
        <v>0</v>
      </c>
      <c r="O17" s="49">
        <f>MIN(MAX(0,O15)*Assum!$F$60,O16)</f>
        <v>0</v>
      </c>
      <c r="P17" s="49">
        <f>MIN(MAX(0,P15)*Assum!$F$60,P16)</f>
        <v>0</v>
      </c>
      <c r="Q17" s="49">
        <f>MIN(MAX(0,Q15)*Assum!$F$60,Q16)</f>
        <v>0</v>
      </c>
      <c r="R17" s="49">
        <f>MIN(MAX(0,R15)*Assum!$F$60,R16)</f>
        <v>0</v>
      </c>
      <c r="S17" s="49">
        <f>MIN(MAX(0,S15)*Assum!$F$60,S16)</f>
        <v>0</v>
      </c>
      <c r="T17" s="49">
        <f>MIN(MAX(0,T15)*Assum!$F$60,T16)</f>
        <v>0</v>
      </c>
      <c r="U17" s="49">
        <f>MIN(MAX(0,U15)*Assum!$F$60,U16)</f>
        <v>0</v>
      </c>
      <c r="V17" s="49">
        <f>MIN(MAX(0,V15)*Assum!$F$60,V16)</f>
        <v>0</v>
      </c>
      <c r="W17" s="49">
        <f>MIN(MAX(0,W15)*Assum!$F$60,W16)</f>
        <v>0</v>
      </c>
      <c r="X17" s="49">
        <f>MIN(MAX(0,X15)*Assum!$F$60,X16)</f>
        <v>0</v>
      </c>
      <c r="Y17" s="49">
        <f>MIN(MAX(0,Y15)*Assum!$F$60,Y16)</f>
        <v>0</v>
      </c>
    </row>
    <row r="18" spans="2:25" x14ac:dyDescent="0.25">
      <c r="B18" s="28" t="s">
        <v>234</v>
      </c>
      <c r="C18" s="48" t="s">
        <v>129</v>
      </c>
      <c r="F18" s="49">
        <f>MAX(0,F15-F17)</f>
        <v>1424.1356147743372</v>
      </c>
      <c r="G18" s="49">
        <f>MAX(0,G15-G17)</f>
        <v>1454.9506069855343</v>
      </c>
      <c r="H18" s="49">
        <f>MAX(0,H15-H17)</f>
        <v>1520.0454103057868</v>
      </c>
      <c r="I18" s="49">
        <f>MAX(0,I15-I17)</f>
        <v>1690.4369278680083</v>
      </c>
      <c r="J18" s="49">
        <f>MAX(0,J15-J17)</f>
        <v>1868.77724109145</v>
      </c>
      <c r="K18" s="49">
        <f>MAX(0,K15-K17)</f>
        <v>2055.5357242561</v>
      </c>
      <c r="L18" s="49">
        <f>MAX(0,L15-L17)</f>
        <v>2251.2095712454607</v>
      </c>
      <c r="M18" s="49">
        <f>MAX(0,M15-M17)</f>
        <v>2456.3254314560477</v>
      </c>
      <c r="N18" s="49">
        <f>MAX(0,N15-N17)</f>
        <v>2671.441141573469</v>
      </c>
      <c r="O18" s="49">
        <f>MAX(0,O15-O17)</f>
        <v>2897.1475588264775</v>
      </c>
      <c r="P18" s="49">
        <f>MAX(0,P15-P17)</f>
        <v>3134.0705016585175</v>
      </c>
      <c r="Q18" s="49">
        <f>MAX(0,Q15-Q17)</f>
        <v>3382.8728041038903</v>
      </c>
      <c r="R18" s="49">
        <f>MAX(0,R15-R17)</f>
        <v>3644.2564905235804</v>
      </c>
      <c r="S18" s="49">
        <f>MAX(0,S15-S17)</f>
        <v>3918.9650777449697</v>
      </c>
      <c r="T18" s="49">
        <f>MAX(0,T15-T17)</f>
        <v>4207.786012062068</v>
      </c>
      <c r="U18" s="49">
        <f>MAX(0,U15-U17)</f>
        <v>4511.553248988975</v>
      </c>
      <c r="V18" s="49">
        <f>MAX(0,V15-V17)</f>
        <v>4831.149984121092</v>
      </c>
      <c r="W18" s="49">
        <f>MAX(0,W15-W17)</f>
        <v>5086.558811420213</v>
      </c>
      <c r="X18" s="49">
        <f>MAX(0,X15-X17)</f>
        <v>8458.259488807711</v>
      </c>
      <c r="Y18" s="49">
        <f>MAX(0,Y15-Y17)</f>
        <v>8483.41403604459</v>
      </c>
    </row>
    <row r="19" spans="2:25" x14ac:dyDescent="0.25">
      <c r="B19" s="28" t="s">
        <v>235</v>
      </c>
      <c r="C19" s="48" t="s">
        <v>129</v>
      </c>
      <c r="D19" s="22">
        <f>SUM(F19:Y19)</f>
      </c>
      <c r="F19" s="49">
        <f>IF(Assum!$F$58=1,IF(F18&lt;=200,F18*0.09,IF(F18&lt;=20000,18+(F18-200)*0.19,3780+(F18-20000)*0.21)),F18*Assum!$F$59)</f>
        <v>250.5857668071241</v>
      </c>
      <c r="G19" s="49">
        <f>IF(Assum!$F$58=1,IF(G18&lt;=200,G18*0.09,IF(G18&lt;=20000,18+(G18-200)*0.19,3780+(G18-20000)*0.21)),G18*Assum!$F$59)</f>
        <v>256.4406153272515</v>
      </c>
      <c r="H19" s="49">
        <f>IF(Assum!$F$58=1,IF(H18&lt;=200,H18*0.09,IF(H18&lt;=20000,18+(H18-200)*0.19,3780+(H18-20000)*0.21)),H18*Assum!$F$59)</f>
        <v>268.80862795809946</v>
      </c>
      <c r="I19" s="49">
        <f>IF(Assum!$F$58=1,IF(I18&lt;=200,I18*0.09,IF(I18&lt;=20000,18+(I18-200)*0.19,3780+(I18-20000)*0.21)),I18*Assum!$F$59)</f>
        <v>301.1830162949216</v>
      </c>
      <c r="J19" s="49">
        <f>IF(Assum!$F$58=1,IF(J18&lt;=200,J18*0.09,IF(J18&lt;=20000,18+(J18-200)*0.19,3780+(J18-20000)*0.21)),J18*Assum!$F$59)</f>
        <v>335.0676758073755</v>
      </c>
      <c r="K19" s="49">
        <f>IF(Assum!$F$58=1,IF(K18&lt;=200,K18*0.09,IF(K18&lt;=20000,18+(K18-200)*0.19,3780+(K18-20000)*0.21)),K18*Assum!$F$59)</f>
        <v>370.55178760865897</v>
      </c>
      <c r="L19" s="49">
        <f>IF(Assum!$F$58=1,IF(L18&lt;=200,L18*0.09,IF(L18&lt;=20000,18+(L18-200)*0.19,3780+(L18-20000)*0.21)),L18*Assum!$F$59)</f>
        <v>407.72981853663754</v>
      </c>
      <c r="M19" s="49">
        <f>IF(Assum!$F$58=1,IF(M18&lt;=200,M18*0.09,IF(M18&lt;=20000,18+(M18-200)*0.19,3780+(M18-20000)*0.21)),M18*Assum!$F$59)</f>
        <v>446.7018319766491</v>
      </c>
      <c r="N19" s="49">
        <f>IF(Assum!$F$58=1,IF(N18&lt;=200,N18*0.09,IF(N18&lt;=20000,18+(N18-200)*0.19,3780+(N18-20000)*0.21)),N18*Assum!$F$59)</f>
        <v>487.5738168989591</v>
      </c>
      <c r="O19" s="49">
        <f>IF(Assum!$F$58=1,IF(O18&lt;=200,O18*0.09,IF(O18&lt;=20000,18+(O18-200)*0.19,3780+(O18-20000)*0.21)),O18*Assum!$F$59)</f>
        <v>530.4580361770307</v>
      </c>
      <c r="P19" s="49">
        <f>IF(Assum!$F$58=1,IF(P18&lt;=200,P18*0.09,IF(P18&lt;=20000,18+(P18-200)*0.19,3780+(P18-20000)*0.21)),P18*Assum!$F$59)</f>
        <v>575.4733953151183</v>
      </c>
      <c r="Q19" s="49">
        <f>IF(Assum!$F$58=1,IF(Q18&lt;=200,Q18*0.09,IF(Q18&lt;=20000,18+(Q18-200)*0.19,3780+(Q18-20000)*0.21)),Q18*Assum!$F$59)</f>
        <v>622.7458327797392</v>
      </c>
      <c r="R19" s="49">
        <f>IF(Assum!$F$58=1,IF(R18&lt;=200,R18*0.09,IF(R18&lt;=20000,18+(R18-200)*0.19,3780+(R18-20000)*0.21)),R18*Assum!$F$59)</f>
        <v>672.4087331994803</v>
      </c>
      <c r="S19" s="49">
        <f>IF(Assum!$F$58=1,IF(S18&lt;=200,S18*0.09,IF(S18&lt;=20000,18+(S18-200)*0.19,3780+(S18-20000)*0.21)),S18*Assum!$F$59)</f>
        <v>724.6033647715442</v>
      </c>
      <c r="T19" s="49">
        <f>IF(Assum!$F$58=1,IF(T18&lt;=200,T18*0.09,IF(T18&lt;=20000,18+(T18-200)*0.19,3780+(T18-20000)*0.21)),T18*Assum!$F$59)</f>
        <v>779.4793422917929</v>
      </c>
      <c r="U19" s="49">
        <f>IF(Assum!$F$58=1,IF(U18&lt;=200,U18*0.09,IF(U18&lt;=20000,18+(U18-200)*0.19,3780+(U18-20000)*0.21)),U18*Assum!$F$59)</f>
        <v>837.1951173079052</v>
      </c>
      <c r="V19" s="49">
        <f>IF(Assum!$F$58=1,IF(V18&lt;=200,V18*0.09,IF(V18&lt;=20000,18+(V18-200)*0.19,3780+(V18-20000)*0.21)),V18*Assum!$F$59)</f>
        <v>897.9184969830075</v>
      </c>
      <c r="W19" s="49">
        <f>IF(Assum!$F$58=1,IF(W18&lt;=200,W18*0.09,IF(W18&lt;=20000,18+(W18-200)*0.19,3780+(W18-20000)*0.21)),W18*Assum!$F$59)</f>
        <v>946.4461741698404</v>
      </c>
      <c r="X19" s="49">
        <f>IF(Assum!$F$58=1,IF(X18&lt;=200,X18*0.09,IF(X18&lt;=20000,18+(X18-200)*0.19,3780+(X18-20000)*0.21)),X18*Assum!$F$59)</f>
        <v>1587.0693028734652</v>
      </c>
      <c r="Y19" s="49">
        <f>IF(Assum!$F$58=1,IF(Y18&lt;=200,Y18*0.09,IF(Y18&lt;=20000,18+(Y18-200)*0.19,3780+(Y18-20000)*0.21)),Y18*Assum!$F$59)</f>
        <v>1591.8486668484722</v>
      </c>
    </row>
    <row r="20" spans="2:25" x14ac:dyDescent="0.25">
      <c r="B20" s="28" t="s">
        <v>236</v>
      </c>
      <c r="C20" s="48" t="s">
        <v>129</v>
      </c>
      <c r="F20" s="49">
        <f>F16-F17+MAX(0,-F15)</f>
        <v>0</v>
      </c>
      <c r="G20" s="49">
        <f>G16-G17+MAX(0,-G15)</f>
        <v>0</v>
      </c>
      <c r="H20" s="49">
        <f>H16-H17+MAX(0,-H15)</f>
        <v>0</v>
      </c>
      <c r="I20" s="49">
        <f>I16-I17+MAX(0,-I15)</f>
        <v>0</v>
      </c>
      <c r="J20" s="49">
        <f>J16-J17+MAX(0,-J15)</f>
        <v>0</v>
      </c>
      <c r="K20" s="49">
        <f>K16-K17+MAX(0,-K15)</f>
        <v>0</v>
      </c>
      <c r="L20" s="49">
        <f>L16-L17+MAX(0,-L15)</f>
        <v>0</v>
      </c>
      <c r="M20" s="49">
        <f>M16-M17+MAX(0,-M15)</f>
        <v>0</v>
      </c>
      <c r="N20" s="49">
        <f>N16-N17+MAX(0,-N15)</f>
        <v>0</v>
      </c>
      <c r="O20" s="49">
        <f>O16-O17+MAX(0,-O15)</f>
        <v>0</v>
      </c>
      <c r="P20" s="49">
        <f>P16-P17+MAX(0,-P15)</f>
        <v>0</v>
      </c>
      <c r="Q20" s="49">
        <f>Q16-Q17+MAX(0,-Q15)</f>
        <v>0</v>
      </c>
      <c r="R20" s="49">
        <f>R16-R17+MAX(0,-R15)</f>
        <v>0</v>
      </c>
      <c r="S20" s="49">
        <f>S16-S17+MAX(0,-S15)</f>
        <v>0</v>
      </c>
      <c r="T20" s="49">
        <f>T16-T17+MAX(0,-T15)</f>
        <v>0</v>
      </c>
      <c r="U20" s="49">
        <f>U16-U17+MAX(0,-U15)</f>
        <v>0</v>
      </c>
      <c r="V20" s="49">
        <f>V16-V17+MAX(0,-V15)</f>
        <v>0</v>
      </c>
      <c r="W20" s="49">
        <f>W16-W17+MAX(0,-W15)</f>
        <v>0</v>
      </c>
      <c r="X20" s="49">
        <f>X16-X17+MAX(0,-X15)</f>
        <v>0</v>
      </c>
      <c r="Y20" s="49">
        <f>Y16-Y17+MAX(0,-Y15)</f>
        <v>0</v>
      </c>
    </row>
    <row r="21" spans="2:25" x14ac:dyDescent="0.25">
      <c r="B21" s="50" t="s">
        <v>100</v>
      </c>
      <c r="C21" s="53" t="s">
        <v>129</v>
      </c>
      <c r="D21" s="52">
        <f>SUM(F21:Y21)</f>
      </c>
      <c r="E21" s="54"/>
      <c r="F21" s="52">
        <f>F15-F19</f>
        <v>1173.549847967213</v>
      </c>
      <c r="G21" s="52">
        <f>G15-G19</f>
        <v>1198.5099916582826</v>
      </c>
      <c r="H21" s="52">
        <f>H15-H19</f>
        <v>1251.2367823476875</v>
      </c>
      <c r="I21" s="52">
        <f>I15-I19</f>
        <v>1389.2539115730867</v>
      </c>
      <c r="J21" s="52">
        <f>J15-J19</f>
        <v>1533.7095652840744</v>
      </c>
      <c r="K21" s="52">
        <f>K15-K19</f>
        <v>1684.983936647441</v>
      </c>
      <c r="L21" s="52">
        <f>L15-L19</f>
        <v>1843.479752708823</v>
      </c>
      <c r="M21" s="52">
        <f>M15-M19</f>
        <v>2009.6235994793985</v>
      </c>
      <c r="N21" s="52">
        <f>N15-N19</f>
        <v>2183.8673246745097</v>
      </c>
      <c r="O21" s="52">
        <f>O15-O19</f>
        <v>2366.6895226494466</v>
      </c>
      <c r="P21" s="52">
        <f>P15-P19</f>
        <v>2558.597106343399</v>
      </c>
      <c r="Q21" s="52">
        <f>Q15-Q19</f>
        <v>2760.126971324151</v>
      </c>
      <c r="R21" s="52">
        <f>R15-R19</f>
        <v>2971.8477573241003</v>
      </c>
      <c r="S21" s="52">
        <f>S15-S19</f>
        <v>3194.3617129734257</v>
      </c>
      <c r="T21" s="52">
        <f>T15-T19</f>
        <v>3428.306669770275</v>
      </c>
      <c r="U21" s="52">
        <f>U15-U19</f>
        <v>3674.3581316810696</v>
      </c>
      <c r="V21" s="52">
        <f>V15-V19</f>
        <v>3933.231487138084</v>
      </c>
      <c r="W21" s="52">
        <f>W15-W19</f>
        <v>4140.112637250372</v>
      </c>
      <c r="X21" s="52">
        <f>X15-X19</f>
        <v>6871.190185934246</v>
      </c>
      <c r="Y21" s="52">
        <f>Y15-Y19</f>
        <v>6891.565369196119</v>
      </c>
    </row>
    <row r="23" spans="2:25" x14ac:dyDescent="0.25">
      <c r="B23" s="28" t="s">
        <v>237</v>
      </c>
      <c r="C23" s="48" t="s">
        <v>112</v>
      </c>
      <c r="F23" s="55">
        <f>IFERROR(F11/F9,0)</f>
        <v>0.7831711753342847</v>
      </c>
      <c r="G23" s="55">
        <f>IFERROR(G11/G9,0)</f>
        <v>0.7807895768271215</v>
      </c>
      <c r="H23" s="55">
        <f>IFERROR(H11/H9,0)</f>
        <v>0.7783818193834883</v>
      </c>
      <c r="I23" s="55">
        <f>IFERROR(I11/I9,0)</f>
        <v>0.7759476156795748</v>
      </c>
      <c r="J23" s="55">
        <f>IFERROR(J11/J9,0)</f>
        <v>0.7734866752356716</v>
      </c>
      <c r="K23" s="55">
        <f>IFERROR(K11/K9,0)</f>
        <v>0.7709987043815061</v>
      </c>
      <c r="L23" s="55">
        <f>IFERROR(L11/L9,0)</f>
        <v>0.768483406221198</v>
      </c>
      <c r="M23" s="55">
        <f>IFERROR(M11/M9,0)</f>
        <v>0.7659404805978307</v>
      </c>
      <c r="N23" s="55">
        <f>IFERROR(N11/N9,0)</f>
        <v>0.7633696240576318</v>
      </c>
      <c r="O23" s="55">
        <f>IFERROR(O11/O9,0)</f>
        <v>0.7607705298137616</v>
      </c>
      <c r="P23" s="55">
        <f>IFERROR(P11/P9,0)</f>
        <v>0.758142887709704</v>
      </c>
      <c r="Q23" s="55">
        <f>IFERROR(Q11/Q9,0)</f>
        <v>0.7554863841822537</v>
      </c>
      <c r="R23" s="55">
        <f>IFERROR(R11/R9,0)</f>
        <v>0.752800702224099</v>
      </c>
      <c r="S23" s="55">
        <f>IFERROR(S11/S9,0)</f>
        <v>0.7500855213459917</v>
      </c>
      <c r="T23" s="55">
        <f>IFERROR(T11/T9,0)</f>
        <v>0.7473405175385022</v>
      </c>
      <c r="U23" s="55">
        <f>IFERROR(U11/U9,0)</f>
        <v>0.7445653632333559</v>
      </c>
      <c r="V23" s="55">
        <f>IFERROR(V11/V9,0)</f>
        <v>0.7417597272643418</v>
      </c>
      <c r="W23" s="55">
        <f>IFERROR(W11/W9,0)</f>
        <v>0.738923274827795</v>
      </c>
      <c r="X23" s="55">
        <f>IFERROR(X11/X9,0)</f>
        <v>0.7360556674426434</v>
      </c>
      <c r="Y23" s="55">
        <f>IFERROR(Y11/Y9,0)</f>
        <v>0.7331565629100153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238</v>
      </c>
    </row>
    <row r="4" spans="2:25" x14ac:dyDescent="0.25">
      <c r="B4" s="11" t="s">
        <v>239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99</v>
      </c>
      <c r="C9" s="48" t="s">
        <v>129</v>
      </c>
      <c r="D9" s="22">
        <f>SUM(F9:Y9)</f>
      </c>
      <c r="F9" s="29">
        <f>'IS(Y)'!F11</f>
        <v>7946.252480000003</v>
      </c>
      <c r="G9" s="29">
        <f>'IS(Y)'!G11</f>
        <v>7977.0674722112</v>
      </c>
      <c r="H9" s="29">
        <f>'IS(Y)'!H11</f>
        <v>8007.658344468347</v>
      </c>
      <c r="I9" s="29">
        <f>'IS(Y)'!I11</f>
        <v>8038.015657810958</v>
      </c>
      <c r="J9" s="29">
        <f>'IS(Y)'!J11</f>
        <v>8068.1297658679405</v>
      </c>
      <c r="K9" s="29">
        <f>'IS(Y)'!K11</f>
        <v>8097.990810863895</v>
      </c>
      <c r="L9" s="29">
        <f>'IS(Y)'!L11</f>
        <v>8127.588719551692</v>
      </c>
      <c r="M9" s="29">
        <f>'IS(Y)'!M11</f>
        <v>8156.913199070072</v>
      </c>
      <c r="N9" s="29">
        <f>'IS(Y)'!N11</f>
        <v>8185.953732724793</v>
      </c>
      <c r="O9" s="29">
        <f>'IS(Y)'!O11</f>
        <v>8214.699575692033</v>
      </c>
      <c r="P9" s="29">
        <f>'IS(Y)'!P11</f>
        <v>8243.139750642587</v>
      </c>
      <c r="Q9" s="29">
        <f>'IS(Y)'!Q11</f>
        <v>8271.263043285408</v>
      </c>
      <c r="R9" s="29">
        <f>'IS(Y)'!R11</f>
        <v>8299.057997829095</v>
      </c>
      <c r="S9" s="29">
        <f>'IS(Y)'!S11</f>
        <v>8326.512912359736</v>
      </c>
      <c r="T9" s="29">
        <f>'IS(Y)'!T11</f>
        <v>8353.615834133678</v>
      </c>
      <c r="U9" s="29">
        <f>'IS(Y)'!U11</f>
        <v>8380.354554783653</v>
      </c>
      <c r="V9" s="29">
        <f>'IS(Y)'!V11</f>
        <v>8406.716605436637</v>
      </c>
      <c r="W9" s="29">
        <f>'IS(Y)'!W11</f>
        <v>8432.689251741922</v>
      </c>
      <c r="X9" s="29">
        <f>'IS(Y)'!X11</f>
        <v>8458.259488807711</v>
      </c>
      <c r="Y9" s="29">
        <f>'IS(Y)'!Y11</f>
        <v>8483.41403604459</v>
      </c>
    </row>
    <row r="10" spans="2:25" x14ac:dyDescent="0.25">
      <c r="B10" s="28" t="s">
        <v>240</v>
      </c>
      <c r="C10" s="48" t="s">
        <v>129</v>
      </c>
      <c r="D10" s="22">
        <f>SUM(F10:Y10)</f>
      </c>
      <c r="F10" s="29">
        <f>-'IS(Y)'!F19</f>
        <v>-250.5857668071241</v>
      </c>
      <c r="G10" s="29">
        <f>-'IS(Y)'!G19</f>
        <v>-256.4406153272515</v>
      </c>
      <c r="H10" s="29">
        <f>-'IS(Y)'!H19</f>
        <v>-268.80862795809946</v>
      </c>
      <c r="I10" s="29">
        <f>-'IS(Y)'!I19</f>
        <v>-301.1830162949216</v>
      </c>
      <c r="J10" s="29">
        <f>-'IS(Y)'!J19</f>
        <v>-335.0676758073755</v>
      </c>
      <c r="K10" s="29">
        <f>-'IS(Y)'!K19</f>
        <v>-370.55178760865897</v>
      </c>
      <c r="L10" s="29">
        <f>-'IS(Y)'!L19</f>
        <v>-407.72981853663754</v>
      </c>
      <c r="M10" s="29">
        <f>-'IS(Y)'!M19</f>
        <v>-446.7018319766491</v>
      </c>
      <c r="N10" s="29">
        <f>-'IS(Y)'!N19</f>
        <v>-487.5738168989591</v>
      </c>
      <c r="O10" s="29">
        <f>-'IS(Y)'!O19</f>
        <v>-530.4580361770307</v>
      </c>
      <c r="P10" s="29">
        <f>-'IS(Y)'!P19</f>
        <v>-575.4733953151183</v>
      </c>
      <c r="Q10" s="29">
        <f>-'IS(Y)'!Q19</f>
        <v>-622.7458327797392</v>
      </c>
      <c r="R10" s="29">
        <f>-'IS(Y)'!R19</f>
        <v>-672.4087331994803</v>
      </c>
      <c r="S10" s="29">
        <f>-'IS(Y)'!S19</f>
        <v>-724.6033647715442</v>
      </c>
      <c r="T10" s="29">
        <f>-'IS(Y)'!T19</f>
        <v>-779.4793422917929</v>
      </c>
      <c r="U10" s="29">
        <f>-'IS(Y)'!U19</f>
        <v>-837.1951173079052</v>
      </c>
      <c r="V10" s="29">
        <f>-'IS(Y)'!V19</f>
        <v>-897.9184969830075</v>
      </c>
      <c r="W10" s="29">
        <f>-'IS(Y)'!W19</f>
        <v>-946.4461741698404</v>
      </c>
      <c r="X10" s="29">
        <f>-'IS(Y)'!X19</f>
        <v>-1587.0693028734652</v>
      </c>
      <c r="Y10" s="29">
        <f>-'IS(Y)'!Y19</f>
        <v>-1591.8486668484722</v>
      </c>
    </row>
    <row r="11" spans="2:25" x14ac:dyDescent="0.25">
      <c r="B11" s="50" t="s">
        <v>241</v>
      </c>
      <c r="C11" s="53" t="s">
        <v>129</v>
      </c>
      <c r="D11" s="52">
        <f>SUM(F11:Y11)</f>
      </c>
      <c r="E11" s="54"/>
      <c r="F11" s="52">
        <f>F9+F10</f>
        <v>7695.666713192879</v>
      </c>
      <c r="G11" s="52">
        <f>G9+G10</f>
        <v>7720.626856883949</v>
      </c>
      <c r="H11" s="52">
        <f>H9+H10</f>
        <v>7738.849716510248</v>
      </c>
      <c r="I11" s="52">
        <f>I9+I10</f>
        <v>7736.832641516036</v>
      </c>
      <c r="J11" s="52">
        <f>J9+J10</f>
        <v>7733.0620900605645</v>
      </c>
      <c r="K11" s="52">
        <f>K9+K10</f>
        <v>7727.439023255236</v>
      </c>
      <c r="L11" s="52">
        <f>L9+L10</f>
        <v>7719.8589010150545</v>
      </c>
      <c r="M11" s="52">
        <f>M9+M10</f>
        <v>7710.211367093422</v>
      </c>
      <c r="N11" s="52">
        <f>N9+N10</f>
        <v>7698.379915825833</v>
      </c>
      <c r="O11" s="52">
        <f>O9+O10</f>
        <v>7684.241539515003</v>
      </c>
      <c r="P11" s="52">
        <f>P9+P10</f>
        <v>7667.666355327469</v>
      </c>
      <c r="Q11" s="52">
        <f>Q9+Q10</f>
        <v>7648.517210505668</v>
      </c>
      <c r="R11" s="52">
        <f>R9+R10</f>
        <v>7626.649264629615</v>
      </c>
      <c r="S11" s="52">
        <f>S9+S10</f>
        <v>7601.909547588192</v>
      </c>
      <c r="T11" s="52">
        <f>T9+T10</f>
        <v>7574.136491841885</v>
      </c>
      <c r="U11" s="52">
        <f>U9+U10</f>
        <v>7543.159437475748</v>
      </c>
      <c r="V11" s="52">
        <f>V9+V10</f>
        <v>7508.7981084536295</v>
      </c>
      <c r="W11" s="52">
        <f>W9+W10</f>
        <v>7486.243077572081</v>
      </c>
      <c r="X11" s="52">
        <f>X9+X10</f>
        <v>6871.190185934246</v>
      </c>
      <c r="Y11" s="52">
        <f>Y9+Y10</f>
        <v>6891.565369196119</v>
      </c>
    </row>
    <row r="12" spans="2:25" x14ac:dyDescent="0.25">
      <c r="B12" s="11" t="s">
        <v>242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2:25" x14ac:dyDescent="0.25">
      <c r="B13" s="28" t="s">
        <v>243</v>
      </c>
      <c r="C13" s="48" t="s">
        <v>129</v>
      </c>
      <c r="D13" s="22">
        <f>SUM(F13:Y13)</f>
      </c>
      <c r="F13" s="29">
        <f>-'Debt'!F13</f>
        <v>-3175.9864249039565</v>
      </c>
      <c r="G13" s="29">
        <f>-'Debt'!G13</f>
        <v>-3175.9864249039565</v>
      </c>
      <c r="H13" s="29">
        <f>-'Debt'!H13</f>
        <v>-5500.725643454858</v>
      </c>
      <c r="I13" s="29">
        <f>-'Debt'!I13</f>
        <v>-5498.707163487667</v>
      </c>
      <c r="J13" s="29">
        <f>-'Debt'!J13</f>
        <v>-5496.570602442394</v>
      </c>
      <c r="K13" s="29">
        <f>-'Debt'!K13</f>
        <v>-5494.309052575974</v>
      </c>
      <c r="L13" s="29">
        <f>-'Debt'!L13</f>
        <v>-5491.915202042368</v>
      </c>
      <c r="M13" s="29">
        <f>-'Debt'!M13</f>
        <v>-5489.381311252545</v>
      </c>
      <c r="N13" s="29">
        <f>-'Debt'!N13</f>
        <v>-5486.699187851518</v>
      </c>
      <c r="O13" s="29">
        <f>-'Debt'!O13</f>
        <v>-5483.860160231531</v>
      </c>
      <c r="P13" s="29">
        <f>-'Debt'!P13</f>
        <v>-5480.855049495774</v>
      </c>
      <c r="Q13" s="29">
        <f>-'Debt'!Q13</f>
        <v>-5477.674139781977</v>
      </c>
      <c r="R13" s="29">
        <f>-'Debt'!R13</f>
        <v>-5474.307146849921</v>
      </c>
      <c r="S13" s="29">
        <f>-'Debt'!S13</f>
        <v>-5470.743184831341</v>
      </c>
      <c r="T13" s="29">
        <f>-'Debt'!T13</f>
        <v>-5466.970731034674</v>
      </c>
      <c r="U13" s="29">
        <f>-'Debt'!U13</f>
        <v>-5462.977588690902</v>
      </c>
      <c r="V13" s="29">
        <f>-'Debt'!V13</f>
        <v>-5458.750847520027</v>
      </c>
      <c r="W13" s="29">
        <f>-'Debt'!W13</f>
        <v>0</v>
      </c>
      <c r="X13" s="29">
        <f>-'Debt'!X13</f>
        <v>0</v>
      </c>
      <c r="Y13" s="29">
        <f>-'Debt'!Y13</f>
        <v>0</v>
      </c>
    </row>
    <row r="14" spans="2:25" x14ac:dyDescent="0.25">
      <c r="B14" s="28" t="s">
        <v>244</v>
      </c>
      <c r="C14" s="48" t="s">
        <v>129</v>
      </c>
      <c r="D14" s="22">
        <f>SUM(F14:Y14)</f>
      </c>
      <c r="F14" s="29">
        <f>-'Debt'!F17</f>
        <v>912.0067875480217</v>
      </c>
      <c r="G14" s="29">
        <f>-'Debt'!G17</f>
        <v>-1162.3696092754508</v>
      </c>
      <c r="H14" s="29">
        <f>-'Debt'!H17</f>
        <v>1.0092399835957622</v>
      </c>
      <c r="I14" s="29">
        <f>-'Debt'!I17</f>
        <v>1.0682805226356322</v>
      </c>
      <c r="J14" s="29">
        <f>-'Debt'!J17</f>
        <v>1.130774933210887</v>
      </c>
      <c r="K14" s="29">
        <f>-'Debt'!K17</f>
        <v>1.1969252668027366</v>
      </c>
      <c r="L14" s="29">
        <f>-'Debt'!L17</f>
        <v>1.266945394911545</v>
      </c>
      <c r="M14" s="29">
        <f>-'Debt'!M17</f>
        <v>1.3410617005133645</v>
      </c>
      <c r="N14" s="29">
        <f>-'Debt'!N17</f>
        <v>1.419513809993532</v>
      </c>
      <c r="O14" s="29">
        <f>-'Debt'!O17</f>
        <v>1.502555367878358</v>
      </c>
      <c r="P14" s="29">
        <f>-'Debt'!P17</f>
        <v>1.590454856899214</v>
      </c>
      <c r="Q14" s="29">
        <f>-'Debt'!Q17</f>
        <v>1.6834964660274636</v>
      </c>
      <c r="R14" s="29">
        <f>-'Debt'!R17</f>
        <v>1.7819810092905755</v>
      </c>
      <c r="S14" s="29">
        <f>-'Debt'!S17</f>
        <v>1.8862268983330068</v>
      </c>
      <c r="T14" s="29">
        <f>-'Debt'!T17</f>
        <v>1.9965711718859893</v>
      </c>
      <c r="U14" s="29">
        <f>-'Debt'!U17</f>
        <v>2.1133705854376785</v>
      </c>
      <c r="V14" s="29">
        <f>-'Debt'!V17</f>
        <v>2729.3754237600133</v>
      </c>
      <c r="W14" s="29">
        <f>-'Debt'!W17</f>
        <v>0</v>
      </c>
      <c r="X14" s="29">
        <f>-'Debt'!X17</f>
        <v>0</v>
      </c>
      <c r="Y14" s="29">
        <f>-'Debt'!Y17</f>
        <v>0</v>
      </c>
    </row>
    <row r="15" spans="2:25" x14ac:dyDescent="0.25">
      <c r="B15" s="28" t="s">
        <v>245</v>
      </c>
      <c r="C15" s="48" t="s">
        <v>129</v>
      </c>
      <c r="D15" s="22">
        <f>SUM(F15:Y15)</f>
      </c>
      <c r="F15" s="49">
        <f>IF(1=Assum!$F$18,-Assum!$F$51,0)</f>
        <v>0</v>
      </c>
      <c r="G15" s="49">
        <f>IF(2=Assum!$F$18,-Assum!$F$51,0)</f>
        <v>0</v>
      </c>
      <c r="H15" s="49">
        <f>IF(3=Assum!$F$18,-Assum!$F$51,0)</f>
        <v>0</v>
      </c>
      <c r="I15" s="49">
        <f>IF(4=Assum!$F$18,-Assum!$F$51,0)</f>
        <v>0</v>
      </c>
      <c r="J15" s="49">
        <f>IF(5=Assum!$F$18,-Assum!$F$51,0)</f>
        <v>0</v>
      </c>
      <c r="K15" s="49">
        <f>IF(6=Assum!$F$18,-Assum!$F$51,0)</f>
        <v>0</v>
      </c>
      <c r="L15" s="49">
        <f>IF(7=Assum!$F$18,-Assum!$F$51,0)</f>
        <v>0</v>
      </c>
      <c r="M15" s="49">
        <f>IF(8=Assum!$F$18,-Assum!$F$51,0)</f>
        <v>0</v>
      </c>
      <c r="N15" s="49">
        <f>IF(9=Assum!$F$18,-Assum!$F$51,0)</f>
        <v>0</v>
      </c>
      <c r="O15" s="49">
        <f>IF(10=Assum!$F$18,-Assum!$F$51,0)</f>
        <v>0</v>
      </c>
      <c r="P15" s="49">
        <f>IF(11=Assum!$F$18,-Assum!$F$51,0)</f>
        <v>0</v>
      </c>
      <c r="Q15" s="49">
        <f>IF(12=Assum!$F$18,-Assum!$F$51,0)</f>
        <v>0</v>
      </c>
      <c r="R15" s="49">
        <f>IF(13=Assum!$F$18,-Assum!$F$51,0)</f>
        <v>0</v>
      </c>
      <c r="S15" s="49">
        <f>IF(14=Assum!$F$18,-Assum!$F$51,0)</f>
        <v>0</v>
      </c>
      <c r="T15" s="49">
        <f>IF(15=Assum!$F$18,-Assum!$F$51,0)</f>
        <v>0</v>
      </c>
      <c r="U15" s="49">
        <f>IF(16=Assum!$F$18,-Assum!$F$51,0)</f>
        <v>0</v>
      </c>
      <c r="V15" s="49">
        <f>IF(17=Assum!$F$18,-Assum!$F$51,0)</f>
        <v>0</v>
      </c>
      <c r="W15" s="49">
        <f>IF(18=Assum!$F$18,-Assum!$F$51,0)</f>
        <v>0</v>
      </c>
      <c r="X15" s="49">
        <f>IF(19=Assum!$F$18,-Assum!$F$51,0)</f>
        <v>0</v>
      </c>
      <c r="Y15" s="49">
        <f>IF(20=Assum!$F$18,-Assum!$F$51,0)</f>
        <v>-1600</v>
      </c>
    </row>
    <row r="17" spans="2:25" x14ac:dyDescent="0.25">
      <c r="B17" s="50" t="s">
        <v>246</v>
      </c>
      <c r="C17" s="53" t="s">
        <v>129</v>
      </c>
      <c r="D17" s="52">
        <f>SUM(F17:Y17)</f>
      </c>
      <c r="E17" s="54"/>
      <c r="F17" s="52">
        <f>F11+F13+F14+F15</f>
        <v>5431.687075836944</v>
      </c>
      <c r="G17" s="52">
        <f>G11+G13+G14+G15</f>
        <v>3382.2708227045414</v>
      </c>
      <c r="H17" s="52">
        <f>H11+H13+H14+H15</f>
        <v>2239.1333130389858</v>
      </c>
      <c r="I17" s="52">
        <f>I11+I13+I14+I15</f>
        <v>2239.1937585510054</v>
      </c>
      <c r="J17" s="52">
        <f>J11+J13+J14+J15</f>
        <v>2237.622262551381</v>
      </c>
      <c r="K17" s="52">
        <f>K11+K13+K14+K15</f>
        <v>2234.3268959460643</v>
      </c>
      <c r="L17" s="52">
        <f>L11+L13+L14+L15</f>
        <v>2229.210644367598</v>
      </c>
      <c r="M17" s="52">
        <f>M11+M13+M14+M15</f>
        <v>2222.1711175413907</v>
      </c>
      <c r="N17" s="52">
        <f>N11+N13+N14+N15</f>
        <v>2213.1002417843088</v>
      </c>
      <c r="O17" s="52">
        <f>O11+O13+O14+O15</f>
        <v>2201.88393465135</v>
      </c>
      <c r="P17" s="52">
        <f>P11+P13+P14+P15</f>
        <v>2188.401760688594</v>
      </c>
      <c r="Q17" s="52">
        <f>Q11+Q13+Q14+Q15</f>
        <v>2172.5265671897187</v>
      </c>
      <c r="R17" s="52">
        <f>R11+R13+R14+R15</f>
        <v>2154.124098788984</v>
      </c>
      <c r="S17" s="52">
        <f>S11+S13+S14+S15</f>
        <v>2133.0525896551844</v>
      </c>
      <c r="T17" s="52">
        <f>T11+T13+T14+T15</f>
        <v>2109.162331979097</v>
      </c>
      <c r="U17" s="52">
        <f>U11+U13+U14+U15</f>
        <v>2082.2952193702836</v>
      </c>
      <c r="V17" s="52">
        <f>V11+V13+V14+V15</f>
        <v>4779.422684693616</v>
      </c>
      <c r="W17" s="52">
        <f>W11+W13+W14+W15</f>
        <v>7486.243077572081</v>
      </c>
      <c r="X17" s="52">
        <f>X11+X13+X14+X15</f>
        <v>6871.190185934246</v>
      </c>
      <c r="Y17" s="52">
        <f>Y11+Y13+Y14+Y15</f>
        <v>5291.565369196119</v>
      </c>
    </row>
    <row r="18" spans="2:25" x14ac:dyDescent="0.25">
      <c r="B18" s="11" t="s">
        <v>247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5" x14ac:dyDescent="0.25">
      <c r="B19" s="30" t="s">
        <v>248</v>
      </c>
      <c r="C19" s="48" t="s">
        <v>129</v>
      </c>
      <c r="D19" s="22">
        <f>SUM(F19:Y19)</f>
      </c>
      <c r="F19" s="22">
        <f>IF(AND(1&gt;=Assum!$F$67,IF(ISNUMBER('DSCR'!F11),'DSCR'!F11,99)&gt;=Assum!$F$66),MAX(0,F21+F17-IF(1=Assum!$F$18,0,Assum!$F$65)),0)</f>
        <v>0</v>
      </c>
      <c r="G19" s="22">
        <f>IF(AND(2&gt;=Assum!$F$67,IF(ISNUMBER('DSCR'!G11),'DSCR'!G11,99)&gt;=Assum!$F$66),MAX(0,G21+G17-IF(2=Assum!$F$18,0,Assum!$F$65)),0)</f>
        <v>0</v>
      </c>
      <c r="H19" s="22">
        <f>IF(AND(3&gt;=Assum!$F$67,IF(ISNUMBER('DSCR'!H11),'DSCR'!H11,99)&gt;=Assum!$F$66),MAX(0,H21+H17-IF(3=Assum!$F$18,0,Assum!$F$65)),0)</f>
        <v>10053.091211580471</v>
      </c>
      <c r="I19" s="22">
        <f>IF(AND(4&gt;=Assum!$F$67,IF(ISNUMBER('DSCR'!I11),'DSCR'!I11,99)&gt;=Assum!$F$66),MAX(0,I21+I17-IF(4=Assum!$F$18,0,Assum!$F$65)),0)</f>
        <v>2239.1937585510054</v>
      </c>
      <c r="J19" s="22">
        <f>IF(AND(5&gt;=Assum!$F$67,IF(ISNUMBER('DSCR'!J11),'DSCR'!J11,99)&gt;=Assum!$F$66),MAX(0,J21+J17-IF(5=Assum!$F$18,0,Assum!$F$65)),0)</f>
        <v>2237.622262551381</v>
      </c>
      <c r="K19" s="22">
        <f>IF(AND(6&gt;=Assum!$F$67,IF(ISNUMBER('DSCR'!K11),'DSCR'!K11,99)&gt;=Assum!$F$66),MAX(0,K21+K17-IF(6=Assum!$F$18,0,Assum!$F$65)),0)</f>
        <v>2234.3268959460643</v>
      </c>
      <c r="L19" s="22">
        <f>IF(AND(7&gt;=Assum!$F$67,IF(ISNUMBER('DSCR'!L11),'DSCR'!L11,99)&gt;=Assum!$F$66),MAX(0,L21+L17-IF(7=Assum!$F$18,0,Assum!$F$65)),0)</f>
        <v>2229.210644367598</v>
      </c>
      <c r="M19" s="22">
        <f>IF(AND(8&gt;=Assum!$F$67,IF(ISNUMBER('DSCR'!M11),'DSCR'!M11,99)&gt;=Assum!$F$66),MAX(0,M21+M17-IF(8=Assum!$F$18,0,Assum!$F$65)),0)</f>
        <v>2222.1711175413907</v>
      </c>
      <c r="N19" s="22">
        <f>IF(AND(9&gt;=Assum!$F$67,IF(ISNUMBER('DSCR'!N11),'DSCR'!N11,99)&gt;=Assum!$F$66),MAX(0,N21+N17-IF(9=Assum!$F$18,0,Assum!$F$65)),0)</f>
        <v>2213.1002417843088</v>
      </c>
      <c r="O19" s="22">
        <f>IF(AND(10&gt;=Assum!$F$67,IF(ISNUMBER('DSCR'!O11),'DSCR'!O11,99)&gt;=Assum!$F$66),MAX(0,O21+O17-IF(10=Assum!$F$18,0,Assum!$F$65)),0)</f>
        <v>2201.88393465135</v>
      </c>
      <c r="P19" s="22">
        <f>IF(AND(11&gt;=Assum!$F$67,IF(ISNUMBER('DSCR'!P11),'DSCR'!P11,99)&gt;=Assum!$F$66),MAX(0,P21+P17-IF(11=Assum!$F$18,0,Assum!$F$65)),0)</f>
        <v>2188.401760688594</v>
      </c>
      <c r="Q19" s="22">
        <f>IF(AND(12&gt;=Assum!$F$67,IF(ISNUMBER('DSCR'!Q11),'DSCR'!Q11,99)&gt;=Assum!$F$66),MAX(0,Q21+Q17-IF(12=Assum!$F$18,0,Assum!$F$65)),0)</f>
        <v>2172.5265671897187</v>
      </c>
      <c r="R19" s="22">
        <f>IF(AND(13&gt;=Assum!$F$67,IF(ISNUMBER('DSCR'!R11),'DSCR'!R11,99)&gt;=Assum!$F$66),MAX(0,R21+R17-IF(13=Assum!$F$18,0,Assum!$F$65)),0)</f>
        <v>2154.124098788984</v>
      </c>
      <c r="S19" s="22">
        <f>IF(AND(14&gt;=Assum!$F$67,IF(ISNUMBER('DSCR'!S11),'DSCR'!S11,99)&gt;=Assum!$F$66),MAX(0,S21+S17-IF(14=Assum!$F$18,0,Assum!$F$65)),0)</f>
        <v>2133.0525896551844</v>
      </c>
      <c r="T19" s="22">
        <f>IF(AND(15&gt;=Assum!$F$67,IF(ISNUMBER('DSCR'!T11),'DSCR'!T11,99)&gt;=Assum!$F$66),MAX(0,T21+T17-IF(15=Assum!$F$18,0,Assum!$F$65)),0)</f>
        <v>2109.162331979097</v>
      </c>
      <c r="U19" s="22">
        <f>IF(AND(16&gt;=Assum!$F$67,IF(ISNUMBER('DSCR'!U11),'DSCR'!U11,99)&gt;=Assum!$F$66),MAX(0,U21+U17-IF(16=Assum!$F$18,0,Assum!$F$65)),0)</f>
        <v>2082.2952193702836</v>
      </c>
      <c r="V19" s="22">
        <f>IF(AND(17&gt;=Assum!$F$67,IF(ISNUMBER('DSCR'!V11),'DSCR'!V11,99)&gt;=Assum!$F$66),MAX(0,V21+V17-IF(17=Assum!$F$18,0,Assum!$F$65)),0)</f>
        <v>4779.422684693616</v>
      </c>
      <c r="W19" s="22">
        <f>IF(AND(18&gt;=Assum!$F$67,IF(ISNUMBER('DSCR'!W11),'DSCR'!W11,99)&gt;=Assum!$F$66),MAX(0,W21+W17-IF(18=Assum!$F$18,0,Assum!$F$65)),0)</f>
        <v>7486.243077572082</v>
      </c>
      <c r="X19" s="22">
        <f>IF(AND(19&gt;=Assum!$F$67,IF(ISNUMBER('DSCR'!X11),'DSCR'!X11,99)&gt;=Assum!$F$66),MAX(0,X21+X17-IF(19=Assum!$F$18,0,Assum!$F$65)),0)</f>
        <v>6871.190185934246</v>
      </c>
      <c r="Y19" s="22">
        <f>IF(AND(20&gt;=Assum!$F$67,IF(ISNUMBER('DSCR'!Y11),'DSCR'!Y11,99)&gt;=Assum!$F$66),MAX(0,Y21+Y17-IF(20=Assum!$F$18,0,Assum!$F$65)),0)</f>
        <v>6291.565369196119</v>
      </c>
    </row>
    <row r="21" spans="2:25" x14ac:dyDescent="0.25">
      <c r="B21" s="28" t="s">
        <v>249</v>
      </c>
      <c r="C21" s="48" t="s">
        <v>129</v>
      </c>
      <c r="F21" s="49">
        <v>0</v>
      </c>
      <c r="G21" s="49">
        <f>F22</f>
        <v>5431.687075836944</v>
      </c>
      <c r="H21" s="49">
        <f>G22</f>
        <v>8813.957898541485</v>
      </c>
      <c r="I21" s="49">
        <f>H22</f>
        <v>1000</v>
      </c>
      <c r="J21" s="49">
        <f>I22</f>
        <v>1000</v>
      </c>
      <c r="K21" s="49">
        <f>J22</f>
        <v>1000</v>
      </c>
      <c r="L21" s="49">
        <f>K22</f>
        <v>1000</v>
      </c>
      <c r="M21" s="49">
        <f>L22</f>
        <v>1000</v>
      </c>
      <c r="N21" s="49">
        <f>M22</f>
        <v>1000</v>
      </c>
      <c r="O21" s="49">
        <f>N22</f>
        <v>1000</v>
      </c>
      <c r="P21" s="49">
        <f>O22</f>
        <v>1000</v>
      </c>
      <c r="Q21" s="49">
        <f>P22</f>
        <v>1000</v>
      </c>
      <c r="R21" s="49">
        <f>Q22</f>
        <v>1000</v>
      </c>
      <c r="S21" s="49">
        <f>R22</f>
        <v>1000</v>
      </c>
      <c r="T21" s="49">
        <f>S22</f>
        <v>1000</v>
      </c>
      <c r="U21" s="49">
        <f>T22</f>
        <v>1000</v>
      </c>
      <c r="V21" s="49">
        <f>U22</f>
        <v>1000</v>
      </c>
      <c r="W21" s="49">
        <f>V22</f>
        <v>1000</v>
      </c>
      <c r="X21" s="49">
        <f>W22</f>
        <v>1000</v>
      </c>
      <c r="Y21" s="49">
        <f>X22</f>
        <v>1000</v>
      </c>
    </row>
    <row r="22" spans="2:25" x14ac:dyDescent="0.25">
      <c r="B22" s="28" t="s">
        <v>250</v>
      </c>
      <c r="C22" s="48" t="s">
        <v>129</v>
      </c>
      <c r="F22" s="49">
        <f>F21+F17-F19</f>
        <v>5431.687075836944</v>
      </c>
      <c r="G22" s="49">
        <f>G21+G17-G19</f>
        <v>8813.957898541485</v>
      </c>
      <c r="H22" s="49">
        <f>H21+H17-H19</f>
        <v>1000</v>
      </c>
      <c r="I22" s="49">
        <f>I21+I17-I19</f>
        <v>1000</v>
      </c>
      <c r="J22" s="49">
        <f>J21+J17-J19</f>
        <v>1000</v>
      </c>
      <c r="K22" s="49">
        <f>K21+K17-K19</f>
        <v>1000</v>
      </c>
      <c r="L22" s="49">
        <f>L21+L17-L19</f>
        <v>1000</v>
      </c>
      <c r="M22" s="49">
        <f>M21+M17-M19</f>
        <v>1000</v>
      </c>
      <c r="N22" s="49">
        <f>N21+N17-N19</f>
        <v>1000</v>
      </c>
      <c r="O22" s="49">
        <f>O21+O17-O19</f>
        <v>1000</v>
      </c>
      <c r="P22" s="49">
        <f>P21+P17-P19</f>
        <v>1000</v>
      </c>
      <c r="Q22" s="49">
        <f>Q21+Q17-Q19</f>
        <v>1000</v>
      </c>
      <c r="R22" s="49">
        <f>R21+R17-R19</f>
        <v>1000</v>
      </c>
      <c r="S22" s="49">
        <f>S21+S17-S19</f>
        <v>1000</v>
      </c>
      <c r="T22" s="49">
        <f>T21+T17-T19</f>
        <v>1000</v>
      </c>
      <c r="U22" s="49">
        <f>U21+U17-U19</f>
        <v>1000</v>
      </c>
      <c r="V22" s="49">
        <f>V21+V17-V19</f>
        <v>1000</v>
      </c>
      <c r="W22" s="49">
        <f>W21+W17-W19</f>
        <v>1000</v>
      </c>
      <c r="X22" s="49">
        <f>X21+X17-X19</f>
        <v>1000</v>
      </c>
      <c r="Y22" s="49">
        <f>Y21+Y17-Y19</f>
        <v>0</v>
      </c>
    </row>
    <row r="23" spans="2:25" x14ac:dyDescent="0.25">
      <c r="B23" s="28" t="s">
        <v>251</v>
      </c>
      <c r="C23" s="48" t="s">
        <v>129</v>
      </c>
      <c r="F23" s="29">
        <f>'Debt'!F16</f>
        <v>1587.9932124519783</v>
      </c>
      <c r="G23" s="29">
        <f>'Debt'!G16</f>
        <v>2750.362821727429</v>
      </c>
      <c r="H23" s="29">
        <f>'Debt'!H16</f>
        <v>2749.3535817438333</v>
      </c>
      <c r="I23" s="29">
        <f>'Debt'!I16</f>
        <v>2748.2853012211976</v>
      </c>
      <c r="J23" s="29">
        <f>'Debt'!J16</f>
        <v>2747.1545262879868</v>
      </c>
      <c r="K23" s="29">
        <f>'Debt'!K16</f>
        <v>2745.957601021184</v>
      </c>
      <c r="L23" s="29">
        <f>'Debt'!L16</f>
        <v>2744.6906556262725</v>
      </c>
      <c r="M23" s="29">
        <f>'Debt'!M16</f>
        <v>2743.349593925759</v>
      </c>
      <c r="N23" s="29">
        <f>'Debt'!N16</f>
        <v>2741.9300801157656</v>
      </c>
      <c r="O23" s="29">
        <f>'Debt'!O16</f>
        <v>2740.427524747887</v>
      </c>
      <c r="P23" s="29">
        <f>'Debt'!P16</f>
        <v>2738.837069890988</v>
      </c>
      <c r="Q23" s="29">
        <f>'Debt'!Q16</f>
        <v>2737.1535734249605</v>
      </c>
      <c r="R23" s="29">
        <f>'Debt'!R16</f>
        <v>2735.37159241567</v>
      </c>
      <c r="S23" s="29">
        <f>'Debt'!S16</f>
        <v>2733.485365517337</v>
      </c>
      <c r="T23" s="29">
        <f>'Debt'!T16</f>
        <v>2731.488794345451</v>
      </c>
      <c r="U23" s="29">
        <f>'Debt'!U16</f>
        <v>2729.3754237600133</v>
      </c>
      <c r="V23" s="29">
        <f>'Debt'!V16</f>
        <v>0</v>
      </c>
      <c r="W23" s="29">
        <f>'Debt'!W16</f>
        <v>0</v>
      </c>
      <c r="X23" s="29">
        <f>'Debt'!X16</f>
        <v>0</v>
      </c>
      <c r="Y23" s="29">
        <f>'Debt'!Y16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252</v>
      </c>
    </row>
    <row r="4" spans="2:25" x14ac:dyDescent="0.25">
      <c r="B4" s="11" t="s">
        <v>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101</v>
      </c>
      <c r="C9" s="48" t="s">
        <v>129</v>
      </c>
      <c r="F9" s="29">
        <f>'CF(Y)'!F11</f>
        <v>7695.666713192879</v>
      </c>
      <c r="G9" s="29">
        <f>'CF(Y)'!G11</f>
        <v>7720.626856883949</v>
      </c>
      <c r="H9" s="29">
        <f>'CF(Y)'!H11</f>
        <v>7738.849716510248</v>
      </c>
      <c r="I9" s="29">
        <f>'CF(Y)'!I11</f>
        <v>7736.832641516036</v>
      </c>
      <c r="J9" s="29">
        <f>'CF(Y)'!J11</f>
        <v>7733.0620900605645</v>
      </c>
      <c r="K9" s="29">
        <f>'CF(Y)'!K11</f>
        <v>7727.439023255236</v>
      </c>
      <c r="L9" s="29">
        <f>'CF(Y)'!L11</f>
        <v>7719.8589010150545</v>
      </c>
      <c r="M9" s="29">
        <f>'CF(Y)'!M11</f>
        <v>7710.211367093422</v>
      </c>
      <c r="N9" s="29">
        <f>'CF(Y)'!N11</f>
        <v>7698.379915825833</v>
      </c>
      <c r="O9" s="29">
        <f>'CF(Y)'!O11</f>
        <v>7684.241539515003</v>
      </c>
      <c r="P9" s="29">
        <f>'CF(Y)'!P11</f>
        <v>7667.666355327469</v>
      </c>
      <c r="Q9" s="29">
        <f>'CF(Y)'!Q11</f>
        <v>7648.517210505668</v>
      </c>
      <c r="R9" s="29">
        <f>'CF(Y)'!R11</f>
        <v>7626.649264629615</v>
      </c>
      <c r="S9" s="29">
        <f>'CF(Y)'!S11</f>
        <v>7601.909547588192</v>
      </c>
      <c r="T9" s="29">
        <f>'CF(Y)'!T11</f>
        <v>7574.136491841885</v>
      </c>
      <c r="U9" s="29">
        <f>'CF(Y)'!U11</f>
        <v>7543.159437475748</v>
      </c>
      <c r="V9" s="29">
        <f>'CF(Y)'!V11</f>
        <v>7508.7981084536295</v>
      </c>
      <c r="W9" s="29">
        <f>'CF(Y)'!W11</f>
        <v>7486.243077572081</v>
      </c>
      <c r="X9" s="29">
        <f>'CF(Y)'!X11</f>
        <v>6871.190185934246</v>
      </c>
      <c r="Y9" s="29">
        <f>'CF(Y)'!Y11</f>
        <v>6891.565369196119</v>
      </c>
    </row>
    <row r="10" spans="2:25" x14ac:dyDescent="0.25">
      <c r="B10" s="28" t="s">
        <v>102</v>
      </c>
      <c r="C10" s="48" t="s">
        <v>129</v>
      </c>
      <c r="F10" s="29">
        <f>'Debt'!F13</f>
        <v>3175.9864249039565</v>
      </c>
      <c r="G10" s="29">
        <f>'Debt'!G13</f>
        <v>3175.9864249039565</v>
      </c>
      <c r="H10" s="29">
        <f>'Debt'!H13</f>
        <v>5500.725643454858</v>
      </c>
      <c r="I10" s="29">
        <f>'Debt'!I13</f>
        <v>5498.707163487667</v>
      </c>
      <c r="J10" s="29">
        <f>'Debt'!J13</f>
        <v>5496.570602442394</v>
      </c>
      <c r="K10" s="29">
        <f>'Debt'!K13</f>
        <v>5494.309052575974</v>
      </c>
      <c r="L10" s="29">
        <f>'Debt'!L13</f>
        <v>5491.915202042368</v>
      </c>
      <c r="M10" s="29">
        <f>'Debt'!M13</f>
        <v>5489.381311252545</v>
      </c>
      <c r="N10" s="29">
        <f>'Debt'!N13</f>
        <v>5486.699187851518</v>
      </c>
      <c r="O10" s="29">
        <f>'Debt'!O13</f>
        <v>5483.860160231531</v>
      </c>
      <c r="P10" s="29">
        <f>'Debt'!P13</f>
        <v>5480.855049495774</v>
      </c>
      <c r="Q10" s="29">
        <f>'Debt'!Q13</f>
        <v>5477.674139781977</v>
      </c>
      <c r="R10" s="29">
        <f>'Debt'!R13</f>
        <v>5474.307146849921</v>
      </c>
      <c r="S10" s="29">
        <f>'Debt'!S13</f>
        <v>5470.743184831341</v>
      </c>
      <c r="T10" s="29">
        <f>'Debt'!T13</f>
        <v>5466.970731034674</v>
      </c>
      <c r="U10" s="29">
        <f>'Debt'!U13</f>
        <v>5462.977588690902</v>
      </c>
      <c r="V10" s="29">
        <f>'Debt'!V13</f>
        <v>5458.750847520027</v>
      </c>
      <c r="W10" s="29">
        <f>'Debt'!W13</f>
        <v>0</v>
      </c>
      <c r="X10" s="29">
        <f>'Debt'!X13</f>
        <v>0</v>
      </c>
      <c r="Y10" s="29">
        <f>'Debt'!Y13</f>
        <v>0</v>
      </c>
    </row>
    <row r="11" spans="2:25" x14ac:dyDescent="0.25">
      <c r="B11" s="50" t="s">
        <v>253</v>
      </c>
      <c r="C11" s="53" t="s">
        <v>151</v>
      </c>
      <c r="D11" s="54"/>
      <c r="E11" s="54"/>
      <c r="F11" s="63">
        <f>IF(F10&lt;=0.001,"-",F9/F10)</f>
        <v>2.423079221261344</v>
      </c>
      <c r="G11" s="63">
        <f>IF(G10&lt;=0.001,"-",G9/G10)</f>
        <v>2.4309382421612287</v>
      </c>
      <c r="H11" s="63">
        <f>IF(H10&lt;=0.001,"-",H9/H10)</f>
        <v>1.4068779681310708</v>
      </c>
      <c r="I11" s="63">
        <f>IF(I10&lt;=0.001,"-",I9/I10)</f>
        <v>1.4070275814813156</v>
      </c>
      <c r="J11" s="63">
        <f>IF(J10&lt;=0.001,"-",J9/J10)</f>
        <v>1.4068885218402158</v>
      </c>
      <c r="K11" s="63">
        <f>IF(K10&lt;=0.001,"-",K9/K10)</f>
        <v>1.4064441860314123</v>
      </c>
      <c r="L11" s="63">
        <f>IF(L10&lt;=0.001,"-",L9/L10)</f>
        <v>1.4056770028321166</v>
      </c>
      <c r="M11" s="63">
        <f>IF(M10&lt;=0.001,"-",M9/M10)</f>
        <v>1.4045683711729868</v>
      </c>
      <c r="N11" s="63">
        <f>IF(N10&lt;=0.001,"-",N9/N10)</f>
        <v>1.403098593936287</v>
      </c>
      <c r="O11" s="63">
        <f>IF(O10&lt;=0.001,"-",O9/O10)</f>
        <v>1.4012468069919877</v>
      </c>
      <c r="P11" s="63">
        <f>IF(P10&lt;=0.001,"-",P9/P10)</f>
        <v>1.3989909030768615</v>
      </c>
      <c r="Q11" s="63">
        <f>IF(Q10&lt;=0.001,"-",Q9/Q10)</f>
        <v>1.3963074500832018</v>
      </c>
      <c r="R11" s="63">
        <f>IF(R10&lt;=0.001,"-",R9/R10)</f>
        <v>1.3931716032810133</v>
      </c>
      <c r="S11" s="63">
        <f>IF(S10&lt;=0.001,"-",S9/S10)</f>
        <v>1.3895570109497937</v>
      </c>
      <c r="T11" s="63">
        <f>IF(T10&lt;=0.001,"-",T9/T10)</f>
        <v>1.3854357128428252</v>
      </c>
      <c r="U11" s="63">
        <f>IF(U10&lt;=0.001,"-",U9/U10)</f>
        <v>1.3807780308473354</v>
      </c>
      <c r="V11" s="63">
        <f>IF(V10&lt;=0.001,"-",V9/V10)</f>
        <v>1.3755524511372346</v>
      </c>
      <c r="W11" s="63" t="str">
        <f>IF(W10&lt;=0.001,"-",W9/W10)</f>
        <v>-</v>
      </c>
      <c r="X11" s="63" t="str">
        <f>IF(X10&lt;=0.001,"-",X9/X10)</f>
        <v>-</v>
      </c>
      <c r="Y11" s="63" t="str">
        <f>IF(Y10&lt;=0.001,"-",Y9/Y10)</f>
        <v>-</v>
      </c>
    </row>
    <row r="13" spans="2:4" x14ac:dyDescent="0.25">
      <c r="B13" s="30" t="s">
        <v>254</v>
      </c>
      <c r="C13" s="48" t="s">
        <v>151</v>
      </c>
      <c r="D13" s="64">
        <f>MIN(F11:Y11)</f>
        <v>1.3755524511372346</v>
      </c>
    </row>
    <row r="14" spans="2:4" x14ac:dyDescent="0.25">
      <c r="B14" s="30" t="s">
        <v>255</v>
      </c>
      <c r="C14" s="48" t="s">
        <v>151</v>
      </c>
      <c r="D14" s="64">
        <f>IFERROR(AVERAGE(F11:Y11),0)</f>
        <v>1.5185670387093075</v>
      </c>
    </row>
    <row r="16" spans="2:2" x14ac:dyDescent="0.25">
      <c r="B16" s="3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257</v>
      </c>
    </row>
    <row r="4" spans="2:25" x14ac:dyDescent="0.25">
      <c r="B4" s="11" t="s">
        <v>258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198</v>
      </c>
      <c r="C9" s="48" t="s">
        <v>129</v>
      </c>
      <c r="E9" s="49">
        <f>-'TIC_Funding'!$D$10+Assum!$F$23</f>
        <v>-63400.36623767448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</row>
    <row r="10" spans="2:25" x14ac:dyDescent="0.25">
      <c r="B10" s="28" t="s">
        <v>99</v>
      </c>
      <c r="C10" s="48" t="s">
        <v>129</v>
      </c>
      <c r="E10" s="49">
        <v>0</v>
      </c>
      <c r="F10" s="29">
        <f>'IS(Y)'!F11</f>
        <v>7946.252480000003</v>
      </c>
      <c r="G10" s="29">
        <f>'IS(Y)'!G11</f>
        <v>7977.0674722112</v>
      </c>
      <c r="H10" s="29">
        <f>'IS(Y)'!H11</f>
        <v>8007.658344468347</v>
      </c>
      <c r="I10" s="29">
        <f>'IS(Y)'!I11</f>
        <v>8038.015657810958</v>
      </c>
      <c r="J10" s="29">
        <f>'IS(Y)'!J11</f>
        <v>8068.1297658679405</v>
      </c>
      <c r="K10" s="29">
        <f>'IS(Y)'!K11</f>
        <v>8097.990810863895</v>
      </c>
      <c r="L10" s="29">
        <f>'IS(Y)'!L11</f>
        <v>8127.588719551692</v>
      </c>
      <c r="M10" s="29">
        <f>'IS(Y)'!M11</f>
        <v>8156.913199070072</v>
      </c>
      <c r="N10" s="29">
        <f>'IS(Y)'!N11</f>
        <v>8185.953732724793</v>
      </c>
      <c r="O10" s="29">
        <f>'IS(Y)'!O11</f>
        <v>8214.699575692033</v>
      </c>
      <c r="P10" s="29">
        <f>'IS(Y)'!P11</f>
        <v>8243.139750642587</v>
      </c>
      <c r="Q10" s="29">
        <f>'IS(Y)'!Q11</f>
        <v>8271.263043285408</v>
      </c>
      <c r="R10" s="29">
        <f>'IS(Y)'!R11</f>
        <v>8299.057997829095</v>
      </c>
      <c r="S10" s="29">
        <f>'IS(Y)'!S11</f>
        <v>8326.512912359736</v>
      </c>
      <c r="T10" s="29">
        <f>'IS(Y)'!T11</f>
        <v>8353.615834133678</v>
      </c>
      <c r="U10" s="29">
        <f>'IS(Y)'!U11</f>
        <v>8380.354554783653</v>
      </c>
      <c r="V10" s="29">
        <f>'IS(Y)'!V11</f>
        <v>8406.716605436637</v>
      </c>
      <c r="W10" s="29">
        <f>'IS(Y)'!W11</f>
        <v>8432.689251741922</v>
      </c>
      <c r="X10" s="29">
        <f>'IS(Y)'!X11</f>
        <v>8458.259488807711</v>
      </c>
      <c r="Y10" s="29">
        <f>'IS(Y)'!Y11</f>
        <v>8483.41403604459</v>
      </c>
    </row>
    <row r="11" spans="2:25" x14ac:dyDescent="0.25">
      <c r="B11" s="28" t="s">
        <v>259</v>
      </c>
      <c r="C11" s="48" t="s">
        <v>129</v>
      </c>
      <c r="E11" s="49">
        <v>0</v>
      </c>
      <c r="F11" s="29">
        <f>-'IS(Y)'!F19</f>
        <v>-250.5857668071241</v>
      </c>
      <c r="G11" s="29">
        <f>-'IS(Y)'!G19</f>
        <v>-256.4406153272515</v>
      </c>
      <c r="H11" s="29">
        <f>-'IS(Y)'!H19</f>
        <v>-268.80862795809946</v>
      </c>
      <c r="I11" s="29">
        <f>-'IS(Y)'!I19</f>
        <v>-301.1830162949216</v>
      </c>
      <c r="J11" s="29">
        <f>-'IS(Y)'!J19</f>
        <v>-335.0676758073755</v>
      </c>
      <c r="K11" s="29">
        <f>-'IS(Y)'!K19</f>
        <v>-370.55178760865897</v>
      </c>
      <c r="L11" s="29">
        <f>-'IS(Y)'!L19</f>
        <v>-407.72981853663754</v>
      </c>
      <c r="M11" s="29">
        <f>-'IS(Y)'!M19</f>
        <v>-446.7018319766491</v>
      </c>
      <c r="N11" s="29">
        <f>-'IS(Y)'!N19</f>
        <v>-487.5738168989591</v>
      </c>
      <c r="O11" s="29">
        <f>-'IS(Y)'!O19</f>
        <v>-530.4580361770307</v>
      </c>
      <c r="P11" s="29">
        <f>-'IS(Y)'!P19</f>
        <v>-575.4733953151183</v>
      </c>
      <c r="Q11" s="29">
        <f>-'IS(Y)'!Q19</f>
        <v>-622.7458327797392</v>
      </c>
      <c r="R11" s="29">
        <f>-'IS(Y)'!R19</f>
        <v>-672.4087331994803</v>
      </c>
      <c r="S11" s="29">
        <f>-'IS(Y)'!S19</f>
        <v>-724.6033647715442</v>
      </c>
      <c r="T11" s="29">
        <f>-'IS(Y)'!T19</f>
        <v>-779.4793422917929</v>
      </c>
      <c r="U11" s="29">
        <f>-'IS(Y)'!U19</f>
        <v>-837.1951173079052</v>
      </c>
      <c r="V11" s="29">
        <f>-'IS(Y)'!V19</f>
        <v>-897.9184969830075</v>
      </c>
      <c r="W11" s="29">
        <f>-'IS(Y)'!W19</f>
        <v>-946.4461741698404</v>
      </c>
      <c r="X11" s="29">
        <f>-'IS(Y)'!X19</f>
        <v>-1587.0693028734652</v>
      </c>
      <c r="Y11" s="29">
        <f>-'IS(Y)'!Y19</f>
        <v>-1591.8486668484722</v>
      </c>
    </row>
    <row r="12" spans="2:25" x14ac:dyDescent="0.25">
      <c r="B12" s="28" t="s">
        <v>245</v>
      </c>
      <c r="C12" s="48" t="s">
        <v>129</v>
      </c>
      <c r="E12" s="49">
        <v>0</v>
      </c>
      <c r="F12" s="29">
        <f>'CF(Y)'!F15</f>
        <v>0</v>
      </c>
      <c r="G12" s="29">
        <f>'CF(Y)'!G15</f>
        <v>0</v>
      </c>
      <c r="H12" s="29">
        <f>'CF(Y)'!H15</f>
        <v>0</v>
      </c>
      <c r="I12" s="29">
        <f>'CF(Y)'!I15</f>
        <v>0</v>
      </c>
      <c r="J12" s="29">
        <f>'CF(Y)'!J15</f>
        <v>0</v>
      </c>
      <c r="K12" s="29">
        <f>'CF(Y)'!K15</f>
        <v>0</v>
      </c>
      <c r="L12" s="29">
        <f>'CF(Y)'!L15</f>
        <v>0</v>
      </c>
      <c r="M12" s="29">
        <f>'CF(Y)'!M15</f>
        <v>0</v>
      </c>
      <c r="N12" s="29">
        <f>'CF(Y)'!N15</f>
        <v>0</v>
      </c>
      <c r="O12" s="29">
        <f>'CF(Y)'!O15</f>
        <v>0</v>
      </c>
      <c r="P12" s="29">
        <f>'CF(Y)'!P15</f>
        <v>0</v>
      </c>
      <c r="Q12" s="29">
        <f>'CF(Y)'!Q15</f>
        <v>0</v>
      </c>
      <c r="R12" s="29">
        <f>'CF(Y)'!R15</f>
        <v>0</v>
      </c>
      <c r="S12" s="29">
        <f>'CF(Y)'!S15</f>
        <v>0</v>
      </c>
      <c r="T12" s="29">
        <f>'CF(Y)'!T15</f>
        <v>0</v>
      </c>
      <c r="U12" s="29">
        <f>'CF(Y)'!U15</f>
        <v>0</v>
      </c>
      <c r="V12" s="29">
        <f>'CF(Y)'!V15</f>
        <v>0</v>
      </c>
      <c r="W12" s="29">
        <f>'CF(Y)'!W15</f>
        <v>0</v>
      </c>
      <c r="X12" s="29">
        <f>'CF(Y)'!X15</f>
        <v>0</v>
      </c>
      <c r="Y12" s="29">
        <f>'CF(Y)'!Y15</f>
        <v>-1600</v>
      </c>
    </row>
    <row r="13" spans="2:25" x14ac:dyDescent="0.25">
      <c r="B13" s="50" t="s">
        <v>260</v>
      </c>
      <c r="C13" s="53" t="s">
        <v>129</v>
      </c>
      <c r="D13" s="54"/>
      <c r="E13" s="52">
        <f>SUM(E9:E12)</f>
        <v>-63400.36623767448</v>
      </c>
      <c r="F13" s="52">
        <f>SUM(F9:F12)</f>
        <v>7695.666713192879</v>
      </c>
      <c r="G13" s="52">
        <f>SUM(G9:G12)</f>
        <v>7720.626856883949</v>
      </c>
      <c r="H13" s="52">
        <f>SUM(H9:H12)</f>
        <v>7738.849716510248</v>
      </c>
      <c r="I13" s="52">
        <f>SUM(I9:I12)</f>
        <v>7736.832641516036</v>
      </c>
      <c r="J13" s="52">
        <f>SUM(J9:J12)</f>
        <v>7733.0620900605645</v>
      </c>
      <c r="K13" s="52">
        <f>SUM(K9:K12)</f>
        <v>7727.439023255236</v>
      </c>
      <c r="L13" s="52">
        <f>SUM(L9:L12)</f>
        <v>7719.8589010150545</v>
      </c>
      <c r="M13" s="52">
        <f>SUM(M9:M12)</f>
        <v>7710.211367093422</v>
      </c>
      <c r="N13" s="52">
        <f>SUM(N9:N12)</f>
        <v>7698.379915825833</v>
      </c>
      <c r="O13" s="52">
        <f>SUM(O9:O12)</f>
        <v>7684.241539515003</v>
      </c>
      <c r="P13" s="52">
        <f>SUM(P9:P12)</f>
        <v>7667.666355327469</v>
      </c>
      <c r="Q13" s="52">
        <f>SUM(Q9:Q12)</f>
        <v>7648.517210505668</v>
      </c>
      <c r="R13" s="52">
        <f>SUM(R9:R12)</f>
        <v>7626.649264629615</v>
      </c>
      <c r="S13" s="52">
        <f>SUM(S9:S12)</f>
        <v>7601.909547588192</v>
      </c>
      <c r="T13" s="52">
        <f>SUM(T9:T12)</f>
        <v>7574.136491841885</v>
      </c>
      <c r="U13" s="52">
        <f>SUM(U9:U12)</f>
        <v>7543.159437475748</v>
      </c>
      <c r="V13" s="52">
        <f>SUM(V9:V12)</f>
        <v>7508.7981084536295</v>
      </c>
      <c r="W13" s="52">
        <f>SUM(W9:W12)</f>
        <v>7486.243077572081</v>
      </c>
      <c r="X13" s="52">
        <f>SUM(X9:X12)</f>
        <v>6871.190185934246</v>
      </c>
      <c r="Y13" s="52">
        <f>SUM(Y9:Y12)</f>
        <v>5291.565369196119</v>
      </c>
    </row>
    <row r="15" spans="2:4" x14ac:dyDescent="0.25">
      <c r="B15" s="30" t="s">
        <v>261</v>
      </c>
      <c r="C15" s="48" t="s">
        <v>112</v>
      </c>
      <c r="D15" s="65">
        <f>IRR(E13:Y13)</f>
        <v>0.10364197258965036</v>
      </c>
    </row>
    <row r="16" spans="2:4" x14ac:dyDescent="0.25">
      <c r="B16" s="30" t="s">
        <v>262</v>
      </c>
      <c r="C16" s="48" t="s">
        <v>129</v>
      </c>
      <c r="D16" s="22">
        <f>NPV(Assum!$F$71,F13:Y13)+E13</f>
        <v>23642.55647443855</v>
      </c>
    </row>
    <row r="18" spans="2:25" x14ac:dyDescent="0.25">
      <c r="B18" s="11" t="s">
        <v>263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20" spans="2:25" x14ac:dyDescent="0.25">
      <c r="B20" s="28" t="s">
        <v>264</v>
      </c>
      <c r="C20" s="48" t="s">
        <v>129</v>
      </c>
      <c r="E20" s="49">
        <f>-'TIC_Funding'!$D$15</f>
        <v>-11610.000000000004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</row>
    <row r="21" spans="2:25" x14ac:dyDescent="0.25">
      <c r="B21" s="28" t="s">
        <v>265</v>
      </c>
      <c r="C21" s="48" t="s">
        <v>129</v>
      </c>
      <c r="E21" s="49">
        <v>0</v>
      </c>
      <c r="F21" s="29">
        <f>'CF(Y)'!F17</f>
        <v>5431.687075836944</v>
      </c>
      <c r="G21" s="29">
        <f>'CF(Y)'!G17</f>
        <v>3382.2708227045414</v>
      </c>
      <c r="H21" s="29">
        <f>'CF(Y)'!H17</f>
        <v>2239.1333130389858</v>
      </c>
      <c r="I21" s="29">
        <f>'CF(Y)'!I17</f>
        <v>2239.1937585510054</v>
      </c>
      <c r="J21" s="29">
        <f>'CF(Y)'!J17</f>
        <v>2237.622262551381</v>
      </c>
      <c r="K21" s="29">
        <f>'CF(Y)'!K17</f>
        <v>2234.3268959460643</v>
      </c>
      <c r="L21" s="29">
        <f>'CF(Y)'!L17</f>
        <v>2229.210644367598</v>
      </c>
      <c r="M21" s="29">
        <f>'CF(Y)'!M17</f>
        <v>2222.1711175413907</v>
      </c>
      <c r="N21" s="29">
        <f>'CF(Y)'!N17</f>
        <v>2213.1002417843088</v>
      </c>
      <c r="O21" s="29">
        <f>'CF(Y)'!O17</f>
        <v>2201.88393465135</v>
      </c>
      <c r="P21" s="29">
        <f>'CF(Y)'!P17</f>
        <v>2188.401760688594</v>
      </c>
      <c r="Q21" s="29">
        <f>'CF(Y)'!Q17</f>
        <v>2172.5265671897187</v>
      </c>
      <c r="R21" s="29">
        <f>'CF(Y)'!R17</f>
        <v>2154.124098788984</v>
      </c>
      <c r="S21" s="29">
        <f>'CF(Y)'!S17</f>
        <v>2133.0525896551844</v>
      </c>
      <c r="T21" s="29">
        <f>'CF(Y)'!T17</f>
        <v>2109.162331979097</v>
      </c>
      <c r="U21" s="29">
        <f>'CF(Y)'!U17</f>
        <v>2082.2952193702836</v>
      </c>
      <c r="V21" s="29">
        <f>'CF(Y)'!V17</f>
        <v>4779.422684693616</v>
      </c>
      <c r="W21" s="29">
        <f>'CF(Y)'!W17</f>
        <v>7486.243077572081</v>
      </c>
      <c r="X21" s="29">
        <f>'CF(Y)'!X17</f>
        <v>6871.190185934246</v>
      </c>
      <c r="Y21" s="29">
        <f>'CF(Y)'!Y17</f>
        <v>5291.565369196119</v>
      </c>
    </row>
    <row r="22" spans="2:25" x14ac:dyDescent="0.25">
      <c r="B22" s="50" t="s">
        <v>266</v>
      </c>
      <c r="C22" s="53" t="s">
        <v>129</v>
      </c>
      <c r="D22" s="54"/>
      <c r="E22" s="52">
        <f>E20+E21</f>
        <v>-11610.000000000004</v>
      </c>
      <c r="F22" s="52">
        <f>F20+F21</f>
        <v>5431.687075836944</v>
      </c>
      <c r="G22" s="52">
        <f>G20+G21</f>
        <v>3382.2708227045414</v>
      </c>
      <c r="H22" s="52">
        <f>H20+H21</f>
        <v>2239.1333130389858</v>
      </c>
      <c r="I22" s="52">
        <f>I20+I21</f>
        <v>2239.1937585510054</v>
      </c>
      <c r="J22" s="52">
        <f>J20+J21</f>
        <v>2237.622262551381</v>
      </c>
      <c r="K22" s="52">
        <f>K20+K21</f>
        <v>2234.3268959460643</v>
      </c>
      <c r="L22" s="52">
        <f>L20+L21</f>
        <v>2229.210644367598</v>
      </c>
      <c r="M22" s="52">
        <f>M20+M21</f>
        <v>2222.1711175413907</v>
      </c>
      <c r="N22" s="52">
        <f>N20+N21</f>
        <v>2213.1002417843088</v>
      </c>
      <c r="O22" s="52">
        <f>O20+O21</f>
        <v>2201.88393465135</v>
      </c>
      <c r="P22" s="52">
        <f>P20+P21</f>
        <v>2188.401760688594</v>
      </c>
      <c r="Q22" s="52">
        <f>Q20+Q21</f>
        <v>2172.5265671897187</v>
      </c>
      <c r="R22" s="52">
        <f>R20+R21</f>
        <v>2154.124098788984</v>
      </c>
      <c r="S22" s="52">
        <f>S20+S21</f>
        <v>2133.0525896551844</v>
      </c>
      <c r="T22" s="52">
        <f>T20+T21</f>
        <v>2109.162331979097</v>
      </c>
      <c r="U22" s="52">
        <f>U20+U21</f>
        <v>2082.2952193702836</v>
      </c>
      <c r="V22" s="52">
        <f>V20+V21</f>
        <v>4779.422684693616</v>
      </c>
      <c r="W22" s="52">
        <f>W20+W21</f>
        <v>7486.243077572081</v>
      </c>
      <c r="X22" s="52">
        <f>X20+X21</f>
        <v>6871.190185934246</v>
      </c>
      <c r="Y22" s="52">
        <f>Y20+Y21</f>
        <v>5291.565369196119</v>
      </c>
    </row>
    <row r="24" spans="2:25" x14ac:dyDescent="0.25">
      <c r="B24" s="28" t="s">
        <v>103</v>
      </c>
      <c r="C24" s="48" t="s">
        <v>129</v>
      </c>
      <c r="E24" s="49">
        <f>-'TIC_Funding'!$D$15</f>
        <v>-11610.000000000004</v>
      </c>
      <c r="F24" s="29">
        <f>'CF(Y)'!F19</f>
        <v>0</v>
      </c>
      <c r="G24" s="29">
        <f>'CF(Y)'!G19</f>
        <v>0</v>
      </c>
      <c r="H24" s="29">
        <f>'CF(Y)'!H19</f>
        <v>10053.091211580471</v>
      </c>
      <c r="I24" s="29">
        <f>'CF(Y)'!I19</f>
        <v>2239.1937585510054</v>
      </c>
      <c r="J24" s="29">
        <f>'CF(Y)'!J19</f>
        <v>2237.622262551381</v>
      </c>
      <c r="K24" s="29">
        <f>'CF(Y)'!K19</f>
        <v>2234.3268959460643</v>
      </c>
      <c r="L24" s="29">
        <f>'CF(Y)'!L19</f>
        <v>2229.210644367598</v>
      </c>
      <c r="M24" s="29">
        <f>'CF(Y)'!M19</f>
        <v>2222.1711175413907</v>
      </c>
      <c r="N24" s="29">
        <f>'CF(Y)'!N19</f>
        <v>2213.1002417843088</v>
      </c>
      <c r="O24" s="29">
        <f>'CF(Y)'!O19</f>
        <v>2201.88393465135</v>
      </c>
      <c r="P24" s="29">
        <f>'CF(Y)'!P19</f>
        <v>2188.401760688594</v>
      </c>
      <c r="Q24" s="29">
        <f>'CF(Y)'!Q19</f>
        <v>2172.5265671897187</v>
      </c>
      <c r="R24" s="29">
        <f>'CF(Y)'!R19</f>
        <v>2154.124098788984</v>
      </c>
      <c r="S24" s="29">
        <f>'CF(Y)'!S19</f>
        <v>2133.0525896551844</v>
      </c>
      <c r="T24" s="29">
        <f>'CF(Y)'!T19</f>
        <v>2109.162331979097</v>
      </c>
      <c r="U24" s="29">
        <f>'CF(Y)'!U19</f>
        <v>2082.2952193702836</v>
      </c>
      <c r="V24" s="29">
        <f>'CF(Y)'!V19</f>
        <v>4779.422684693616</v>
      </c>
      <c r="W24" s="29">
        <f>'CF(Y)'!W19</f>
        <v>7486.243077572082</v>
      </c>
      <c r="X24" s="29">
        <f>'CF(Y)'!X19</f>
        <v>6871.190185934246</v>
      </c>
      <c r="Y24" s="29">
        <f>'CF(Y)'!Y19</f>
        <v>6291.565369196119</v>
      </c>
    </row>
    <row r="26" spans="2:4" x14ac:dyDescent="0.25">
      <c r="B26" s="30" t="s">
        <v>267</v>
      </c>
      <c r="C26" s="48" t="s">
        <v>112</v>
      </c>
      <c r="D26" s="65">
        <f>IRR(E22:Y22)</f>
        <v>0.26975219869210176</v>
      </c>
    </row>
    <row r="27" spans="2:4" x14ac:dyDescent="0.25">
      <c r="B27" s="30" t="s">
        <v>268</v>
      </c>
      <c r="C27" s="48" t="s">
        <v>112</v>
      </c>
      <c r="D27" s="65">
        <f>IRR(E24:Y24)</f>
        <v>0.2146272527715939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47</v>
      </c>
    </row>
    <row r="4" spans="2:25" x14ac:dyDescent="0.25">
      <c r="B4" s="11" t="s">
        <v>48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4" x14ac:dyDescent="0.25">
      <c r="B6" s="6" t="s">
        <v>49</v>
      </c>
      <c r="D6" s="13" t="s">
        <v>0</v>
      </c>
    </row>
    <row r="7" spans="2:4" x14ac:dyDescent="0.25">
      <c r="B7" s="6" t="s">
        <v>50</v>
      </c>
      <c r="D7" s="14">
        <f>Assum!$F$7</f>
        <v>45.5</v>
      </c>
    </row>
    <row r="8" spans="2:4" x14ac:dyDescent="0.25">
      <c r="B8" s="6" t="s">
        <v>51</v>
      </c>
      <c r="D8" s="15">
        <f>Assum!$F$8</f>
        <v>0.14800000000000002</v>
      </c>
    </row>
    <row r="9" spans="2:4" x14ac:dyDescent="0.25">
      <c r="B9" s="6" t="s">
        <v>52</v>
      </c>
      <c r="D9" s="13" t="s">
        <v>53</v>
      </c>
    </row>
    <row r="10" spans="2:4" x14ac:dyDescent="0.25">
      <c r="B10" s="6" t="s">
        <v>54</v>
      </c>
      <c r="D10" s="16">
        <f>Assum!$F$18</f>
        <v>20</v>
      </c>
    </row>
    <row r="12" spans="2:25" x14ac:dyDescent="0.25">
      <c r="B12" s="11" t="s">
        <v>55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4" spans="2:4" x14ac:dyDescent="0.25">
      <c r="B14" s="6" t="s">
        <v>56</v>
      </c>
      <c r="D14" s="17">
        <f>Assum!$F$27</f>
        <v>63400.36623767448</v>
      </c>
    </row>
    <row r="15" spans="2:4" x14ac:dyDescent="0.25">
      <c r="B15" s="6" t="s">
        <v>57</v>
      </c>
      <c r="D15" s="17">
        <f>Assum!$F$26</f>
        <v>1400.3662376744846</v>
      </c>
    </row>
    <row r="16" spans="2:4" x14ac:dyDescent="0.25">
      <c r="B16" s="6" t="s">
        <v>58</v>
      </c>
      <c r="D16" s="17">
        <f>'TIC_Funding'!$D$15</f>
        <v>11610.000000000004</v>
      </c>
    </row>
    <row r="17" spans="2:4" x14ac:dyDescent="0.25">
      <c r="B17" s="6" t="s">
        <v>59</v>
      </c>
      <c r="D17" s="17">
        <f>'TIC_Funding'!$D$16</f>
        <v>54290.366237674476</v>
      </c>
    </row>
    <row r="18" spans="2:4" x14ac:dyDescent="0.25">
      <c r="B18" s="6" t="s">
        <v>60</v>
      </c>
      <c r="D18" s="18">
        <f>Assum!$F$24</f>
        <v>0.82</v>
      </c>
    </row>
    <row r="20" spans="2:25" x14ac:dyDescent="0.25">
      <c r="B20" s="11" t="s">
        <v>61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4" x14ac:dyDescent="0.25">
      <c r="B22" s="6" t="s">
        <v>62</v>
      </c>
      <c r="D22" s="15">
        <f>'IRR'!$D$15</f>
        <v>0.10364197258965036</v>
      </c>
    </row>
    <row r="23" spans="2:4" x14ac:dyDescent="0.25">
      <c r="B23" s="6" t="s">
        <v>63</v>
      </c>
      <c r="D23" s="15">
        <f>'IRR'!$D$26</f>
        <v>0.26975219869210176</v>
      </c>
    </row>
    <row r="24" spans="2:4" x14ac:dyDescent="0.25">
      <c r="B24" s="6" t="s">
        <v>64</v>
      </c>
      <c r="D24" s="15">
        <f>'IRR'!$D$27</f>
        <v>0.2146272527715939</v>
      </c>
    </row>
    <row r="25" spans="2:4" x14ac:dyDescent="0.25">
      <c r="B25" s="6" t="s">
        <v>65</v>
      </c>
      <c r="D25" s="17">
        <f>'IRR'!$D$16</f>
        <v>23642.55647443855</v>
      </c>
    </row>
    <row r="26" spans="2:4" x14ac:dyDescent="0.25">
      <c r="B26" s="6" t="s">
        <v>66</v>
      </c>
      <c r="D26" s="19">
        <f>'DSCR'!$D$13</f>
        <v>1.3755524511372346</v>
      </c>
    </row>
    <row r="27" spans="2:4" x14ac:dyDescent="0.25">
      <c r="B27" s="6" t="s">
        <v>67</v>
      </c>
      <c r="D27" s="19">
        <f>'DSCR'!$D$14</f>
        <v>1.5185670387093075</v>
      </c>
    </row>
    <row r="28" spans="2:4" x14ac:dyDescent="0.25">
      <c r="B28" s="6" t="s">
        <v>68</v>
      </c>
      <c r="D28" s="20">
        <v>141.88541118116837</v>
      </c>
    </row>
    <row r="29" spans="2:4" x14ac:dyDescent="0.25">
      <c r="B29" s="6" t="s">
        <v>69</v>
      </c>
      <c r="D29" s="21">
        <v>8.210150570098689</v>
      </c>
    </row>
    <row r="30" spans="2:4" x14ac:dyDescent="0.25">
      <c r="B30" s="6" t="s">
        <v>70</v>
      </c>
      <c r="D30" s="22">
        <v>8223.764661666295</v>
      </c>
    </row>
    <row r="31" spans="2:4" x14ac:dyDescent="0.25">
      <c r="B31" s="6" t="s">
        <v>71</v>
      </c>
      <c r="D31" s="23">
        <v>0.7583777412609984</v>
      </c>
    </row>
    <row r="33" spans="2:25" x14ac:dyDescent="0.25">
      <c r="B33" s="11" t="s">
        <v>72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5" spans="2:25" x14ac:dyDescent="0.25">
      <c r="B35" s="24" t="s">
        <v>73</v>
      </c>
      <c r="C35" s="24" t="s">
        <v>74</v>
      </c>
      <c r="D35" s="24" t="s">
        <v>75</v>
      </c>
      <c r="E35" s="24" t="s">
        <v>76</v>
      </c>
      <c r="F35" s="25" t="s">
        <v>77</v>
      </c>
      <c r="G35" s="25" t="s">
        <v>78</v>
      </c>
      <c r="H35" s="25" t="s">
        <v>79</v>
      </c>
      <c r="I35" s="25" t="s">
        <v>80</v>
      </c>
      <c r="J35" s="25" t="s">
        <v>81</v>
      </c>
      <c r="K35" s="25" t="s">
        <v>82</v>
      </c>
      <c r="L35" s="25" t="s">
        <v>83</v>
      </c>
      <c r="M35" s="25" t="s">
        <v>84</v>
      </c>
      <c r="N35" s="25" t="s">
        <v>85</v>
      </c>
      <c r="O35" s="25" t="s">
        <v>86</v>
      </c>
      <c r="P35" s="25" t="s">
        <v>87</v>
      </c>
      <c r="Q35" s="25" t="s">
        <v>88</v>
      </c>
      <c r="R35" s="25" t="s">
        <v>89</v>
      </c>
      <c r="S35" s="25" t="s">
        <v>90</v>
      </c>
      <c r="T35" s="25" t="s">
        <v>91</v>
      </c>
      <c r="U35" s="25" t="s">
        <v>92</v>
      </c>
      <c r="V35" s="25" t="s">
        <v>93</v>
      </c>
      <c r="W35" s="25" t="s">
        <v>94</v>
      </c>
      <c r="X35" s="25" t="s">
        <v>95</v>
      </c>
      <c r="Y35" s="25" t="s">
        <v>96</v>
      </c>
    </row>
    <row r="36" spans="5:25" x14ac:dyDescent="0.25">
      <c r="E36" s="26">
        <v>2027</v>
      </c>
      <c r="F36" s="27">
        <v>2028</v>
      </c>
      <c r="G36" s="27">
        <v>2029</v>
      </c>
      <c r="H36" s="27">
        <v>2030</v>
      </c>
      <c r="I36" s="27">
        <v>2031</v>
      </c>
      <c r="J36" s="27">
        <v>2032</v>
      </c>
      <c r="K36" s="27">
        <v>2033</v>
      </c>
      <c r="L36" s="27">
        <v>2034</v>
      </c>
      <c r="M36" s="27">
        <v>2035</v>
      </c>
      <c r="N36" s="27">
        <v>2036</v>
      </c>
      <c r="O36" s="27">
        <v>2037</v>
      </c>
      <c r="P36" s="27">
        <v>2038</v>
      </c>
      <c r="Q36" s="27">
        <v>2039</v>
      </c>
      <c r="R36" s="27">
        <v>2040</v>
      </c>
      <c r="S36" s="27">
        <v>2041</v>
      </c>
      <c r="T36" s="27">
        <v>2042</v>
      </c>
      <c r="U36" s="27">
        <v>2043</v>
      </c>
      <c r="V36" s="27">
        <v>2044</v>
      </c>
      <c r="W36" s="27">
        <v>2045</v>
      </c>
      <c r="X36" s="27">
        <v>2046</v>
      </c>
      <c r="Y36" s="27">
        <v>2047</v>
      </c>
    </row>
    <row r="38" spans="2:25" x14ac:dyDescent="0.25">
      <c r="B38" s="28" t="s">
        <v>97</v>
      </c>
      <c r="F38" s="29">
        <f>'Revenue'!F16</f>
      </c>
      <c r="G38" s="29">
        <f>'Revenue'!G16</f>
      </c>
      <c r="H38" s="29">
        <f>'Revenue'!H16</f>
      </c>
      <c r="I38" s="29">
        <f>'Revenue'!I16</f>
      </c>
      <c r="J38" s="29">
        <f>'Revenue'!J16</f>
      </c>
      <c r="K38" s="29">
        <f>'Revenue'!K16</f>
      </c>
      <c r="L38" s="29">
        <f>'Revenue'!L16</f>
      </c>
      <c r="M38" s="29">
        <f>'Revenue'!M16</f>
      </c>
      <c r="N38" s="29">
        <f>'Revenue'!N16</f>
      </c>
      <c r="O38" s="29">
        <f>'Revenue'!O16</f>
      </c>
      <c r="P38" s="29">
        <f>'Revenue'!P16</f>
      </c>
      <c r="Q38" s="29">
        <f>'Revenue'!Q16</f>
      </c>
      <c r="R38" s="29">
        <f>'Revenue'!R16</f>
      </c>
      <c r="S38" s="29">
        <f>'Revenue'!S16</f>
      </c>
      <c r="T38" s="29">
        <f>'Revenue'!T16</f>
      </c>
      <c r="U38" s="29">
        <f>'Revenue'!U16</f>
      </c>
      <c r="V38" s="29">
        <f>'Revenue'!V16</f>
      </c>
      <c r="W38" s="29">
        <f>'Revenue'!W16</f>
      </c>
      <c r="X38" s="29">
        <f>'Revenue'!X16</f>
      </c>
      <c r="Y38" s="29">
        <f>'Revenue'!Y16</f>
      </c>
    </row>
    <row r="39" spans="2:25" x14ac:dyDescent="0.25">
      <c r="B39" s="28" t="s">
        <v>98</v>
      </c>
      <c r="F39" s="29">
        <f>'Opex'!F12</f>
        <v>2200</v>
      </c>
      <c r="G39" s="29">
        <f>'Opex'!G12</f>
        <v>2239.6</v>
      </c>
      <c r="H39" s="29">
        <f>'Opex'!H12</f>
        <v>2279.9128</v>
      </c>
      <c r="I39" s="29">
        <f>'Opex'!I12</f>
        <v>2320.9512304</v>
      </c>
      <c r="J39" s="29">
        <f>'Opex'!J12</f>
        <v>2362.7283525472003</v>
      </c>
      <c r="K39" s="29">
        <f>'Opex'!K12</f>
        <v>2405.2574628930497</v>
      </c>
      <c r="L39" s="29">
        <f>'Opex'!L12</f>
        <v>2448.5520972251247</v>
      </c>
      <c r="M39" s="29">
        <f>'Opex'!M12</f>
        <v>2492.6260349751774</v>
      </c>
      <c r="N39" s="29">
        <f>'Opex'!N12</f>
        <v>2537.49330360473</v>
      </c>
      <c r="O39" s="29">
        <f>'Opex'!O12</f>
        <v>2583.168183069615</v>
      </c>
      <c r="P39" s="29">
        <f>'Opex'!P12</f>
        <v>2629.6652103648685</v>
      </c>
      <c r="Q39" s="29">
        <f>'Opex'!Q12</f>
        <v>2676.999184151436</v>
      </c>
      <c r="R39" s="29">
        <f>'Opex'!R12</f>
        <v>2725.1851694661623</v>
      </c>
      <c r="S39" s="29">
        <f>'Opex'!S12</f>
        <v>2774.238502516553</v>
      </c>
      <c r="T39" s="29">
        <f>'Opex'!T12</f>
        <v>2824.174795561851</v>
      </c>
      <c r="U39" s="29">
        <f>'Opex'!U12</f>
        <v>2875.009941881964</v>
      </c>
      <c r="V39" s="29">
        <f>'Opex'!V12</f>
        <v>2926.7601208358396</v>
      </c>
      <c r="W39" s="29">
        <f>'Opex'!W12</f>
        <v>2979.441803010885</v>
      </c>
      <c r="X39" s="29">
        <f>'Opex'!X12</f>
        <v>3033.071755465081</v>
      </c>
      <c r="Y39" s="29">
        <f>'Opex'!Y12</f>
        <v>3087.667047063452</v>
      </c>
    </row>
    <row r="40" spans="2:25" x14ac:dyDescent="0.25">
      <c r="B40" s="30" t="s">
        <v>99</v>
      </c>
      <c r="F40" s="17">
        <f>'IS(Y)'!F11</f>
        <v>7946.252480000003</v>
      </c>
      <c r="G40" s="17">
        <f>'IS(Y)'!G11</f>
        <v>7977.0674722112</v>
      </c>
      <c r="H40" s="17">
        <f>'IS(Y)'!H11</f>
        <v>8007.658344468347</v>
      </c>
      <c r="I40" s="17">
        <f>'IS(Y)'!I11</f>
        <v>8038.015657810958</v>
      </c>
      <c r="J40" s="17">
        <f>'IS(Y)'!J11</f>
        <v>8068.1297658679405</v>
      </c>
      <c r="K40" s="17">
        <f>'IS(Y)'!K11</f>
        <v>8097.990810863895</v>
      </c>
      <c r="L40" s="17">
        <f>'IS(Y)'!L11</f>
        <v>8127.588719551692</v>
      </c>
      <c r="M40" s="17">
        <f>'IS(Y)'!M11</f>
        <v>8156.913199070072</v>
      </c>
      <c r="N40" s="17">
        <f>'IS(Y)'!N11</f>
        <v>8185.953732724793</v>
      </c>
      <c r="O40" s="17">
        <f>'IS(Y)'!O11</f>
        <v>8214.699575692033</v>
      </c>
      <c r="P40" s="17">
        <f>'IS(Y)'!P11</f>
        <v>8243.139750642587</v>
      </c>
      <c r="Q40" s="17">
        <f>'IS(Y)'!Q11</f>
        <v>8271.263043285408</v>
      </c>
      <c r="R40" s="17">
        <f>'IS(Y)'!R11</f>
        <v>8299.057997829095</v>
      </c>
      <c r="S40" s="17">
        <f>'IS(Y)'!S11</f>
        <v>8326.512912359736</v>
      </c>
      <c r="T40" s="17">
        <f>'IS(Y)'!T11</f>
        <v>8353.615834133678</v>
      </c>
      <c r="U40" s="17">
        <f>'IS(Y)'!U11</f>
        <v>8380.354554783653</v>
      </c>
      <c r="V40" s="17">
        <f>'IS(Y)'!V11</f>
        <v>8406.716605436637</v>
      </c>
      <c r="W40" s="17">
        <f>'IS(Y)'!W11</f>
        <v>8432.689251741922</v>
      </c>
      <c r="X40" s="17">
        <f>'IS(Y)'!X11</f>
        <v>8458.259488807711</v>
      </c>
      <c r="Y40" s="17">
        <f>'IS(Y)'!Y11</f>
        <v>8483.41403604459</v>
      </c>
    </row>
    <row r="41" spans="2:25" x14ac:dyDescent="0.25">
      <c r="B41" s="28" t="s">
        <v>100</v>
      </c>
      <c r="F41" s="29">
        <f>'IS(Y)'!F21</f>
        <v>1173.549847967213</v>
      </c>
      <c r="G41" s="29">
        <f>'IS(Y)'!G21</f>
        <v>1198.5099916582826</v>
      </c>
      <c r="H41" s="29">
        <f>'IS(Y)'!H21</f>
        <v>1251.2367823476875</v>
      </c>
      <c r="I41" s="29">
        <f>'IS(Y)'!I21</f>
        <v>1389.2539115730867</v>
      </c>
      <c r="J41" s="29">
        <f>'IS(Y)'!J21</f>
        <v>1533.7095652840744</v>
      </c>
      <c r="K41" s="29">
        <f>'IS(Y)'!K21</f>
        <v>1684.983936647441</v>
      </c>
      <c r="L41" s="29">
        <f>'IS(Y)'!L21</f>
        <v>1843.479752708823</v>
      </c>
      <c r="M41" s="29">
        <f>'IS(Y)'!M21</f>
        <v>2009.6235994793985</v>
      </c>
      <c r="N41" s="29">
        <f>'IS(Y)'!N21</f>
        <v>2183.8673246745097</v>
      </c>
      <c r="O41" s="29">
        <f>'IS(Y)'!O21</f>
        <v>2366.6895226494466</v>
      </c>
      <c r="P41" s="29">
        <f>'IS(Y)'!P21</f>
        <v>2558.597106343399</v>
      </c>
      <c r="Q41" s="29">
        <f>'IS(Y)'!Q21</f>
        <v>2760.126971324151</v>
      </c>
      <c r="R41" s="29">
        <f>'IS(Y)'!R21</f>
        <v>2971.8477573241003</v>
      </c>
      <c r="S41" s="29">
        <f>'IS(Y)'!S21</f>
        <v>3194.3617129734257</v>
      </c>
      <c r="T41" s="29">
        <f>'IS(Y)'!T21</f>
        <v>3428.306669770275</v>
      </c>
      <c r="U41" s="29">
        <f>'IS(Y)'!U21</f>
        <v>3674.3581316810696</v>
      </c>
      <c r="V41" s="29">
        <f>'IS(Y)'!V21</f>
        <v>3933.231487138084</v>
      </c>
      <c r="W41" s="29">
        <f>'IS(Y)'!W21</f>
        <v>4140.112637250372</v>
      </c>
      <c r="X41" s="29">
        <f>'IS(Y)'!X21</f>
        <v>6871.190185934246</v>
      </c>
      <c r="Y41" s="29">
        <f>'IS(Y)'!Y21</f>
        <v>6891.565369196119</v>
      </c>
    </row>
    <row r="42" spans="2:25" x14ac:dyDescent="0.25">
      <c r="B42" s="28" t="s">
        <v>101</v>
      </c>
      <c r="F42" s="29">
        <f>'CF(Y)'!F11</f>
        <v>7695.666713192879</v>
      </c>
      <c r="G42" s="29">
        <f>'CF(Y)'!G11</f>
        <v>7720.626856883949</v>
      </c>
      <c r="H42" s="29">
        <f>'CF(Y)'!H11</f>
        <v>7738.849716510248</v>
      </c>
      <c r="I42" s="29">
        <f>'CF(Y)'!I11</f>
        <v>7736.832641516036</v>
      </c>
      <c r="J42" s="29">
        <f>'CF(Y)'!J11</f>
        <v>7733.0620900605645</v>
      </c>
      <c r="K42" s="29">
        <f>'CF(Y)'!K11</f>
        <v>7727.439023255236</v>
      </c>
      <c r="L42" s="29">
        <f>'CF(Y)'!L11</f>
        <v>7719.8589010150545</v>
      </c>
      <c r="M42" s="29">
        <f>'CF(Y)'!M11</f>
        <v>7710.211367093422</v>
      </c>
      <c r="N42" s="29">
        <f>'CF(Y)'!N11</f>
        <v>7698.379915825833</v>
      </c>
      <c r="O42" s="29">
        <f>'CF(Y)'!O11</f>
        <v>7684.241539515003</v>
      </c>
      <c r="P42" s="29">
        <f>'CF(Y)'!P11</f>
        <v>7667.666355327469</v>
      </c>
      <c r="Q42" s="29">
        <f>'CF(Y)'!Q11</f>
        <v>7648.517210505668</v>
      </c>
      <c r="R42" s="29">
        <f>'CF(Y)'!R11</f>
        <v>7626.649264629615</v>
      </c>
      <c r="S42" s="29">
        <f>'CF(Y)'!S11</f>
        <v>7601.909547588192</v>
      </c>
      <c r="T42" s="29">
        <f>'CF(Y)'!T11</f>
        <v>7574.136491841885</v>
      </c>
      <c r="U42" s="29">
        <f>'CF(Y)'!U11</f>
        <v>7543.159437475748</v>
      </c>
      <c r="V42" s="29">
        <f>'CF(Y)'!V11</f>
        <v>7508.7981084536295</v>
      </c>
      <c r="W42" s="29">
        <f>'CF(Y)'!W11</f>
        <v>7486.243077572081</v>
      </c>
      <c r="X42" s="29">
        <f>'CF(Y)'!X11</f>
        <v>6871.190185934246</v>
      </c>
      <c r="Y42" s="29">
        <f>'CF(Y)'!Y11</f>
        <v>6891.565369196119</v>
      </c>
    </row>
    <row r="43" spans="2:25" x14ac:dyDescent="0.25">
      <c r="B43" s="28" t="s">
        <v>102</v>
      </c>
      <c r="F43" s="29">
        <f>'Debt'!F13</f>
        <v>3175.9864249039565</v>
      </c>
      <c r="G43" s="29">
        <f>'Debt'!G13</f>
        <v>3175.9864249039565</v>
      </c>
      <c r="H43" s="29">
        <f>'Debt'!H13</f>
        <v>5500.725643454858</v>
      </c>
      <c r="I43" s="29">
        <f>'Debt'!I13</f>
        <v>5498.707163487667</v>
      </c>
      <c r="J43" s="29">
        <f>'Debt'!J13</f>
        <v>5496.570602442394</v>
      </c>
      <c r="K43" s="29">
        <f>'Debt'!K13</f>
        <v>5494.309052575974</v>
      </c>
      <c r="L43" s="29">
        <f>'Debt'!L13</f>
        <v>5491.915202042368</v>
      </c>
      <c r="M43" s="29">
        <f>'Debt'!M13</f>
        <v>5489.381311252545</v>
      </c>
      <c r="N43" s="29">
        <f>'Debt'!N13</f>
        <v>5486.699187851518</v>
      </c>
      <c r="O43" s="29">
        <f>'Debt'!O13</f>
        <v>5483.860160231531</v>
      </c>
      <c r="P43" s="29">
        <f>'Debt'!P13</f>
        <v>5480.855049495774</v>
      </c>
      <c r="Q43" s="29">
        <f>'Debt'!Q13</f>
        <v>5477.674139781977</v>
      </c>
      <c r="R43" s="29">
        <f>'Debt'!R13</f>
        <v>5474.307146849921</v>
      </c>
      <c r="S43" s="29">
        <f>'Debt'!S13</f>
        <v>5470.743184831341</v>
      </c>
      <c r="T43" s="29">
        <f>'Debt'!T13</f>
        <v>5466.970731034674</v>
      </c>
      <c r="U43" s="29">
        <f>'Debt'!U13</f>
        <v>5462.977588690902</v>
      </c>
      <c r="V43" s="29">
        <f>'Debt'!V13</f>
        <v>5458.750847520027</v>
      </c>
      <c r="W43" s="29">
        <f>'Debt'!W13</f>
        <v>0</v>
      </c>
      <c r="X43" s="29">
        <f>'Debt'!X13</f>
        <v>0</v>
      </c>
      <c r="Y43" s="29">
        <f>'Debt'!Y13</f>
        <v>0</v>
      </c>
    </row>
    <row r="44" spans="2:25" x14ac:dyDescent="0.25">
      <c r="B44" s="28" t="s">
        <v>27</v>
      </c>
      <c r="F44" s="31">
        <f>'DSCR'!F11</f>
        <v>2.423079221261344</v>
      </c>
      <c r="G44" s="31">
        <f>'DSCR'!G11</f>
        <v>2.4309382421612287</v>
      </c>
      <c r="H44" s="31">
        <f>'DSCR'!H11</f>
        <v>1.4068779681310708</v>
      </c>
      <c r="I44" s="31">
        <f>'DSCR'!I11</f>
        <v>1.4070275814813156</v>
      </c>
      <c r="J44" s="31">
        <f>'DSCR'!J11</f>
        <v>1.4068885218402158</v>
      </c>
      <c r="K44" s="31">
        <f>'DSCR'!K11</f>
        <v>1.4064441860314123</v>
      </c>
      <c r="L44" s="31">
        <f>'DSCR'!L11</f>
        <v>1.4056770028321166</v>
      </c>
      <c r="M44" s="31">
        <f>'DSCR'!M11</f>
        <v>1.4045683711729868</v>
      </c>
      <c r="N44" s="31">
        <f>'DSCR'!N11</f>
        <v>1.403098593936287</v>
      </c>
      <c r="O44" s="31">
        <f>'DSCR'!O11</f>
        <v>1.4012468069919877</v>
      </c>
      <c r="P44" s="31">
        <f>'DSCR'!P11</f>
        <v>1.3989909030768615</v>
      </c>
      <c r="Q44" s="31">
        <f>'DSCR'!Q11</f>
        <v>1.3963074500832018</v>
      </c>
      <c r="R44" s="31">
        <f>'DSCR'!R11</f>
        <v>1.3931716032810133</v>
      </c>
      <c r="S44" s="31">
        <f>'DSCR'!S11</f>
        <v>1.3895570109497937</v>
      </c>
      <c r="T44" s="31">
        <f>'DSCR'!T11</f>
        <v>1.3854357128428252</v>
      </c>
      <c r="U44" s="31">
        <f>'DSCR'!U11</f>
        <v>1.3807780308473354</v>
      </c>
      <c r="V44" s="31">
        <f>'DSCR'!V11</f>
        <v>1.3755524511372346</v>
      </c>
      <c r="W44" s="31" t="str">
        <f>'DSCR'!W11</f>
        <v>-</v>
      </c>
      <c r="X44" s="31" t="str">
        <f>'DSCR'!X11</f>
        <v>-</v>
      </c>
      <c r="Y44" s="31" t="str">
        <f>'DSCR'!Y11</f>
        <v>-</v>
      </c>
    </row>
    <row r="45" spans="2:25" x14ac:dyDescent="0.25">
      <c r="B45" s="28" t="s">
        <v>103</v>
      </c>
      <c r="F45" s="29">
        <f>'CF(Y)'!F19</f>
        <v>0</v>
      </c>
      <c r="G45" s="29">
        <f>'CF(Y)'!G19</f>
        <v>0</v>
      </c>
      <c r="H45" s="29">
        <f>'CF(Y)'!H19</f>
        <v>10053.091211580471</v>
      </c>
      <c r="I45" s="29">
        <f>'CF(Y)'!I19</f>
        <v>2239.1937585510054</v>
      </c>
      <c r="J45" s="29">
        <f>'CF(Y)'!J19</f>
        <v>2237.622262551381</v>
      </c>
      <c r="K45" s="29">
        <f>'CF(Y)'!K19</f>
        <v>2234.3268959460643</v>
      </c>
      <c r="L45" s="29">
        <f>'CF(Y)'!L19</f>
        <v>2229.210644367598</v>
      </c>
      <c r="M45" s="29">
        <f>'CF(Y)'!M19</f>
        <v>2222.1711175413907</v>
      </c>
      <c r="N45" s="29">
        <f>'CF(Y)'!N19</f>
        <v>2213.1002417843088</v>
      </c>
      <c r="O45" s="29">
        <f>'CF(Y)'!O19</f>
        <v>2201.88393465135</v>
      </c>
      <c r="P45" s="29">
        <f>'CF(Y)'!P19</f>
        <v>2188.401760688594</v>
      </c>
      <c r="Q45" s="29">
        <f>'CF(Y)'!Q19</f>
        <v>2172.5265671897187</v>
      </c>
      <c r="R45" s="29">
        <f>'CF(Y)'!R19</f>
        <v>2154.124098788984</v>
      </c>
      <c r="S45" s="29">
        <f>'CF(Y)'!S19</f>
        <v>2133.0525896551844</v>
      </c>
      <c r="T45" s="29">
        <f>'CF(Y)'!T19</f>
        <v>2109.162331979097</v>
      </c>
      <c r="U45" s="29">
        <f>'CF(Y)'!U19</f>
        <v>2082.2952193702836</v>
      </c>
      <c r="V45" s="29">
        <f>'CF(Y)'!V19</f>
        <v>4779.422684693616</v>
      </c>
      <c r="W45" s="29">
        <f>'CF(Y)'!W19</f>
        <v>7486.243077572082</v>
      </c>
      <c r="X45" s="29">
        <f>'CF(Y)'!X19</f>
        <v>6871.190185934246</v>
      </c>
      <c r="Y45" s="29">
        <f>'CF(Y)'!Y19</f>
        <v>6291.565369196119</v>
      </c>
    </row>
    <row r="46" spans="2:25" x14ac:dyDescent="0.25">
      <c r="B46" s="28" t="s">
        <v>104</v>
      </c>
      <c r="F46" s="29">
        <f>'IRR'!F13</f>
        <v>7695.666713192879</v>
      </c>
      <c r="G46" s="29">
        <f>'IRR'!G13</f>
        <v>7720.626856883949</v>
      </c>
      <c r="H46" s="29">
        <f>'IRR'!H13</f>
        <v>7738.849716510248</v>
      </c>
      <c r="I46" s="29">
        <f>'IRR'!I13</f>
        <v>7736.832641516036</v>
      </c>
      <c r="J46" s="29">
        <f>'IRR'!J13</f>
        <v>7733.0620900605645</v>
      </c>
      <c r="K46" s="29">
        <f>'IRR'!K13</f>
        <v>7727.439023255236</v>
      </c>
      <c r="L46" s="29">
        <f>'IRR'!L13</f>
        <v>7719.8589010150545</v>
      </c>
      <c r="M46" s="29">
        <f>'IRR'!M13</f>
        <v>7710.211367093422</v>
      </c>
      <c r="N46" s="29">
        <f>'IRR'!N13</f>
        <v>7698.379915825833</v>
      </c>
      <c r="O46" s="29">
        <f>'IRR'!O13</f>
        <v>7684.241539515003</v>
      </c>
      <c r="P46" s="29">
        <f>'IRR'!P13</f>
        <v>7667.666355327469</v>
      </c>
      <c r="Q46" s="29">
        <f>'IRR'!Q13</f>
        <v>7648.517210505668</v>
      </c>
      <c r="R46" s="29">
        <f>'IRR'!R13</f>
        <v>7626.649264629615</v>
      </c>
      <c r="S46" s="29">
        <f>'IRR'!S13</f>
        <v>7601.909547588192</v>
      </c>
      <c r="T46" s="29">
        <f>'IRR'!T13</f>
        <v>7574.136491841885</v>
      </c>
      <c r="U46" s="29">
        <f>'IRR'!U13</f>
        <v>7543.159437475748</v>
      </c>
      <c r="V46" s="29">
        <f>'IRR'!V13</f>
        <v>7508.7981084536295</v>
      </c>
      <c r="W46" s="29">
        <f>'IRR'!W13</f>
        <v>7486.243077572081</v>
      </c>
      <c r="X46" s="29">
        <f>'IRR'!X13</f>
        <v>6871.190185934246</v>
      </c>
      <c r="Y46" s="29">
        <f>'IRR'!Y13</f>
        <v>5291.565369196119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34"/>
  <sheetFormatPr defaultRowHeight="15" outlineLevelRow="0" outlineLevelCol="0" x14ac:dyDescent="55"/>
  <cols>
    <col min="1" max="1" width="2.5" customWidth="1"/>
    <col min="2" max="2" width="26" customWidth="1"/>
    <col min="3" max="10" width="13" customWidth="1"/>
  </cols>
  <sheetData>
    <row r="1" spans="1:1" x14ac:dyDescent="0.25">
      <c r="A1" s="9" t="s">
        <v>0</v>
      </c>
    </row>
    <row r="2" spans="1:1" x14ac:dyDescent="0.25">
      <c r="A2" s="10" t="s">
        <v>269</v>
      </c>
    </row>
    <row r="4" spans="2:25" x14ac:dyDescent="0.25">
      <c r="B4" s="11" t="s">
        <v>111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25" t="s">
        <v>270</v>
      </c>
      <c r="C6" s="25" t="s">
        <v>263</v>
      </c>
      <c r="D6" s="25" t="s">
        <v>258</v>
      </c>
      <c r="E6" s="25" t="s">
        <v>254</v>
      </c>
      <c r="F6" s="25" t="s">
        <v>65</v>
      </c>
    </row>
    <row r="7" spans="2:6" x14ac:dyDescent="0.25">
      <c r="B7" s="6" t="s">
        <v>271</v>
      </c>
      <c r="C7" s="59">
        <v>0.17999183342916092</v>
      </c>
      <c r="D7" s="59">
        <v>0.08612758031567147</v>
      </c>
      <c r="E7" s="66">
        <v>1.2073799808283663</v>
      </c>
      <c r="F7" s="49">
        <v>13699.530540545198</v>
      </c>
    </row>
    <row r="8" spans="2:6" x14ac:dyDescent="0.25">
      <c r="B8" s="6" t="s">
        <v>272</v>
      </c>
      <c r="C8" s="59">
        <v>0.22513193672784004</v>
      </c>
      <c r="D8" s="59">
        <v>0.09500930010616748</v>
      </c>
      <c r="E8" s="66">
        <v>1.2914662159828003</v>
      </c>
      <c r="F8" s="49">
        <v>18671.043507491842</v>
      </c>
    </row>
    <row r="9" spans="2:6" x14ac:dyDescent="0.25">
      <c r="B9" s="6" t="s">
        <v>273</v>
      </c>
      <c r="C9" s="59">
        <v>0.26975219869210176</v>
      </c>
      <c r="D9" s="59">
        <v>0.10364197258965036</v>
      </c>
      <c r="E9" s="66">
        <v>1.3755524511372346</v>
      </c>
      <c r="F9" s="49">
        <v>23642.55647443855</v>
      </c>
    </row>
    <row r="10" spans="2:6" x14ac:dyDescent="0.25">
      <c r="B10" s="6" t="s">
        <v>274</v>
      </c>
      <c r="C10" s="59">
        <v>0.3137590214650302</v>
      </c>
      <c r="D10" s="59">
        <v>0.11205838221096853</v>
      </c>
      <c r="E10" s="66">
        <v>1.4596386862916684</v>
      </c>
      <c r="F10" s="49">
        <v>28614.069441385196</v>
      </c>
    </row>
    <row r="11" spans="2:6" x14ac:dyDescent="0.25">
      <c r="B11" s="6" t="s">
        <v>275</v>
      </c>
      <c r="C11" s="59">
        <v>0.3571306694147506</v>
      </c>
      <c r="D11" s="59">
        <v>0.12028572918696423</v>
      </c>
      <c r="E11" s="66">
        <v>1.5437249214461024</v>
      </c>
      <c r="F11" s="49">
        <v>33585.58240833189</v>
      </c>
    </row>
    <row r="14" spans="2:25" x14ac:dyDescent="0.25">
      <c r="B14" s="11" t="s">
        <v>276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6" spans="2:6" x14ac:dyDescent="0.25">
      <c r="B16" s="25" t="s">
        <v>270</v>
      </c>
      <c r="C16" s="25" t="s">
        <v>263</v>
      </c>
      <c r="D16" s="25" t="s">
        <v>258</v>
      </c>
      <c r="E16" s="25" t="s">
        <v>254</v>
      </c>
      <c r="F16" s="25" t="s">
        <v>65</v>
      </c>
    </row>
    <row r="17" spans="2:6" x14ac:dyDescent="0.25">
      <c r="B17" s="6" t="s">
        <v>277</v>
      </c>
      <c r="C17" s="59">
        <v>0.3166815727372748</v>
      </c>
      <c r="D17" s="59">
        <v>0.10182787544597127</v>
      </c>
      <c r="E17" s="66">
        <v>1.4815661918433944</v>
      </c>
      <c r="F17" s="49">
        <v>22684.122854401347</v>
      </c>
    </row>
    <row r="18" spans="2:6" x14ac:dyDescent="0.25">
      <c r="B18" s="6" t="s">
        <v>278</v>
      </c>
      <c r="C18" s="59">
        <v>0.29278752608052316</v>
      </c>
      <c r="D18" s="59">
        <v>0.10273726763912372</v>
      </c>
      <c r="E18" s="66">
        <v>1.426549408468688</v>
      </c>
      <c r="F18" s="49">
        <v>23164.3158052074</v>
      </c>
    </row>
    <row r="19" spans="2:6" x14ac:dyDescent="0.25">
      <c r="B19" s="6" t="s">
        <v>279</v>
      </c>
      <c r="C19" s="59">
        <v>0.26975219869210176</v>
      </c>
      <c r="D19" s="59">
        <v>0.10364197258965036</v>
      </c>
      <c r="E19" s="66">
        <v>1.3755524511372346</v>
      </c>
      <c r="F19" s="49">
        <v>23642.55647443855</v>
      </c>
    </row>
    <row r="20" spans="2:6" x14ac:dyDescent="0.25">
      <c r="B20" s="6" t="s">
        <v>280</v>
      </c>
      <c r="C20" s="59">
        <v>0.24683368838355657</v>
      </c>
      <c r="D20" s="59">
        <v>0.10457282077942864</v>
      </c>
      <c r="E20" s="66">
        <v>1.326601427357216</v>
      </c>
      <c r="F20" s="49">
        <v>24135.177825150182</v>
      </c>
    </row>
    <row r="21" spans="2:6" x14ac:dyDescent="0.25">
      <c r="B21" s="6" t="s">
        <v>281</v>
      </c>
      <c r="C21" s="59">
        <v>0.2248651163283656</v>
      </c>
      <c r="D21" s="59">
        <v>0.1054978949243891</v>
      </c>
      <c r="E21" s="66">
        <v>1.2811614423781168</v>
      </c>
      <c r="F21" s="49">
        <v>24625.323062040556</v>
      </c>
    </row>
    <row r="24" spans="2:25" x14ac:dyDescent="0.25">
      <c r="B24" s="11" t="s">
        <v>282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6" spans="2:6" x14ac:dyDescent="0.25">
      <c r="B26" s="25" t="s">
        <v>270</v>
      </c>
      <c r="C26" s="25" t="s">
        <v>263</v>
      </c>
      <c r="D26" s="25" t="s">
        <v>258</v>
      </c>
      <c r="E26" s="25" t="s">
        <v>254</v>
      </c>
      <c r="F26" s="25" t="s">
        <v>65</v>
      </c>
    </row>
    <row r="27" spans="2:6" x14ac:dyDescent="0.25">
      <c r="B27" s="6" t="s">
        <v>283</v>
      </c>
      <c r="C27" s="59">
        <v>0.17999183342916114</v>
      </c>
      <c r="D27" s="59">
        <v>0.08612758031567147</v>
      </c>
      <c r="E27" s="66">
        <v>1.2073799808283665</v>
      </c>
      <c r="F27" s="49">
        <v>13699.530540545205</v>
      </c>
    </row>
    <row r="28" spans="2:6" x14ac:dyDescent="0.25">
      <c r="B28" s="6" t="s">
        <v>284</v>
      </c>
      <c r="C28" s="59">
        <v>0.22513193672784027</v>
      </c>
      <c r="D28" s="59">
        <v>0.09500930010616748</v>
      </c>
      <c r="E28" s="66">
        <v>1.2914662159828008</v>
      </c>
      <c r="F28" s="49">
        <v>18671.043507491882</v>
      </c>
    </row>
    <row r="29" spans="2:6" x14ac:dyDescent="0.25">
      <c r="B29" s="6" t="s">
        <v>285</v>
      </c>
      <c r="C29" s="59">
        <v>0.26975219869210176</v>
      </c>
      <c r="D29" s="59">
        <v>0.10364197258965036</v>
      </c>
      <c r="E29" s="66">
        <v>1.3755524511372346</v>
      </c>
      <c r="F29" s="49">
        <v>23642.55647443855</v>
      </c>
    </row>
    <row r="30" spans="2:6" x14ac:dyDescent="0.25">
      <c r="B30" s="6" t="s">
        <v>286</v>
      </c>
      <c r="C30" s="59">
        <v>0.31375902146503043</v>
      </c>
      <c r="D30" s="59">
        <v>0.11205838221096853</v>
      </c>
      <c r="E30" s="66">
        <v>1.4596386862916686</v>
      </c>
      <c r="F30" s="49">
        <v>28614.069441385232</v>
      </c>
    </row>
    <row r="31" spans="2:6" x14ac:dyDescent="0.25">
      <c r="B31" s="6" t="s">
        <v>287</v>
      </c>
      <c r="C31" s="59">
        <v>0.3571306694147506</v>
      </c>
      <c r="D31" s="59">
        <v>0.12028572918696423</v>
      </c>
      <c r="E31" s="66">
        <v>1.5437249214461028</v>
      </c>
      <c r="F31" s="49">
        <v>33585.582408331895</v>
      </c>
    </row>
    <row r="34" spans="2:2" x14ac:dyDescent="0.25">
      <c r="B34" s="3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D23"/>
  <sheetFormatPr defaultRowHeight="15" outlineLevelRow="0" outlineLevelCol="0" x14ac:dyDescent="55"/>
  <cols>
    <col min="1" max="1" width="2.5" customWidth="1"/>
    <col min="2" max="2" width="8" customWidth="1"/>
    <col min="3" max="3" width="20" customWidth="1"/>
    <col min="4" max="4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4" x14ac:dyDescent="0.25">
      <c r="B6" s="3" t="s">
        <v>2</v>
      </c>
      <c r="C6" s="3" t="s">
        <v>3</v>
      </c>
      <c r="D6" s="3" t="s">
        <v>4</v>
      </c>
    </row>
    <row r="7" spans="2:4" x14ac:dyDescent="0.25">
      <c r="B7" s="4" t="s">
        <v>5</v>
      </c>
      <c r="C7" s="5" t="s">
        <v>6</v>
      </c>
      <c r="D7" s="6" t="s">
        <v>7</v>
      </c>
    </row>
    <row r="8" spans="2:4" x14ac:dyDescent="0.25">
      <c r="B8" s="4" t="s">
        <v>8</v>
      </c>
      <c r="C8" s="5" t="s">
        <v>9</v>
      </c>
      <c r="D8" s="6" t="s">
        <v>10</v>
      </c>
    </row>
    <row r="9" spans="2:4" x14ac:dyDescent="0.25">
      <c r="B9" s="4" t="s">
        <v>11</v>
      </c>
      <c r="C9" s="5" t="s">
        <v>12</v>
      </c>
      <c r="D9" s="6" t="s">
        <v>13</v>
      </c>
    </row>
    <row r="10" spans="2:4" x14ac:dyDescent="0.25">
      <c r="B10" s="4" t="s">
        <v>14</v>
      </c>
      <c r="C10" s="5" t="s">
        <v>15</v>
      </c>
      <c r="D10" s="6" t="s">
        <v>16</v>
      </c>
    </row>
    <row r="11" spans="2:4" x14ac:dyDescent="0.25">
      <c r="B11" s="4" t="s">
        <v>17</v>
      </c>
      <c r="C11" s="5" t="s">
        <v>18</v>
      </c>
      <c r="D11" s="6" t="s">
        <v>19</v>
      </c>
    </row>
    <row r="12" spans="2:4" x14ac:dyDescent="0.25">
      <c r="B12" s="4" t="s">
        <v>20</v>
      </c>
      <c r="C12" s="5" t="s">
        <v>21</v>
      </c>
      <c r="D12" s="6" t="s">
        <v>22</v>
      </c>
    </row>
    <row r="13" spans="2:4" x14ac:dyDescent="0.25">
      <c r="B13" s="4" t="s">
        <v>23</v>
      </c>
      <c r="C13" s="5" t="s">
        <v>24</v>
      </c>
      <c r="D13" s="6" t="s">
        <v>25</v>
      </c>
    </row>
    <row r="14" spans="2:4" x14ac:dyDescent="0.25">
      <c r="B14" s="4" t="s">
        <v>26</v>
      </c>
      <c r="C14" s="5" t="s">
        <v>27</v>
      </c>
      <c r="D14" s="6" t="s">
        <v>28</v>
      </c>
    </row>
    <row r="15" spans="2:4" x14ac:dyDescent="0.25">
      <c r="B15" s="4" t="s">
        <v>29</v>
      </c>
      <c r="C15" s="5" t="s">
        <v>30</v>
      </c>
      <c r="D15" s="6" t="s">
        <v>31</v>
      </c>
    </row>
    <row r="16" spans="2:4" x14ac:dyDescent="0.25">
      <c r="B16" s="4" t="s">
        <v>32</v>
      </c>
      <c r="C16" s="5" t="s">
        <v>33</v>
      </c>
      <c r="D16" s="6" t="s">
        <v>34</v>
      </c>
    </row>
    <row r="17" spans="2:4" x14ac:dyDescent="0.25">
      <c r="B17" s="4" t="s">
        <v>35</v>
      </c>
      <c r="C17" s="5" t="s">
        <v>36</v>
      </c>
      <c r="D17" s="6" t="s">
        <v>37</v>
      </c>
    </row>
    <row r="19" spans="2:2" x14ac:dyDescent="0.25">
      <c r="B19" s="7" t="s">
        <v>38</v>
      </c>
    </row>
    <row r="20" spans="3:4" x14ac:dyDescent="0.25">
      <c r="C20" s="8" t="s">
        <v>39</v>
      </c>
      <c r="D20" s="8" t="s">
        <v>40</v>
      </c>
    </row>
    <row r="21" spans="3:4" x14ac:dyDescent="0.25">
      <c r="C21" s="8" t="s">
        <v>41</v>
      </c>
      <c r="D21" s="8" t="s">
        <v>42</v>
      </c>
    </row>
    <row r="22" spans="3:4" x14ac:dyDescent="0.25">
      <c r="C22" s="8" t="s">
        <v>43</v>
      </c>
      <c r="D22" s="8" t="s">
        <v>44</v>
      </c>
    </row>
    <row r="23" spans="3:4" x14ac:dyDescent="0.25">
      <c r="C23" s="8" t="s">
        <v>45</v>
      </c>
      <c r="D23" s="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목차</vt:lpstr>
      <vt:lpstr>Report</vt:lpstr>
      <vt:lpstr>Assum</vt:lpstr>
      <vt:lpstr>Construction</vt:lpstr>
      <vt:lpstr>TIC_Funding</vt:lpstr>
      <vt:lpstr>Revenue</vt:lpstr>
      <vt:lpstr>Opex</vt:lpstr>
      <vt:lpstr>Debt</vt:lpstr>
      <vt:lpstr>IS(Y)</vt:lpstr>
      <vt:lpstr>CF(Y)</vt:lpstr>
      <vt:lpstr>DSCR</vt:lpstr>
      <vt:lpstr>IRR</vt:lpstr>
      <vt:lpstr>Sensitivity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</dc:creator>
  <dc:title/>
  <dc:subject/>
  <dc:description/>
  <cp:keywords/>
  <cp:category/>
  <cp:lastModifiedBy>Unknown</cp:lastModifiedBy>
  <dcterms:created xsi:type="dcterms:W3CDTF">2026-10-02T07:47:36Z</dcterms:created>
  <dcterms:modified xsi:type="dcterms:W3CDTF">2026-10-02T07:47:36Z</dcterms:modified>
</cp:coreProperties>
</file>