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<sst xmlns="http://schemas.openxmlformats.org/spreadsheetml/2006/main" count="629" uniqueCount="289">
  <si>
    <t>E2E검증_방식1</t>
  </si>
  <si>
    <t>재무모델 (Financial Model) — 재생E AI Agent 자동생성  ·  2026-09-22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</si>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</sst>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1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1.2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50671.008488496176</v>
      </c>
      <c r="J9" s="49">
        <f>I11</f>
        <v>47051.650739317876</v>
      </c>
      <c r="K9" s="49">
        <f>J11</f>
        <v>43432.29299013958</v>
      </c>
      <c r="L9" s="49">
        <f>K11</f>
        <v>39812.93524096128</v>
      </c>
      <c r="M9" s="49">
        <f>L11</f>
        <v>36193.57749178298</v>
      </c>
      <c r="N9" s="49">
        <f>M11</f>
        <v>32574.219742604677</v>
      </c>
      <c r="O9" s="49">
        <f>N11</f>
        <v>28954.861993426377</v>
      </c>
      <c r="P9" s="49">
        <f>O11</f>
        <v>25335.504244248077</v>
      </c>
      <c r="Q9" s="49">
        <f>P11</f>
        <v>21716.146495069777</v>
      </c>
      <c r="R9" s="49">
        <f>Q11</f>
        <v>18096.788745891477</v>
      </c>
      <c r="S9" s="49">
        <f>R11</f>
        <v>14477.43099671318</v>
      </c>
      <c r="T9" s="49">
        <f>S11</f>
        <v>10858.073247534881</v>
      </c>
      <c r="U9" s="49">
        <f>T11</f>
        <v>7238.715498356583</v>
      </c>
      <c r="V9" s="49">
        <f>U11</f>
        <v>3619.357749178285</v>
      </c>
      <c r="W9" s="49">
        <f>V11</f>
        <v>0</v>
      </c>
      <c r="X9" s="49">
        <f>W11</f>
        <v>0</v>
      </c>
      <c r="Y9" s="49">
        <f>X11</f>
        <v>0</v>
      </c>
    </row>
    <row r="10" spans="2:25" x14ac:dyDescent="0.25">
      <c r="B10" s="28" t="s">
        <v>219</v>
      </c>
      <c r="C10" s="48" t="s">
        <v>129</v>
      </c>
      <c r="D10" s="22">
        <f>SUM(F10:Y10)</f>
      </c>
      <c r="F10" s="49">
        <f>IF(AND(1&gt;Assum!$F$36,1&lt;=Assum!$F$36+Assum!$F$37),MIN(F9,IF(Assum!$F$38=2,-PPMT(Assum!$F$35,1-Assum!$F$36,Assum!$F$37,'TIC_Funding'!$D$16),'TIC_Funding'!$D$16/Assum!$F$37)),0)</f>
        <v>0</v>
      </c>
      <c r="G10" s="49">
        <f>IF(AND(2&gt;Assum!$F$36,2&lt;=Assum!$F$36+Assum!$F$37),MIN(G9,IF(Assum!$F$38=2,-PPMT(Assum!$F$35,2-Assum!$F$36,Assum!$F$37,'TIC_Funding'!$D$16),'TIC_Funding'!$D$16/Assum!$F$37)),0)</f>
        <v>0</v>
      </c>
      <c r="H10" s="49">
        <f>IF(AND(3&gt;Assum!$F$36,3&lt;=Assum!$F$36+Assum!$F$37),MIN(H9,IF(Assum!$F$38=2,-PPMT(Assum!$F$35,3-Assum!$F$36,Assum!$F$37,'TIC_Funding'!$D$16),'TIC_Funding'!$D$16/Assum!$F$37)),0)</f>
        <v>3619.3577491782985</v>
      </c>
      <c r="I10" s="49">
        <f>IF(AND(4&gt;Assum!$F$36,4&lt;=Assum!$F$36+Assum!$F$37),MIN(I9,IF(Assum!$F$38=2,-PPMT(Assum!$F$35,4-Assum!$F$36,Assum!$F$37,'TIC_Funding'!$D$16),'TIC_Funding'!$D$16/Assum!$F$37)),0)</f>
        <v>3619.3577491782985</v>
      </c>
      <c r="J10" s="49">
        <f>IF(AND(5&gt;Assum!$F$36,5&lt;=Assum!$F$36+Assum!$F$37),MIN(J9,IF(Assum!$F$38=2,-PPMT(Assum!$F$35,5-Assum!$F$36,Assum!$F$37,'TIC_Funding'!$D$16),'TIC_Funding'!$D$16/Assum!$F$37)),0)</f>
        <v>3619.3577491782985</v>
      </c>
      <c r="K10" s="49">
        <f>IF(AND(6&gt;Assum!$F$36,6&lt;=Assum!$F$36+Assum!$F$37),MIN(K9,IF(Assum!$F$38=2,-PPMT(Assum!$F$35,6-Assum!$F$36,Assum!$F$37,'TIC_Funding'!$D$16),'TIC_Funding'!$D$16/Assum!$F$37)),0)</f>
        <v>3619.3577491782985</v>
      </c>
      <c r="L10" s="49">
        <f>IF(AND(7&gt;Assum!$F$36,7&lt;=Assum!$F$36+Assum!$F$37),MIN(L9,IF(Assum!$F$38=2,-PPMT(Assum!$F$35,7-Assum!$F$36,Assum!$F$37,'TIC_Funding'!$D$16),'TIC_Funding'!$D$16/Assum!$F$37)),0)</f>
        <v>3619.3577491782985</v>
      </c>
      <c r="M10" s="49">
        <f>IF(AND(8&gt;Assum!$F$36,8&lt;=Assum!$F$36+Assum!$F$37),MIN(M9,IF(Assum!$F$38=2,-PPMT(Assum!$F$35,8-Assum!$F$36,Assum!$F$37,'TIC_Funding'!$D$16),'TIC_Funding'!$D$16/Assum!$F$37)),0)</f>
        <v>3619.3577491782985</v>
      </c>
      <c r="N10" s="49">
        <f>IF(AND(9&gt;Assum!$F$36,9&lt;=Assum!$F$36+Assum!$F$37),MIN(N9,IF(Assum!$F$38=2,-PPMT(Assum!$F$35,9-Assum!$F$36,Assum!$F$37,'TIC_Funding'!$D$16),'TIC_Funding'!$D$16/Assum!$F$37)),0)</f>
        <v>3619.3577491782985</v>
      </c>
      <c r="O10" s="49">
        <f>IF(AND(10&gt;Assum!$F$36,10&lt;=Assum!$F$36+Assum!$F$37),MIN(O9,IF(Assum!$F$38=2,-PPMT(Assum!$F$35,10-Assum!$F$36,Assum!$F$37,'TIC_Funding'!$D$16),'TIC_Funding'!$D$16/Assum!$F$37)),0)</f>
        <v>3619.3577491782985</v>
      </c>
      <c r="P10" s="49">
        <f>IF(AND(11&gt;Assum!$F$36,11&lt;=Assum!$F$36+Assum!$F$37),MIN(P9,IF(Assum!$F$38=2,-PPMT(Assum!$F$35,11-Assum!$F$36,Assum!$F$37,'TIC_Funding'!$D$16),'TIC_Funding'!$D$16/Assum!$F$37)),0)</f>
        <v>3619.3577491782985</v>
      </c>
      <c r="Q10" s="49">
        <f>IF(AND(12&gt;Assum!$F$36,12&lt;=Assum!$F$36+Assum!$F$37),MIN(Q9,IF(Assum!$F$38=2,-PPMT(Assum!$F$35,12-Assum!$F$36,Assum!$F$37,'TIC_Funding'!$D$16),'TIC_Funding'!$D$16/Assum!$F$37)),0)</f>
        <v>3619.3577491782985</v>
      </c>
      <c r="R10" s="49">
        <f>IF(AND(13&gt;Assum!$F$36,13&lt;=Assum!$F$36+Assum!$F$37),MIN(R9,IF(Assum!$F$38=2,-PPMT(Assum!$F$35,13-Assum!$F$36,Assum!$F$37,'TIC_Funding'!$D$16),'TIC_Funding'!$D$16/Assum!$F$37)),0)</f>
        <v>3619.3577491782985</v>
      </c>
      <c r="S10" s="49">
        <f>IF(AND(14&gt;Assum!$F$36,14&lt;=Assum!$F$36+Assum!$F$37),MIN(S9,IF(Assum!$F$38=2,-PPMT(Assum!$F$35,14-Assum!$F$36,Assum!$F$37,'TIC_Funding'!$D$16),'TIC_Funding'!$D$16/Assum!$F$37)),0)</f>
        <v>3619.3577491782985</v>
      </c>
      <c r="T10" s="49">
        <f>IF(AND(15&gt;Assum!$F$36,15&lt;=Assum!$F$36+Assum!$F$37),MIN(T9,IF(Assum!$F$38=2,-PPMT(Assum!$F$35,15-Assum!$F$36,Assum!$F$37,'TIC_Funding'!$D$16),'TIC_Funding'!$D$16/Assum!$F$37)),0)</f>
        <v>3619.3577491782985</v>
      </c>
      <c r="U10" s="49">
        <f>IF(AND(16&gt;Assum!$F$36,16&lt;=Assum!$F$36+Assum!$F$37),MIN(U9,IF(Assum!$F$38=2,-PPMT(Assum!$F$35,16-Assum!$F$36,Assum!$F$37,'TIC_Funding'!$D$16),'TIC_Funding'!$D$16/Assum!$F$37)),0)</f>
        <v>3619.3577491782985</v>
      </c>
      <c r="V10" s="49">
        <f>IF(AND(17&gt;Assum!$F$36,17&lt;=Assum!$F$36+Assum!$F$37),MIN(V9,IF(Assum!$F$38=2,-PPMT(Assum!$F$35,17-Assum!$F$36,Assum!$F$37,'TIC_Funding'!$D$16),'TIC_Funding'!$D$16/Assum!$F$37)),0)</f>
        <v>3619.357749178285</v>
      </c>
      <c r="W10" s="49">
        <f>IF(AND(18&gt;Assum!$F$36,18&lt;=Assum!$F$36+Assum!$F$37),MIN(W9,IF(Assum!$F$38=2,-PPMT(Assum!$F$35,18-Assum!$F$36,Assum!$F$37,'TIC_Funding'!$D$16),'TIC_Funding'!$D$16/Assum!$F$37)),0)</f>
        <v>0</v>
      </c>
      <c r="X10" s="49">
        <f>IF(AND(19&gt;Assum!$F$36,19&lt;=Assum!$F$36+Assum!$F$37),MIN(X9,IF(Assum!$F$38=2,-PPMT(Assum!$F$35,19-Assum!$F$36,Assum!$F$37,'TIC_Funding'!$D$16),'TIC_Funding'!$D$16/Assum!$F$37)),0)</f>
        <v>0</v>
      </c>
      <c r="Y10" s="49">
        <f>IF(AND(20&gt;Assum!$F$36,20&lt;=Assum!$F$36+Assum!$F$37),MIN(Y9,IF(Assum!$F$38=2,-PPMT(Assum!$F$35,20-Assum!$F$36,Assum!$F$37,'TIC_Funding'!$D$16),'TIC_Funding'!$D$16/Assum!$F$37)),0)</f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50671.008488496176</v>
      </c>
      <c r="I11" s="49">
        <f>I9-I10</f>
        <v>47051.650739317876</v>
      </c>
      <c r="J11" s="49">
        <f>J9-J10</f>
        <v>43432.29299013958</v>
      </c>
      <c r="K11" s="49">
        <f>K9-K10</f>
        <v>39812.93524096128</v>
      </c>
      <c r="L11" s="49">
        <f>L9-L10</f>
        <v>36193.57749178298</v>
      </c>
      <c r="M11" s="49">
        <f>M9-M10</f>
        <v>32574.219742604677</v>
      </c>
      <c r="N11" s="49">
        <f>N9-N10</f>
        <v>28954.861993426377</v>
      </c>
      <c r="O11" s="49">
        <f>O9-O10</f>
        <v>25335.504244248077</v>
      </c>
      <c r="P11" s="49">
        <f>P9-P10</f>
        <v>21716.146495069777</v>
      </c>
      <c r="Q11" s="49">
        <f>Q9-Q10</f>
        <v>18096.788745891477</v>
      </c>
      <c r="R11" s="49">
        <f>R9-R10</f>
        <v>14477.43099671318</v>
      </c>
      <c r="S11" s="49">
        <f>S9-S10</f>
        <v>10858.073247534881</v>
      </c>
      <c r="T11" s="49">
        <f>T9-T10</f>
        <v>7238.715498356583</v>
      </c>
      <c r="U11" s="49">
        <f>U9-U10</f>
        <v>3619.357749178285</v>
      </c>
      <c r="V11" s="49">
        <f>V9-V10</f>
        <v>0</v>
      </c>
      <c r="W11" s="49">
        <f>W9-W10</f>
        <v>0</v>
      </c>
      <c r="X11" s="49">
        <f>X9-X10</f>
        <v>0</v>
      </c>
      <c r="Y11" s="49">
        <f>Y9-Y10</f>
        <v>0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3123.053317822224</v>
      </c>
      <c r="I12" s="49">
        <f>(I9-I10*(Assum!$F$39-1)/(2*Assum!$F$39))*Assum!$F$35</f>
        <v>2911.320889495293</v>
      </c>
      <c r="J12" s="49">
        <f>(J9-J10*(Assum!$F$39-1)/(2*Assum!$F$39))*Assum!$F$35</f>
        <v>2699.5884611683628</v>
      </c>
      <c r="K12" s="49">
        <f>(K9-K10*(Assum!$F$39-1)/(2*Assum!$F$39))*Assum!$F$35</f>
        <v>2487.8560328414324</v>
      </c>
      <c r="L12" s="49">
        <f>(L9-L10*(Assum!$F$39-1)/(2*Assum!$F$39))*Assum!$F$35</f>
        <v>2276.123604514502</v>
      </c>
      <c r="M12" s="49">
        <f>(M9-M10*(Assum!$F$39-1)/(2*Assum!$F$39))*Assum!$F$35</f>
        <v>2064.391176187571</v>
      </c>
      <c r="N12" s="49">
        <f>(N9-N10*(Assum!$F$39-1)/(2*Assum!$F$39))*Assum!$F$35</f>
        <v>1852.658747860641</v>
      </c>
      <c r="O12" s="49">
        <f>(O9-O10*(Assum!$F$39-1)/(2*Assum!$F$39))*Assum!$F$35</f>
        <v>1640.9263195337105</v>
      </c>
      <c r="P12" s="49">
        <f>(P9-P10*(Assum!$F$39-1)/(2*Assum!$F$39))*Assum!$F$35</f>
        <v>1429.1938912067799</v>
      </c>
      <c r="Q12" s="49">
        <f>(Q9-Q10*(Assum!$F$39-1)/(2*Assum!$F$39))*Assum!$F$35</f>
        <v>1217.4614628798495</v>
      </c>
      <c r="R12" s="49">
        <f>(R9-R10*(Assum!$F$39-1)/(2*Assum!$F$39))*Assum!$F$35</f>
        <v>1005.7290345529188</v>
      </c>
      <c r="S12" s="49">
        <f>(S9-S10*(Assum!$F$39-1)/(2*Assum!$F$39))*Assum!$F$35</f>
        <v>793.9966062259883</v>
      </c>
      <c r="T12" s="49">
        <f>(T9-T10*(Assum!$F$39-1)/(2*Assum!$F$39))*Assum!$F$35</f>
        <v>582.2641778990579</v>
      </c>
      <c r="U12" s="49">
        <f>(U9-U10*(Assum!$F$39-1)/(2*Assum!$F$39))*Assum!$F$35</f>
        <v>370.53174957212747</v>
      </c>
      <c r="V12" s="49">
        <f>(V9-V10*(Assum!$F$39-1)/(2*Assum!$F$39))*Assum!$F$35</f>
        <v>158.79932124519723</v>
      </c>
      <c r="W12" s="49">
        <f>(W9-W10*(Assum!$F$39-1)/(2*Assum!$F$39))*Assum!$F$35</f>
        <v>0</v>
      </c>
      <c r="X12" s="49">
        <f>(X9-X10*(Assum!$F$39-1)/(2*Assum!$F$39))*Assum!$F$35</f>
        <v>0</v>
      </c>
      <c r="Y12" s="49">
        <f>(Y9-Y10*(Assum!$F$39-1)/(2*Assum!$F$39))*Assum!$F$35</f>
        <v>0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6742.411067000523</v>
      </c>
      <c r="I13" s="52">
        <f>I10+I12</f>
        <v>6530.678638673591</v>
      </c>
      <c r="J13" s="52">
        <f>J10+J12</f>
        <v>6318.946210346661</v>
      </c>
      <c r="K13" s="52">
        <f>K10+K12</f>
        <v>6107.213782019731</v>
      </c>
      <c r="L13" s="52">
        <f>L10+L12</f>
        <v>5895.4813536928</v>
      </c>
      <c r="M13" s="52">
        <f>M10+M12</f>
        <v>5683.74892536587</v>
      </c>
      <c r="N13" s="52">
        <f>N10+N12</f>
        <v>5472.01649703894</v>
      </c>
      <c r="O13" s="52">
        <f>O10+O12</f>
        <v>5260.284068712009</v>
      </c>
      <c r="P13" s="52">
        <f>P10+P12</f>
        <v>5048.551640385078</v>
      </c>
      <c r="Q13" s="52">
        <f>Q10+Q12</f>
        <v>4836.819212058148</v>
      </c>
      <c r="R13" s="52">
        <f>R10+R12</f>
        <v>4625.086783731217</v>
      </c>
      <c r="S13" s="52">
        <f>S10+S12</f>
        <v>4413.354355404287</v>
      </c>
      <c r="T13" s="52">
        <f>T10+T12</f>
        <v>4201.621927077356</v>
      </c>
      <c r="U13" s="52">
        <f>U10+U12</f>
        <v>3989.889498750426</v>
      </c>
      <c r="V13" s="52">
        <f>V10+V12</f>
        <v>3778.157070423482</v>
      </c>
      <c r="W13" s="52">
        <f>W10+W12</f>
        <v>0</v>
      </c>
      <c r="X13" s="52">
        <f>X10+X12</f>
        <v>0</v>
      </c>
      <c r="Y13" s="52">
        <f>Y10+Y12</f>
        <v>0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3371.205533500261</v>
      </c>
      <c r="H16" s="49">
        <f>IF(3&gt;=Assum!$F$36+Assum!$F$37,0,I13*Assum!$F$64/12)</f>
        <v>3265.3393193367956</v>
      </c>
      <c r="I16" s="49">
        <f>IF(4&gt;=Assum!$F$36+Assum!$F$37,0,J13*Assum!$F$64/12)</f>
        <v>3159.4731051733306</v>
      </c>
      <c r="J16" s="49">
        <f>IF(5&gt;=Assum!$F$36+Assum!$F$37,0,K13*Assum!$F$64/12)</f>
        <v>3053.6068910098656</v>
      </c>
      <c r="K16" s="49">
        <f>IF(6&gt;=Assum!$F$36+Assum!$F$37,0,L13*Assum!$F$64/12)</f>
        <v>2947.7406768464</v>
      </c>
      <c r="L16" s="49">
        <f>IF(7&gt;=Assum!$F$36+Assum!$F$37,0,M13*Assum!$F$64/12)</f>
        <v>2841.8744626829343</v>
      </c>
      <c r="M16" s="49">
        <f>IF(8&gt;=Assum!$F$36+Assum!$F$37,0,N13*Assum!$F$64/12)</f>
        <v>2736.0082485194703</v>
      </c>
      <c r="N16" s="49">
        <f>IF(9&gt;=Assum!$F$36+Assum!$F$37,0,O13*Assum!$F$64/12)</f>
        <v>2630.1420343560044</v>
      </c>
      <c r="O16" s="49">
        <f>IF(10&gt;=Assum!$F$36+Assum!$F$37,0,P13*Assum!$F$64/12)</f>
        <v>2524.275820192539</v>
      </c>
      <c r="P16" s="49">
        <f>IF(11&gt;=Assum!$F$36+Assum!$F$37,0,Q13*Assum!$F$64/12)</f>
        <v>2418.409606029074</v>
      </c>
      <c r="Q16" s="49">
        <f>IF(12&gt;=Assum!$F$36+Assum!$F$37,0,R13*Assum!$F$64/12)</f>
        <v>2312.5433918656086</v>
      </c>
      <c r="R16" s="49">
        <f>IF(13&gt;=Assum!$F$36+Assum!$F$37,0,S13*Assum!$F$64/12)</f>
        <v>2206.6771777021436</v>
      </c>
      <c r="S16" s="49">
        <f>IF(14&gt;=Assum!$F$36+Assum!$F$37,0,T13*Assum!$F$64/12)</f>
        <v>2100.810963538678</v>
      </c>
      <c r="T16" s="49">
        <f>IF(15&gt;=Assum!$F$36+Assum!$F$37,0,U13*Assum!$F$64/12)</f>
        <v>1994.944749375213</v>
      </c>
      <c r="U16" s="49">
        <f>IF(16&gt;=Assum!$F$36+Assum!$F$37,0,V13*Assum!$F$64/12)</f>
        <v>1889.078535211741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1783.2123210482828</v>
      </c>
      <c r="H17" s="49">
        <f>H16-G16</f>
        <v>-105.86621416346543</v>
      </c>
      <c r="I17" s="49">
        <f>I16-H16</f>
        <v>-105.86621416346497</v>
      </c>
      <c r="J17" s="49">
        <f>J16-I16</f>
        <v>-105.86621416346497</v>
      </c>
      <c r="K17" s="49">
        <f>K16-J16</f>
        <v>-105.86621416346543</v>
      </c>
      <c r="L17" s="49">
        <f>L16-K16</f>
        <v>-105.86621416346588</v>
      </c>
      <c r="M17" s="49">
        <f>M16-L16</f>
        <v>-105.86621416346406</v>
      </c>
      <c r="N17" s="49">
        <f>N16-M16</f>
        <v>-105.86621416346588</v>
      </c>
      <c r="O17" s="49">
        <f>O16-N16</f>
        <v>-105.86621416346543</v>
      </c>
      <c r="P17" s="49">
        <f>P16-O16</f>
        <v>-105.86621416346497</v>
      </c>
      <c r="Q17" s="49">
        <f>Q16-P16</f>
        <v>-105.86621416346543</v>
      </c>
      <c r="R17" s="49">
        <f>R16-Q16</f>
        <v>-105.86621416346497</v>
      </c>
      <c r="S17" s="49">
        <f>S16-R16</f>
        <v>-105.86621416346543</v>
      </c>
      <c r="T17" s="49">
        <f>T16-S16</f>
        <v>-105.8662141634652</v>
      </c>
      <c r="U17" s="49">
        <f>U16-T16</f>
        <v>-105.86621416347202</v>
      </c>
      <c r="V17" s="49">
        <f>V16-U16</f>
        <v>-1889.078535211741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0</v>
      </c>
      <c r="F19" s="22" t="str">
        <f>IF(ABS(D19)&lt;1,"완전상환 확인 (OK)","경고: 미상환 잔액 발생 — 원금상환 행 재산출 필요")</f>
        <v>완전상환 확인 (OK)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227</v>
      </c>
    </row>
    <row r="4" spans="2:25" x14ac:dyDescent="0.25">
      <c r="B4" s="11" t="s">
        <v>228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229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230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-3123.053317822224</v>
      </c>
      <c r="I14" s="29">
        <f>-'Debt'!I12</f>
        <v>-2911.320889495293</v>
      </c>
      <c r="J14" s="29">
        <f>-'Debt'!J12</f>
        <v>-2699.5884611683628</v>
      </c>
      <c r="K14" s="29">
        <f>-'Debt'!K12</f>
        <v>-2487.8560328414324</v>
      </c>
      <c r="L14" s="29">
        <f>-'Debt'!L12</f>
        <v>-2276.123604514502</v>
      </c>
      <c r="M14" s="29">
        <f>-'Debt'!M12</f>
        <v>-2064.391176187571</v>
      </c>
      <c r="N14" s="29">
        <f>-'Debt'!N12</f>
        <v>-1852.658747860641</v>
      </c>
      <c r="O14" s="29">
        <f>-'Debt'!O12</f>
        <v>-1640.9263195337105</v>
      </c>
      <c r="P14" s="29">
        <f>-'Debt'!P12</f>
        <v>-1429.1938912067799</v>
      </c>
      <c r="Q14" s="29">
        <f>-'Debt'!Q12</f>
        <v>-1217.4614628798495</v>
      </c>
      <c r="R14" s="29">
        <f>-'Debt'!R12</f>
        <v>-1005.7290345529188</v>
      </c>
      <c r="S14" s="29">
        <f>-'Debt'!S12</f>
        <v>-793.9966062259883</v>
      </c>
      <c r="T14" s="29">
        <f>-'Debt'!T12</f>
        <v>-582.2641778990579</v>
      </c>
      <c r="U14" s="29">
        <f>-'Debt'!U12</f>
        <v>-370.53174957212747</v>
      </c>
      <c r="V14" s="29">
        <f>-'Debt'!V12</f>
        <v>-158.79932124519723</v>
      </c>
      <c r="W14" s="29">
        <f>-'Debt'!W12</f>
        <v>0</v>
      </c>
      <c r="X14" s="29">
        <f>-'Debt'!X12</f>
        <v>0</v>
      </c>
      <c r="Y14" s="29">
        <f>-'Debt'!Y12</f>
        <v>0</v>
      </c>
    </row>
    <row r="15" spans="2:25" x14ac:dyDescent="0.25">
      <c r="B15" s="30" t="s">
        <v>231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1538.4745863244143</v>
      </c>
      <c r="I15" s="22">
        <f>I13+I14</f>
        <v>1780.5643279939559</v>
      </c>
      <c r="J15" s="22">
        <f>J13+J14</f>
        <v>2022.4108643778695</v>
      </c>
      <c r="K15" s="22">
        <f>K13+K14</f>
        <v>2264.004337700754</v>
      </c>
      <c r="L15" s="22">
        <f>L13+L14</f>
        <v>2505.3346747154806</v>
      </c>
      <c r="M15" s="22">
        <f>M13+M14</f>
        <v>2746.3915825607914</v>
      </c>
      <c r="N15" s="22">
        <f>N13+N14</f>
        <v>2987.164544542443</v>
      </c>
      <c r="O15" s="22">
        <f>O13+O14</f>
        <v>3227.6428158366134</v>
      </c>
      <c r="P15" s="22">
        <f>P13+P14</f>
        <v>3467.8154191140984</v>
      </c>
      <c r="Q15" s="22">
        <f>Q13+Q14</f>
        <v>3707.671140083849</v>
      </c>
      <c r="R15" s="22">
        <f>R13+R14</f>
        <v>3947.198522954467</v>
      </c>
      <c r="S15" s="22">
        <f>S13+S14</f>
        <v>4186.385865812039</v>
      </c>
      <c r="T15" s="22">
        <f>T13+T14</f>
        <v>4425.22121591291</v>
      </c>
      <c r="U15" s="22">
        <f>U13+U14</f>
        <v>4663.692364889816</v>
      </c>
      <c r="V15" s="22">
        <f>V13+V14</f>
        <v>4901.786843869731</v>
      </c>
      <c r="W15" s="22">
        <f>W13+W14</f>
        <v>5086.558811420213</v>
      </c>
      <c r="X15" s="22">
        <f>X13+X14</f>
        <v>8458.259488807711</v>
      </c>
      <c r="Y15" s="22">
        <f>Y13+Y14</f>
        <v>8483.41403604459</v>
      </c>
    </row>
    <row r="16" spans="2:25" x14ac:dyDescent="0.25">
      <c r="B16" s="28" t="s">
        <v>232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233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234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1538.4745863244143</v>
      </c>
      <c r="I18" s="49">
        <f>MAX(0,I15-I17)</f>
        <v>1780.5643279939559</v>
      </c>
      <c r="J18" s="49">
        <f>MAX(0,J15-J17)</f>
        <v>2022.4108643778695</v>
      </c>
      <c r="K18" s="49">
        <f>MAX(0,K15-K17)</f>
        <v>2264.004337700754</v>
      </c>
      <c r="L18" s="49">
        <f>MAX(0,L15-L17)</f>
        <v>2505.3346747154806</v>
      </c>
      <c r="M18" s="49">
        <f>MAX(0,M15-M17)</f>
        <v>2746.3915825607914</v>
      </c>
      <c r="N18" s="49">
        <f>MAX(0,N15-N17)</f>
        <v>2987.164544542443</v>
      </c>
      <c r="O18" s="49">
        <f>MAX(0,O15-O17)</f>
        <v>3227.6428158366134</v>
      </c>
      <c r="P18" s="49">
        <f>MAX(0,P15-P17)</f>
        <v>3467.8154191140984</v>
      </c>
      <c r="Q18" s="49">
        <f>MAX(0,Q15-Q17)</f>
        <v>3707.671140083849</v>
      </c>
      <c r="R18" s="49">
        <f>MAX(0,R15-R17)</f>
        <v>3947.198522954467</v>
      </c>
      <c r="S18" s="49">
        <f>MAX(0,S15-S17)</f>
        <v>4186.385865812039</v>
      </c>
      <c r="T18" s="49">
        <f>MAX(0,T15-T17)</f>
        <v>4425.22121591291</v>
      </c>
      <c r="U18" s="49">
        <f>MAX(0,U15-U17)</f>
        <v>4663.692364889816</v>
      </c>
      <c r="V18" s="49">
        <f>MAX(0,V15-V17)</f>
        <v>4901.786843869731</v>
      </c>
      <c r="W18" s="49">
        <f>MAX(0,W15-W17)</f>
        <v>5086.558811420213</v>
      </c>
      <c r="X18" s="49">
        <f>MAX(0,X15-X17)</f>
        <v>8458.259488807711</v>
      </c>
      <c r="Y18" s="49">
        <f>MAX(0,Y15-Y17)</f>
        <v>8483.41403604459</v>
      </c>
    </row>
    <row r="19" spans="2:25" x14ac:dyDescent="0.25">
      <c r="B19" s="28" t="s">
        <v>235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272.31017140163874</v>
      </c>
      <c r="I19" s="49">
        <f>IF(Assum!$F$58=1,IF(I18&lt;=200,I18*0.09,IF(I18&lt;=20000,18+(I18-200)*0.19,3780+(I18-20000)*0.21)),I18*Assum!$F$59)</f>
        <v>318.30722231885164</v>
      </c>
      <c r="J19" s="49">
        <f>IF(Assum!$F$58=1,IF(J18&lt;=200,J18*0.09,IF(J18&lt;=20000,18+(J18-200)*0.19,3780+(J18-20000)*0.21)),J18*Assum!$F$59)</f>
        <v>364.25806423179523</v>
      </c>
      <c r="K19" s="49">
        <f>IF(Assum!$F$58=1,IF(K18&lt;=200,K18*0.09,IF(K18&lt;=20000,18+(K18-200)*0.19,3780+(K18-20000)*0.21)),K18*Assum!$F$59)</f>
        <v>410.1608241631433</v>
      </c>
      <c r="L19" s="49">
        <f>IF(Assum!$F$58=1,IF(L18&lt;=200,L18*0.09,IF(L18&lt;=20000,18+(L18-200)*0.19,3780+(L18-20000)*0.21)),L18*Assum!$F$59)</f>
        <v>456.01358819594134</v>
      </c>
      <c r="M19" s="49">
        <f>IF(Assum!$F$58=1,IF(M18&lt;=200,M18*0.09,IF(M18&lt;=20000,18+(M18-200)*0.19,3780+(M18-20000)*0.21)),M18*Assum!$F$59)</f>
        <v>501.81440068655036</v>
      </c>
      <c r="N19" s="49">
        <f>IF(Assum!$F$58=1,IF(N18&lt;=200,N18*0.09,IF(N18&lt;=20000,18+(N18-200)*0.19,3780+(N18-20000)*0.21)),N18*Assum!$F$59)</f>
        <v>547.5612634630642</v>
      </c>
      <c r="O19" s="49">
        <f>IF(Assum!$F$58=1,IF(O18&lt;=200,O18*0.09,IF(O18&lt;=20000,18+(O18-200)*0.19,3780+(O18-20000)*0.21)),O18*Assum!$F$59)</f>
        <v>593.2521350089565</v>
      </c>
      <c r="P19" s="49">
        <f>IF(Assum!$F$58=1,IF(P18&lt;=200,P18*0.09,IF(P18&lt;=20000,18+(P18-200)*0.19,3780+(P18-20000)*0.21)),P18*Assum!$F$59)</f>
        <v>638.8849296316787</v>
      </c>
      <c r="Q19" s="49">
        <f>IF(Assum!$F$58=1,IF(Q18&lt;=200,Q18*0.09,IF(Q18&lt;=20000,18+(Q18-200)*0.19,3780+(Q18-20000)*0.21)),Q18*Assum!$F$59)</f>
        <v>684.4575166159314</v>
      </c>
      <c r="R19" s="49">
        <f>IF(Assum!$F$58=1,IF(R18&lt;=200,R18*0.09,IF(R18&lt;=20000,18+(R18-200)*0.19,3780+(R18-20000)*0.21)),R18*Assum!$F$59)</f>
        <v>729.9677193613487</v>
      </c>
      <c r="S19" s="49">
        <f>IF(Assum!$F$58=1,IF(S18&lt;=200,S18*0.09,IF(S18&lt;=20000,18+(S18-200)*0.19,3780+(S18-20000)*0.21)),S18*Assum!$F$59)</f>
        <v>775.4133145042874</v>
      </c>
      <c r="T19" s="49">
        <f>IF(Assum!$F$58=1,IF(T18&lt;=200,T18*0.09,IF(T18&lt;=20000,18+(T18-200)*0.19,3780+(T18-20000)*0.21)),T18*Assum!$F$59)</f>
        <v>820.792031023453</v>
      </c>
      <c r="U19" s="49">
        <f>IF(Assum!$F$58=1,IF(U18&lt;=200,U18*0.09,IF(U18&lt;=20000,18+(U18-200)*0.19,3780+(U18-20000)*0.21)),U18*Assum!$F$59)</f>
        <v>866.1015493290652</v>
      </c>
      <c r="V19" s="49">
        <f>IF(Assum!$F$58=1,IF(V18&lt;=200,V18*0.09,IF(V18&lt;=20000,18+(V18-200)*0.19,3780+(V18-20000)*0.21)),V18*Assum!$F$59)</f>
        <v>911.3395003352488</v>
      </c>
      <c r="W19" s="49">
        <f>IF(Assum!$F$58=1,IF(W18&lt;=200,W18*0.09,IF(W18&lt;=20000,18+(W18-200)*0.19,3780+(W18-20000)*0.21)),W18*Assum!$F$59)</f>
        <v>946.4461741698404</v>
      </c>
      <c r="X19" s="49">
        <f>IF(Assum!$F$58=1,IF(X18&lt;=200,X18*0.09,IF(X18&lt;=20000,18+(X18-200)*0.19,3780+(X18-20000)*0.21)),X18*Assum!$F$59)</f>
        <v>1587.0693028734652</v>
      </c>
      <c r="Y19" s="49">
        <f>IF(Assum!$F$58=1,IF(Y18&lt;=200,Y18*0.09,IF(Y18&lt;=20000,18+(Y18-200)*0.19,3780+(Y18-20000)*0.21)),Y18*Assum!$F$59)</f>
        <v>1591.8486668484722</v>
      </c>
    </row>
    <row r="20" spans="2:25" x14ac:dyDescent="0.25">
      <c r="B20" s="28" t="s">
        <v>236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1266.1644149227754</v>
      </c>
      <c r="I21" s="52">
        <f>I15-I19</f>
        <v>1462.2571056751042</v>
      </c>
      <c r="J21" s="52">
        <f>J15-J19</f>
        <v>1658.1528001460742</v>
      </c>
      <c r="K21" s="52">
        <f>K15-K19</f>
        <v>1853.8435135376108</v>
      </c>
      <c r="L21" s="52">
        <f>L15-L19</f>
        <v>2049.321086519539</v>
      </c>
      <c r="M21" s="52">
        <f>M15-M19</f>
        <v>2244.577181874241</v>
      </c>
      <c r="N21" s="52">
        <f>N15-N19</f>
        <v>2439.6032810793786</v>
      </c>
      <c r="O21" s="52">
        <f>O15-O19</f>
        <v>2634.390680827657</v>
      </c>
      <c r="P21" s="52">
        <f>P15-P19</f>
        <v>2828.93048948242</v>
      </c>
      <c r="Q21" s="52">
        <f>Q15-Q19</f>
        <v>3023.2136234679174</v>
      </c>
      <c r="R21" s="52">
        <f>R15-R19</f>
        <v>3217.2308035931183</v>
      </c>
      <c r="S21" s="52">
        <f>S15-S19</f>
        <v>3410.9725513077515</v>
      </c>
      <c r="T21" s="52">
        <f>T15-T19</f>
        <v>3604.4291848894572</v>
      </c>
      <c r="U21" s="52">
        <f>U15-U19</f>
        <v>3797.5908155607513</v>
      </c>
      <c r="V21" s="52">
        <f>V15-V19</f>
        <v>3990.4473435344817</v>
      </c>
      <c r="W21" s="52">
        <f>W15-W19</f>
        <v>4140.112637250372</v>
      </c>
      <c r="X21" s="52">
        <f>X15-X19</f>
        <v>6871.190185934246</v>
      </c>
      <c r="Y21" s="52">
        <f>Y15-Y19</f>
        <v>6891.565369196119</v>
      </c>
    </row>
    <row r="23" spans="2:25" x14ac:dyDescent="0.25">
      <c r="B23" s="28" t="s">
        <v>237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238</v>
      </c>
    </row>
    <row r="4" spans="2:25" x14ac:dyDescent="0.25">
      <c r="B4" s="11" t="s">
        <v>239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240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-272.31017140163874</v>
      </c>
      <c r="I10" s="29">
        <f>-'IS(Y)'!I19</f>
        <v>-318.30722231885164</v>
      </c>
      <c r="J10" s="29">
        <f>-'IS(Y)'!J19</f>
        <v>-364.25806423179523</v>
      </c>
      <c r="K10" s="29">
        <f>-'IS(Y)'!K19</f>
        <v>-410.1608241631433</v>
      </c>
      <c r="L10" s="29">
        <f>-'IS(Y)'!L19</f>
        <v>-456.01358819594134</v>
      </c>
      <c r="M10" s="29">
        <f>-'IS(Y)'!M19</f>
        <v>-501.81440068655036</v>
      </c>
      <c r="N10" s="29">
        <f>-'IS(Y)'!N19</f>
        <v>-547.5612634630642</v>
      </c>
      <c r="O10" s="29">
        <f>-'IS(Y)'!O19</f>
        <v>-593.2521350089565</v>
      </c>
      <c r="P10" s="29">
        <f>-'IS(Y)'!P19</f>
        <v>-638.8849296316787</v>
      </c>
      <c r="Q10" s="29">
        <f>-'IS(Y)'!Q19</f>
        <v>-684.4575166159314</v>
      </c>
      <c r="R10" s="29">
        <f>-'IS(Y)'!R19</f>
        <v>-729.9677193613487</v>
      </c>
      <c r="S10" s="29">
        <f>-'IS(Y)'!S19</f>
        <v>-775.4133145042874</v>
      </c>
      <c r="T10" s="29">
        <f>-'IS(Y)'!T19</f>
        <v>-820.792031023453</v>
      </c>
      <c r="U10" s="29">
        <f>-'IS(Y)'!U19</f>
        <v>-866.1015493290652</v>
      </c>
      <c r="V10" s="29">
        <f>-'IS(Y)'!V19</f>
        <v>-911.3395003352488</v>
      </c>
      <c r="W10" s="29">
        <f>-'IS(Y)'!W19</f>
        <v>-946.4461741698404</v>
      </c>
      <c r="X10" s="29">
        <f>-'IS(Y)'!X19</f>
        <v>-1587.0693028734652</v>
      </c>
      <c r="Y10" s="29">
        <f>-'IS(Y)'!Y19</f>
        <v>-1591.8486668484722</v>
      </c>
    </row>
    <row r="11" spans="2:25" x14ac:dyDescent="0.25">
      <c r="B11" s="50" t="s">
        <v>241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7735.348173066709</v>
      </c>
      <c r="I11" s="52">
        <f>I9+I10</f>
        <v>7719.708435492106</v>
      </c>
      <c r="J11" s="52">
        <f>J9+J10</f>
        <v>7703.871701636145</v>
      </c>
      <c r="K11" s="52">
        <f>K9+K10</f>
        <v>7687.829986700752</v>
      </c>
      <c r="L11" s="52">
        <f>L9+L10</f>
        <v>7671.57513135575</v>
      </c>
      <c r="M11" s="52">
        <f>M9+M10</f>
        <v>7655.098798383521</v>
      </c>
      <c r="N11" s="52">
        <f>N9+N10</f>
        <v>7638.392469261728</v>
      </c>
      <c r="O11" s="52">
        <f>O9+O10</f>
        <v>7621.447440683077</v>
      </c>
      <c r="P11" s="52">
        <f>P9+P10</f>
        <v>7604.254821010909</v>
      </c>
      <c r="Q11" s="52">
        <f>Q9+Q10</f>
        <v>7586.805526669476</v>
      </c>
      <c r="R11" s="52">
        <f>R9+R10</f>
        <v>7569.090278467746</v>
      </c>
      <c r="S11" s="52">
        <f>S9+S10</f>
        <v>7551.099597855449</v>
      </c>
      <c r="T11" s="52">
        <f>T9+T10</f>
        <v>7532.823803110225</v>
      </c>
      <c r="U11" s="52">
        <f>U9+U10</f>
        <v>7514.253005454588</v>
      </c>
      <c r="V11" s="52">
        <f>V9+V10</f>
        <v>7495.377105101388</v>
      </c>
      <c r="W11" s="52">
        <f>W9+W10</f>
        <v>7486.243077572081</v>
      </c>
      <c r="X11" s="52">
        <f>X9+X10</f>
        <v>6871.190185934246</v>
      </c>
      <c r="Y11" s="52">
        <f>Y9+Y10</f>
        <v>6891.565369196119</v>
      </c>
    </row>
    <row r="12" spans="2:25" x14ac:dyDescent="0.25">
      <c r="B12" s="11" t="s">
        <v>242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243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-6742.411067000523</v>
      </c>
      <c r="I13" s="29">
        <f>-'Debt'!I13</f>
        <v>-6530.678638673591</v>
      </c>
      <c r="J13" s="29">
        <f>-'Debt'!J13</f>
        <v>-6318.946210346661</v>
      </c>
      <c r="K13" s="29">
        <f>-'Debt'!K13</f>
        <v>-6107.213782019731</v>
      </c>
      <c r="L13" s="29">
        <f>-'Debt'!L13</f>
        <v>-5895.4813536928</v>
      </c>
      <c r="M13" s="29">
        <f>-'Debt'!M13</f>
        <v>-5683.74892536587</v>
      </c>
      <c r="N13" s="29">
        <f>-'Debt'!N13</f>
        <v>-5472.01649703894</v>
      </c>
      <c r="O13" s="29">
        <f>-'Debt'!O13</f>
        <v>-5260.284068712009</v>
      </c>
      <c r="P13" s="29">
        <f>-'Debt'!P13</f>
        <v>-5048.551640385078</v>
      </c>
      <c r="Q13" s="29">
        <f>-'Debt'!Q13</f>
        <v>-4836.819212058148</v>
      </c>
      <c r="R13" s="29">
        <f>-'Debt'!R13</f>
        <v>-4625.086783731217</v>
      </c>
      <c r="S13" s="29">
        <f>-'Debt'!S13</f>
        <v>-4413.354355404287</v>
      </c>
      <c r="T13" s="29">
        <f>-'Debt'!T13</f>
        <v>-4201.621927077356</v>
      </c>
      <c r="U13" s="29">
        <f>-'Debt'!U13</f>
        <v>-3989.889498750426</v>
      </c>
      <c r="V13" s="29">
        <f>-'Debt'!V13</f>
        <v>-3778.157070423482</v>
      </c>
      <c r="W13" s="29">
        <f>-'Debt'!W13</f>
        <v>0</v>
      </c>
      <c r="X13" s="29">
        <f>-'Debt'!X13</f>
        <v>0</v>
      </c>
      <c r="Y13" s="29">
        <f>-'Debt'!Y13</f>
        <v>0</v>
      </c>
    </row>
    <row r="14" spans="2:25" x14ac:dyDescent="0.25">
      <c r="B14" s="28" t="s">
        <v>244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-1783.2123210482828</v>
      </c>
      <c r="H14" s="29">
        <f>-'Debt'!H17</f>
        <v>105.86621416346543</v>
      </c>
      <c r="I14" s="29">
        <f>-'Debt'!I17</f>
        <v>105.86621416346497</v>
      </c>
      <c r="J14" s="29">
        <f>-'Debt'!J17</f>
        <v>105.86621416346497</v>
      </c>
      <c r="K14" s="29">
        <f>-'Debt'!K17</f>
        <v>105.86621416346543</v>
      </c>
      <c r="L14" s="29">
        <f>-'Debt'!L17</f>
        <v>105.86621416346588</v>
      </c>
      <c r="M14" s="29">
        <f>-'Debt'!M17</f>
        <v>105.86621416346406</v>
      </c>
      <c r="N14" s="29">
        <f>-'Debt'!N17</f>
        <v>105.86621416346588</v>
      </c>
      <c r="O14" s="29">
        <f>-'Debt'!O17</f>
        <v>105.86621416346543</v>
      </c>
      <c r="P14" s="29">
        <f>-'Debt'!P17</f>
        <v>105.86621416346497</v>
      </c>
      <c r="Q14" s="29">
        <f>-'Debt'!Q17</f>
        <v>105.86621416346543</v>
      </c>
      <c r="R14" s="29">
        <f>-'Debt'!R17</f>
        <v>105.86621416346497</v>
      </c>
      <c r="S14" s="29">
        <f>-'Debt'!S17</f>
        <v>105.86621416346543</v>
      </c>
      <c r="T14" s="29">
        <f>-'Debt'!T17</f>
        <v>105.8662141634652</v>
      </c>
      <c r="U14" s="29">
        <f>-'Debt'!U17</f>
        <v>105.86621416347202</v>
      </c>
      <c r="V14" s="29">
        <f>-'Debt'!V17</f>
        <v>1889.078535211741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245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246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2761.4281109317094</v>
      </c>
      <c r="H17" s="52">
        <f>H11+H13+H14+H15</f>
        <v>1098.8033202296515</v>
      </c>
      <c r="I17" s="52">
        <f>I11+I13+I14+I15</f>
        <v>1294.89601098198</v>
      </c>
      <c r="J17" s="52">
        <f>J11+J13+J14+J15</f>
        <v>1490.791705452949</v>
      </c>
      <c r="K17" s="52">
        <f>K11+K13+K14+K15</f>
        <v>1686.482418844486</v>
      </c>
      <c r="L17" s="52">
        <f>L11+L13+L14+L15</f>
        <v>1881.9599918264157</v>
      </c>
      <c r="M17" s="52">
        <f>M11+M13+M14+M15</f>
        <v>2077.2160871811157</v>
      </c>
      <c r="N17" s="52">
        <f>N11+N13+N14+N15</f>
        <v>2272.2421863862546</v>
      </c>
      <c r="O17" s="52">
        <f>O11+O13+O14+O15</f>
        <v>2467.0295861345335</v>
      </c>
      <c r="P17" s="52">
        <f>P11+P13+P14+P15</f>
        <v>2661.569394789296</v>
      </c>
      <c r="Q17" s="52">
        <f>Q11+Q13+Q14+Q15</f>
        <v>2855.852528774794</v>
      </c>
      <c r="R17" s="52">
        <f>R11+R13+R14+R15</f>
        <v>3049.8697088999943</v>
      </c>
      <c r="S17" s="52">
        <f>S11+S13+S14+S15</f>
        <v>3243.6114566146275</v>
      </c>
      <c r="T17" s="52">
        <f>T11+T13+T14+T15</f>
        <v>3437.0680901963333</v>
      </c>
      <c r="U17" s="52">
        <f>U11+U13+U14+U15</f>
        <v>3630.2297208676337</v>
      </c>
      <c r="V17" s="52">
        <f>V11+V13+V14+V15</f>
        <v>5606.298569889647</v>
      </c>
      <c r="W17" s="52">
        <f>W11+W13+W14+W15</f>
        <v>7486.243077572081</v>
      </c>
      <c r="X17" s="52">
        <f>X11+X13+X14+X15</f>
        <v>6871.190185934246</v>
      </c>
      <c r="Y17" s="52">
        <f>Y11+Y13+Y14+Y15</f>
        <v>5291.565369196119</v>
      </c>
    </row>
    <row r="18" spans="2:25" x14ac:dyDescent="0.25">
      <c r="B18" s="11" t="s">
        <v>247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248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8291.918506998305</v>
      </c>
      <c r="I19" s="22">
        <f>IF(AND(4&gt;=Assum!$F$67,IF(ISNUMBER('DSCR'!I11),'DSCR'!I11,99)&gt;=Assum!$F$66),MAX(0,I21+I17-IF(4=Assum!$F$18,0,Assum!$F$65)),0)</f>
        <v>1294.89601098198</v>
      </c>
      <c r="J19" s="22">
        <f>IF(AND(5&gt;=Assum!$F$67,IF(ISNUMBER('DSCR'!J11),'DSCR'!J11,99)&gt;=Assum!$F$66),MAX(0,J21+J17-IF(5=Assum!$F$18,0,Assum!$F$65)),0)</f>
        <v>1490.791705452949</v>
      </c>
      <c r="K19" s="22">
        <f>IF(AND(6&gt;=Assum!$F$67,IF(ISNUMBER('DSCR'!K11),'DSCR'!K11,99)&gt;=Assum!$F$66),MAX(0,K21+K17-IF(6=Assum!$F$18,0,Assum!$F$65)),0)</f>
        <v>1686.482418844486</v>
      </c>
      <c r="L19" s="22">
        <f>IF(AND(7&gt;=Assum!$F$67,IF(ISNUMBER('DSCR'!L11),'DSCR'!L11,99)&gt;=Assum!$F$66),MAX(0,L21+L17-IF(7=Assum!$F$18,0,Assum!$F$65)),0)</f>
        <v>1881.9599918264157</v>
      </c>
      <c r="M19" s="22">
        <f>IF(AND(8&gt;=Assum!$F$67,IF(ISNUMBER('DSCR'!M11),'DSCR'!M11,99)&gt;=Assum!$F$66),MAX(0,M21+M17-IF(8=Assum!$F$18,0,Assum!$F$65)),0)</f>
        <v>2077.2160871811157</v>
      </c>
      <c r="N19" s="22">
        <f>IF(AND(9&gt;=Assum!$F$67,IF(ISNUMBER('DSCR'!N11),'DSCR'!N11,99)&gt;=Assum!$F$66),MAX(0,N21+N17-IF(9=Assum!$F$18,0,Assum!$F$65)),0)</f>
        <v>2272.2421863862546</v>
      </c>
      <c r="O19" s="22">
        <f>IF(AND(10&gt;=Assum!$F$67,IF(ISNUMBER('DSCR'!O11),'DSCR'!O11,99)&gt;=Assum!$F$66),MAX(0,O21+O17-IF(10=Assum!$F$18,0,Assum!$F$65)),0)</f>
        <v>2467.0295861345335</v>
      </c>
      <c r="P19" s="22">
        <f>IF(AND(11&gt;=Assum!$F$67,IF(ISNUMBER('DSCR'!P11),'DSCR'!P11,99)&gt;=Assum!$F$66),MAX(0,P21+P17-IF(11=Assum!$F$18,0,Assum!$F$65)),0)</f>
        <v>2661.569394789296</v>
      </c>
      <c r="Q19" s="22">
        <f>IF(AND(12&gt;=Assum!$F$67,IF(ISNUMBER('DSCR'!Q11),'DSCR'!Q11,99)&gt;=Assum!$F$66),MAX(0,Q21+Q17-IF(12=Assum!$F$18,0,Assum!$F$65)),0)</f>
        <v>2855.852528774794</v>
      </c>
      <c r="R19" s="22">
        <f>IF(AND(13&gt;=Assum!$F$67,IF(ISNUMBER('DSCR'!R11),'DSCR'!R11,99)&gt;=Assum!$F$66),MAX(0,R21+R17-IF(13=Assum!$F$18,0,Assum!$F$65)),0)</f>
        <v>3049.8697088999943</v>
      </c>
      <c r="S19" s="22">
        <f>IF(AND(14&gt;=Assum!$F$67,IF(ISNUMBER('DSCR'!S11),'DSCR'!S11,99)&gt;=Assum!$F$66),MAX(0,S21+S17-IF(14=Assum!$F$18,0,Assum!$F$65)),0)</f>
        <v>3243.611456614628</v>
      </c>
      <c r="T19" s="22">
        <f>IF(AND(15&gt;=Assum!$F$67,IF(ISNUMBER('DSCR'!T11),'DSCR'!T11,99)&gt;=Assum!$F$66),MAX(0,T21+T17-IF(15=Assum!$F$18,0,Assum!$F$65)),0)</f>
        <v>3437.0680901963333</v>
      </c>
      <c r="U19" s="22">
        <f>IF(AND(16&gt;=Assum!$F$67,IF(ISNUMBER('DSCR'!U11),'DSCR'!U11,99)&gt;=Assum!$F$66),MAX(0,U21+U17-IF(16=Assum!$F$18,0,Assum!$F$65)),0)</f>
        <v>3630.2297208676337</v>
      </c>
      <c r="V19" s="22">
        <f>IF(AND(17&gt;=Assum!$F$67,IF(ISNUMBER('DSCR'!V11),'DSCR'!V11,99)&gt;=Assum!$F$66),MAX(0,V21+V17-IF(17=Assum!$F$18,0,Assum!$F$65)),0)</f>
        <v>5606.298569889647</v>
      </c>
      <c r="W19" s="22">
        <f>IF(AND(18&gt;=Assum!$F$67,IF(ISNUMBER('DSCR'!W11),'DSCR'!W11,99)&gt;=Assum!$F$66),MAX(0,W21+W17-IF(18=Assum!$F$18,0,Assum!$F$65)),0)</f>
        <v>7486.243077572082</v>
      </c>
      <c r="X19" s="22">
        <f>IF(AND(19&gt;=Assum!$F$67,IF(ISNUMBER('DSCR'!X11),'DSCR'!X11,99)&gt;=Assum!$F$66),MAX(0,X21+X17-IF(19=Assum!$F$18,0,Assum!$F$65)),0)</f>
        <v>6871.190185934246</v>
      </c>
      <c r="Y19" s="22">
        <f>IF(AND(20&gt;=Assum!$F$67,IF(ISNUMBER('DSCR'!Y11),'DSCR'!Y11,99)&gt;=Assum!$F$66),MAX(0,Y21+Y17-IF(20=Assum!$F$18,0,Assum!$F$65)),0)</f>
        <v>6291.565369196119</v>
      </c>
    </row>
    <row r="21" spans="2:25" x14ac:dyDescent="0.25">
      <c r="B21" s="28" t="s">
        <v>249</v>
      </c>
      <c r="C21" s="48" t="s">
        <v>129</v>
      </c>
      <c r="F21" s="49">
        <v>0</v>
      </c>
      <c r="G21" s="49">
        <f>F22</f>
        <v>5431.687075836944</v>
      </c>
      <c r="H21" s="49">
        <f>G22</f>
        <v>8193.115186768653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250</v>
      </c>
      <c r="C22" s="48" t="s">
        <v>129</v>
      </c>
      <c r="F22" s="49">
        <f>F21+F17-F19</f>
        <v>5431.687075836944</v>
      </c>
      <c r="G22" s="49">
        <f>G21+G17-G19</f>
        <v>8193.115186768653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251</v>
      </c>
      <c r="C23" s="48" t="s">
        <v>129</v>
      </c>
      <c r="F23" s="29">
        <f>'Debt'!F16</f>
        <v>1587.9932124519783</v>
      </c>
      <c r="G23" s="29">
        <f>'Debt'!G16</f>
        <v>3371.205533500261</v>
      </c>
      <c r="H23" s="29">
        <f>'Debt'!H16</f>
        <v>3265.3393193367956</v>
      </c>
      <c r="I23" s="29">
        <f>'Debt'!I16</f>
        <v>3159.4731051733306</v>
      </c>
      <c r="J23" s="29">
        <f>'Debt'!J16</f>
        <v>3053.6068910098656</v>
      </c>
      <c r="K23" s="29">
        <f>'Debt'!K16</f>
        <v>2947.7406768464</v>
      </c>
      <c r="L23" s="29">
        <f>'Debt'!L16</f>
        <v>2841.8744626829343</v>
      </c>
      <c r="M23" s="29">
        <f>'Debt'!M16</f>
        <v>2736.0082485194703</v>
      </c>
      <c r="N23" s="29">
        <f>'Debt'!N16</f>
        <v>2630.1420343560044</v>
      </c>
      <c r="O23" s="29">
        <f>'Debt'!O16</f>
        <v>2524.275820192539</v>
      </c>
      <c r="P23" s="29">
        <f>'Debt'!P16</f>
        <v>2418.409606029074</v>
      </c>
      <c r="Q23" s="29">
        <f>'Debt'!Q16</f>
        <v>2312.5433918656086</v>
      </c>
      <c r="R23" s="29">
        <f>'Debt'!R16</f>
        <v>2206.6771777021436</v>
      </c>
      <c r="S23" s="29">
        <f>'Debt'!S16</f>
        <v>2100.810963538678</v>
      </c>
      <c r="T23" s="29">
        <f>'Debt'!T16</f>
        <v>1994.944749375213</v>
      </c>
      <c r="U23" s="29">
        <f>'Debt'!U16</f>
        <v>1889.078535211741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252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7735.348173066709</v>
      </c>
      <c r="I9" s="29">
        <f>'CF(Y)'!I11</f>
        <v>7719.708435492106</v>
      </c>
      <c r="J9" s="29">
        <f>'CF(Y)'!J11</f>
        <v>7703.871701636145</v>
      </c>
      <c r="K9" s="29">
        <f>'CF(Y)'!K11</f>
        <v>7687.829986700752</v>
      </c>
      <c r="L9" s="29">
        <f>'CF(Y)'!L11</f>
        <v>7671.57513135575</v>
      </c>
      <c r="M9" s="29">
        <f>'CF(Y)'!M11</f>
        <v>7655.098798383521</v>
      </c>
      <c r="N9" s="29">
        <f>'CF(Y)'!N11</f>
        <v>7638.392469261728</v>
      </c>
      <c r="O9" s="29">
        <f>'CF(Y)'!O11</f>
        <v>7621.447440683077</v>
      </c>
      <c r="P9" s="29">
        <f>'CF(Y)'!P11</f>
        <v>7604.254821010909</v>
      </c>
      <c r="Q9" s="29">
        <f>'CF(Y)'!Q11</f>
        <v>7586.805526669476</v>
      </c>
      <c r="R9" s="29">
        <f>'CF(Y)'!R11</f>
        <v>7569.090278467746</v>
      </c>
      <c r="S9" s="29">
        <f>'CF(Y)'!S11</f>
        <v>7551.099597855449</v>
      </c>
      <c r="T9" s="29">
        <f>'CF(Y)'!T11</f>
        <v>7532.823803110225</v>
      </c>
      <c r="U9" s="29">
        <f>'CF(Y)'!U11</f>
        <v>7514.253005454588</v>
      </c>
      <c r="V9" s="29">
        <f>'CF(Y)'!V11</f>
        <v>7495.377105101388</v>
      </c>
      <c r="W9" s="29">
        <f>'CF(Y)'!W11</f>
        <v>7486.243077572081</v>
      </c>
      <c r="X9" s="29">
        <f>'CF(Y)'!X11</f>
        <v>6871.190185934246</v>
      </c>
      <c r="Y9" s="29">
        <f>'CF(Y)'!Y11</f>
        <v>6891.565369196119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6742.411067000523</v>
      </c>
      <c r="I10" s="29">
        <f>'Debt'!I13</f>
        <v>6530.678638673591</v>
      </c>
      <c r="J10" s="29">
        <f>'Debt'!J13</f>
        <v>6318.946210346661</v>
      </c>
      <c r="K10" s="29">
        <f>'Debt'!K13</f>
        <v>6107.213782019731</v>
      </c>
      <c r="L10" s="29">
        <f>'Debt'!L13</f>
        <v>5895.4813536928</v>
      </c>
      <c r="M10" s="29">
        <f>'Debt'!M13</f>
        <v>5683.74892536587</v>
      </c>
      <c r="N10" s="29">
        <f>'Debt'!N13</f>
        <v>5472.01649703894</v>
      </c>
      <c r="O10" s="29">
        <f>'Debt'!O13</f>
        <v>5260.284068712009</v>
      </c>
      <c r="P10" s="29">
        <f>'Debt'!P13</f>
        <v>5048.551640385078</v>
      </c>
      <c r="Q10" s="29">
        <f>'Debt'!Q13</f>
        <v>4836.819212058148</v>
      </c>
      <c r="R10" s="29">
        <f>'Debt'!R13</f>
        <v>4625.086783731217</v>
      </c>
      <c r="S10" s="29">
        <f>'Debt'!S13</f>
        <v>4413.354355404287</v>
      </c>
      <c r="T10" s="29">
        <f>'Debt'!T13</f>
        <v>4201.621927077356</v>
      </c>
      <c r="U10" s="29">
        <f>'Debt'!U13</f>
        <v>3989.889498750426</v>
      </c>
      <c r="V10" s="29">
        <f>'Debt'!V13</f>
        <v>3778.157070423482</v>
      </c>
      <c r="W10" s="29">
        <f>'Debt'!W13</f>
        <v>0</v>
      </c>
      <c r="X10" s="29">
        <f>'Debt'!X13</f>
        <v>0</v>
      </c>
      <c r="Y10" s="29">
        <f>'Debt'!Y13</f>
        <v>0</v>
      </c>
    </row>
    <row r="11" spans="2:25" x14ac:dyDescent="0.25">
      <c r="B11" s="50" t="s">
        <v>253</v>
      </c>
      <c r="C11" s="53" t="s">
        <v>151</v>
      </c>
      <c r="D11" s="54"/>
      <c r="E11" s="54"/>
      <c r="F11" s="63">
        <f>IF(F10&lt;=0.001,"-",F9/F10)</f>
        <v>2.423079221261344</v>
      </c>
      <c r="G11" s="63">
        <f>IF(G10&lt;=0.001,"-",G9/G10)</f>
        <v>2.4309382421612287</v>
      </c>
      <c r="H11" s="63">
        <f>IF(H10&lt;=0.001,"-",H9/H10)</f>
        <v>1.1472673641816251</v>
      </c>
      <c r="I11" s="63">
        <f>IF(I10&lt;=0.001,"-",I9/I10)</f>
        <v>1.182068336631553</v>
      </c>
      <c r="J11" s="63">
        <f>IF(J10&lt;=0.001,"-",J9/J10)</f>
        <v>1.2191703244793892</v>
      </c>
      <c r="K11" s="63">
        <f>IF(K10&lt;=0.001,"-",K9/K10)</f>
        <v>1.2588113436170383</v>
      </c>
      <c r="L11" s="63">
        <f>IF(L10&lt;=0.001,"-",L9/L10)</f>
        <v>1.3012635730838913</v>
      </c>
      <c r="M11" s="63">
        <f>IF(M10&lt;=0.001,"-",M9/M10)</f>
        <v>1.3468397177468132</v>
      </c>
      <c r="N11" s="63">
        <f>IF(N10&lt;=0.001,"-",N9/N10)</f>
        <v>1.3959008481416448</v>
      </c>
      <c r="O11" s="63">
        <f>IF(O10&lt;=0.001,"-",O9/O10)</f>
        <v>1.4488661336780626</v>
      </c>
      <c r="P11" s="63">
        <f>IF(P10&lt;=0.001,"-",P9/P10)</f>
        <v>1.5062250250511244</v>
      </c>
      <c r="Q11" s="63">
        <f>IF(Q10&lt;=0.001,"-",Q9/Q10)</f>
        <v>1.5685526363597873</v>
      </c>
      <c r="R11" s="63">
        <f>IF(R10&lt;=0.001,"-",R9/R10)</f>
        <v>1.6365293522906612</v>
      </c>
      <c r="S11" s="63">
        <f>IF(S10&lt;=0.001,"-",S9/S10)</f>
        <v>1.7109660792609815</v>
      </c>
      <c r="T11" s="63">
        <f>IF(T10&lt;=0.001,"-",T9/T10)</f>
        <v>1.7928371314336815</v>
      </c>
      <c r="U11" s="63">
        <f>IF(U10&lt;=0.001,"-",U9/U10)</f>
        <v>1.8833235877354348</v>
      </c>
      <c r="V11" s="63">
        <f>IF(V10&lt;=0.001,"-",V9/V10)</f>
        <v>1.98387122752979</v>
      </c>
      <c r="W11" s="63" t="str">
        <f>IF(W10&lt;=0.001,"-",W9/W10)</f>
        <v>-</v>
      </c>
      <c r="X11" s="63" t="str">
        <f>IF(X10&lt;=0.001,"-",X9/X10)</f>
        <v>-</v>
      </c>
      <c r="Y11" s="63" t="str">
        <f>IF(Y10&lt;=0.001,"-",Y9/Y10)</f>
        <v>-</v>
      </c>
    </row>
    <row r="13" spans="2:4" x14ac:dyDescent="0.25">
      <c r="B13" s="30" t="s">
        <v>254</v>
      </c>
      <c r="C13" s="48" t="s">
        <v>151</v>
      </c>
      <c r="D13" s="64">
        <f>MIN(F11:Y11)</f>
        <v>1.1472673641816251</v>
      </c>
    </row>
    <row r="14" spans="2:4" x14ac:dyDescent="0.25">
      <c r="B14" s="30" t="s">
        <v>255</v>
      </c>
      <c r="C14" s="48" t="s">
        <v>151</v>
      </c>
      <c r="D14" s="64">
        <f>IFERROR(AVERAGE(F11:Y11),0)</f>
        <v>1.6021476555672973</v>
      </c>
    </row>
    <row r="16" spans="2:2" x14ac:dyDescent="0.25">
      <c r="B16" s="32" t="s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257</v>
      </c>
    </row>
    <row r="4" spans="2:25" x14ac:dyDescent="0.25">
      <c r="B4" s="11" t="s">
        <v>258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259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-272.31017140163874</v>
      </c>
      <c r="I11" s="29">
        <f>-'IS(Y)'!I19</f>
        <v>-318.30722231885164</v>
      </c>
      <c r="J11" s="29">
        <f>-'IS(Y)'!J19</f>
        <v>-364.25806423179523</v>
      </c>
      <c r="K11" s="29">
        <f>-'IS(Y)'!K19</f>
        <v>-410.1608241631433</v>
      </c>
      <c r="L11" s="29">
        <f>-'IS(Y)'!L19</f>
        <v>-456.01358819594134</v>
      </c>
      <c r="M11" s="29">
        <f>-'IS(Y)'!M19</f>
        <v>-501.81440068655036</v>
      </c>
      <c r="N11" s="29">
        <f>-'IS(Y)'!N19</f>
        <v>-547.5612634630642</v>
      </c>
      <c r="O11" s="29">
        <f>-'IS(Y)'!O19</f>
        <v>-593.2521350089565</v>
      </c>
      <c r="P11" s="29">
        <f>-'IS(Y)'!P19</f>
        <v>-638.8849296316787</v>
      </c>
      <c r="Q11" s="29">
        <f>-'IS(Y)'!Q19</f>
        <v>-684.4575166159314</v>
      </c>
      <c r="R11" s="29">
        <f>-'IS(Y)'!R19</f>
        <v>-729.9677193613487</v>
      </c>
      <c r="S11" s="29">
        <f>-'IS(Y)'!S19</f>
        <v>-775.4133145042874</v>
      </c>
      <c r="T11" s="29">
        <f>-'IS(Y)'!T19</f>
        <v>-820.792031023453</v>
      </c>
      <c r="U11" s="29">
        <f>-'IS(Y)'!U19</f>
        <v>-866.1015493290652</v>
      </c>
      <c r="V11" s="29">
        <f>-'IS(Y)'!V19</f>
        <v>-911.3395003352488</v>
      </c>
      <c r="W11" s="29">
        <f>-'IS(Y)'!W19</f>
        <v>-946.4461741698404</v>
      </c>
      <c r="X11" s="29">
        <f>-'IS(Y)'!X19</f>
        <v>-1587.0693028734652</v>
      </c>
      <c r="Y11" s="29">
        <f>-'IS(Y)'!Y19</f>
        <v>-1591.8486668484722</v>
      </c>
    </row>
    <row r="12" spans="2:25" x14ac:dyDescent="0.25">
      <c r="B12" s="28" t="s">
        <v>245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260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7735.348173066709</v>
      </c>
      <c r="I13" s="52">
        <f>SUM(I9:I12)</f>
        <v>7719.708435492106</v>
      </c>
      <c r="J13" s="52">
        <f>SUM(J9:J12)</f>
        <v>7703.871701636145</v>
      </c>
      <c r="K13" s="52">
        <f>SUM(K9:K12)</f>
        <v>7687.829986700752</v>
      </c>
      <c r="L13" s="52">
        <f>SUM(L9:L12)</f>
        <v>7671.57513135575</v>
      </c>
      <c r="M13" s="52">
        <f>SUM(M9:M12)</f>
        <v>7655.098798383521</v>
      </c>
      <c r="N13" s="52">
        <f>SUM(N9:N12)</f>
        <v>7638.392469261728</v>
      </c>
      <c r="O13" s="52">
        <f>SUM(O9:O12)</f>
        <v>7621.447440683077</v>
      </c>
      <c r="P13" s="52">
        <f>SUM(P9:P12)</f>
        <v>7604.254821010909</v>
      </c>
      <c r="Q13" s="52">
        <f>SUM(Q9:Q12)</f>
        <v>7586.805526669476</v>
      </c>
      <c r="R13" s="52">
        <f>SUM(R9:R12)</f>
        <v>7569.090278467746</v>
      </c>
      <c r="S13" s="52">
        <f>SUM(S9:S12)</f>
        <v>7551.099597855449</v>
      </c>
      <c r="T13" s="52">
        <f>SUM(T9:T12)</f>
        <v>7532.823803110225</v>
      </c>
      <c r="U13" s="52">
        <f>SUM(U9:U12)</f>
        <v>7514.253005454588</v>
      </c>
      <c r="V13" s="52">
        <f>SUM(V9:V12)</f>
        <v>7495.377105101388</v>
      </c>
      <c r="W13" s="52">
        <f>SUM(W9:W12)</f>
        <v>7486.243077572081</v>
      </c>
      <c r="X13" s="52">
        <f>SUM(X9:X12)</f>
        <v>6871.190185934246</v>
      </c>
      <c r="Y13" s="52">
        <f>SUM(Y9:Y12)</f>
        <v>5291.565369196119</v>
      </c>
    </row>
    <row r="15" spans="2:4" x14ac:dyDescent="0.25">
      <c r="B15" s="30" t="s">
        <v>261</v>
      </c>
      <c r="C15" s="48" t="s">
        <v>112</v>
      </c>
      <c r="D15" s="65">
        <f>IRR(E13:Y13)</f>
        <v>0.10307253321777565</v>
      </c>
    </row>
    <row r="16" spans="2:4" x14ac:dyDescent="0.25">
      <c r="B16" s="30" t="s">
        <v>262</v>
      </c>
      <c r="C16" s="48" t="s">
        <v>129</v>
      </c>
      <c r="D16" s="22">
        <f>NPV(Assum!$F$71,F13:Y13)+E13</f>
        <v>23291.923081392055</v>
      </c>
    </row>
    <row r="18" spans="2:25" x14ac:dyDescent="0.25">
      <c r="B18" s="11" t="s">
        <v>263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264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265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2761.4281109317094</v>
      </c>
      <c r="H21" s="29">
        <f>'CF(Y)'!H17</f>
        <v>1098.8033202296515</v>
      </c>
      <c r="I21" s="29">
        <f>'CF(Y)'!I17</f>
        <v>1294.89601098198</v>
      </c>
      <c r="J21" s="29">
        <f>'CF(Y)'!J17</f>
        <v>1490.791705452949</v>
      </c>
      <c r="K21" s="29">
        <f>'CF(Y)'!K17</f>
        <v>1686.482418844486</v>
      </c>
      <c r="L21" s="29">
        <f>'CF(Y)'!L17</f>
        <v>1881.9599918264157</v>
      </c>
      <c r="M21" s="29">
        <f>'CF(Y)'!M17</f>
        <v>2077.2160871811157</v>
      </c>
      <c r="N21" s="29">
        <f>'CF(Y)'!N17</f>
        <v>2272.2421863862546</v>
      </c>
      <c r="O21" s="29">
        <f>'CF(Y)'!O17</f>
        <v>2467.0295861345335</v>
      </c>
      <c r="P21" s="29">
        <f>'CF(Y)'!P17</f>
        <v>2661.569394789296</v>
      </c>
      <c r="Q21" s="29">
        <f>'CF(Y)'!Q17</f>
        <v>2855.852528774794</v>
      </c>
      <c r="R21" s="29">
        <f>'CF(Y)'!R17</f>
        <v>3049.8697088999943</v>
      </c>
      <c r="S21" s="29">
        <f>'CF(Y)'!S17</f>
        <v>3243.6114566146275</v>
      </c>
      <c r="T21" s="29">
        <f>'CF(Y)'!T17</f>
        <v>3437.0680901963333</v>
      </c>
      <c r="U21" s="29">
        <f>'CF(Y)'!U17</f>
        <v>3630.2297208676337</v>
      </c>
      <c r="V21" s="29">
        <f>'CF(Y)'!V17</f>
        <v>5606.298569889647</v>
      </c>
      <c r="W21" s="29">
        <f>'CF(Y)'!W17</f>
        <v>7486.243077572081</v>
      </c>
      <c r="X21" s="29">
        <f>'CF(Y)'!X17</f>
        <v>6871.190185934246</v>
      </c>
      <c r="Y21" s="29">
        <f>'CF(Y)'!Y17</f>
        <v>5291.565369196119</v>
      </c>
    </row>
    <row r="22" spans="2:25" x14ac:dyDescent="0.25">
      <c r="B22" s="50" t="s">
        <v>266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2761.4281109317094</v>
      </c>
      <c r="H22" s="52">
        <f>H20+H21</f>
        <v>1098.8033202296515</v>
      </c>
      <c r="I22" s="52">
        <f>I20+I21</f>
        <v>1294.89601098198</v>
      </c>
      <c r="J22" s="52">
        <f>J20+J21</f>
        <v>1490.791705452949</v>
      </c>
      <c r="K22" s="52">
        <f>K20+K21</f>
        <v>1686.482418844486</v>
      </c>
      <c r="L22" s="52">
        <f>L20+L21</f>
        <v>1881.9599918264157</v>
      </c>
      <c r="M22" s="52">
        <f>M20+M21</f>
        <v>2077.2160871811157</v>
      </c>
      <c r="N22" s="52">
        <f>N20+N21</f>
        <v>2272.2421863862546</v>
      </c>
      <c r="O22" s="52">
        <f>O20+O21</f>
        <v>2467.0295861345335</v>
      </c>
      <c r="P22" s="52">
        <f>P20+P21</f>
        <v>2661.569394789296</v>
      </c>
      <c r="Q22" s="52">
        <f>Q20+Q21</f>
        <v>2855.852528774794</v>
      </c>
      <c r="R22" s="52">
        <f>R20+R21</f>
        <v>3049.8697088999943</v>
      </c>
      <c r="S22" s="52">
        <f>S20+S21</f>
        <v>3243.6114566146275</v>
      </c>
      <c r="T22" s="52">
        <f>T20+T21</f>
        <v>3437.0680901963333</v>
      </c>
      <c r="U22" s="52">
        <f>U20+U21</f>
        <v>3630.2297208676337</v>
      </c>
      <c r="V22" s="52">
        <f>V20+V21</f>
        <v>5606.298569889647</v>
      </c>
      <c r="W22" s="52">
        <f>W20+W21</f>
        <v>7486.243077572081</v>
      </c>
      <c r="X22" s="52">
        <f>X20+X21</f>
        <v>6871.190185934246</v>
      </c>
      <c r="Y22" s="52">
        <f>Y20+Y21</f>
        <v>5291.565369196119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8291.918506998305</v>
      </c>
      <c r="I24" s="29">
        <f>'CF(Y)'!I19</f>
        <v>1294.89601098198</v>
      </c>
      <c r="J24" s="29">
        <f>'CF(Y)'!J19</f>
        <v>1490.791705452949</v>
      </c>
      <c r="K24" s="29">
        <f>'CF(Y)'!K19</f>
        <v>1686.482418844486</v>
      </c>
      <c r="L24" s="29">
        <f>'CF(Y)'!L19</f>
        <v>1881.9599918264157</v>
      </c>
      <c r="M24" s="29">
        <f>'CF(Y)'!M19</f>
        <v>2077.2160871811157</v>
      </c>
      <c r="N24" s="29">
        <f>'CF(Y)'!N19</f>
        <v>2272.2421863862546</v>
      </c>
      <c r="O24" s="29">
        <f>'CF(Y)'!O19</f>
        <v>2467.0295861345335</v>
      </c>
      <c r="P24" s="29">
        <f>'CF(Y)'!P19</f>
        <v>2661.569394789296</v>
      </c>
      <c r="Q24" s="29">
        <f>'CF(Y)'!Q19</f>
        <v>2855.852528774794</v>
      </c>
      <c r="R24" s="29">
        <f>'CF(Y)'!R19</f>
        <v>3049.8697088999943</v>
      </c>
      <c r="S24" s="29">
        <f>'CF(Y)'!S19</f>
        <v>3243.611456614628</v>
      </c>
      <c r="T24" s="29">
        <f>'CF(Y)'!T19</f>
        <v>3437.0680901963333</v>
      </c>
      <c r="U24" s="29">
        <f>'CF(Y)'!U19</f>
        <v>3630.2297208676337</v>
      </c>
      <c r="V24" s="29">
        <f>'CF(Y)'!V19</f>
        <v>5606.298569889647</v>
      </c>
      <c r="W24" s="29">
        <f>'CF(Y)'!W19</f>
        <v>7486.243077572082</v>
      </c>
      <c r="X24" s="29">
        <f>'CF(Y)'!X19</f>
        <v>6871.190185934246</v>
      </c>
      <c r="Y24" s="29">
        <f>'CF(Y)'!Y19</f>
        <v>6291.565369196119</v>
      </c>
    </row>
    <row r="26" spans="2:4" x14ac:dyDescent="0.25">
      <c r="B26" s="30" t="s">
        <v>267</v>
      </c>
      <c r="C26" s="48" t="s">
        <v>112</v>
      </c>
      <c r="D26" s="65">
        <f>IRR(E22:Y22)</f>
        <v>0.2312019659292316</v>
      </c>
    </row>
    <row r="27" spans="2:4" x14ac:dyDescent="0.25">
      <c r="B27" s="30" t="s">
        <v>268</v>
      </c>
      <c r="C27" s="48" t="s">
        <v>112</v>
      </c>
      <c r="D27" s="65">
        <f>IRR(E24:Y24)</f>
        <v>0.19066446445144847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0.10307253321777565</v>
      </c>
    </row>
    <row r="23" spans="2:4" x14ac:dyDescent="0.25">
      <c r="B23" s="6" t="s">
        <v>63</v>
      </c>
      <c r="D23" s="15">
        <f>'IRR'!$D$26</f>
        <v>0.2312019659292316</v>
      </c>
    </row>
    <row r="24" spans="2:4" x14ac:dyDescent="0.25">
      <c r="B24" s="6" t="s">
        <v>64</v>
      </c>
      <c r="D24" s="15">
        <f>'IRR'!$D$27</f>
        <v>0.19066446445144847</v>
      </c>
    </row>
    <row r="25" spans="2:4" x14ac:dyDescent="0.25">
      <c r="B25" s="6" t="s">
        <v>65</v>
      </c>
      <c r="D25" s="17">
        <f>'IRR'!$D$16</f>
        <v>23291.923081392055</v>
      </c>
    </row>
    <row r="26" spans="2:4" x14ac:dyDescent="0.25">
      <c r="B26" s="6" t="s">
        <v>66</v>
      </c>
      <c r="D26" s="19">
        <f>'DSCR'!$D$13</f>
        <v>1.1472673641816251</v>
      </c>
    </row>
    <row r="27" spans="2:4" x14ac:dyDescent="0.25">
      <c r="B27" s="6" t="s">
        <v>67</v>
      </c>
      <c r="D27" s="19">
        <f>'DSCR'!$D$14</f>
        <v>1.6021476555672973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8.237044698639016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1266.1644149227754</v>
      </c>
      <c r="I41" s="29">
        <f>'IS(Y)'!I21</f>
        <v>1462.2571056751042</v>
      </c>
      <c r="J41" s="29">
        <f>'IS(Y)'!J21</f>
        <v>1658.1528001460742</v>
      </c>
      <c r="K41" s="29">
        <f>'IS(Y)'!K21</f>
        <v>1853.8435135376108</v>
      </c>
      <c r="L41" s="29">
        <f>'IS(Y)'!L21</f>
        <v>2049.321086519539</v>
      </c>
      <c r="M41" s="29">
        <f>'IS(Y)'!M21</f>
        <v>2244.577181874241</v>
      </c>
      <c r="N41" s="29">
        <f>'IS(Y)'!N21</f>
        <v>2439.6032810793786</v>
      </c>
      <c r="O41" s="29">
        <f>'IS(Y)'!O21</f>
        <v>2634.390680827657</v>
      </c>
      <c r="P41" s="29">
        <f>'IS(Y)'!P21</f>
        <v>2828.93048948242</v>
      </c>
      <c r="Q41" s="29">
        <f>'IS(Y)'!Q21</f>
        <v>3023.2136234679174</v>
      </c>
      <c r="R41" s="29">
        <f>'IS(Y)'!R21</f>
        <v>3217.2308035931183</v>
      </c>
      <c r="S41" s="29">
        <f>'IS(Y)'!S21</f>
        <v>3410.9725513077515</v>
      </c>
      <c r="T41" s="29">
        <f>'IS(Y)'!T21</f>
        <v>3604.4291848894572</v>
      </c>
      <c r="U41" s="29">
        <f>'IS(Y)'!U21</f>
        <v>3797.5908155607513</v>
      </c>
      <c r="V41" s="29">
        <f>'IS(Y)'!V21</f>
        <v>3990.4473435344817</v>
      </c>
      <c r="W41" s="29">
        <f>'IS(Y)'!W21</f>
        <v>4140.112637250372</v>
      </c>
      <c r="X41" s="29">
        <f>'IS(Y)'!X21</f>
        <v>6871.190185934246</v>
      </c>
      <c r="Y41" s="29">
        <f>'IS(Y)'!Y21</f>
        <v>6891.565369196119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7735.348173066709</v>
      </c>
      <c r="I42" s="29">
        <f>'CF(Y)'!I11</f>
        <v>7719.708435492106</v>
      </c>
      <c r="J42" s="29">
        <f>'CF(Y)'!J11</f>
        <v>7703.871701636145</v>
      </c>
      <c r="K42" s="29">
        <f>'CF(Y)'!K11</f>
        <v>7687.829986700752</v>
      </c>
      <c r="L42" s="29">
        <f>'CF(Y)'!L11</f>
        <v>7671.57513135575</v>
      </c>
      <c r="M42" s="29">
        <f>'CF(Y)'!M11</f>
        <v>7655.098798383521</v>
      </c>
      <c r="N42" s="29">
        <f>'CF(Y)'!N11</f>
        <v>7638.392469261728</v>
      </c>
      <c r="O42" s="29">
        <f>'CF(Y)'!O11</f>
        <v>7621.447440683077</v>
      </c>
      <c r="P42" s="29">
        <f>'CF(Y)'!P11</f>
        <v>7604.254821010909</v>
      </c>
      <c r="Q42" s="29">
        <f>'CF(Y)'!Q11</f>
        <v>7586.805526669476</v>
      </c>
      <c r="R42" s="29">
        <f>'CF(Y)'!R11</f>
        <v>7569.090278467746</v>
      </c>
      <c r="S42" s="29">
        <f>'CF(Y)'!S11</f>
        <v>7551.099597855449</v>
      </c>
      <c r="T42" s="29">
        <f>'CF(Y)'!T11</f>
        <v>7532.823803110225</v>
      </c>
      <c r="U42" s="29">
        <f>'CF(Y)'!U11</f>
        <v>7514.253005454588</v>
      </c>
      <c r="V42" s="29">
        <f>'CF(Y)'!V11</f>
        <v>7495.377105101388</v>
      </c>
      <c r="W42" s="29">
        <f>'CF(Y)'!W11</f>
        <v>7486.243077572081</v>
      </c>
      <c r="X42" s="29">
        <f>'CF(Y)'!X11</f>
        <v>6871.190185934246</v>
      </c>
      <c r="Y42" s="29">
        <f>'CF(Y)'!Y11</f>
        <v>6891.565369196119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6742.411067000523</v>
      </c>
      <c r="I43" s="29">
        <f>'Debt'!I13</f>
        <v>6530.678638673591</v>
      </c>
      <c r="J43" s="29">
        <f>'Debt'!J13</f>
        <v>6318.946210346661</v>
      </c>
      <c r="K43" s="29">
        <f>'Debt'!K13</f>
        <v>6107.213782019731</v>
      </c>
      <c r="L43" s="29">
        <f>'Debt'!L13</f>
        <v>5895.4813536928</v>
      </c>
      <c r="M43" s="29">
        <f>'Debt'!M13</f>
        <v>5683.74892536587</v>
      </c>
      <c r="N43" s="29">
        <f>'Debt'!N13</f>
        <v>5472.01649703894</v>
      </c>
      <c r="O43" s="29">
        <f>'Debt'!O13</f>
        <v>5260.284068712009</v>
      </c>
      <c r="P43" s="29">
        <f>'Debt'!P13</f>
        <v>5048.551640385078</v>
      </c>
      <c r="Q43" s="29">
        <f>'Debt'!Q13</f>
        <v>4836.819212058148</v>
      </c>
      <c r="R43" s="29">
        <f>'Debt'!R13</f>
        <v>4625.086783731217</v>
      </c>
      <c r="S43" s="29">
        <f>'Debt'!S13</f>
        <v>4413.354355404287</v>
      </c>
      <c r="T43" s="29">
        <f>'Debt'!T13</f>
        <v>4201.621927077356</v>
      </c>
      <c r="U43" s="29">
        <f>'Debt'!U13</f>
        <v>3989.889498750426</v>
      </c>
      <c r="V43" s="29">
        <f>'Debt'!V13</f>
        <v>3778.157070423482</v>
      </c>
      <c r="W43" s="29">
        <f>'Debt'!W13</f>
        <v>0</v>
      </c>
      <c r="X43" s="29">
        <f>'Debt'!X13</f>
        <v>0</v>
      </c>
      <c r="Y43" s="29">
        <f>'Debt'!Y13</f>
        <v>0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1.1472673641816251</v>
      </c>
      <c r="I44" s="31">
        <f>'DSCR'!I11</f>
        <v>1.182068336631553</v>
      </c>
      <c r="J44" s="31">
        <f>'DSCR'!J11</f>
        <v>1.2191703244793892</v>
      </c>
      <c r="K44" s="31">
        <f>'DSCR'!K11</f>
        <v>1.2588113436170383</v>
      </c>
      <c r="L44" s="31">
        <f>'DSCR'!L11</f>
        <v>1.3012635730838913</v>
      </c>
      <c r="M44" s="31">
        <f>'DSCR'!M11</f>
        <v>1.3468397177468132</v>
      </c>
      <c r="N44" s="31">
        <f>'DSCR'!N11</f>
        <v>1.3959008481416448</v>
      </c>
      <c r="O44" s="31">
        <f>'DSCR'!O11</f>
        <v>1.4488661336780626</v>
      </c>
      <c r="P44" s="31">
        <f>'DSCR'!P11</f>
        <v>1.5062250250511244</v>
      </c>
      <c r="Q44" s="31">
        <f>'DSCR'!Q11</f>
        <v>1.5685526363597873</v>
      </c>
      <c r="R44" s="31">
        <f>'DSCR'!R11</f>
        <v>1.6365293522906612</v>
      </c>
      <c r="S44" s="31">
        <f>'DSCR'!S11</f>
        <v>1.7109660792609815</v>
      </c>
      <c r="T44" s="31">
        <f>'DSCR'!T11</f>
        <v>1.7928371314336815</v>
      </c>
      <c r="U44" s="31">
        <f>'DSCR'!U11</f>
        <v>1.8833235877354348</v>
      </c>
      <c r="V44" s="31">
        <f>'DSCR'!V11</f>
        <v>1.98387122752979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8291.918506998305</v>
      </c>
      <c r="I45" s="29">
        <f>'CF(Y)'!I19</f>
        <v>1294.89601098198</v>
      </c>
      <c r="J45" s="29">
        <f>'CF(Y)'!J19</f>
        <v>1490.791705452949</v>
      </c>
      <c r="K45" s="29">
        <f>'CF(Y)'!K19</f>
        <v>1686.482418844486</v>
      </c>
      <c r="L45" s="29">
        <f>'CF(Y)'!L19</f>
        <v>1881.9599918264157</v>
      </c>
      <c r="M45" s="29">
        <f>'CF(Y)'!M19</f>
        <v>2077.2160871811157</v>
      </c>
      <c r="N45" s="29">
        <f>'CF(Y)'!N19</f>
        <v>2272.2421863862546</v>
      </c>
      <c r="O45" s="29">
        <f>'CF(Y)'!O19</f>
        <v>2467.0295861345335</v>
      </c>
      <c r="P45" s="29">
        <f>'CF(Y)'!P19</f>
        <v>2661.569394789296</v>
      </c>
      <c r="Q45" s="29">
        <f>'CF(Y)'!Q19</f>
        <v>2855.852528774794</v>
      </c>
      <c r="R45" s="29">
        <f>'CF(Y)'!R19</f>
        <v>3049.8697088999943</v>
      </c>
      <c r="S45" s="29">
        <f>'CF(Y)'!S19</f>
        <v>3243.611456614628</v>
      </c>
      <c r="T45" s="29">
        <f>'CF(Y)'!T19</f>
        <v>3437.0680901963333</v>
      </c>
      <c r="U45" s="29">
        <f>'CF(Y)'!U19</f>
        <v>3630.2297208676337</v>
      </c>
      <c r="V45" s="29">
        <f>'CF(Y)'!V19</f>
        <v>5606.298569889647</v>
      </c>
      <c r="W45" s="29">
        <f>'CF(Y)'!W19</f>
        <v>7486.243077572082</v>
      </c>
      <c r="X45" s="29">
        <f>'CF(Y)'!X19</f>
        <v>6871.190185934246</v>
      </c>
      <c r="Y45" s="29">
        <f>'CF(Y)'!Y19</f>
        <v>6291.565369196119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7735.348173066709</v>
      </c>
      <c r="I46" s="29">
        <f>'IRR'!I13</f>
        <v>7719.708435492106</v>
      </c>
      <c r="J46" s="29">
        <f>'IRR'!J13</f>
        <v>7703.871701636145</v>
      </c>
      <c r="K46" s="29">
        <f>'IRR'!K13</f>
        <v>7687.829986700752</v>
      </c>
      <c r="L46" s="29">
        <f>'IRR'!L13</f>
        <v>7671.57513135575</v>
      </c>
      <c r="M46" s="29">
        <f>'IRR'!M13</f>
        <v>7655.098798383521</v>
      </c>
      <c r="N46" s="29">
        <f>'IRR'!N13</f>
        <v>7638.392469261728</v>
      </c>
      <c r="O46" s="29">
        <f>'IRR'!O13</f>
        <v>7621.447440683077</v>
      </c>
      <c r="P46" s="29">
        <f>'IRR'!P13</f>
        <v>7604.254821010909</v>
      </c>
      <c r="Q46" s="29">
        <f>'IRR'!Q13</f>
        <v>7586.805526669476</v>
      </c>
      <c r="R46" s="29">
        <f>'IRR'!R13</f>
        <v>7569.090278467746</v>
      </c>
      <c r="S46" s="29">
        <f>'IRR'!S13</f>
        <v>7551.099597855449</v>
      </c>
      <c r="T46" s="29">
        <f>'IRR'!T13</f>
        <v>7532.823803110225</v>
      </c>
      <c r="U46" s="29">
        <f>'IRR'!U13</f>
        <v>7514.253005454588</v>
      </c>
      <c r="V46" s="29">
        <f>'IRR'!V13</f>
        <v>7495.377105101388</v>
      </c>
      <c r="W46" s="29">
        <f>'IRR'!W13</f>
        <v>7486.243077572081</v>
      </c>
      <c r="X46" s="29">
        <f>'IRR'!X13</f>
        <v>6871.190185934246</v>
      </c>
      <c r="Y46" s="29">
        <f>'IRR'!Y13</f>
        <v>5291.565369196119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269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270</v>
      </c>
      <c r="C6" s="25" t="s">
        <v>263</v>
      </c>
      <c r="D6" s="25" t="s">
        <v>258</v>
      </c>
      <c r="E6" s="25" t="s">
        <v>254</v>
      </c>
      <c r="F6" s="25" t="s">
        <v>65</v>
      </c>
    </row>
    <row r="7" spans="2:6" x14ac:dyDescent="0.25">
      <c r="B7" s="6" t="s">
        <v>271</v>
      </c>
      <c r="C7" s="59">
        <v>0.15335433433841061</v>
      </c>
      <c r="D7" s="59">
        <v>0.08550897884407826</v>
      </c>
      <c r="E7" s="66">
        <v>1.0236775601157864</v>
      </c>
      <c r="F7" s="49">
        <v>13348.897147498694</v>
      </c>
    </row>
    <row r="8" spans="2:6" x14ac:dyDescent="0.25">
      <c r="B8" s="6" t="s">
        <v>272</v>
      </c>
      <c r="C8" s="59">
        <v>0.19173917608711488</v>
      </c>
      <c r="D8" s="59">
        <v>0.09441656888361993</v>
      </c>
      <c r="E8" s="66">
        <v>1.0854724621487055</v>
      </c>
      <c r="F8" s="49">
        <v>18320.41011444535</v>
      </c>
    </row>
    <row r="9" spans="2:6" x14ac:dyDescent="0.25">
      <c r="B9" s="6" t="s">
        <v>273</v>
      </c>
      <c r="C9" s="59">
        <v>0.2312019659292316</v>
      </c>
      <c r="D9" s="59">
        <v>0.10307253321777565</v>
      </c>
      <c r="E9" s="66">
        <v>1.1472673641816251</v>
      </c>
      <c r="F9" s="49">
        <v>23291.923081392055</v>
      </c>
    </row>
    <row r="10" spans="2:6" x14ac:dyDescent="0.25">
      <c r="B10" s="6" t="s">
        <v>274</v>
      </c>
      <c r="C10" s="59">
        <v>0.2715437917824636</v>
      </c>
      <c r="D10" s="59">
        <v>0.1115100803495398</v>
      </c>
      <c r="E10" s="66">
        <v>1.209062266214544</v>
      </c>
      <c r="F10" s="49">
        <v>28263.4360483387</v>
      </c>
    </row>
    <row r="11" spans="2:6" x14ac:dyDescent="0.25">
      <c r="B11" s="6" t="s">
        <v>275</v>
      </c>
      <c r="C11" s="59">
        <v>0.31251314954301546</v>
      </c>
      <c r="D11" s="59">
        <v>0.11975674383577684</v>
      </c>
      <c r="E11" s="66">
        <v>1.2708571682474634</v>
      </c>
      <c r="F11" s="49">
        <v>33234.94901528539</v>
      </c>
    </row>
    <row r="14" spans="2:25" x14ac:dyDescent="0.25">
      <c r="B14" s="11" t="s">
        <v>276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270</v>
      </c>
      <c r="C16" s="25" t="s">
        <v>263</v>
      </c>
      <c r="D16" s="25" t="s">
        <v>258</v>
      </c>
      <c r="E16" s="25" t="s">
        <v>254</v>
      </c>
      <c r="F16" s="25" t="s">
        <v>65</v>
      </c>
    </row>
    <row r="17" spans="2:6" x14ac:dyDescent="0.25">
      <c r="B17" s="6" t="s">
        <v>277</v>
      </c>
      <c r="C17" s="59">
        <v>0.278748879500038</v>
      </c>
      <c r="D17" s="59">
        <v>0.10145691892714781</v>
      </c>
      <c r="E17" s="66">
        <v>1.2450017399573123</v>
      </c>
      <c r="F17" s="49">
        <v>22456.970193221896</v>
      </c>
    </row>
    <row r="18" spans="2:6" x14ac:dyDescent="0.25">
      <c r="B18" s="6" t="s">
        <v>278</v>
      </c>
      <c r="C18" s="59">
        <v>0.2539598015764625</v>
      </c>
      <c r="D18" s="59">
        <v>0.10227100879682227</v>
      </c>
      <c r="E18" s="66">
        <v>1.1933445999183296</v>
      </c>
      <c r="F18" s="49">
        <v>22878.014812042748</v>
      </c>
    </row>
    <row r="19" spans="2:6" x14ac:dyDescent="0.25">
      <c r="B19" s="6" t="s">
        <v>279</v>
      </c>
      <c r="C19" s="59">
        <v>0.2312019659292316</v>
      </c>
      <c r="D19" s="59">
        <v>0.10307253321777565</v>
      </c>
      <c r="E19" s="66">
        <v>1.1472673641816251</v>
      </c>
      <c r="F19" s="49">
        <v>23291.923081392055</v>
      </c>
    </row>
    <row r="20" spans="2:6" x14ac:dyDescent="0.25">
      <c r="B20" s="6" t="s">
        <v>280</v>
      </c>
      <c r="C20" s="59">
        <v>0.2097263856880226</v>
      </c>
      <c r="D20" s="59">
        <v>0.10388912558502283</v>
      </c>
      <c r="E20" s="66">
        <v>1.1045440489511487</v>
      </c>
      <c r="F20" s="49">
        <v>23712.967700212906</v>
      </c>
    </row>
    <row r="21" spans="2:6" x14ac:dyDescent="0.25">
      <c r="B21" s="6" t="s">
        <v>281</v>
      </c>
      <c r="C21" s="59">
        <v>0.19024565625141865</v>
      </c>
      <c r="D21" s="59">
        <v>0.10469309951450978</v>
      </c>
      <c r="E21" s="66">
        <v>1.0661057461739887</v>
      </c>
      <c r="F21" s="49">
        <v>24126.875969562214</v>
      </c>
    </row>
    <row r="24" spans="2:25" x14ac:dyDescent="0.25">
      <c r="B24" s="11" t="s">
        <v>282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270</v>
      </c>
      <c r="C26" s="25" t="s">
        <v>263</v>
      </c>
      <c r="D26" s="25" t="s">
        <v>258</v>
      </c>
      <c r="E26" s="25" t="s">
        <v>254</v>
      </c>
      <c r="F26" s="25" t="s">
        <v>65</v>
      </c>
    </row>
    <row r="27" spans="2:6" x14ac:dyDescent="0.25">
      <c r="B27" s="6" t="s">
        <v>283</v>
      </c>
      <c r="C27" s="59">
        <v>0.15335433433841084</v>
      </c>
      <c r="D27" s="59">
        <v>0.08550897884407826</v>
      </c>
      <c r="E27" s="66">
        <v>1.0236775601157866</v>
      </c>
      <c r="F27" s="49">
        <v>13348.897147498712</v>
      </c>
    </row>
    <row r="28" spans="2:6" x14ac:dyDescent="0.25">
      <c r="B28" s="6" t="s">
        <v>284</v>
      </c>
      <c r="C28" s="59">
        <v>0.1917391760871151</v>
      </c>
      <c r="D28" s="59">
        <v>0.09441656888361993</v>
      </c>
      <c r="E28" s="66">
        <v>1.085472462148706</v>
      </c>
      <c r="F28" s="49">
        <v>18320.410114445378</v>
      </c>
    </row>
    <row r="29" spans="2:6" x14ac:dyDescent="0.25">
      <c r="B29" s="6" t="s">
        <v>285</v>
      </c>
      <c r="C29" s="59">
        <v>0.2312019659292316</v>
      </c>
      <c r="D29" s="59">
        <v>0.10307253321777565</v>
      </c>
      <c r="E29" s="66">
        <v>1.1472673641816251</v>
      </c>
      <c r="F29" s="49">
        <v>23291.923081392055</v>
      </c>
    </row>
    <row r="30" spans="2:6" x14ac:dyDescent="0.25">
      <c r="B30" s="6" t="s">
        <v>286</v>
      </c>
      <c r="C30" s="59">
        <v>0.2715437917824638</v>
      </c>
      <c r="D30" s="59">
        <v>0.1115100803495398</v>
      </c>
      <c r="E30" s="66">
        <v>1.2090622662145443</v>
      </c>
      <c r="F30" s="49">
        <v>28263.436048338728</v>
      </c>
    </row>
    <row r="31" spans="2:6" x14ac:dyDescent="0.25">
      <c r="B31" s="6" t="s">
        <v>287</v>
      </c>
      <c r="C31" s="59">
        <v>0.31251314954301546</v>
      </c>
      <c r="D31" s="59">
        <v>0.11975674383577684</v>
      </c>
      <c r="E31" s="66">
        <v>1.2708571682474636</v>
      </c>
      <c r="F31" s="49">
        <v>33234.9490152854</v>
      </c>
    </row>
    <row r="34" spans="2:2" x14ac:dyDescent="0.25">
      <c r="B34" s="32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2026-09-22T10:17:15Z</dcterms:created>
  <dcterms:modified xsi:type="dcterms:W3CDTF">2026-09-22T10:17:15Z</dcterms:modified>
</cp:coreProperties>
</file>