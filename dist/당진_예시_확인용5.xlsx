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<sst xmlns="http://schemas.openxmlformats.org/spreadsheetml/2006/main" count="1030" uniqueCount="302">
  <si>
    <t>당진 태양광발전</t>
  </si>
  <si>
    <t>재무모델 v2 (분기·5트랜치) — 재생E AI Agent 자동생성 · 2026-08-26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</si>
  <si>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</si>
  <si>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</si>
  <si>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</si>
  <si>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</si>
  <si>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</si>
  <si>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</si>
  <si>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</si>
  <si>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</si>
  <si>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</si>
  <si>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</si>
  <si>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</si>
  <si>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</si>
  <si>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</si>
  <si>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</si>
  <si>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</si>
  <si>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</si>
  <si>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</si>
  <si>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</si>
  <si>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</si>
  <si>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</si>
  <si>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</si>
  <si>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</si>
  <si>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</si>
  <si>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</si>
  <si>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</si>
  <si>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</si>
  <si>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</si>
  <si>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</si>
  <si>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</si>
  <si>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</si>
  <si>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</si>
  <si>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</si>
  <si>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</si>
  <si>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</si>
  <si>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</si>
  <si>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</si>
  <si>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</si>
  <si>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</si>
  <si>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</si>
  <si>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</si>
  <si>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</si>
  <si>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</si>
  <si>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</si>
  <si>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</si>
  <si>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</si>
  <si>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</si>
  <si>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</si>
  <si>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</si>
  <si>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</si>
  <si>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</si>
  <si>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</si>
  <si>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</si>
  <si>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</si>
  <si>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</si>
  <si>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상각대상액(직접입력)[KRWm]</t>
  </si>
  <si>
    <t>감가상각 내용연수[yr]</t>
  </si>
  <si>
    <t>철거비(복구충당부채)[억원]</t>
  </si>
  <si>
    <t>판매단가 트랙 (PPA/SMP+REC 등)</t>
  </si>
  <si>
    <t>트랙</t>
  </si>
  <si>
    <t>비중[%]</t>
  </si>
  <si>
    <t>단가[원/kWh]</t>
  </si>
  <si>
    <t>에스컬레이션[%/yr]</t>
  </si>
  <si>
    <t>트랙1</t>
  </si>
  <si>
    <t>트랙2</t>
  </si>
  <si>
    <t>트랙3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</si>
  <si>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</si>
  <si>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</si>
  <si>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</si>
  <si>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</si>
  <si>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</si>
  <si>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</si>
  <si>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</si>
  <si>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</si>
  <si>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선순위A</t>
  </si>
  <si>
    <t>선순위B</t>
  </si>
  <si>
    <t>선순위C</t>
  </si>
  <si>
    <t>선순위D</t>
  </si>
  <si>
    <t>후순위</t>
  </si>
  <si>
    <t>방식3 상환비율 ("예시 불러오기" 전용 — 원본 상환 스케줄)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</si>
  <si>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</si>
  <si>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</si>
  <si>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</si>
  <si>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</si>
  <si>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</si>
  <si>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</si>
  <si>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</si>
  <si>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</si>
  <si>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</si>
  <si>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</si>
  <si>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</si>
  <si>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</si>
  <si>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2026-09-30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</si>
  <si>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</si>
  <si>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</si>
  <si>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</si>
  <si>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</si>
  <si>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</si>
  <si>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</si>
  <si>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</si>
  <si>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</si>
  <si>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</si>
  <si>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</si>
  <si>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</si>
  <si>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</si>
  <si>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</si>
  <si>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</si>
  <si>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</si>
  <si>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</si>
  <si>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</si>
  <si>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</si>
  <si>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</si>
  <si>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</si>
  <si>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</si>
  <si>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</si>
  <si>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</si>
  <si>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</si>
  <si>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</si>
  <si>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</si>
  <si>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</si>
  <si>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</si>
  <si>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</si>
  <si>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</si>
  <si>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</si>
  <si>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</si>
  <si>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</si>
  <si>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</si>
  <si>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</si>
  <si>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</si>
  <si>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</si>
  <si>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</si>
  <si>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</si>
  <si>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</si>
  <si>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</si>
  <si>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</si>
  <si>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</si>
  <si>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</si>
  <si>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</si>
  <si>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</si>
  <si>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</si>
  <si>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</si>
  <si>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</si>
  <si>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</si>
  <si>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</si>
  <si>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</si>
  <si>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</si>
  <si>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</si>
  <si>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</si>
  <si>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</si>
  <si>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</si>
  <si>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</si>
  <si>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</si>
  <si>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</si>
  <si>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</si>
  <si>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</si>
  <si>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</si>
  <si>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</si>
  <si>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</si>
  <si>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</si>
  <si>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</si>
  <si>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</si>
  <si>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</si>
  <si>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</si>
  <si>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</si>
  <si>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</si>
  <si>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</si>
  <si>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</si>
  <si>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</si>
  <si>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</si>
  <si>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선순위A 상환비율</t>
  </si>
  <si>
    <t>[비율]</t>
  </si>
  <si>
    <t>선순위B 상환비율</t>
  </si>
  <si>
    <t>선순위C 상환비율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</si>
  <si>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</si>
  <si>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</si>
  <si>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</si>
  <si>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</si>
  <si>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</si>
  <si>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</si>
  <si>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</si>
  <si>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</si>
  <si>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</si>
  <si>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</si>
  <si>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</si>
  <si>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</si>
  <si>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</si>
  <si>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</si>
  <si>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운영비 항목</t>
  </si>
  <si>
    <t>연간금액[억원/yr]</t>
  </si>
  <si>
    <t>부지임대료</t>
  </si>
  <si>
    <t>O&amp;M</t>
  </si>
  <si>
    <t>보험료</t>
  </si>
  <si>
    <t>환경모니터링비용</t>
  </si>
  <si>
    <t>소내전력비</t>
  </si>
  <si>
    <t>인건비</t>
  </si>
  <si>
    <t>주민보상비</t>
  </si>
  <si>
    <t>도로점용료</t>
  </si>
  <si>
    <t>예비비</t>
  </si>
  <si>
    <t>전력거래수수료</t>
  </si>
  <si>
    <t>관리운영비 성과보수</t>
  </si>
  <si>
    <t>실측 오버라이드 ("예시 불러오기" 전용 — 공식이 아니라 원본 FS의 분기별 실제값)</t>
  </si>
  <si>
    <t>판매단가(실측)</t>
  </si>
  <si>
    <t>[원/kWh]</t>
  </si>
  <si>
    <t>선순위운영비(실측)</t>
  </si>
  <si>
    <t>[KRWm]</t>
  </si>
  <si>
    <t>후순위운영비(실측)</t>
  </si>
  <si>
    <t>복구충당부채 전입액(실측)</t>
  </si>
  <si>
    <t>※ 노란색 셀 = 화면에서 직접 key-in했거나("예시 불러오기"의 실측치 포함) 그에 준하는 입력값(재무모델링 관례). 세금·최저한세·배당가능이익 캡 등 IS(Q)/CF(Q)의 계산 결과는 반복계산·조건부 누적 로직이 얽혀 있어 여기 대상이 아니며 값(baked) 기준입니다.</t>
  </si>
  <si>
    <t>자금조달 — 자본금 + 5개 트랜치</t>
  </si>
  <si>
    <t>금액[KRWm]</t>
  </si>
  <si>
    <t>투입순서</t>
  </si>
  <si>
    <t>건설금리</t>
  </si>
  <si>
    <t>운영금리</t>
  </si>
  <si>
    <t>상환개시</t>
  </si>
  <si>
    <t>자본금</t>
  </si>
  <si>
    <t/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</si>
  <si>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</si>
  <si>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</si>
  <si>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</si>
  <si>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</si>
  <si>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</si>
  <si>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</si>
  <si>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</si>
  <si>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</si>
  <si>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차입금 상환 스케줄 — 트랜치별 + 합계</t>
  </si>
  <si>
    <t>트랜치별 인출/상환 + 전체 합계</t>
  </si>
  <si>
    <t>기초잔액</t>
  </si>
  <si>
    <t>인출</t>
  </si>
  <si>
    <t>이자(운영)</t>
  </si>
  <si>
    <t>원금상환</t>
  </si>
  <si>
    <t>기말잔액</t>
  </si>
  <si>
    <t>미상환 잔액(검증용)</t>
  </si>
  <si>
    <t>완전상환 확인 (OK)</t>
  </si>
  <si>
    <t>※ 방식 3(직접 키인) — 원금상환은 "입력값" 시트의 상환비율 표를 참조하는 수식</t>
  </si>
  <si>
    <t>※ 미사용 트랜치 — 값(baked) 기준</t>
  </si>
  <si>
    <t>전체 합계</t>
  </si>
  <si>
    <t>이자</t>
  </si>
  <si>
    <t>원리금(DS)</t>
  </si>
  <si>
    <t>DSRA 기말잔액</t>
  </si>
  <si>
    <t>영업수익 추정</t>
  </si>
  <si>
    <t>발전량 및 매출</t>
  </si>
  <si>
    <t>발전량</t>
  </si>
  <si>
    <t>[MWh]</t>
  </si>
  <si>
    <t>판매단가</t>
  </si>
  <si>
    <t>영업수익</t>
  </si>
  <si>
    <t>※ 실측 오버라이드가 적용된 분기는 "판매단가"가 그 분기의 실제 정산단가(실측 사실, baked)이고, "영업수익"은 다른 분기와 동일하게 발전량×판매단가/1000 수식으로 계산됩니다(값은 원본과 그대로 일치).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</si>
  <si>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</si>
  <si>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</si>
  <si>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</si>
  <si>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</si>
  <si>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</si>
  <si>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</si>
  <si>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</si>
  <si>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</si>
  <si>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</si>
  <si>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</si>
  <si>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</si>
  <si>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</si>
  <si>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</si>
  <si>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</si>
  <si>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</si>
  <si>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</si>
  <si>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</si>
  <si>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</si>
  <si>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항목별 실제값이 없는 분기(오버라이드 포함)는 실제 합계("입력값" 시트 참조)를 공식 기준 비중으로 비례 배분한 수식입니다 — 합계 자체는 항상 실제값과 정확히 일치하고, 항목 간 배분만 근사치입니다.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</si>
  <si>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</si>
  <si>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</si>
  <si>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</si>
  <si>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</si>
  <si>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</si>
  <si>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</si>
  <si>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</si>
  <si>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</si>
  <si>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</si>
  <si>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</si>
  <si>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</si>
  <si>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</si>
  <si>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</si>
  <si>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</si>
  <si>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</si>
  <si>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</si>
  <si>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</si>
  <si>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대리은행수수료</t>
  </si>
  <si>
    <t>법인세차감전순이익</t>
  </si>
  <si>
    <t>법인세비용</t>
  </si>
  <si>
    <t>당기순이익</t>
  </si>
  <si>
    <t>※ 영업비용 세부내역은 Opex 시트를 그대로 참조합니다 — 항목별 실제값이 없는 분기(오버라이드 포함)는 실제 합계를 공식 기준 비중으로 비례 배분한 수식이고, 합계 자체는 검증된 실제값과 정확히 일치합니다.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</si>
  <si>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</si>
  <si>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</si>
  <si>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</si>
  <si>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</si>
  <si>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</si>
  <si>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</si>
  <si>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</si>
  <si>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</si>
  <si>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</si>
  <si>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</si>
  <si>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검증</t>
  </si>
  <si>
    <t>최소 단순DSCR(연 합산)</t>
  </si>
  <si>
    <t>최소 누적DSCR</t>
  </si>
  <si>
    <t>최종 기말현금(음수면 오류)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</si>
</sst>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  <numFmt numFmtId="170" formatCode="0.000000"/>
  </numFmts>
  <fonts count="16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69" fontId="11" fillId="3" borderId="0" xfId="0" applyNumberFormat="1" applyFont="1" applyFill="1"/>
    <xf numFmtId="0" fontId="12" fillId="4" borderId="0" xfId="0" applyFont="1" applyFill="1" applyAlignment="1">
      <alignment horizontal="center"/>
    </xf>
    <xf numFmtId="10" fontId="11" fillId="3" borderId="0" xfId="0" applyNumberFormat="1" applyFont="1" applyFill="1"/>
    <xf numFmtId="1" fontId="11" fillId="3" borderId="0" xfId="0" applyNumberFormat="1" applyFont="1" applyFill="1"/>
    <xf numFmtId="49" fontId="13" fillId="4" borderId="0" xfId="0" applyNumberFormat="1" applyFont="1" applyFill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center"/>
    </xf>
    <xf numFmtId="170" fontId="11" fillId="3" borderId="0" xfId="0" applyNumberFormat="1" applyFont="1" applyFill="1"/>
    <xf numFmtId="167" fontId="11" fillId="0" borderId="0" xfId="0" applyNumberFormat="1" applyFont="1"/>
    <xf numFmtId="165" fontId="11" fillId="0" borderId="0" xfId="0" applyNumberFormat="1" applyFont="1"/>
    <xf numFmtId="0" fontId="15" fillId="0" borderId="0" xfId="0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1" fillId="0" borderId="0" xfId="0" applyNumberFormat="1" applyFont="1"/>
    <xf numFmtId="49" fontId="10" fillId="5" borderId="0" xfId="0" applyNumberFormat="1" applyFont="1" applyFill="1"/>
    <xf numFmtId="165" fontId="10" fillId="5" borderId="0" xfId="0" applyNumberFormat="1" applyFont="1" applyFill="1"/>
    <xf numFmtId="0" fontId="10" fillId="5" borderId="0" xfId="0" applyFont="1" applyFill="1"/>
    <xf numFmtId="0" fontId="0" fillId="5" borderId="0" xfId="0" applyFill="1"/>
    <xf numFmtId="0" fontId="10" fillId="0" borderId="0" xfId="0" applyFont="1"/>
    <xf numFmtId="165" fontId="15" fillId="0" borderId="0" xfId="0" applyNumberFormat="1" applyFont="1"/>
    <xf numFmtId="0" fontId="14" fillId="5" borderId="0" xfId="0" applyFont="1" applyFill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85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4" width="12" customWidth="1"/>
    <col min="5" max="90" width="11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1410.68821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/>
    </row>
    <row r="11" spans="2:3" x14ac:dyDescent="0.25">
      <c r="B11" s="5" t="s">
        <v>52</v>
      </c>
      <c r="C11" s="21"/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5" spans="2:3" x14ac:dyDescent="0.25">
      <c r="B15" s="5" t="s">
        <v>56</v>
      </c>
      <c r="C15" s="19">
        <v>137976.3532745826</v>
      </c>
    </row>
    <row r="16" spans="2:3" x14ac:dyDescent="0.25">
      <c r="B16" s="5" t="s">
        <v>57</v>
      </c>
      <c r="C16" s="23">
        <v>20</v>
      </c>
    </row>
    <row r="17" spans="2:3" x14ac:dyDescent="0.25">
      <c r="B17" s="5" t="s">
        <v>58</v>
      </c>
      <c r="C17" s="19">
        <v>20</v>
      </c>
    </row>
    <row r="19" spans="2:91" x14ac:dyDescent="0.25">
      <c r="B19" s="9" t="s">
        <v>59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</row>
    <row r="21" spans="2:5" x14ac:dyDescent="0.25">
      <c r="B21" s="24" t="s">
        <v>60</v>
      </c>
      <c r="C21" s="24" t="s">
        <v>61</v>
      </c>
      <c r="D21" s="24" t="s">
        <v>62</v>
      </c>
      <c r="E21" s="24" t="s">
        <v>63</v>
      </c>
    </row>
    <row r="22" spans="2:5" x14ac:dyDescent="0.25">
      <c r="B22" s="17" t="s">
        <v>64</v>
      </c>
      <c r="C22" s="21">
        <v>0</v>
      </c>
      <c r="D22" s="20">
        <v>0</v>
      </c>
      <c r="E22" s="21">
        <v>0</v>
      </c>
    </row>
    <row r="23" spans="2:5" x14ac:dyDescent="0.25">
      <c r="B23" s="17" t="s">
        <v>65</v>
      </c>
      <c r="C23" s="21">
        <v>60.001200024000475</v>
      </c>
      <c r="D23" s="20">
        <v>160</v>
      </c>
      <c r="E23" s="21">
        <v>0</v>
      </c>
    </row>
    <row r="24" spans="2:5" x14ac:dyDescent="0.25">
      <c r="B24" s="17" t="s">
        <v>66</v>
      </c>
      <c r="C24" s="21">
        <v>39.998799975999525</v>
      </c>
      <c r="D24" s="20">
        <v>147</v>
      </c>
      <c r="E24" s="21">
        <v>0</v>
      </c>
    </row>
    <row r="26" spans="2:91" x14ac:dyDescent="0.25">
      <c r="B26" s="9" t="s">
        <v>67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</row>
    <row r="28" spans="2:8" x14ac:dyDescent="0.25">
      <c r="B28" s="24" t="s">
        <v>68</v>
      </c>
      <c r="C28" s="24" t="s">
        <v>69</v>
      </c>
      <c r="D28" s="24" t="s">
        <v>70</v>
      </c>
      <c r="E28" s="24" t="s">
        <v>71</v>
      </c>
      <c r="F28" s="24" t="s">
        <v>72</v>
      </c>
      <c r="G28" s="24" t="s">
        <v>73</v>
      </c>
      <c r="H28" s="24" t="s">
        <v>74</v>
      </c>
    </row>
    <row r="29" spans="2:8" x14ac:dyDescent="0.25">
      <c r="B29" s="17" t="s">
        <v>75</v>
      </c>
      <c r="C29" s="19">
        <v>500</v>
      </c>
      <c r="D29" s="25">
        <v>0.05600000000000001</v>
      </c>
      <c r="E29" s="25">
        <v>0.05600000000000001</v>
      </c>
      <c r="F29" s="21">
        <v>2</v>
      </c>
      <c r="G29" s="21">
        <v>16</v>
      </c>
      <c r="H29" s="26">
        <v>3</v>
      </c>
    </row>
    <row r="30" spans="2:8" x14ac:dyDescent="0.25">
      <c r="B30" s="17" t="s">
        <v>76</v>
      </c>
      <c r="C30" s="19">
        <v>500</v>
      </c>
      <c r="D30" s="25">
        <v>0.055</v>
      </c>
      <c r="E30" s="25">
        <v>0.055</v>
      </c>
      <c r="F30" s="21">
        <v>2</v>
      </c>
      <c r="G30" s="21">
        <v>16</v>
      </c>
      <c r="H30" s="26">
        <v>3</v>
      </c>
    </row>
    <row r="31" spans="2:8" x14ac:dyDescent="0.25">
      <c r="B31" s="17" t="s">
        <v>77</v>
      </c>
      <c r="C31" s="19">
        <v>349.9999950416849</v>
      </c>
      <c r="D31" s="25">
        <v>0.055</v>
      </c>
      <c r="E31" s="25">
        <v>0.055</v>
      </c>
      <c r="F31" s="21">
        <v>1.25</v>
      </c>
      <c r="G31" s="21">
        <v>16</v>
      </c>
      <c r="H31" s="26">
        <v>3</v>
      </c>
    </row>
    <row r="32" spans="2:8" x14ac:dyDescent="0.25">
      <c r="B32" s="17" t="s">
        <v>78</v>
      </c>
      <c r="C32" s="19">
        <v>0</v>
      </c>
      <c r="D32" s="25">
        <v>0.0225</v>
      </c>
      <c r="E32" s="25">
        <v>0.0225</v>
      </c>
      <c r="F32" s="21">
        <v>5</v>
      </c>
      <c r="G32" s="21">
        <v>10</v>
      </c>
      <c r="H32" s="26">
        <v>3</v>
      </c>
    </row>
    <row r="33" spans="2:8" x14ac:dyDescent="0.25">
      <c r="B33" s="17" t="s">
        <v>79</v>
      </c>
      <c r="C33" s="19">
        <v>0</v>
      </c>
      <c r="D33" s="25">
        <v>0.0565</v>
      </c>
      <c r="E33" s="25">
        <v>0.0565</v>
      </c>
      <c r="F33" s="21">
        <v>15</v>
      </c>
      <c r="G33" s="21">
        <v>2.75</v>
      </c>
      <c r="H33" s="26">
        <v>3</v>
      </c>
    </row>
    <row r="35" spans="2:91" x14ac:dyDescent="0.25">
      <c r="B35" s="9" t="s">
        <v>80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</row>
    <row r="37" spans="2:90" x14ac:dyDescent="0.25">
      <c r="B37" s="24" t="s">
        <v>81</v>
      </c>
      <c r="C37" s="24" t="s">
        <v>82</v>
      </c>
      <c r="D37" s="24" t="s">
        <v>83</v>
      </c>
      <c r="E37" s="27" t="s">
        <v>84</v>
      </c>
      <c r="F37" s="27" t="s">
        <v>85</v>
      </c>
      <c r="G37" s="27" t="s">
        <v>86</v>
      </c>
      <c r="H37" s="27" t="s">
        <v>87</v>
      </c>
      <c r="I37" s="27" t="s">
        <v>88</v>
      </c>
      <c r="J37" s="27" t="s">
        <v>89</v>
      </c>
      <c r="K37" s="27" t="s">
        <v>90</v>
      </c>
      <c r="L37" s="27" t="s">
        <v>91</v>
      </c>
      <c r="M37" s="27" t="s">
        <v>92</v>
      </c>
      <c r="N37" s="27" t="s">
        <v>93</v>
      </c>
      <c r="O37" s="27" t="s">
        <v>94</v>
      </c>
      <c r="P37" s="27" t="s">
        <v>95</v>
      </c>
      <c r="Q37" s="27" t="s">
        <v>96</v>
      </c>
      <c r="R37" s="27" t="s">
        <v>97</v>
      </c>
      <c r="S37" s="27" t="s">
        <v>98</v>
      </c>
      <c r="T37" s="27" t="s">
        <v>99</v>
      </c>
      <c r="U37" s="27" t="s">
        <v>100</v>
      </c>
      <c r="V37" s="27" t="s">
        <v>101</v>
      </c>
      <c r="W37" s="27" t="s">
        <v>102</v>
      </c>
      <c r="X37" s="27" t="s">
        <v>103</v>
      </c>
      <c r="Y37" s="27" t="s">
        <v>104</v>
      </c>
      <c r="Z37" s="27" t="s">
        <v>105</v>
      </c>
      <c r="AA37" s="27" t="s">
        <v>106</v>
      </c>
      <c r="AB37" s="27" t="s">
        <v>107</v>
      </c>
      <c r="AC37" s="27" t="s">
        <v>108</v>
      </c>
      <c r="AD37" s="27" t="s">
        <v>109</v>
      </c>
      <c r="AE37" s="27" t="s">
        <v>110</v>
      </c>
      <c r="AF37" s="27" t="s">
        <v>111</v>
      </c>
      <c r="AG37" s="27" t="s">
        <v>112</v>
      </c>
      <c r="AH37" s="27" t="s">
        <v>113</v>
      </c>
      <c r="AI37" s="27" t="s">
        <v>114</v>
      </c>
      <c r="AJ37" s="27" t="s">
        <v>115</v>
      </c>
      <c r="AK37" s="27" t="s">
        <v>116</v>
      </c>
      <c r="AL37" s="27" t="s">
        <v>117</v>
      </c>
      <c r="AM37" s="27" t="s">
        <v>118</v>
      </c>
      <c r="AN37" s="27" t="s">
        <v>119</v>
      </c>
      <c r="AO37" s="27" t="s">
        <v>120</v>
      </c>
      <c r="AP37" s="27" t="s">
        <v>121</v>
      </c>
      <c r="AQ37" s="27" t="s">
        <v>122</v>
      </c>
      <c r="AR37" s="27" t="s">
        <v>123</v>
      </c>
      <c r="AS37" s="27" t="s">
        <v>124</v>
      </c>
      <c r="AT37" s="27" t="s">
        <v>125</v>
      </c>
      <c r="AU37" s="27" t="s">
        <v>126</v>
      </c>
      <c r="AV37" s="27" t="s">
        <v>127</v>
      </c>
      <c r="AW37" s="27" t="s">
        <v>128</v>
      </c>
      <c r="AX37" s="27" t="s">
        <v>129</v>
      </c>
      <c r="AY37" s="27" t="s">
        <v>130</v>
      </c>
      <c r="AZ37" s="27" t="s">
        <v>131</v>
      </c>
      <c r="BA37" s="27" t="s">
        <v>132</v>
      </c>
      <c r="BB37" s="27" t="s">
        <v>133</v>
      </c>
      <c r="BC37" s="27" t="s">
        <v>134</v>
      </c>
      <c r="BD37" s="27" t="s">
        <v>135</v>
      </c>
      <c r="BE37" s="27" t="s">
        <v>136</v>
      </c>
      <c r="BF37" s="27" t="s">
        <v>137</v>
      </c>
      <c r="BG37" s="27" t="s">
        <v>138</v>
      </c>
      <c r="BH37" s="27" t="s">
        <v>139</v>
      </c>
      <c r="BI37" s="27" t="s">
        <v>140</v>
      </c>
      <c r="BJ37" s="27" t="s">
        <v>141</v>
      </c>
      <c r="BK37" s="27" t="s">
        <v>142</v>
      </c>
      <c r="BL37" s="27" t="s">
        <v>143</v>
      </c>
      <c r="BM37" s="27" t="s">
        <v>144</v>
      </c>
      <c r="BN37" s="27" t="s">
        <v>145</v>
      </c>
      <c r="BO37" s="27" t="s">
        <v>146</v>
      </c>
      <c r="BP37" s="27" t="s">
        <v>147</v>
      </c>
      <c r="BQ37" s="27" t="s">
        <v>148</v>
      </c>
      <c r="BR37" s="27" t="s">
        <v>149</v>
      </c>
      <c r="BS37" s="27" t="s">
        <v>150</v>
      </c>
      <c r="BT37" s="27" t="s">
        <v>151</v>
      </c>
      <c r="BU37" s="27" t="s">
        <v>152</v>
      </c>
      <c r="BV37" s="27" t="s">
        <v>153</v>
      </c>
      <c r="BW37" s="27" t="s">
        <v>154</v>
      </c>
      <c r="BX37" s="27" t="s">
        <v>155</v>
      </c>
      <c r="BY37" s="27" t="s">
        <v>156</v>
      </c>
      <c r="BZ37" s="27" t="s">
        <v>157</v>
      </c>
      <c r="CA37" s="27" t="s">
        <v>158</v>
      </c>
      <c r="CB37" s="27" t="s">
        <v>159</v>
      </c>
      <c r="CC37" s="27" t="s">
        <v>160</v>
      </c>
      <c r="CD37" s="27" t="s">
        <v>161</v>
      </c>
      <c r="CE37" s="27" t="s">
        <v>162</v>
      </c>
      <c r="CF37" s="27" t="s">
        <v>163</v>
      </c>
      <c r="CG37" s="27" t="s">
        <v>164</v>
      </c>
      <c r="CH37" s="27" t="s">
        <v>165</v>
      </c>
      <c r="CI37" s="27" t="s">
        <v>166</v>
      </c>
      <c r="CJ37" s="27" t="s">
        <v>167</v>
      </c>
      <c r="CK37" s="27" t="s">
        <v>168</v>
      </c>
      <c r="CL37" s="27" t="s">
        <v>169</v>
      </c>
    </row>
    <row r="39" spans="2:77" x14ac:dyDescent="0.25">
      <c r="B39" s="28" t="s">
        <v>170</v>
      </c>
      <c r="C39" s="29" t="s">
        <v>171</v>
      </c>
      <c r="N39" s="30">
        <v>0.030625</v>
      </c>
      <c r="O39" s="30">
        <v>0.021</v>
      </c>
      <c r="P39" s="30">
        <v>0.013</v>
      </c>
      <c r="Q39" s="30">
        <v>0.013</v>
      </c>
      <c r="R39" s="30">
        <v>0.014</v>
      </c>
      <c r="S39" s="30">
        <v>0.014</v>
      </c>
      <c r="T39" s="30">
        <v>0.014</v>
      </c>
      <c r="U39" s="30">
        <v>0.014</v>
      </c>
      <c r="V39" s="30">
        <v>0.014</v>
      </c>
      <c r="W39" s="30">
        <v>0.014</v>
      </c>
      <c r="X39" s="30">
        <v>0.014</v>
      </c>
      <c r="Y39" s="30">
        <v>0.015</v>
      </c>
      <c r="Z39" s="30">
        <v>0.015</v>
      </c>
      <c r="AA39" s="30">
        <v>0.015</v>
      </c>
      <c r="AB39" s="30">
        <v>0.015</v>
      </c>
      <c r="AC39" s="30">
        <v>0.015</v>
      </c>
      <c r="AD39" s="30">
        <v>0.015</v>
      </c>
      <c r="AE39" s="30">
        <v>0.015625</v>
      </c>
      <c r="AF39" s="30">
        <v>0.015625</v>
      </c>
      <c r="AG39" s="30">
        <v>0.015625</v>
      </c>
      <c r="AH39" s="30">
        <v>0.015625</v>
      </c>
      <c r="AI39" s="30">
        <v>0.015625</v>
      </c>
      <c r="AJ39" s="30">
        <v>0.015625</v>
      </c>
      <c r="AK39" s="30">
        <v>0.015625</v>
      </c>
      <c r="AL39" s="30">
        <v>0.015625</v>
      </c>
      <c r="AM39" s="30">
        <v>0.015625</v>
      </c>
      <c r="AN39" s="30">
        <v>0.015625</v>
      </c>
      <c r="AO39" s="30">
        <v>0.015625</v>
      </c>
      <c r="AP39" s="30">
        <v>0.015625</v>
      </c>
      <c r="AQ39" s="30">
        <v>0.015625</v>
      </c>
      <c r="AR39" s="30">
        <v>0.015625</v>
      </c>
      <c r="AS39" s="30">
        <v>0.015625</v>
      </c>
      <c r="AT39" s="30">
        <v>0.015625</v>
      </c>
      <c r="AU39" s="30">
        <v>0.015625</v>
      </c>
      <c r="AV39" s="30">
        <v>0.015625</v>
      </c>
      <c r="AW39" s="30">
        <v>0.015625</v>
      </c>
      <c r="AX39" s="30">
        <v>0.015625</v>
      </c>
      <c r="AY39" s="30">
        <v>0.015625</v>
      </c>
      <c r="AZ39" s="30">
        <v>0.015625</v>
      </c>
      <c r="BA39" s="30">
        <v>0.015625</v>
      </c>
      <c r="BB39" s="30">
        <v>0.015625</v>
      </c>
      <c r="BC39" s="30">
        <v>0.015625</v>
      </c>
      <c r="BD39" s="30">
        <v>0.015625</v>
      </c>
      <c r="BE39" s="30">
        <v>0.015625</v>
      </c>
      <c r="BF39" s="30">
        <v>0.015625</v>
      </c>
      <c r="BG39" s="30">
        <v>0.015625</v>
      </c>
      <c r="BH39" s="30">
        <v>0.015625</v>
      </c>
      <c r="BI39" s="30">
        <v>0.015625</v>
      </c>
      <c r="BJ39" s="30">
        <v>0.015625</v>
      </c>
      <c r="BK39" s="30">
        <v>0.015625</v>
      </c>
      <c r="BL39" s="30">
        <v>0.015625</v>
      </c>
      <c r="BM39" s="30">
        <v>0.015625</v>
      </c>
      <c r="BN39" s="30">
        <v>0.015625</v>
      </c>
      <c r="BO39" s="30">
        <v>0.015625</v>
      </c>
      <c r="BP39" s="30">
        <v>0.015625</v>
      </c>
      <c r="BQ39" s="30">
        <v>0.015625</v>
      </c>
      <c r="BR39" s="30">
        <v>0.015625</v>
      </c>
      <c r="BS39" s="30">
        <v>0.015625</v>
      </c>
      <c r="BT39" s="30">
        <v>0.015625</v>
      </c>
      <c r="BU39" s="30">
        <v>0.015625</v>
      </c>
      <c r="BV39" s="30">
        <v>0.015625</v>
      </c>
      <c r="BW39" s="30">
        <v>0.015625</v>
      </c>
      <c r="BX39" s="30">
        <v>0.015625</v>
      </c>
      <c r="BY39" s="30">
        <v>0.015625</v>
      </c>
    </row>
    <row r="40" spans="2:77" x14ac:dyDescent="0.25">
      <c r="B40" s="28" t="s">
        <v>172</v>
      </c>
      <c r="C40" s="29" t="s">
        <v>171</v>
      </c>
      <c r="N40" s="30">
        <v>0.030625</v>
      </c>
      <c r="O40" s="30">
        <v>0.021</v>
      </c>
      <c r="P40" s="30">
        <v>0.013</v>
      </c>
      <c r="Q40" s="30">
        <v>0.013</v>
      </c>
      <c r="R40" s="30">
        <v>0.014</v>
      </c>
      <c r="S40" s="30">
        <v>0.014</v>
      </c>
      <c r="T40" s="30">
        <v>0.014</v>
      </c>
      <c r="U40" s="30">
        <v>0.014</v>
      </c>
      <c r="V40" s="30">
        <v>0.014</v>
      </c>
      <c r="W40" s="30">
        <v>0.014</v>
      </c>
      <c r="X40" s="30">
        <v>0.014</v>
      </c>
      <c r="Y40" s="30">
        <v>0.015</v>
      </c>
      <c r="Z40" s="30">
        <v>0.015</v>
      </c>
      <c r="AA40" s="30">
        <v>0.015</v>
      </c>
      <c r="AB40" s="30">
        <v>0.015</v>
      </c>
      <c r="AC40" s="30">
        <v>0.015</v>
      </c>
      <c r="AD40" s="30">
        <v>0.015</v>
      </c>
      <c r="AE40" s="30">
        <v>0.015625</v>
      </c>
      <c r="AF40" s="30">
        <v>0.015625</v>
      </c>
      <c r="AG40" s="30">
        <v>0.015625</v>
      </c>
      <c r="AH40" s="30">
        <v>0.015625</v>
      </c>
      <c r="AI40" s="30">
        <v>0.015625</v>
      </c>
      <c r="AJ40" s="30">
        <v>0.015625</v>
      </c>
      <c r="AK40" s="30">
        <v>0.015625</v>
      </c>
      <c r="AL40" s="30">
        <v>0.015625</v>
      </c>
      <c r="AM40" s="30">
        <v>0.015625</v>
      </c>
      <c r="AN40" s="30">
        <v>0.015625</v>
      </c>
      <c r="AO40" s="30">
        <v>0.015625</v>
      </c>
      <c r="AP40" s="30">
        <v>0.015625</v>
      </c>
      <c r="AQ40" s="30">
        <v>0.015625</v>
      </c>
      <c r="AR40" s="30">
        <v>0.015625</v>
      </c>
      <c r="AS40" s="30">
        <v>0.015625</v>
      </c>
      <c r="AT40" s="30">
        <v>0.015625</v>
      </c>
      <c r="AU40" s="30">
        <v>0.015625</v>
      </c>
      <c r="AV40" s="30">
        <v>0.015625</v>
      </c>
      <c r="AW40" s="30">
        <v>0.015625</v>
      </c>
      <c r="AX40" s="30">
        <v>0.015625</v>
      </c>
      <c r="AY40" s="30">
        <v>0.015625</v>
      </c>
      <c r="AZ40" s="30">
        <v>0.015625</v>
      </c>
      <c r="BA40" s="30">
        <v>0.015625</v>
      </c>
      <c r="BB40" s="30">
        <v>0.015625</v>
      </c>
      <c r="BC40" s="30">
        <v>0.015625</v>
      </c>
      <c r="BD40" s="30">
        <v>0.015625</v>
      </c>
      <c r="BE40" s="30">
        <v>0.015625</v>
      </c>
      <c r="BF40" s="30">
        <v>0.015625</v>
      </c>
      <c r="BG40" s="30">
        <v>0.015625</v>
      </c>
      <c r="BH40" s="30">
        <v>0.015625</v>
      </c>
      <c r="BI40" s="30">
        <v>0.015625</v>
      </c>
      <c r="BJ40" s="30">
        <v>0.015625</v>
      </c>
      <c r="BK40" s="30">
        <v>0.015625</v>
      </c>
      <c r="BL40" s="30">
        <v>0.015625</v>
      </c>
      <c r="BM40" s="30">
        <v>0.015625</v>
      </c>
      <c r="BN40" s="30">
        <v>0.015625</v>
      </c>
      <c r="BO40" s="30">
        <v>0.015625</v>
      </c>
      <c r="BP40" s="30">
        <v>0.015625</v>
      </c>
      <c r="BQ40" s="30">
        <v>0.015625</v>
      </c>
      <c r="BR40" s="30">
        <v>0.015625</v>
      </c>
      <c r="BS40" s="30">
        <v>0.015625</v>
      </c>
      <c r="BT40" s="30">
        <v>0.015625</v>
      </c>
      <c r="BU40" s="30">
        <v>0.015625</v>
      </c>
      <c r="BV40" s="30">
        <v>0.015625</v>
      </c>
      <c r="BW40" s="30">
        <v>0.015625</v>
      </c>
      <c r="BX40" s="30">
        <v>0.015625</v>
      </c>
      <c r="BY40" s="30">
        <v>0.015625</v>
      </c>
    </row>
    <row r="41" spans="2:77" x14ac:dyDescent="0.25">
      <c r="B41" s="28" t="s">
        <v>173</v>
      </c>
      <c r="C41" s="29" t="s">
        <v>171</v>
      </c>
      <c r="N41" s="30">
        <v>0.030625</v>
      </c>
      <c r="O41" s="30">
        <v>0.021</v>
      </c>
      <c r="P41" s="30">
        <v>0.013</v>
      </c>
      <c r="Q41" s="30">
        <v>0.013</v>
      </c>
      <c r="R41" s="30">
        <v>0.014</v>
      </c>
      <c r="S41" s="30">
        <v>0.014</v>
      </c>
      <c r="T41" s="30">
        <v>0.014</v>
      </c>
      <c r="U41" s="30">
        <v>0.014</v>
      </c>
      <c r="V41" s="30">
        <v>0.014</v>
      </c>
      <c r="W41" s="30">
        <v>0.014</v>
      </c>
      <c r="X41" s="30">
        <v>0.014</v>
      </c>
      <c r="Y41" s="30">
        <v>0.015</v>
      </c>
      <c r="Z41" s="30">
        <v>0.015</v>
      </c>
      <c r="AA41" s="30">
        <v>0.015</v>
      </c>
      <c r="AB41" s="30">
        <v>0.015</v>
      </c>
      <c r="AC41" s="30">
        <v>0.015</v>
      </c>
      <c r="AD41" s="30">
        <v>0.015</v>
      </c>
      <c r="AE41" s="30">
        <v>0.015625</v>
      </c>
      <c r="AF41" s="30">
        <v>0.015625</v>
      </c>
      <c r="AG41" s="30">
        <v>0.015625</v>
      </c>
      <c r="AH41" s="30">
        <v>0.015625</v>
      </c>
      <c r="AI41" s="30">
        <v>0.015625</v>
      </c>
      <c r="AJ41" s="30">
        <v>0.015625</v>
      </c>
      <c r="AK41" s="30">
        <v>0.015625</v>
      </c>
      <c r="AL41" s="30">
        <v>0.015625</v>
      </c>
      <c r="AM41" s="30">
        <v>0.015625</v>
      </c>
      <c r="AN41" s="30">
        <v>0.015625</v>
      </c>
      <c r="AO41" s="30">
        <v>0.015625</v>
      </c>
      <c r="AP41" s="30">
        <v>0.015625</v>
      </c>
      <c r="AQ41" s="30">
        <v>0.015625</v>
      </c>
      <c r="AR41" s="30">
        <v>0.015625</v>
      </c>
      <c r="AS41" s="30">
        <v>0.015625</v>
      </c>
      <c r="AT41" s="30">
        <v>0.015625</v>
      </c>
      <c r="AU41" s="30">
        <v>0.015625</v>
      </c>
      <c r="AV41" s="30">
        <v>0.015625</v>
      </c>
      <c r="AW41" s="30">
        <v>0.015625</v>
      </c>
      <c r="AX41" s="30">
        <v>0.015625</v>
      </c>
      <c r="AY41" s="30">
        <v>0.015625</v>
      </c>
      <c r="AZ41" s="30">
        <v>0.015625</v>
      </c>
      <c r="BA41" s="30">
        <v>0.015625</v>
      </c>
      <c r="BB41" s="30">
        <v>0.015625</v>
      </c>
      <c r="BC41" s="30">
        <v>0.015625</v>
      </c>
      <c r="BD41" s="30">
        <v>0.015625</v>
      </c>
      <c r="BE41" s="30">
        <v>0.015625</v>
      </c>
      <c r="BF41" s="30">
        <v>0.015625</v>
      </c>
      <c r="BG41" s="30">
        <v>0.015625</v>
      </c>
      <c r="BH41" s="30">
        <v>0.015625</v>
      </c>
      <c r="BI41" s="30">
        <v>0.015625</v>
      </c>
      <c r="BJ41" s="30">
        <v>0.015625</v>
      </c>
      <c r="BK41" s="30">
        <v>0.015625</v>
      </c>
      <c r="BL41" s="30">
        <v>0.015625</v>
      </c>
      <c r="BM41" s="30">
        <v>0.015625</v>
      </c>
      <c r="BN41" s="30">
        <v>0.015625</v>
      </c>
      <c r="BO41" s="30">
        <v>0.015625</v>
      </c>
      <c r="BP41" s="30">
        <v>0.015625</v>
      </c>
      <c r="BQ41" s="30">
        <v>0.015625</v>
      </c>
      <c r="BR41" s="30">
        <v>0.015625</v>
      </c>
      <c r="BS41" s="30">
        <v>0.015625</v>
      </c>
      <c r="BT41" s="30">
        <v>0.015625</v>
      </c>
      <c r="BU41" s="30">
        <v>0.015625</v>
      </c>
      <c r="BV41" s="30">
        <v>0.015625</v>
      </c>
      <c r="BW41" s="30">
        <v>0.015625</v>
      </c>
      <c r="BX41" s="30">
        <v>0.015625</v>
      </c>
      <c r="BY41" s="30">
        <v>0.015625</v>
      </c>
    </row>
    <row r="43" spans="2:91" x14ac:dyDescent="0.25">
      <c r="B43" s="9" t="s">
        <v>174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</row>
    <row r="45" spans="2:3" x14ac:dyDescent="0.25">
      <c r="B45" s="24" t="s">
        <v>175</v>
      </c>
      <c r="C45" s="24" t="s">
        <v>69</v>
      </c>
    </row>
    <row r="46" spans="2:3" x14ac:dyDescent="0.25">
      <c r="B46" s="17" t="s">
        <v>176</v>
      </c>
      <c r="C46" s="19"/>
    </row>
    <row r="47" spans="2:3" x14ac:dyDescent="0.25">
      <c r="B47" s="17" t="s">
        <v>177</v>
      </c>
      <c r="C47" s="19"/>
    </row>
    <row r="48" spans="2:3" x14ac:dyDescent="0.25">
      <c r="B48" s="17" t="s">
        <v>178</v>
      </c>
      <c r="C48" s="19"/>
    </row>
    <row r="49" spans="2:3" x14ac:dyDescent="0.25">
      <c r="B49" s="17" t="s">
        <v>179</v>
      </c>
      <c r="C49" s="19"/>
    </row>
    <row r="50" spans="2:3" x14ac:dyDescent="0.25">
      <c r="B50" s="17" t="s">
        <v>180</v>
      </c>
      <c r="C50" s="19"/>
    </row>
    <row r="51" spans="2:3" x14ac:dyDescent="0.25">
      <c r="B51" s="17" t="s">
        <v>181</v>
      </c>
      <c r="C51" s="19"/>
    </row>
    <row r="52" spans="2:3" x14ac:dyDescent="0.25">
      <c r="B52" s="17" t="s">
        <v>182</v>
      </c>
      <c r="C52" s="19"/>
    </row>
    <row r="53" spans="2:3" x14ac:dyDescent="0.25">
      <c r="B53" s="17" t="s">
        <v>183</v>
      </c>
      <c r="C53" s="19"/>
    </row>
    <row r="54" spans="2:3" x14ac:dyDescent="0.25">
      <c r="B54" s="17" t="s">
        <v>184</v>
      </c>
      <c r="C54" s="19"/>
    </row>
    <row r="55" spans="2:3" x14ac:dyDescent="0.25">
      <c r="B55" s="17" t="s">
        <v>185</v>
      </c>
      <c r="C55" s="19"/>
    </row>
    <row r="56" spans="2:3" x14ac:dyDescent="0.25">
      <c r="B56" s="17" t="s">
        <v>186</v>
      </c>
      <c r="C56" s="19"/>
    </row>
    <row r="57" spans="2:3" x14ac:dyDescent="0.25">
      <c r="B57" s="17" t="s">
        <v>187</v>
      </c>
      <c r="C57" s="19"/>
    </row>
    <row r="59" spans="2:91" x14ac:dyDescent="0.25">
      <c r="B59" s="9" t="s">
        <v>188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</row>
    <row r="61" spans="2:4" x14ac:dyDescent="0.25">
      <c r="B61" s="24" t="s">
        <v>175</v>
      </c>
      <c r="C61" s="24" t="s">
        <v>189</v>
      </c>
      <c r="D61" s="24" t="s">
        <v>63</v>
      </c>
    </row>
    <row r="62" spans="2:4" x14ac:dyDescent="0.25">
      <c r="B62" s="17" t="s">
        <v>190</v>
      </c>
      <c r="C62" s="19">
        <v>9.555</v>
      </c>
      <c r="D62" s="21">
        <v>0</v>
      </c>
    </row>
    <row r="63" spans="2:4" x14ac:dyDescent="0.25">
      <c r="B63" s="17" t="s">
        <v>191</v>
      </c>
      <c r="C63" s="19">
        <v>15</v>
      </c>
      <c r="D63" s="21">
        <v>1.5</v>
      </c>
    </row>
    <row r="64" spans="2:4" x14ac:dyDescent="0.25">
      <c r="B64" s="17" t="s">
        <v>192</v>
      </c>
      <c r="C64" s="19">
        <v>6.5</v>
      </c>
      <c r="D64" s="21">
        <v>0</v>
      </c>
    </row>
    <row r="65" spans="2:4" x14ac:dyDescent="0.25">
      <c r="B65" s="17" t="s">
        <v>193</v>
      </c>
      <c r="C65" s="19">
        <v>1.095</v>
      </c>
      <c r="D65" s="21">
        <v>0</v>
      </c>
    </row>
    <row r="66" spans="2:4" x14ac:dyDescent="0.25">
      <c r="B66" s="17" t="s">
        <v>194</v>
      </c>
      <c r="C66" s="19">
        <v>2</v>
      </c>
      <c r="D66" s="21">
        <v>2</v>
      </c>
    </row>
    <row r="67" spans="2:4" x14ac:dyDescent="0.25">
      <c r="B67" s="17" t="s">
        <v>195</v>
      </c>
      <c r="C67" s="19">
        <v>2</v>
      </c>
      <c r="D67" s="21">
        <v>2</v>
      </c>
    </row>
    <row r="68" spans="2:4" x14ac:dyDescent="0.25">
      <c r="B68" s="17" t="s">
        <v>184</v>
      </c>
      <c r="C68" s="19">
        <v>1.5</v>
      </c>
      <c r="D68" s="21">
        <v>2</v>
      </c>
    </row>
    <row r="69" spans="2:4" x14ac:dyDescent="0.25">
      <c r="B69" s="17" t="s">
        <v>196</v>
      </c>
      <c r="C69" s="19">
        <v>8</v>
      </c>
      <c r="D69" s="21">
        <v>0</v>
      </c>
    </row>
    <row r="70" spans="2:4" x14ac:dyDescent="0.25">
      <c r="B70" s="17" t="s">
        <v>197</v>
      </c>
      <c r="C70" s="19">
        <v>0.3</v>
      </c>
      <c r="D70" s="21">
        <v>0</v>
      </c>
    </row>
    <row r="71" spans="2:4" x14ac:dyDescent="0.25">
      <c r="B71" s="17" t="s">
        <v>198</v>
      </c>
      <c r="C71" s="19">
        <v>3</v>
      </c>
      <c r="D71" s="21">
        <v>0</v>
      </c>
    </row>
    <row r="72" spans="2:4" x14ac:dyDescent="0.25">
      <c r="B72" s="17" t="s">
        <v>199</v>
      </c>
      <c r="C72" s="19">
        <v>0.21416000000000002</v>
      </c>
      <c r="D72" s="21">
        <v>0</v>
      </c>
    </row>
    <row r="73" spans="2:4" x14ac:dyDescent="0.25">
      <c r="B73" s="17" t="s">
        <v>200</v>
      </c>
      <c r="C73" s="19">
        <v>0</v>
      </c>
      <c r="D73" s="21">
        <v>0</v>
      </c>
    </row>
    <row r="76" spans="2:91" x14ac:dyDescent="0.25">
      <c r="B76" s="9" t="s">
        <v>201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</row>
    <row r="78" spans="2:90" x14ac:dyDescent="0.25">
      <c r="B78" s="24" t="s">
        <v>81</v>
      </c>
      <c r="C78" s="24" t="s">
        <v>82</v>
      </c>
      <c r="D78" s="24" t="s">
        <v>83</v>
      </c>
      <c r="E78" s="27" t="s">
        <v>84</v>
      </c>
      <c r="F78" s="27" t="s">
        <v>85</v>
      </c>
      <c r="G78" s="27" t="s">
        <v>86</v>
      </c>
      <c r="H78" s="27" t="s">
        <v>87</v>
      </c>
      <c r="I78" s="27" t="s">
        <v>88</v>
      </c>
      <c r="J78" s="27" t="s">
        <v>89</v>
      </c>
      <c r="K78" s="27" t="s">
        <v>90</v>
      </c>
      <c r="L78" s="27" t="s">
        <v>91</v>
      </c>
      <c r="M78" s="27" t="s">
        <v>92</v>
      </c>
      <c r="N78" s="27" t="s">
        <v>93</v>
      </c>
      <c r="O78" s="27" t="s">
        <v>94</v>
      </c>
      <c r="P78" s="27" t="s">
        <v>95</v>
      </c>
      <c r="Q78" s="27" t="s">
        <v>96</v>
      </c>
      <c r="R78" s="27" t="s">
        <v>97</v>
      </c>
      <c r="S78" s="27" t="s">
        <v>98</v>
      </c>
      <c r="T78" s="27" t="s">
        <v>99</v>
      </c>
      <c r="U78" s="27" t="s">
        <v>100</v>
      </c>
      <c r="V78" s="27" t="s">
        <v>101</v>
      </c>
      <c r="W78" s="27" t="s">
        <v>102</v>
      </c>
      <c r="X78" s="27" t="s">
        <v>103</v>
      </c>
      <c r="Y78" s="27" t="s">
        <v>104</v>
      </c>
      <c r="Z78" s="27" t="s">
        <v>105</v>
      </c>
      <c r="AA78" s="27" t="s">
        <v>106</v>
      </c>
      <c r="AB78" s="27" t="s">
        <v>107</v>
      </c>
      <c r="AC78" s="27" t="s">
        <v>108</v>
      </c>
      <c r="AD78" s="27" t="s">
        <v>109</v>
      </c>
      <c r="AE78" s="27" t="s">
        <v>110</v>
      </c>
      <c r="AF78" s="27" t="s">
        <v>111</v>
      </c>
      <c r="AG78" s="27" t="s">
        <v>112</v>
      </c>
      <c r="AH78" s="27" t="s">
        <v>113</v>
      </c>
      <c r="AI78" s="27" t="s">
        <v>114</v>
      </c>
      <c r="AJ78" s="27" t="s">
        <v>115</v>
      </c>
      <c r="AK78" s="27" t="s">
        <v>116</v>
      </c>
      <c r="AL78" s="27" t="s">
        <v>117</v>
      </c>
      <c r="AM78" s="27" t="s">
        <v>118</v>
      </c>
      <c r="AN78" s="27" t="s">
        <v>119</v>
      </c>
      <c r="AO78" s="27" t="s">
        <v>120</v>
      </c>
      <c r="AP78" s="27" t="s">
        <v>121</v>
      </c>
      <c r="AQ78" s="27" t="s">
        <v>122</v>
      </c>
      <c r="AR78" s="27" t="s">
        <v>123</v>
      </c>
      <c r="AS78" s="27" t="s">
        <v>124</v>
      </c>
      <c r="AT78" s="27" t="s">
        <v>125</v>
      </c>
      <c r="AU78" s="27" t="s">
        <v>126</v>
      </c>
      <c r="AV78" s="27" t="s">
        <v>127</v>
      </c>
      <c r="AW78" s="27" t="s">
        <v>128</v>
      </c>
      <c r="AX78" s="27" t="s">
        <v>129</v>
      </c>
      <c r="AY78" s="27" t="s">
        <v>130</v>
      </c>
      <c r="AZ78" s="27" t="s">
        <v>131</v>
      </c>
      <c r="BA78" s="27" t="s">
        <v>132</v>
      </c>
      <c r="BB78" s="27" t="s">
        <v>133</v>
      </c>
      <c r="BC78" s="27" t="s">
        <v>134</v>
      </c>
      <c r="BD78" s="27" t="s">
        <v>135</v>
      </c>
      <c r="BE78" s="27" t="s">
        <v>136</v>
      </c>
      <c r="BF78" s="27" t="s">
        <v>137</v>
      </c>
      <c r="BG78" s="27" t="s">
        <v>138</v>
      </c>
      <c r="BH78" s="27" t="s">
        <v>139</v>
      </c>
      <c r="BI78" s="27" t="s">
        <v>140</v>
      </c>
      <c r="BJ78" s="27" t="s">
        <v>141</v>
      </c>
      <c r="BK78" s="27" t="s">
        <v>142</v>
      </c>
      <c r="BL78" s="27" t="s">
        <v>143</v>
      </c>
      <c r="BM78" s="27" t="s">
        <v>144</v>
      </c>
      <c r="BN78" s="27" t="s">
        <v>145</v>
      </c>
      <c r="BO78" s="27" t="s">
        <v>146</v>
      </c>
      <c r="BP78" s="27" t="s">
        <v>147</v>
      </c>
      <c r="BQ78" s="27" t="s">
        <v>148</v>
      </c>
      <c r="BR78" s="27" t="s">
        <v>149</v>
      </c>
      <c r="BS78" s="27" t="s">
        <v>150</v>
      </c>
      <c r="BT78" s="27" t="s">
        <v>151</v>
      </c>
      <c r="BU78" s="27" t="s">
        <v>152</v>
      </c>
      <c r="BV78" s="27" t="s">
        <v>153</v>
      </c>
      <c r="BW78" s="27" t="s">
        <v>154</v>
      </c>
      <c r="BX78" s="27" t="s">
        <v>155</v>
      </c>
      <c r="BY78" s="27" t="s">
        <v>156</v>
      </c>
      <c r="BZ78" s="27" t="s">
        <v>157</v>
      </c>
      <c r="CA78" s="27" t="s">
        <v>158</v>
      </c>
      <c r="CB78" s="27" t="s">
        <v>159</v>
      </c>
      <c r="CC78" s="27" t="s">
        <v>160</v>
      </c>
      <c r="CD78" s="27" t="s">
        <v>161</v>
      </c>
      <c r="CE78" s="27" t="s">
        <v>162</v>
      </c>
      <c r="CF78" s="27" t="s">
        <v>163</v>
      </c>
      <c r="CG78" s="27" t="s">
        <v>164</v>
      </c>
      <c r="CH78" s="27" t="s">
        <v>165</v>
      </c>
      <c r="CI78" s="27" t="s">
        <v>166</v>
      </c>
      <c r="CJ78" s="27" t="s">
        <v>167</v>
      </c>
      <c r="CK78" s="27" t="s">
        <v>168</v>
      </c>
      <c r="CL78" s="27" t="s">
        <v>169</v>
      </c>
    </row>
    <row r="80" spans="2:90" x14ac:dyDescent="0.25">
      <c r="B80" s="28" t="s">
        <v>202</v>
      </c>
      <c r="C80" s="29" t="s">
        <v>203</v>
      </c>
      <c r="E80" s="31"/>
      <c r="F80" s="31"/>
      <c r="G80" s="31"/>
      <c r="H80" s="31"/>
      <c r="I80" s="31"/>
      <c r="J80" s="31"/>
      <c r="K80" s="20">
        <v>154.8001560031201</v>
      </c>
      <c r="L80" s="20">
        <v>154.8001560031201</v>
      </c>
      <c r="M80" s="20">
        <v>154.80015600312007</v>
      </c>
      <c r="N80" s="20">
        <v>154.80015600312007</v>
      </c>
      <c r="O80" s="20">
        <v>154.80015600312007</v>
      </c>
      <c r="P80" s="20">
        <v>154.80015600312007</v>
      </c>
      <c r="Q80" s="20">
        <v>154.80015600312007</v>
      </c>
      <c r="R80" s="20">
        <v>154.8001560031201</v>
      </c>
      <c r="S80" s="20">
        <v>154.80015600312007</v>
      </c>
      <c r="T80" s="20">
        <v>154.80015600312007</v>
      </c>
      <c r="U80" s="20">
        <v>154.80015600312007</v>
      </c>
      <c r="V80" s="20">
        <v>154.8001560031201</v>
      </c>
      <c r="W80" s="20">
        <v>154.80015600312007</v>
      </c>
      <c r="X80" s="20">
        <v>154.80015600312007</v>
      </c>
      <c r="Y80" s="20">
        <v>154.80015600312007</v>
      </c>
      <c r="Z80" s="20">
        <v>154.80015600312007</v>
      </c>
      <c r="AA80" s="20">
        <v>154.80015600312015</v>
      </c>
      <c r="AB80" s="20">
        <v>154.8001560031201</v>
      </c>
      <c r="AC80" s="20">
        <v>154.8001560031201</v>
      </c>
      <c r="AD80" s="20">
        <v>154.80015600312012</v>
      </c>
      <c r="AE80" s="20">
        <v>154.80015600312012</v>
      </c>
      <c r="AF80" s="20">
        <v>154.8001560031201</v>
      </c>
      <c r="AG80" s="20">
        <v>154.8001560031201</v>
      </c>
      <c r="AH80" s="20">
        <v>154.80015600312012</v>
      </c>
      <c r="AI80" s="20">
        <v>154.8001560031201</v>
      </c>
      <c r="AJ80" s="20">
        <v>154.80015600312007</v>
      </c>
      <c r="AK80" s="20">
        <v>154.80015600312007</v>
      </c>
      <c r="AL80" s="20">
        <v>154.8001560031201</v>
      </c>
      <c r="AM80" s="20">
        <v>154.80015600312007</v>
      </c>
      <c r="AN80" s="20">
        <v>154.80015600312012</v>
      </c>
      <c r="AO80" s="20">
        <v>154.80015600312012</v>
      </c>
      <c r="AP80" s="20">
        <v>154.80015600312012</v>
      </c>
      <c r="AQ80" s="20">
        <v>154.80015600312007</v>
      </c>
      <c r="AR80" s="20">
        <v>154.80015600312007</v>
      </c>
      <c r="AS80" s="20">
        <v>154.80015600312007</v>
      </c>
      <c r="AT80" s="20">
        <v>154.80015600312004</v>
      </c>
      <c r="AU80" s="20">
        <v>154.80015600312012</v>
      </c>
      <c r="AV80" s="20">
        <v>154.80015600312012</v>
      </c>
      <c r="AW80" s="20">
        <v>154.8001560031201</v>
      </c>
      <c r="AX80" s="20">
        <v>154.80015600312012</v>
      </c>
      <c r="AY80" s="20">
        <v>154.8001560031201</v>
      </c>
      <c r="AZ80" s="20">
        <v>154.80015600312007</v>
      </c>
      <c r="BA80" s="20">
        <v>154.8001560031201</v>
      </c>
      <c r="BB80" s="20">
        <v>154.8001560031201</v>
      </c>
      <c r="BC80" s="20">
        <v>154.8001560031201</v>
      </c>
      <c r="BD80" s="20">
        <v>154.80015600312007</v>
      </c>
      <c r="BE80" s="20">
        <v>154.8001560031201</v>
      </c>
      <c r="BF80" s="20">
        <v>154.8001560031201</v>
      </c>
      <c r="BG80" s="20">
        <v>154.80015600312012</v>
      </c>
      <c r="BH80" s="20">
        <v>154.80015600312012</v>
      </c>
      <c r="BI80" s="20">
        <v>154.8001560031201</v>
      </c>
      <c r="BJ80" s="20">
        <v>154.8001560031201</v>
      </c>
      <c r="BK80" s="20">
        <v>154.80015600312012</v>
      </c>
      <c r="BL80" s="20">
        <v>154.8001560031201</v>
      </c>
      <c r="BM80" s="20">
        <v>154.80015600312012</v>
      </c>
      <c r="BN80" s="20">
        <v>154.8001560031201</v>
      </c>
      <c r="BO80" s="20">
        <v>154.80015600312007</v>
      </c>
      <c r="BP80" s="20">
        <v>154.8001560031201</v>
      </c>
      <c r="BQ80" s="20">
        <v>154.8001560031201</v>
      </c>
      <c r="BR80" s="20">
        <v>154.8001560031201</v>
      </c>
      <c r="BS80" s="20">
        <v>154.80015600312007</v>
      </c>
      <c r="BT80" s="20">
        <v>154.8001560031201</v>
      </c>
      <c r="BU80" s="20">
        <v>154.80015600312007</v>
      </c>
      <c r="BV80" s="20">
        <v>154.80015600312007</v>
      </c>
      <c r="BW80" s="20">
        <v>154.80015600312007</v>
      </c>
      <c r="BX80" s="20">
        <v>154.80015600312007</v>
      </c>
      <c r="BY80" s="20">
        <v>154.80015600312007</v>
      </c>
      <c r="BZ80" s="20">
        <v>154.8001560031201</v>
      </c>
      <c r="CA80" s="20">
        <v>154.80015600312007</v>
      </c>
      <c r="CB80" s="20">
        <v>154.8001560031201</v>
      </c>
      <c r="CC80" s="20">
        <v>154.80015600312007</v>
      </c>
      <c r="CD80" s="20">
        <v>154.80015600312007</v>
      </c>
      <c r="CE80" s="20">
        <v>154.8001560031201</v>
      </c>
      <c r="CF80" s="20">
        <v>154.80015600312007</v>
      </c>
      <c r="CG80" s="20">
        <v>154.8001560031201</v>
      </c>
      <c r="CH80" s="20">
        <v>154.80015600312007</v>
      </c>
      <c r="CI80" s="20">
        <v>154.80015600312012</v>
      </c>
      <c r="CJ80" s="20">
        <v>154.80015600312007</v>
      </c>
      <c r="CK80" s="20">
        <v>154.80015600312007</v>
      </c>
      <c r="CL80" s="20">
        <v>154.8001560031201</v>
      </c>
    </row>
    <row r="81" spans="2:90" x14ac:dyDescent="0.25">
      <c r="B81" s="28" t="s">
        <v>204</v>
      </c>
      <c r="C81" s="29" t="s">
        <v>205</v>
      </c>
      <c r="E81" s="32"/>
      <c r="F81" s="32"/>
      <c r="G81" s="32"/>
      <c r="H81" s="32"/>
      <c r="I81" s="32"/>
      <c r="J81" s="32"/>
      <c r="K81" s="19">
        <v>625.2770822099923</v>
      </c>
      <c r="L81" s="19">
        <v>625.3895040721566</v>
      </c>
      <c r="M81" s="19">
        <v>1606.8734726527252</v>
      </c>
      <c r="N81" s="19">
        <v>624.944313497986</v>
      </c>
      <c r="O81" s="19">
        <v>628.0006967989423</v>
      </c>
      <c r="P81" s="19">
        <v>628.1125565517957</v>
      </c>
      <c r="Q81" s="19">
        <v>1609.5891052894617</v>
      </c>
      <c r="R81" s="19">
        <v>627.669591930496</v>
      </c>
      <c r="S81" s="19">
        <v>630.7793113878922</v>
      </c>
      <c r="T81" s="19">
        <v>630.8906090314349</v>
      </c>
      <c r="U81" s="19">
        <v>1612.359737926198</v>
      </c>
      <c r="V81" s="19">
        <v>630.449870363006</v>
      </c>
      <c r="W81" s="19">
        <v>626.1140259768423</v>
      </c>
      <c r="X81" s="19">
        <v>626.2247615110741</v>
      </c>
      <c r="Y81" s="19">
        <v>1607.6864705629346</v>
      </c>
      <c r="Z81" s="19">
        <v>625.786248795516</v>
      </c>
      <c r="AA81" s="19">
        <v>629.0059625657924</v>
      </c>
      <c r="AB81" s="19">
        <v>629.1161359907135</v>
      </c>
      <c r="AC81" s="19">
        <v>1610.5704251996708</v>
      </c>
      <c r="AD81" s="19">
        <v>628.6798492280262</v>
      </c>
      <c r="AE81" s="19">
        <v>626.9562655947424</v>
      </c>
      <c r="AF81" s="19">
        <v>627.0658769103526</v>
      </c>
      <c r="AG81" s="19">
        <v>1608.5127462764071</v>
      </c>
      <c r="AH81" s="19">
        <v>626.6318161005363</v>
      </c>
      <c r="AI81" s="19">
        <v>629.9661023924924</v>
      </c>
      <c r="AJ81" s="19">
        <v>630.0751515987918</v>
      </c>
      <c r="AK81" s="19">
        <v>1611.5146011219438</v>
      </c>
      <c r="AL81" s="19">
        <v>629.6433167418462</v>
      </c>
      <c r="AM81" s="19">
        <v>633.0366636344186</v>
      </c>
      <c r="AN81" s="19">
        <v>633.1451507314072</v>
      </c>
      <c r="AO81" s="19">
        <v>1614.5771804116557</v>
      </c>
      <c r="AP81" s="19">
        <v>632.7155418273325</v>
      </c>
      <c r="AQ81" s="19">
        <v>636.1691638094042</v>
      </c>
      <c r="AR81" s="19">
        <v>636.2770887970818</v>
      </c>
      <c r="AS81" s="19">
        <v>1617.7016986344277</v>
      </c>
      <c r="AT81" s="19">
        <v>635.849705845878</v>
      </c>
      <c r="AU81" s="19">
        <v>639.3648416961104</v>
      </c>
      <c r="AV81" s="19">
        <v>639.4722045744772</v>
      </c>
      <c r="AW81" s="19">
        <v>1620.8893945689206</v>
      </c>
      <c r="AX81" s="19">
        <v>639.0470475761443</v>
      </c>
      <c r="AY81" s="19">
        <v>642.6249608487717</v>
      </c>
      <c r="AZ81" s="19">
        <v>642.7317616178278</v>
      </c>
      <c r="BA81" s="19">
        <v>1624.141531769368</v>
      </c>
      <c r="BB81" s="19">
        <v>642.3088305723658</v>
      </c>
      <c r="BC81" s="19">
        <v>645.9508100927075</v>
      </c>
      <c r="BD81" s="19">
        <v>646.0570487524527</v>
      </c>
      <c r="BE81" s="19">
        <v>1627.4593990610897</v>
      </c>
      <c r="BF81" s="19">
        <v>645.6363436598614</v>
      </c>
      <c r="BG81" s="19">
        <v>649.3437040297428</v>
      </c>
      <c r="BH81" s="19">
        <v>649.4493805801771</v>
      </c>
      <c r="BI81" s="19">
        <v>1630.8443110459118</v>
      </c>
      <c r="BJ81" s="19">
        <v>649.0309014404568</v>
      </c>
      <c r="BK81" s="19">
        <v>652.8049835537397</v>
      </c>
      <c r="BL81" s="19">
        <v>652.9100979948633</v>
      </c>
      <c r="BM81" s="19">
        <v>1634.2976086176952</v>
      </c>
      <c r="BN81" s="19">
        <v>652.4938448080138</v>
      </c>
      <c r="BO81" s="19">
        <v>656.3360163764378</v>
      </c>
      <c r="BP81" s="19">
        <v>656.4405687082506</v>
      </c>
      <c r="BQ81" s="19">
        <v>1637.8206594881792</v>
      </c>
      <c r="BR81" s="19">
        <v>656.0265414742719</v>
      </c>
      <c r="BS81" s="19">
        <v>659.9381975638107</v>
      </c>
      <c r="BT81" s="19">
        <v>660.0421877863126</v>
      </c>
      <c r="BU81" s="19">
        <v>1641.414858723339</v>
      </c>
      <c r="BV81" s="19">
        <v>659.6303865052049</v>
      </c>
      <c r="BW81" s="19">
        <v>663.612950083152</v>
      </c>
      <c r="BX81" s="19">
        <v>663.7163781963432</v>
      </c>
      <c r="BY81" s="19">
        <v>1645.0816292904665</v>
      </c>
      <c r="BZ81" s="19">
        <v>663.3068028681062</v>
      </c>
      <c r="CA81" s="19">
        <v>667.3617253611014</v>
      </c>
      <c r="CB81" s="19">
        <v>667.4645913649817</v>
      </c>
      <c r="CC81" s="19">
        <v>1648.8224226162022</v>
      </c>
      <c r="CD81" s="19">
        <v>667.0572419896156</v>
      </c>
      <c r="CE81" s="19">
        <v>671.1860038528306</v>
      </c>
      <c r="CF81" s="19">
        <v>671.2883077474002</v>
      </c>
      <c r="CG81" s="19">
        <v>1652.6387191557174</v>
      </c>
      <c r="CH81" s="19">
        <v>670.8831843249048</v>
      </c>
      <c r="CI81" s="19">
        <v>675.0872956226152</v>
      </c>
      <c r="CJ81" s="19">
        <v>675.1890374078739</v>
      </c>
      <c r="CK81" s="19">
        <v>1166.5320289732886</v>
      </c>
      <c r="CL81" s="19">
        <v>674.7861399382496</v>
      </c>
    </row>
    <row r="82" spans="2:90" x14ac:dyDescent="0.25">
      <c r="B82" s="28" t="s">
        <v>206</v>
      </c>
      <c r="C82" s="29" t="s">
        <v>205</v>
      </c>
      <c r="E82" s="32"/>
      <c r="F82" s="32"/>
      <c r="G82" s="32"/>
      <c r="H82" s="32"/>
      <c r="I82" s="32"/>
      <c r="J82" s="32"/>
      <c r="K82" s="19">
        <v>375</v>
      </c>
      <c r="L82" s="19">
        <v>375</v>
      </c>
      <c r="M82" s="19">
        <v>375</v>
      </c>
      <c r="N82" s="19">
        <v>375</v>
      </c>
      <c r="O82" s="19">
        <v>380.625</v>
      </c>
      <c r="P82" s="19">
        <v>380.625</v>
      </c>
      <c r="Q82" s="19">
        <v>380.625</v>
      </c>
      <c r="R82" s="19">
        <v>380.625</v>
      </c>
      <c r="S82" s="19">
        <v>386.3343749999999</v>
      </c>
      <c r="T82" s="19">
        <v>386.3343749999999</v>
      </c>
      <c r="U82" s="19">
        <v>386.3343749999999</v>
      </c>
      <c r="V82" s="19">
        <v>386.3343749999999</v>
      </c>
      <c r="W82" s="19">
        <v>392.1293906249998</v>
      </c>
      <c r="X82" s="19">
        <v>392.1293906249998</v>
      </c>
      <c r="Y82" s="19">
        <v>392.1293906249998</v>
      </c>
      <c r="Z82" s="19">
        <v>392.1293906249998</v>
      </c>
      <c r="AA82" s="19">
        <v>398.01133148437486</v>
      </c>
      <c r="AB82" s="19">
        <v>398.01133148437475</v>
      </c>
      <c r="AC82" s="19">
        <v>398.01133148437475</v>
      </c>
      <c r="AD82" s="19">
        <v>398.01133148437486</v>
      </c>
      <c r="AE82" s="19">
        <v>403.98150145664033</v>
      </c>
      <c r="AF82" s="19">
        <v>403.98150145664033</v>
      </c>
      <c r="AG82" s="19">
        <v>403.9815014566402</v>
      </c>
      <c r="AH82" s="19">
        <v>403.9815014566402</v>
      </c>
      <c r="AI82" s="19">
        <v>410.04122397848994</v>
      </c>
      <c r="AJ82" s="19">
        <v>410.04122397849005</v>
      </c>
      <c r="AK82" s="19">
        <v>410.0412239784898</v>
      </c>
      <c r="AL82" s="19">
        <v>410.04122397849017</v>
      </c>
      <c r="AM82" s="19">
        <v>416.1918423381669</v>
      </c>
      <c r="AN82" s="19">
        <v>416.1918423381668</v>
      </c>
      <c r="AO82" s="19">
        <v>416.19184233816713</v>
      </c>
      <c r="AP82" s="19">
        <v>416.191842338167</v>
      </c>
      <c r="AQ82" s="19">
        <v>422.4347199732397</v>
      </c>
      <c r="AR82" s="19">
        <v>422.4347199732398</v>
      </c>
      <c r="AS82" s="19">
        <v>422.4347199732397</v>
      </c>
      <c r="AT82" s="19">
        <v>422.4347199732398</v>
      </c>
      <c r="AU82" s="19">
        <v>428.7712407728378</v>
      </c>
      <c r="AV82" s="19">
        <v>428.7712407728379</v>
      </c>
      <c r="AW82" s="19">
        <v>428.77124077283815</v>
      </c>
      <c r="AX82" s="19">
        <v>428.7712407728378</v>
      </c>
      <c r="AY82" s="19">
        <v>435.2028093844308</v>
      </c>
      <c r="AZ82" s="19">
        <v>435.2028093844307</v>
      </c>
      <c r="BA82" s="19">
        <v>435.20280938443034</v>
      </c>
      <c r="BB82" s="19">
        <v>435.2028093844307</v>
      </c>
      <c r="BC82" s="19">
        <v>441.73085152519695</v>
      </c>
      <c r="BD82" s="19">
        <v>441.73085152519695</v>
      </c>
      <c r="BE82" s="19">
        <v>441.7308515251975</v>
      </c>
      <c r="BF82" s="19">
        <v>441.73085152519695</v>
      </c>
      <c r="BG82" s="19">
        <v>448.35681429807494</v>
      </c>
      <c r="BH82" s="19">
        <v>448.35681429807505</v>
      </c>
      <c r="BI82" s="19">
        <v>448.35681429807505</v>
      </c>
      <c r="BJ82" s="19">
        <v>448.35681429807505</v>
      </c>
      <c r="BK82" s="19">
        <v>455.0821665125461</v>
      </c>
      <c r="BL82" s="19">
        <v>455.0821665125462</v>
      </c>
      <c r="BM82" s="19">
        <v>455.08216651254565</v>
      </c>
      <c r="BN82" s="19">
        <v>455.0821665125461</v>
      </c>
      <c r="BO82" s="19">
        <v>461.90839901023423</v>
      </c>
      <c r="BP82" s="19">
        <v>461.90839901023423</v>
      </c>
      <c r="BQ82" s="19">
        <v>461.9083990102347</v>
      </c>
      <c r="BR82" s="19">
        <v>461.90839901023423</v>
      </c>
      <c r="BS82" s="19">
        <v>468.83702499538776</v>
      </c>
      <c r="BT82" s="19">
        <v>468.8370249953879</v>
      </c>
      <c r="BU82" s="19">
        <v>468.83702499538776</v>
      </c>
      <c r="BV82" s="19">
        <v>468.8370249953879</v>
      </c>
      <c r="BW82" s="19">
        <v>475.86958037031866</v>
      </c>
      <c r="BX82" s="19">
        <v>475.8695803703188</v>
      </c>
      <c r="BY82" s="19">
        <v>475.86958037031854</v>
      </c>
      <c r="BZ82" s="19">
        <v>475.8695803703188</v>
      </c>
      <c r="CA82" s="19">
        <v>483.0076240758731</v>
      </c>
      <c r="CB82" s="19">
        <v>483.0076240758731</v>
      </c>
      <c r="CC82" s="19">
        <v>483.00762407587285</v>
      </c>
      <c r="CD82" s="19">
        <v>483.0076240758732</v>
      </c>
      <c r="CE82" s="19">
        <v>490.2527384370111</v>
      </c>
      <c r="CF82" s="19">
        <v>490.2527384370111</v>
      </c>
      <c r="CG82" s="19">
        <v>490.25273843701143</v>
      </c>
      <c r="CH82" s="19">
        <v>490.2527384370111</v>
      </c>
      <c r="CI82" s="19">
        <v>497.6065295135662</v>
      </c>
      <c r="CJ82" s="19">
        <v>497.60652951356633</v>
      </c>
      <c r="CK82" s="19">
        <v>497.60652951356656</v>
      </c>
      <c r="CL82" s="19">
        <v>497.6065295135661</v>
      </c>
    </row>
    <row r="83" spans="2:90" x14ac:dyDescent="0.25">
      <c r="B83" s="28" t="s">
        <v>207</v>
      </c>
      <c r="C83" s="29" t="s">
        <v>205</v>
      </c>
      <c r="E83" s="32"/>
      <c r="F83" s="32"/>
      <c r="G83" s="32"/>
      <c r="H83" s="32"/>
      <c r="I83" s="32"/>
      <c r="J83" s="32"/>
      <c r="K83" s="19">
        <v>25</v>
      </c>
      <c r="L83" s="19">
        <v>25</v>
      </c>
      <c r="M83" s="19">
        <v>25</v>
      </c>
      <c r="N83" s="19">
        <v>25</v>
      </c>
      <c r="O83" s="19">
        <v>25</v>
      </c>
      <c r="P83" s="19">
        <v>25</v>
      </c>
      <c r="Q83" s="19">
        <v>25</v>
      </c>
      <c r="R83" s="19">
        <v>25</v>
      </c>
      <c r="S83" s="19">
        <v>25</v>
      </c>
      <c r="T83" s="19">
        <v>25</v>
      </c>
      <c r="U83" s="19">
        <v>25</v>
      </c>
      <c r="V83" s="19">
        <v>25</v>
      </c>
      <c r="W83" s="19">
        <v>25</v>
      </c>
      <c r="X83" s="19">
        <v>25</v>
      </c>
      <c r="Y83" s="19">
        <v>25</v>
      </c>
      <c r="Z83" s="19">
        <v>25</v>
      </c>
      <c r="AA83" s="19">
        <v>25</v>
      </c>
      <c r="AB83" s="19">
        <v>25</v>
      </c>
      <c r="AC83" s="19">
        <v>25</v>
      </c>
      <c r="AD83" s="19">
        <v>25</v>
      </c>
      <c r="AE83" s="19">
        <v>25</v>
      </c>
      <c r="AF83" s="19">
        <v>25</v>
      </c>
      <c r="AG83" s="19">
        <v>25</v>
      </c>
      <c r="AH83" s="19">
        <v>25</v>
      </c>
      <c r="AI83" s="19">
        <v>25</v>
      </c>
      <c r="AJ83" s="19">
        <v>25</v>
      </c>
      <c r="AK83" s="19">
        <v>25</v>
      </c>
      <c r="AL83" s="19">
        <v>25</v>
      </c>
      <c r="AM83" s="19">
        <v>25</v>
      </c>
      <c r="AN83" s="19">
        <v>25</v>
      </c>
      <c r="AO83" s="19">
        <v>25</v>
      </c>
      <c r="AP83" s="19">
        <v>25</v>
      </c>
      <c r="AQ83" s="19">
        <v>25</v>
      </c>
      <c r="AR83" s="19">
        <v>25</v>
      </c>
      <c r="AS83" s="19">
        <v>25</v>
      </c>
      <c r="AT83" s="19">
        <v>25</v>
      </c>
      <c r="AU83" s="19">
        <v>25</v>
      </c>
      <c r="AV83" s="19">
        <v>25</v>
      </c>
      <c r="AW83" s="19">
        <v>25</v>
      </c>
      <c r="AX83" s="19">
        <v>25</v>
      </c>
      <c r="AY83" s="19">
        <v>25</v>
      </c>
      <c r="AZ83" s="19">
        <v>25</v>
      </c>
      <c r="BA83" s="19">
        <v>25</v>
      </c>
      <c r="BB83" s="19">
        <v>25</v>
      </c>
      <c r="BC83" s="19">
        <v>25</v>
      </c>
      <c r="BD83" s="19">
        <v>25</v>
      </c>
      <c r="BE83" s="19">
        <v>25</v>
      </c>
      <c r="BF83" s="19">
        <v>25</v>
      </c>
      <c r="BG83" s="19">
        <v>25</v>
      </c>
      <c r="BH83" s="19">
        <v>25</v>
      </c>
      <c r="BI83" s="19">
        <v>25</v>
      </c>
      <c r="BJ83" s="19">
        <v>25</v>
      </c>
      <c r="BK83" s="19">
        <v>25</v>
      </c>
      <c r="BL83" s="19">
        <v>25</v>
      </c>
      <c r="BM83" s="19">
        <v>25</v>
      </c>
      <c r="BN83" s="19">
        <v>25</v>
      </c>
      <c r="BO83" s="19">
        <v>25</v>
      </c>
      <c r="BP83" s="19">
        <v>25</v>
      </c>
      <c r="BQ83" s="19">
        <v>25</v>
      </c>
      <c r="BR83" s="19">
        <v>25</v>
      </c>
      <c r="BS83" s="19">
        <v>25</v>
      </c>
      <c r="BT83" s="19">
        <v>25</v>
      </c>
      <c r="BU83" s="19">
        <v>25</v>
      </c>
      <c r="BV83" s="19">
        <v>25</v>
      </c>
      <c r="BW83" s="19">
        <v>25</v>
      </c>
      <c r="BX83" s="19">
        <v>25</v>
      </c>
      <c r="BY83" s="19">
        <v>25</v>
      </c>
      <c r="BZ83" s="19">
        <v>25</v>
      </c>
      <c r="CA83" s="19">
        <v>25</v>
      </c>
      <c r="CB83" s="19">
        <v>25</v>
      </c>
      <c r="CC83" s="19">
        <v>25</v>
      </c>
      <c r="CD83" s="19">
        <v>25</v>
      </c>
      <c r="CE83" s="19">
        <v>25</v>
      </c>
      <c r="CF83" s="19">
        <v>25</v>
      </c>
      <c r="CG83" s="19">
        <v>25</v>
      </c>
      <c r="CH83" s="19">
        <v>25</v>
      </c>
      <c r="CI83" s="19">
        <v>25</v>
      </c>
      <c r="CJ83" s="19">
        <v>25</v>
      </c>
      <c r="CK83" s="19">
        <v>25</v>
      </c>
      <c r="CL83" s="19">
        <v>25</v>
      </c>
    </row>
    <row r="85" spans="2:2" x14ac:dyDescent="0.25">
      <c r="B85" s="33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6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209</v>
      </c>
    </row>
    <row r="4" spans="2:91" x14ac:dyDescent="0.25">
      <c r="B4" s="9" t="s">
        <v>67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4" t="s">
        <v>68</v>
      </c>
      <c r="C6" s="24" t="s">
        <v>210</v>
      </c>
      <c r="D6" s="24" t="s">
        <v>211</v>
      </c>
      <c r="E6" s="24" t="s">
        <v>212</v>
      </c>
      <c r="F6" s="24" t="s">
        <v>213</v>
      </c>
      <c r="G6" s="24" t="s">
        <v>72</v>
      </c>
      <c r="H6" s="24" t="s">
        <v>73</v>
      </c>
      <c r="I6" s="24" t="s">
        <v>74</v>
      </c>
      <c r="J6" s="24" t="s">
        <v>214</v>
      </c>
    </row>
    <row r="7" spans="2:3" x14ac:dyDescent="0.25">
      <c r="B7" s="32" t="s">
        <v>215</v>
      </c>
      <c r="C7" s="32">
        <f>'입력값'!C9*100</f>
      </c>
    </row>
    <row r="8" spans="2:10" x14ac:dyDescent="0.25">
      <c r="B8" s="32" t="s">
        <v>75</v>
      </c>
      <c r="C8" s="32">
        <f>'입력값'!C29*100</f>
      </c>
      <c r="D8" s="34" t="s">
        <v>216</v>
      </c>
      <c r="E8" s="35">
        <f>'입력값'!D29</f>
      </c>
      <c r="F8" s="35">
        <f>'입력값'!E29</f>
      </c>
      <c r="G8" s="36">
        <f>'입력값'!F29</f>
      </c>
      <c r="H8" s="36">
        <f>'입력값'!G29</f>
      </c>
      <c r="I8" s="34">
        <f>'입력값'!H29</f>
      </c>
      <c r="J8" s="37" t="s">
        <v>93</v>
      </c>
    </row>
    <row r="9" spans="2:10" x14ac:dyDescent="0.25">
      <c r="B9" s="32" t="s">
        <v>76</v>
      </c>
      <c r="C9" s="32">
        <f>'입력값'!C30*100</f>
      </c>
      <c r="D9" s="34" t="s">
        <v>216</v>
      </c>
      <c r="E9" s="35">
        <f>'입력값'!D30</f>
      </c>
      <c r="F9" s="35">
        <f>'입력값'!E30</f>
      </c>
      <c r="G9" s="36">
        <f>'입력값'!F30</f>
      </c>
      <c r="H9" s="36">
        <f>'입력값'!G30</f>
      </c>
      <c r="I9" s="34">
        <f>'입력값'!H30</f>
      </c>
      <c r="J9" s="37" t="s">
        <v>93</v>
      </c>
    </row>
    <row r="10" spans="2:10" x14ac:dyDescent="0.25">
      <c r="B10" s="32" t="s">
        <v>77</v>
      </c>
      <c r="C10" s="32">
        <f>'입력값'!C31*100</f>
      </c>
      <c r="D10" s="34" t="s">
        <v>216</v>
      </c>
      <c r="E10" s="35">
        <f>'입력값'!D31</f>
      </c>
      <c r="F10" s="35">
        <f>'입력값'!E31</f>
      </c>
      <c r="G10" s="36">
        <f>'입력값'!F31</f>
      </c>
      <c r="H10" s="36">
        <f>'입력값'!G31</f>
      </c>
      <c r="I10" s="34">
        <f>'입력값'!H31</f>
      </c>
      <c r="J10" s="37" t="s">
        <v>93</v>
      </c>
    </row>
    <row r="11" spans="2:10" x14ac:dyDescent="0.25">
      <c r="B11" s="32" t="s">
        <v>78</v>
      </c>
      <c r="C11" s="32">
        <f>'입력값'!C32*100</f>
      </c>
      <c r="D11" s="34" t="s">
        <v>216</v>
      </c>
      <c r="E11" s="35">
        <f>'입력값'!D32</f>
      </c>
      <c r="F11" s="35">
        <f>'입력값'!E32</f>
      </c>
      <c r="G11" s="36">
        <f>'입력값'!F32</f>
      </c>
      <c r="H11" s="36">
        <f>'입력값'!G32</f>
      </c>
      <c r="I11" s="34">
        <f>'입력값'!H32</f>
      </c>
      <c r="J11" s="37" t="s">
        <v>217</v>
      </c>
    </row>
    <row r="12" spans="2:10" x14ac:dyDescent="0.25">
      <c r="B12" s="32" t="s">
        <v>79</v>
      </c>
      <c r="C12" s="32">
        <f>'입력값'!C33*100</f>
      </c>
      <c r="D12" s="34" t="s">
        <v>216</v>
      </c>
      <c r="E12" s="35">
        <f>'입력값'!D33</f>
      </c>
      <c r="F12" s="35">
        <f>'입력값'!E33</f>
      </c>
      <c r="G12" s="36">
        <f>'입력값'!F33</f>
      </c>
      <c r="H12" s="36">
        <f>'입력값'!G33</f>
      </c>
      <c r="I12" s="34">
        <f>'입력값'!H33</f>
      </c>
      <c r="J12" s="37" t="s">
        <v>217</v>
      </c>
    </row>
    <row r="13" spans="2:3" x14ac:dyDescent="0.25">
      <c r="B13" s="38" t="s">
        <v>218</v>
      </c>
      <c r="C13" s="39">
        <f>C8+C9+C10+C11+C12</f>
      </c>
    </row>
    <row r="15" spans="2:91" x14ac:dyDescent="0.25">
      <c r="B15" s="9" t="s">
        <v>219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32" t="s">
        <v>220</v>
      </c>
      <c r="C17" s="32">
        <v>3931.178504168494</v>
      </c>
    </row>
    <row r="18" spans="2:3" x14ac:dyDescent="0.25">
      <c r="B18" s="32" t="s">
        <v>221</v>
      </c>
      <c r="C18" s="32">
        <v>144999.9995041685</v>
      </c>
    </row>
    <row r="19" spans="2:3" x14ac:dyDescent="0.25">
      <c r="B19" s="32" t="s">
        <v>222</v>
      </c>
      <c r="C19" s="32">
        <f>'입력값'!C8*100</f>
      </c>
    </row>
    <row r="21" spans="2:91" x14ac:dyDescent="0.25">
      <c r="B21" s="9" t="s">
        <v>223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24" t="s">
        <v>175</v>
      </c>
      <c r="C23" s="24" t="s">
        <v>210</v>
      </c>
    </row>
    <row r="24" spans="2:2" x14ac:dyDescent="0.25">
      <c r="B24" s="37">
        <f>'입력값'!B46</f>
      </c>
    </row>
    <row r="25" spans="2:2" x14ac:dyDescent="0.25">
      <c r="B25" s="37">
        <f>'입력값'!B47</f>
      </c>
    </row>
    <row r="26" spans="2:2" x14ac:dyDescent="0.25">
      <c r="B26" s="37">
        <f>'입력값'!B48</f>
      </c>
    </row>
    <row r="27" spans="2:2" x14ac:dyDescent="0.25">
      <c r="B27" s="37">
        <f>'입력값'!B49</f>
      </c>
    </row>
    <row r="28" spans="2:2" x14ac:dyDescent="0.25">
      <c r="B28" s="37">
        <f>'입력값'!B50</f>
      </c>
    </row>
    <row r="29" spans="2:2" x14ac:dyDescent="0.25">
      <c r="B29" s="37">
        <f>'입력값'!B51</f>
      </c>
    </row>
    <row r="30" spans="2:2" x14ac:dyDescent="0.25">
      <c r="B30" s="37">
        <f>'입력값'!B52</f>
      </c>
    </row>
    <row r="31" spans="2:2" x14ac:dyDescent="0.25">
      <c r="B31" s="37">
        <f>'입력값'!B53</f>
      </c>
    </row>
    <row r="32" spans="2:2" x14ac:dyDescent="0.25">
      <c r="B32" s="37">
        <f>'입력값'!B54</f>
      </c>
    </row>
    <row r="33" spans="2:2" x14ac:dyDescent="0.25">
      <c r="B33" s="37">
        <f>'입력값'!B55</f>
      </c>
    </row>
    <row r="34" spans="2:2" x14ac:dyDescent="0.25">
      <c r="B34" s="37">
        <f>'입력값'!B56</f>
      </c>
    </row>
    <row r="35" spans="2:2" x14ac:dyDescent="0.25">
      <c r="B35" s="37">
        <f>'입력값'!B57</f>
      </c>
    </row>
    <row r="36" spans="2:3" x14ac:dyDescent="0.25">
      <c r="B36" s="38" t="s">
        <v>224</v>
      </c>
      <c r="C36" s="39">
        <f>'입력값'!C8*100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225</v>
      </c>
    </row>
    <row r="4" spans="2:91" x14ac:dyDescent="0.25">
      <c r="B4" s="9" t="s">
        <v>226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81</v>
      </c>
      <c r="C6" s="24" t="s">
        <v>82</v>
      </c>
      <c r="D6" s="24" t="s">
        <v>83</v>
      </c>
      <c r="E6" s="27" t="s">
        <v>84</v>
      </c>
      <c r="F6" s="27" t="s">
        <v>85</v>
      </c>
      <c r="G6" s="27" t="s">
        <v>86</v>
      </c>
      <c r="H6" s="27" t="s">
        <v>87</v>
      </c>
      <c r="I6" s="27" t="s">
        <v>88</v>
      </c>
      <c r="J6" s="27" t="s">
        <v>89</v>
      </c>
      <c r="K6" s="27" t="s">
        <v>90</v>
      </c>
      <c r="L6" s="27" t="s">
        <v>91</v>
      </c>
      <c r="M6" s="27" t="s">
        <v>92</v>
      </c>
      <c r="N6" s="27" t="s">
        <v>93</v>
      </c>
      <c r="O6" s="27" t="s">
        <v>94</v>
      </c>
      <c r="P6" s="27" t="s">
        <v>95</v>
      </c>
      <c r="Q6" s="27" t="s">
        <v>96</v>
      </c>
      <c r="R6" s="27" t="s">
        <v>97</v>
      </c>
      <c r="S6" s="27" t="s">
        <v>98</v>
      </c>
      <c r="T6" s="27" t="s">
        <v>99</v>
      </c>
      <c r="U6" s="27" t="s">
        <v>100</v>
      </c>
      <c r="V6" s="27" t="s">
        <v>101</v>
      </c>
      <c r="W6" s="27" t="s">
        <v>102</v>
      </c>
      <c r="X6" s="27" t="s">
        <v>103</v>
      </c>
      <c r="Y6" s="27" t="s">
        <v>104</v>
      </c>
      <c r="Z6" s="27" t="s">
        <v>105</v>
      </c>
      <c r="AA6" s="27" t="s">
        <v>106</v>
      </c>
      <c r="AB6" s="27" t="s">
        <v>107</v>
      </c>
      <c r="AC6" s="27" t="s">
        <v>108</v>
      </c>
      <c r="AD6" s="27" t="s">
        <v>109</v>
      </c>
      <c r="AE6" s="27" t="s">
        <v>110</v>
      </c>
      <c r="AF6" s="27" t="s">
        <v>111</v>
      </c>
      <c r="AG6" s="27" t="s">
        <v>112</v>
      </c>
      <c r="AH6" s="27" t="s">
        <v>113</v>
      </c>
      <c r="AI6" s="27" t="s">
        <v>114</v>
      </c>
      <c r="AJ6" s="27" t="s">
        <v>115</v>
      </c>
      <c r="AK6" s="27" t="s">
        <v>116</v>
      </c>
      <c r="AL6" s="27" t="s">
        <v>117</v>
      </c>
      <c r="AM6" s="27" t="s">
        <v>118</v>
      </c>
      <c r="AN6" s="27" t="s">
        <v>119</v>
      </c>
      <c r="AO6" s="27" t="s">
        <v>120</v>
      </c>
      <c r="AP6" s="27" t="s">
        <v>121</v>
      </c>
      <c r="AQ6" s="27" t="s">
        <v>122</v>
      </c>
      <c r="AR6" s="27" t="s">
        <v>123</v>
      </c>
      <c r="AS6" s="27" t="s">
        <v>124</v>
      </c>
      <c r="AT6" s="27" t="s">
        <v>125</v>
      </c>
      <c r="AU6" s="27" t="s">
        <v>126</v>
      </c>
      <c r="AV6" s="27" t="s">
        <v>127</v>
      </c>
      <c r="AW6" s="27" t="s">
        <v>128</v>
      </c>
      <c r="AX6" s="27" t="s">
        <v>129</v>
      </c>
      <c r="AY6" s="27" t="s">
        <v>130</v>
      </c>
      <c r="AZ6" s="27" t="s">
        <v>131</v>
      </c>
      <c r="BA6" s="27" t="s">
        <v>132</v>
      </c>
      <c r="BB6" s="27" t="s">
        <v>133</v>
      </c>
      <c r="BC6" s="27" t="s">
        <v>134</v>
      </c>
      <c r="BD6" s="27" t="s">
        <v>135</v>
      </c>
      <c r="BE6" s="27" t="s">
        <v>136</v>
      </c>
      <c r="BF6" s="27" t="s">
        <v>137</v>
      </c>
      <c r="BG6" s="27" t="s">
        <v>138</v>
      </c>
      <c r="BH6" s="27" t="s">
        <v>139</v>
      </c>
      <c r="BI6" s="27" t="s">
        <v>140</v>
      </c>
      <c r="BJ6" s="27" t="s">
        <v>141</v>
      </c>
      <c r="BK6" s="27" t="s">
        <v>142</v>
      </c>
      <c r="BL6" s="27" t="s">
        <v>143</v>
      </c>
      <c r="BM6" s="27" t="s">
        <v>144</v>
      </c>
      <c r="BN6" s="27" t="s">
        <v>145</v>
      </c>
      <c r="BO6" s="27" t="s">
        <v>146</v>
      </c>
      <c r="BP6" s="27" t="s">
        <v>147</v>
      </c>
      <c r="BQ6" s="27" t="s">
        <v>148</v>
      </c>
      <c r="BR6" s="27" t="s">
        <v>149</v>
      </c>
      <c r="BS6" s="27" t="s">
        <v>150</v>
      </c>
      <c r="BT6" s="27" t="s">
        <v>151</v>
      </c>
      <c r="BU6" s="27" t="s">
        <v>152</v>
      </c>
      <c r="BV6" s="27" t="s">
        <v>153</v>
      </c>
      <c r="BW6" s="27" t="s">
        <v>154</v>
      </c>
      <c r="BX6" s="27" t="s">
        <v>155</v>
      </c>
      <c r="BY6" s="27" t="s">
        <v>156</v>
      </c>
      <c r="BZ6" s="27" t="s">
        <v>157</v>
      </c>
      <c r="CA6" s="27" t="s">
        <v>158</v>
      </c>
      <c r="CB6" s="27" t="s">
        <v>159</v>
      </c>
      <c r="CC6" s="27" t="s">
        <v>160</v>
      </c>
      <c r="CD6" s="27" t="s">
        <v>161</v>
      </c>
      <c r="CE6" s="27" t="s">
        <v>162</v>
      </c>
      <c r="CF6" s="27" t="s">
        <v>163</v>
      </c>
      <c r="CG6" s="27" t="s">
        <v>164</v>
      </c>
      <c r="CH6" s="27" t="s">
        <v>165</v>
      </c>
      <c r="CI6" s="27" t="s">
        <v>166</v>
      </c>
      <c r="CJ6" s="27" t="s">
        <v>167</v>
      </c>
      <c r="CK6" s="27" t="s">
        <v>168</v>
      </c>
      <c r="CL6" s="27" t="s">
        <v>169</v>
      </c>
    </row>
    <row r="8" spans="2:91" x14ac:dyDescent="0.25">
      <c r="B8" s="40" t="s">
        <v>75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</row>
    <row r="9" spans="2:90" x14ac:dyDescent="0.25">
      <c r="B9" s="28" t="s">
        <v>227</v>
      </c>
      <c r="C9" s="29" t="s">
        <v>205</v>
      </c>
      <c r="E9" s="32">
        <v>0</v>
      </c>
      <c r="F9" s="32">
        <f>E14</f>
      </c>
      <c r="G9" s="32">
        <f>F14</f>
      </c>
      <c r="H9" s="32">
        <f>G14</f>
      </c>
      <c r="I9" s="32">
        <f>H14</f>
      </c>
      <c r="J9" s="32">
        <f>I14</f>
      </c>
      <c r="K9" s="32">
        <f>J14</f>
      </c>
      <c r="L9" s="32">
        <f>K14</f>
      </c>
      <c r="M9" s="32">
        <f>L14</f>
      </c>
      <c r="N9" s="32">
        <f>M14</f>
      </c>
      <c r="O9" s="32">
        <f>N14</f>
      </c>
      <c r="P9" s="32">
        <f>O14</f>
      </c>
      <c r="Q9" s="32">
        <f>P14</f>
      </c>
      <c r="R9" s="32">
        <f>Q14</f>
      </c>
      <c r="S9" s="32">
        <f>R14</f>
      </c>
      <c r="T9" s="32">
        <f>S14</f>
      </c>
      <c r="U9" s="32">
        <f>T14</f>
      </c>
      <c r="V9" s="32">
        <f>U14</f>
      </c>
      <c r="W9" s="32">
        <f>V14</f>
      </c>
      <c r="X9" s="32">
        <f>W14</f>
      </c>
      <c r="Y9" s="32">
        <f>X14</f>
      </c>
      <c r="Z9" s="32">
        <f>Y14</f>
      </c>
      <c r="AA9" s="32">
        <f>Z14</f>
      </c>
      <c r="AB9" s="32">
        <f>AA14</f>
      </c>
      <c r="AC9" s="32">
        <f>AB14</f>
      </c>
      <c r="AD9" s="32">
        <f>AC14</f>
      </c>
      <c r="AE9" s="32">
        <f>AD14</f>
      </c>
      <c r="AF9" s="32">
        <f>AE14</f>
      </c>
      <c r="AG9" s="32">
        <f>AF14</f>
      </c>
      <c r="AH9" s="32">
        <f>AG14</f>
      </c>
      <c r="AI9" s="32">
        <f>AH14</f>
      </c>
      <c r="AJ9" s="32">
        <f>AI14</f>
      </c>
      <c r="AK9" s="32">
        <f>AJ14</f>
      </c>
      <c r="AL9" s="32">
        <f>AK14</f>
      </c>
      <c r="AM9" s="32">
        <f>AL14</f>
      </c>
      <c r="AN9" s="32">
        <f>AM14</f>
      </c>
      <c r="AO9" s="32">
        <f>AN14</f>
      </c>
      <c r="AP9" s="32">
        <f>AO14</f>
      </c>
      <c r="AQ9" s="32">
        <f>AP14</f>
      </c>
      <c r="AR9" s="32">
        <f>AQ14</f>
      </c>
      <c r="AS9" s="32">
        <f>AR14</f>
      </c>
      <c r="AT9" s="32">
        <f>AS14</f>
      </c>
      <c r="AU9" s="32">
        <f>AT14</f>
      </c>
      <c r="AV9" s="32">
        <f>AU14</f>
      </c>
      <c r="AW9" s="32">
        <f>AV14</f>
      </c>
      <c r="AX9" s="32">
        <f>AW14</f>
      </c>
      <c r="AY9" s="32">
        <f>AX14</f>
      </c>
      <c r="AZ9" s="32">
        <f>AY14</f>
      </c>
      <c r="BA9" s="32">
        <f>AZ14</f>
      </c>
      <c r="BB9" s="32">
        <f>BA14</f>
      </c>
      <c r="BC9" s="32">
        <f>BB14</f>
      </c>
      <c r="BD9" s="32">
        <f>BC14</f>
      </c>
      <c r="BE9" s="32">
        <f>BD14</f>
      </c>
      <c r="BF9" s="32">
        <f>BE14</f>
      </c>
      <c r="BG9" s="32">
        <f>BF14</f>
      </c>
      <c r="BH9" s="32">
        <f>BG14</f>
      </c>
      <c r="BI9" s="32">
        <f>BH14</f>
      </c>
      <c r="BJ9" s="32">
        <f>BI14</f>
      </c>
      <c r="BK9" s="32">
        <f>BJ14</f>
      </c>
      <c r="BL9" s="32">
        <f>BK14</f>
      </c>
      <c r="BM9" s="32">
        <f>BL14</f>
      </c>
      <c r="BN9" s="32">
        <f>BM14</f>
      </c>
      <c r="BO9" s="32">
        <f>BN14</f>
      </c>
      <c r="BP9" s="32">
        <f>BO14</f>
      </c>
      <c r="BQ9" s="32">
        <f>BP14</f>
      </c>
      <c r="BR9" s="32">
        <f>BQ14</f>
      </c>
      <c r="BS9" s="32">
        <f>BR14</f>
      </c>
      <c r="BT9" s="32">
        <f>BS14</f>
      </c>
      <c r="BU9" s="32">
        <f>BT14</f>
      </c>
      <c r="BV9" s="32">
        <f>BU14</f>
      </c>
      <c r="BW9" s="32">
        <f>BV14</f>
      </c>
      <c r="BX9" s="32">
        <f>BW14</f>
      </c>
      <c r="BY9" s="32">
        <f>BX14</f>
      </c>
      <c r="BZ9" s="32">
        <f>BY14</f>
      </c>
      <c r="CA9" s="32">
        <f>BZ14</f>
      </c>
      <c r="CB9" s="32">
        <f>CA14</f>
      </c>
      <c r="CC9" s="32">
        <f>CB14</f>
      </c>
      <c r="CD9" s="32">
        <f>CC14</f>
      </c>
      <c r="CE9" s="32">
        <f>CD14</f>
      </c>
      <c r="CF9" s="32">
        <f>CE14</f>
      </c>
      <c r="CG9" s="32">
        <f>CF14</f>
      </c>
      <c r="CH9" s="32">
        <f>CG14</f>
      </c>
      <c r="CI9" s="32">
        <f>CH14</f>
      </c>
      <c r="CJ9" s="32">
        <f>CI14</f>
      </c>
      <c r="CK9" s="32">
        <f>CJ14</f>
      </c>
      <c r="CL9" s="32">
        <f>CK14</f>
      </c>
    </row>
    <row r="10" spans="2:90" x14ac:dyDescent="0.25">
      <c r="B10" s="28" t="s">
        <v>228</v>
      </c>
      <c r="C10" s="29" t="s">
        <v>205</v>
      </c>
      <c r="D10" s="14">
        <f>SUM(E10:CL10)</f>
      </c>
      <c r="E10" s="32">
        <v>9935.161359526319</v>
      </c>
      <c r="F10" s="32">
        <v>5714.370798698882</v>
      </c>
      <c r="G10" s="32">
        <v>11330.803125295972</v>
      </c>
      <c r="H10" s="32">
        <v>11493.863019115224</v>
      </c>
      <c r="I10" s="32">
        <v>11525.801697363604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32">
        <v>0</v>
      </c>
      <c r="AE10" s="32">
        <v>0</v>
      </c>
      <c r="AF10" s="32">
        <v>0</v>
      </c>
      <c r="AG10" s="32">
        <v>0</v>
      </c>
      <c r="AH10" s="32">
        <v>0</v>
      </c>
      <c r="AI10" s="32">
        <v>0</v>
      </c>
      <c r="AJ10" s="32">
        <v>0</v>
      </c>
      <c r="AK10" s="32">
        <v>0</v>
      </c>
      <c r="AL10" s="32">
        <v>0</v>
      </c>
      <c r="AM10" s="32">
        <v>0</v>
      </c>
      <c r="AN10" s="32">
        <v>0</v>
      </c>
      <c r="AO10" s="32">
        <v>0</v>
      </c>
      <c r="AP10" s="32">
        <v>0</v>
      </c>
      <c r="AQ10" s="32">
        <v>0</v>
      </c>
      <c r="AR10" s="32">
        <v>0</v>
      </c>
      <c r="AS10" s="32">
        <v>0</v>
      </c>
      <c r="AT10" s="32">
        <v>0</v>
      </c>
      <c r="AU10" s="32">
        <v>0</v>
      </c>
      <c r="AV10" s="32">
        <v>0</v>
      </c>
      <c r="AW10" s="32">
        <v>0</v>
      </c>
      <c r="AX10" s="32">
        <v>0</v>
      </c>
      <c r="AY10" s="32">
        <v>0</v>
      </c>
      <c r="AZ10" s="32">
        <v>0</v>
      </c>
      <c r="BA10" s="32">
        <v>0</v>
      </c>
      <c r="BB10" s="32">
        <v>0</v>
      </c>
      <c r="BC10" s="32">
        <v>0</v>
      </c>
      <c r="BD10" s="32">
        <v>0</v>
      </c>
      <c r="BE10" s="32">
        <v>0</v>
      </c>
      <c r="BF10" s="32">
        <v>0</v>
      </c>
      <c r="BG10" s="32">
        <v>0</v>
      </c>
      <c r="BH10" s="32">
        <v>0</v>
      </c>
      <c r="BI10" s="32">
        <v>0</v>
      </c>
      <c r="BJ10" s="32">
        <v>0</v>
      </c>
      <c r="BK10" s="32">
        <v>0</v>
      </c>
      <c r="BL10" s="32">
        <v>0</v>
      </c>
      <c r="BM10" s="32">
        <v>0</v>
      </c>
      <c r="BN10" s="32">
        <v>0</v>
      </c>
      <c r="BO10" s="32">
        <v>0</v>
      </c>
      <c r="BP10" s="32">
        <v>0</v>
      </c>
      <c r="BQ10" s="32">
        <v>0</v>
      </c>
      <c r="BR10" s="32">
        <v>0</v>
      </c>
      <c r="BS10" s="32">
        <v>0</v>
      </c>
      <c r="BT10" s="32">
        <v>0</v>
      </c>
      <c r="BU10" s="32">
        <v>0</v>
      </c>
      <c r="BV10" s="32">
        <v>0</v>
      </c>
      <c r="BW10" s="32">
        <v>0</v>
      </c>
      <c r="BX10" s="32">
        <v>0</v>
      </c>
      <c r="BY10" s="32">
        <v>0</v>
      </c>
      <c r="BZ10" s="32">
        <v>0</v>
      </c>
      <c r="CA10" s="32">
        <v>0</v>
      </c>
      <c r="CB10" s="32">
        <v>0</v>
      </c>
      <c r="CC10" s="32">
        <v>0</v>
      </c>
      <c r="CD10" s="32">
        <v>0</v>
      </c>
      <c r="CE10" s="32">
        <v>0</v>
      </c>
      <c r="CF10" s="32">
        <v>0</v>
      </c>
      <c r="CG10" s="32">
        <v>0</v>
      </c>
      <c r="CH10" s="32">
        <v>0</v>
      </c>
      <c r="CI10" s="32">
        <v>0</v>
      </c>
      <c r="CJ10" s="32">
        <v>0</v>
      </c>
      <c r="CK10" s="32">
        <v>0</v>
      </c>
      <c r="CL10" s="32">
        <v>0</v>
      </c>
    </row>
    <row r="11" spans="2:90" x14ac:dyDescent="0.25">
      <c r="B11" s="28" t="s">
        <v>219</v>
      </c>
      <c r="C11" s="29" t="s">
        <v>205</v>
      </c>
      <c r="D11" s="14">
        <f>SUM(E11:CL11)</f>
      </c>
      <c r="E11" s="32">
        <v>0</v>
      </c>
      <c r="F11" s="32">
        <v>139.0922590333685</v>
      </c>
      <c r="G11" s="32">
        <v>219.09345021515284</v>
      </c>
      <c r="H11" s="32">
        <v>377.7246939692964</v>
      </c>
      <c r="I11" s="32">
        <v>538.6387762369096</v>
      </c>
      <c r="J11" s="32">
        <v>700.0000000000001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0</v>
      </c>
      <c r="AF11" s="32">
        <v>0</v>
      </c>
      <c r="AG11" s="32">
        <v>0</v>
      </c>
      <c r="AH11" s="32">
        <v>0</v>
      </c>
      <c r="AI11" s="32">
        <v>0</v>
      </c>
      <c r="AJ11" s="32">
        <v>0</v>
      </c>
      <c r="AK11" s="32">
        <v>0</v>
      </c>
      <c r="AL11" s="32">
        <v>0</v>
      </c>
      <c r="AM11" s="32">
        <v>0</v>
      </c>
      <c r="AN11" s="32">
        <v>0</v>
      </c>
      <c r="AO11" s="32">
        <v>0</v>
      </c>
      <c r="AP11" s="32">
        <v>0</v>
      </c>
      <c r="AQ11" s="32">
        <v>0</v>
      </c>
      <c r="AR11" s="32">
        <v>0</v>
      </c>
      <c r="AS11" s="32">
        <v>0</v>
      </c>
      <c r="AT11" s="32">
        <v>0</v>
      </c>
      <c r="AU11" s="32">
        <v>0</v>
      </c>
      <c r="AV11" s="32">
        <v>0</v>
      </c>
      <c r="AW11" s="32">
        <v>0</v>
      </c>
      <c r="AX11" s="32">
        <v>0</v>
      </c>
      <c r="AY11" s="32">
        <v>0</v>
      </c>
      <c r="AZ11" s="32">
        <v>0</v>
      </c>
      <c r="BA11" s="32">
        <v>0</v>
      </c>
      <c r="BB11" s="32">
        <v>0</v>
      </c>
      <c r="BC11" s="32">
        <v>0</v>
      </c>
      <c r="BD11" s="32">
        <v>0</v>
      </c>
      <c r="BE11" s="32">
        <v>0</v>
      </c>
      <c r="BF11" s="32">
        <v>0</v>
      </c>
      <c r="BG11" s="32">
        <v>0</v>
      </c>
      <c r="BH11" s="32">
        <v>0</v>
      </c>
      <c r="BI11" s="32">
        <v>0</v>
      </c>
      <c r="BJ11" s="32">
        <v>0</v>
      </c>
      <c r="BK11" s="32">
        <v>0</v>
      </c>
      <c r="BL11" s="32">
        <v>0</v>
      </c>
      <c r="BM11" s="32">
        <v>0</v>
      </c>
      <c r="BN11" s="32">
        <v>0</v>
      </c>
      <c r="BO11" s="32">
        <v>0</v>
      </c>
      <c r="BP11" s="32">
        <v>0</v>
      </c>
      <c r="BQ11" s="32">
        <v>0</v>
      </c>
      <c r="BR11" s="32">
        <v>0</v>
      </c>
      <c r="BS11" s="32">
        <v>0</v>
      </c>
      <c r="BT11" s="32">
        <v>0</v>
      </c>
      <c r="BU11" s="32">
        <v>0</v>
      </c>
      <c r="BV11" s="32">
        <v>0</v>
      </c>
      <c r="BW11" s="32">
        <v>0</v>
      </c>
      <c r="BX11" s="32">
        <v>0</v>
      </c>
      <c r="BY11" s="32">
        <v>0</v>
      </c>
      <c r="BZ11" s="32">
        <v>0</v>
      </c>
      <c r="CA11" s="32">
        <v>0</v>
      </c>
      <c r="CB11" s="32">
        <v>0</v>
      </c>
      <c r="CC11" s="32">
        <v>0</v>
      </c>
      <c r="CD11" s="32">
        <v>0</v>
      </c>
      <c r="CE11" s="32">
        <v>0</v>
      </c>
      <c r="CF11" s="32">
        <v>0</v>
      </c>
      <c r="CG11" s="32">
        <v>0</v>
      </c>
      <c r="CH11" s="32">
        <v>0</v>
      </c>
      <c r="CI11" s="32">
        <v>0</v>
      </c>
      <c r="CJ11" s="32">
        <v>0</v>
      </c>
      <c r="CK11" s="32">
        <v>0</v>
      </c>
      <c r="CL11" s="32">
        <v>0</v>
      </c>
    </row>
    <row r="12" spans="2:90" x14ac:dyDescent="0.25">
      <c r="B12" s="28" t="s">
        <v>229</v>
      </c>
      <c r="C12" s="29" t="s">
        <v>205</v>
      </c>
      <c r="D12" s="14">
        <f>SUM(E12:CL12)</f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f>K9*'입력값'!E29/4</f>
      </c>
      <c r="L12" s="32">
        <f>L9*'입력값'!E29/4</f>
      </c>
      <c r="M12" s="32">
        <f>M9*'입력값'!E29/4</f>
      </c>
      <c r="N12" s="32">
        <f>N9*'입력값'!E29/4</f>
      </c>
      <c r="O12" s="32">
        <f>O9*'입력값'!E29/4</f>
      </c>
      <c r="P12" s="32">
        <f>P9*'입력값'!E29/4</f>
      </c>
      <c r="Q12" s="32">
        <f>Q9*'입력값'!E29/4</f>
      </c>
      <c r="R12" s="32">
        <f>R9*'입력값'!E29/4</f>
      </c>
      <c r="S12" s="32">
        <f>S9*'입력값'!E29/4</f>
      </c>
      <c r="T12" s="32">
        <f>T9*'입력값'!E29/4</f>
      </c>
      <c r="U12" s="32">
        <f>U9*'입력값'!E29/4</f>
      </c>
      <c r="V12" s="32">
        <f>V9*'입력값'!E29/4</f>
      </c>
      <c r="W12" s="32">
        <f>W9*'입력값'!E29/4</f>
      </c>
      <c r="X12" s="32">
        <f>X9*'입력값'!E29/4</f>
      </c>
      <c r="Y12" s="32">
        <f>Y9*'입력값'!E29/4</f>
      </c>
      <c r="Z12" s="32">
        <f>Z9*'입력값'!E29/4</f>
      </c>
      <c r="AA12" s="32">
        <f>AA9*'입력값'!E29/4</f>
      </c>
      <c r="AB12" s="32">
        <f>AB9*'입력값'!E29/4</f>
      </c>
      <c r="AC12" s="32">
        <f>AC9*'입력값'!E29/4</f>
      </c>
      <c r="AD12" s="32">
        <f>AD9*'입력값'!E29/4</f>
      </c>
      <c r="AE12" s="32">
        <f>AE9*'입력값'!E29/4</f>
      </c>
      <c r="AF12" s="32">
        <f>AF9*'입력값'!E29/4</f>
      </c>
      <c r="AG12" s="32">
        <f>AG9*'입력값'!E29/4</f>
      </c>
      <c r="AH12" s="32">
        <f>AH9*'입력값'!E29/4</f>
      </c>
      <c r="AI12" s="32">
        <f>AI9*'입력값'!E29/4</f>
      </c>
      <c r="AJ12" s="32">
        <f>AJ9*'입력값'!E29/4</f>
      </c>
      <c r="AK12" s="32">
        <f>AK9*'입력값'!E29/4</f>
      </c>
      <c r="AL12" s="32">
        <f>AL9*'입력값'!E29/4</f>
      </c>
      <c r="AM12" s="32">
        <f>AM9*'입력값'!E29/4</f>
      </c>
      <c r="AN12" s="32">
        <f>AN9*'입력값'!E29/4</f>
      </c>
      <c r="AO12" s="32">
        <f>AO9*'입력값'!E29/4</f>
      </c>
      <c r="AP12" s="32">
        <f>AP9*'입력값'!E29/4</f>
      </c>
      <c r="AQ12" s="32">
        <f>AQ9*'입력값'!E29/4</f>
      </c>
      <c r="AR12" s="32">
        <f>AR9*'입력값'!E29/4</f>
      </c>
      <c r="AS12" s="32">
        <f>AS9*'입력값'!E29/4</f>
      </c>
      <c r="AT12" s="32">
        <f>AT9*'입력값'!E29/4</f>
      </c>
      <c r="AU12" s="32">
        <f>AU9*'입력값'!E29/4</f>
      </c>
      <c r="AV12" s="32">
        <f>AV9*'입력값'!E29/4</f>
      </c>
      <c r="AW12" s="32">
        <f>AW9*'입력값'!E29/4</f>
      </c>
      <c r="AX12" s="32">
        <f>AX9*'입력값'!E29/4</f>
      </c>
      <c r="AY12" s="32">
        <f>AY9*'입력값'!E29/4</f>
      </c>
      <c r="AZ12" s="32">
        <f>AZ9*'입력값'!E29/4</f>
      </c>
      <c r="BA12" s="32">
        <f>BA9*'입력값'!E29/4</f>
      </c>
      <c r="BB12" s="32">
        <f>BB9*'입력값'!E29/4</f>
      </c>
      <c r="BC12" s="32">
        <f>BC9*'입력값'!E29/4</f>
      </c>
      <c r="BD12" s="32">
        <f>BD9*'입력값'!E29/4</f>
      </c>
      <c r="BE12" s="32">
        <f>BE9*'입력값'!E29/4</f>
      </c>
      <c r="BF12" s="32">
        <f>BF9*'입력값'!E29/4</f>
      </c>
      <c r="BG12" s="32">
        <f>BG9*'입력값'!E29/4</f>
      </c>
      <c r="BH12" s="32">
        <f>BH9*'입력값'!E29/4</f>
      </c>
      <c r="BI12" s="32">
        <f>BI9*'입력값'!E29/4</f>
      </c>
      <c r="BJ12" s="32">
        <f>BJ9*'입력값'!E29/4</f>
      </c>
      <c r="BK12" s="32">
        <f>BK9*'입력값'!E29/4</f>
      </c>
      <c r="BL12" s="32">
        <f>BL9*'입력값'!E29/4</f>
      </c>
      <c r="BM12" s="32">
        <f>BM9*'입력값'!E29/4</f>
      </c>
      <c r="BN12" s="32">
        <f>BN9*'입력값'!E29/4</f>
      </c>
      <c r="BO12" s="32">
        <f>BO9*'입력값'!E29/4</f>
      </c>
      <c r="BP12" s="32">
        <f>BP9*'입력값'!E29/4</f>
      </c>
      <c r="BQ12" s="32">
        <f>BQ9*'입력값'!E29/4</f>
      </c>
      <c r="BR12" s="32">
        <f>BR9*'입력값'!E29/4</f>
      </c>
      <c r="BS12" s="32">
        <f>BS9*'입력값'!E29/4</f>
      </c>
      <c r="BT12" s="32">
        <f>BT9*'입력값'!E29/4</f>
      </c>
      <c r="BU12" s="32">
        <f>BU9*'입력값'!E29/4</f>
      </c>
      <c r="BV12" s="32">
        <f>BV9*'입력값'!E29/4</f>
      </c>
      <c r="BW12" s="32">
        <f>BW9*'입력값'!E29/4</f>
      </c>
      <c r="BX12" s="32">
        <f>BX9*'입력값'!E29/4</f>
      </c>
      <c r="BY12" s="32">
        <f>BY9*'입력값'!E29/4</f>
      </c>
      <c r="BZ12" s="32">
        <f>BZ9*'입력값'!E29/4</f>
      </c>
      <c r="CA12" s="32">
        <f>CA9*'입력값'!E29/4</f>
      </c>
      <c r="CB12" s="32">
        <f>CB9*'입력값'!E29/4</f>
      </c>
      <c r="CC12" s="32">
        <f>CC9*'입력값'!E29/4</f>
      </c>
      <c r="CD12" s="32">
        <f>CD9*'입력값'!E29/4</f>
      </c>
      <c r="CE12" s="32">
        <f>CE9*'입력값'!E29/4</f>
      </c>
      <c r="CF12" s="32">
        <f>CF9*'입력값'!E29/4</f>
      </c>
      <c r="CG12" s="32">
        <f>CG9*'입력값'!E29/4</f>
      </c>
      <c r="CH12" s="32">
        <f>CH9*'입력값'!E29/4</f>
      </c>
      <c r="CI12" s="32">
        <f>CI9*'입력값'!E29/4</f>
      </c>
      <c r="CJ12" s="32">
        <f>CJ9*'입력값'!E29/4</f>
      </c>
      <c r="CK12" s="32">
        <f>CK9*'입력값'!E29/4</f>
      </c>
      <c r="CL12" s="32">
        <f>CL9*'입력값'!E29/4</f>
      </c>
    </row>
    <row r="13" spans="2:90" x14ac:dyDescent="0.25">
      <c r="B13" s="28" t="s">
        <v>230</v>
      </c>
      <c r="C13" s="29" t="s">
        <v>205</v>
      </c>
      <c r="D13" s="14">
        <f>SUM(E13:CL13)</f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f>'입력값'!N39*'입력값'!C29*100</f>
      </c>
      <c r="O13" s="32">
        <f>'입력값'!O39*'입력값'!C29*100</f>
      </c>
      <c r="P13" s="32">
        <f>'입력값'!P39*'입력값'!C29*100</f>
      </c>
      <c r="Q13" s="32">
        <f>'입력값'!Q39*'입력값'!C29*100</f>
      </c>
      <c r="R13" s="32">
        <f>'입력값'!R39*'입력값'!C29*100</f>
      </c>
      <c r="S13" s="32">
        <f>'입력값'!S39*'입력값'!C29*100</f>
      </c>
      <c r="T13" s="32">
        <f>'입력값'!T39*'입력값'!C29*100</f>
      </c>
      <c r="U13" s="32">
        <f>'입력값'!U39*'입력값'!C29*100</f>
      </c>
      <c r="V13" s="32">
        <f>'입력값'!V39*'입력값'!C29*100</f>
      </c>
      <c r="W13" s="32">
        <f>'입력값'!W39*'입력값'!C29*100</f>
      </c>
      <c r="X13" s="32">
        <f>'입력값'!X39*'입력값'!C29*100</f>
      </c>
      <c r="Y13" s="32">
        <f>'입력값'!Y39*'입력값'!C29*100</f>
      </c>
      <c r="Z13" s="32">
        <f>'입력값'!Z39*'입력값'!C29*100</f>
      </c>
      <c r="AA13" s="32">
        <f>'입력값'!AA39*'입력값'!C29*100</f>
      </c>
      <c r="AB13" s="32">
        <f>'입력값'!AB39*'입력값'!C29*100</f>
      </c>
      <c r="AC13" s="32">
        <f>'입력값'!AC39*'입력값'!C29*100</f>
      </c>
      <c r="AD13" s="32">
        <f>'입력값'!AD39*'입력값'!C29*100</f>
      </c>
      <c r="AE13" s="32">
        <f>'입력값'!AE39*'입력값'!C29*100</f>
      </c>
      <c r="AF13" s="32">
        <f>'입력값'!AF39*'입력값'!C29*100</f>
      </c>
      <c r="AG13" s="32">
        <f>'입력값'!AG39*'입력값'!C29*100</f>
      </c>
      <c r="AH13" s="32">
        <f>'입력값'!AH39*'입력값'!C29*100</f>
      </c>
      <c r="AI13" s="32">
        <f>'입력값'!AI39*'입력값'!C29*100</f>
      </c>
      <c r="AJ13" s="32">
        <f>'입력값'!AJ39*'입력값'!C29*100</f>
      </c>
      <c r="AK13" s="32">
        <f>'입력값'!AK39*'입력값'!C29*100</f>
      </c>
      <c r="AL13" s="32">
        <f>'입력값'!AL39*'입력값'!C29*100</f>
      </c>
      <c r="AM13" s="32">
        <f>'입력값'!AM39*'입력값'!C29*100</f>
      </c>
      <c r="AN13" s="32">
        <f>'입력값'!AN39*'입력값'!C29*100</f>
      </c>
      <c r="AO13" s="32">
        <f>'입력값'!AO39*'입력값'!C29*100</f>
      </c>
      <c r="AP13" s="32">
        <f>'입력값'!AP39*'입력값'!C29*100</f>
      </c>
      <c r="AQ13" s="32">
        <f>'입력값'!AQ39*'입력값'!C29*100</f>
      </c>
      <c r="AR13" s="32">
        <f>'입력값'!AR39*'입력값'!C29*100</f>
      </c>
      <c r="AS13" s="32">
        <f>'입력값'!AS39*'입력값'!C29*100</f>
      </c>
      <c r="AT13" s="32">
        <f>'입력값'!AT39*'입력값'!C29*100</f>
      </c>
      <c r="AU13" s="32">
        <f>'입력값'!AU39*'입력값'!C29*100</f>
      </c>
      <c r="AV13" s="32">
        <f>'입력값'!AV39*'입력값'!C29*100</f>
      </c>
      <c r="AW13" s="32">
        <f>'입력값'!AW39*'입력값'!C29*100</f>
      </c>
      <c r="AX13" s="32">
        <f>'입력값'!AX39*'입력값'!C29*100</f>
      </c>
      <c r="AY13" s="32">
        <f>'입력값'!AY39*'입력값'!C29*100</f>
      </c>
      <c r="AZ13" s="32">
        <f>'입력값'!AZ39*'입력값'!C29*100</f>
      </c>
      <c r="BA13" s="32">
        <f>'입력값'!BA39*'입력값'!C29*100</f>
      </c>
      <c r="BB13" s="32">
        <f>'입력값'!BB39*'입력값'!C29*100</f>
      </c>
      <c r="BC13" s="32">
        <f>'입력값'!BC39*'입력값'!C29*100</f>
      </c>
      <c r="BD13" s="32">
        <f>'입력값'!BD39*'입력값'!C29*100</f>
      </c>
      <c r="BE13" s="32">
        <f>'입력값'!BE39*'입력값'!C29*100</f>
      </c>
      <c r="BF13" s="32">
        <f>'입력값'!BF39*'입력값'!C29*100</f>
      </c>
      <c r="BG13" s="32">
        <f>'입력값'!BG39*'입력값'!C29*100</f>
      </c>
      <c r="BH13" s="32">
        <f>'입력값'!BH39*'입력값'!C29*100</f>
      </c>
      <c r="BI13" s="32">
        <f>'입력값'!BI39*'입력값'!C29*100</f>
      </c>
      <c r="BJ13" s="32">
        <f>'입력값'!BJ39*'입력값'!C29*100</f>
      </c>
      <c r="BK13" s="32">
        <f>'입력값'!BK39*'입력값'!C29*100</f>
      </c>
      <c r="BL13" s="32">
        <f>'입력값'!BL39*'입력값'!C29*100</f>
      </c>
      <c r="BM13" s="32">
        <f>'입력값'!BM39*'입력값'!C29*100</f>
      </c>
      <c r="BN13" s="32">
        <f>'입력값'!BN39*'입력값'!C29*100</f>
      </c>
      <c r="BO13" s="32">
        <f>'입력값'!BO39*'입력값'!C29*100</f>
      </c>
      <c r="BP13" s="32">
        <f>'입력값'!BP39*'입력값'!C29*100</f>
      </c>
      <c r="BQ13" s="32">
        <f>'입력값'!BQ39*'입력값'!C29*100</f>
      </c>
      <c r="BR13" s="32">
        <f>'입력값'!BR39*'입력값'!C29*100</f>
      </c>
      <c r="BS13" s="32">
        <f>'입력값'!BS39*'입력값'!C29*100</f>
      </c>
      <c r="BT13" s="32">
        <f>'입력값'!BT39*'입력값'!C29*100</f>
      </c>
      <c r="BU13" s="32">
        <f>'입력값'!BU39*'입력값'!C29*100</f>
      </c>
      <c r="BV13" s="32">
        <f>'입력값'!BV39*'입력값'!C29*100</f>
      </c>
      <c r="BW13" s="32">
        <f>'입력값'!BW39*'입력값'!C29*100</f>
      </c>
      <c r="BX13" s="32">
        <f>'입력값'!BX39*'입력값'!C29*100</f>
      </c>
      <c r="BY13" s="32">
        <f>'입력값'!BY39*'입력값'!C29*100</f>
      </c>
      <c r="BZ13" s="32">
        <v>0</v>
      </c>
      <c r="CA13" s="32">
        <v>0</v>
      </c>
      <c r="CB13" s="32">
        <v>0</v>
      </c>
      <c r="CC13" s="32">
        <v>0</v>
      </c>
      <c r="CD13" s="32">
        <v>0</v>
      </c>
      <c r="CE13" s="32">
        <v>0</v>
      </c>
      <c r="CF13" s="32">
        <v>0</v>
      </c>
      <c r="CG13" s="32">
        <v>0</v>
      </c>
      <c r="CH13" s="32">
        <v>0</v>
      </c>
      <c r="CI13" s="32">
        <v>0</v>
      </c>
      <c r="CJ13" s="32">
        <v>0</v>
      </c>
      <c r="CK13" s="32">
        <v>0</v>
      </c>
      <c r="CL13" s="32">
        <v>0</v>
      </c>
    </row>
    <row r="14" spans="2:90" x14ac:dyDescent="0.25">
      <c r="B14" s="42" t="s">
        <v>231</v>
      </c>
      <c r="C14" s="29" t="s">
        <v>205</v>
      </c>
      <c r="E14" s="14">
        <f>E9+E10-E13</f>
      </c>
      <c r="F14" s="14">
        <f>F9+F10-F13</f>
      </c>
      <c r="G14" s="14">
        <f>G9+G10-G13</f>
      </c>
      <c r="H14" s="14">
        <f>H9+H10-H13</f>
      </c>
      <c r="I14" s="14">
        <f>I9+I10-I13</f>
      </c>
      <c r="J14" s="14">
        <f>J9+J10-J13</f>
      </c>
      <c r="K14" s="14">
        <f>K9+K10-K13</f>
      </c>
      <c r="L14" s="14">
        <f>L9+L10-L13</f>
      </c>
      <c r="M14" s="14">
        <f>M9+M10-M13</f>
      </c>
      <c r="N14" s="14">
        <f>N9+N10-N13</f>
      </c>
      <c r="O14" s="14">
        <f>O9+O10-O13</f>
      </c>
      <c r="P14" s="14">
        <f>P9+P10-P13</f>
      </c>
      <c r="Q14" s="14">
        <f>Q9+Q10-Q13</f>
      </c>
      <c r="R14" s="14">
        <f>R9+R10-R13</f>
      </c>
      <c r="S14" s="14">
        <f>S9+S10-S13</f>
      </c>
      <c r="T14" s="14">
        <f>T9+T10-T13</f>
      </c>
      <c r="U14" s="14">
        <f>U9+U10-U13</f>
      </c>
      <c r="V14" s="14">
        <f>V9+V10-V13</f>
      </c>
      <c r="W14" s="14">
        <f>W9+W10-W13</f>
      </c>
      <c r="X14" s="14">
        <f>X9+X10-X13</f>
      </c>
      <c r="Y14" s="14">
        <f>Y9+Y10-Y13</f>
      </c>
      <c r="Z14" s="14">
        <f>Z9+Z10-Z13</f>
      </c>
      <c r="AA14" s="14">
        <f>AA9+AA10-AA13</f>
      </c>
      <c r="AB14" s="14">
        <f>AB9+AB10-AB13</f>
      </c>
      <c r="AC14" s="14">
        <f>AC9+AC10-AC13</f>
      </c>
      <c r="AD14" s="14">
        <f>AD9+AD10-AD13</f>
      </c>
      <c r="AE14" s="14">
        <f>AE9+AE10-AE13</f>
      </c>
      <c r="AF14" s="14">
        <f>AF9+AF10-AF13</f>
      </c>
      <c r="AG14" s="14">
        <f>AG9+AG10-AG13</f>
      </c>
      <c r="AH14" s="14">
        <f>AH9+AH10-AH13</f>
      </c>
      <c r="AI14" s="14">
        <f>AI9+AI10-AI13</f>
      </c>
      <c r="AJ14" s="14">
        <f>AJ9+AJ10-AJ13</f>
      </c>
      <c r="AK14" s="14">
        <f>AK9+AK10-AK13</f>
      </c>
      <c r="AL14" s="14">
        <f>AL9+AL10-AL13</f>
      </c>
      <c r="AM14" s="14">
        <f>AM9+AM10-AM13</f>
      </c>
      <c r="AN14" s="14">
        <f>AN9+AN10-AN13</f>
      </c>
      <c r="AO14" s="14">
        <f>AO9+AO10-AO13</f>
      </c>
      <c r="AP14" s="14">
        <f>AP9+AP10-AP13</f>
      </c>
      <c r="AQ14" s="14">
        <f>AQ9+AQ10-AQ13</f>
      </c>
      <c r="AR14" s="14">
        <f>AR9+AR10-AR13</f>
      </c>
      <c r="AS14" s="14">
        <f>AS9+AS10-AS13</f>
      </c>
      <c r="AT14" s="14">
        <f>AT9+AT10-AT13</f>
      </c>
      <c r="AU14" s="14">
        <f>AU9+AU10-AU13</f>
      </c>
      <c r="AV14" s="14">
        <f>AV9+AV10-AV13</f>
      </c>
      <c r="AW14" s="14">
        <f>AW9+AW10-AW13</f>
      </c>
      <c r="AX14" s="14">
        <f>AX9+AX10-AX13</f>
      </c>
      <c r="AY14" s="14">
        <f>AY9+AY10-AY13</f>
      </c>
      <c r="AZ14" s="14">
        <f>AZ9+AZ10-AZ13</f>
      </c>
      <c r="BA14" s="14">
        <f>BA9+BA10-BA13</f>
      </c>
      <c r="BB14" s="14">
        <f>BB9+BB10-BB13</f>
      </c>
      <c r="BC14" s="14">
        <f>BC9+BC10-BC13</f>
      </c>
      <c r="BD14" s="14">
        <f>BD9+BD10-BD13</f>
      </c>
      <c r="BE14" s="14">
        <f>BE9+BE10-BE13</f>
      </c>
      <c r="BF14" s="14">
        <f>BF9+BF10-BF13</f>
      </c>
      <c r="BG14" s="14">
        <f>BG9+BG10-BG13</f>
      </c>
      <c r="BH14" s="14">
        <f>BH9+BH10-BH13</f>
      </c>
      <c r="BI14" s="14">
        <f>BI9+BI10-BI13</f>
      </c>
      <c r="BJ14" s="14">
        <f>BJ9+BJ10-BJ13</f>
      </c>
      <c r="BK14" s="14">
        <f>BK9+BK10-BK13</f>
      </c>
      <c r="BL14" s="14">
        <f>BL9+BL10-BL13</f>
      </c>
      <c r="BM14" s="14">
        <f>BM9+BM10-BM13</f>
      </c>
      <c r="BN14" s="14">
        <f>BN9+BN10-BN13</f>
      </c>
      <c r="BO14" s="14">
        <f>BO9+BO10-BO13</f>
      </c>
      <c r="BP14" s="14">
        <f>BP9+BP10-BP13</f>
      </c>
      <c r="BQ14" s="14">
        <f>BQ9+BQ10-BQ13</f>
      </c>
      <c r="BR14" s="14">
        <f>BR9+BR10-BR13</f>
      </c>
      <c r="BS14" s="14">
        <f>BS9+BS10-BS13</f>
      </c>
      <c r="BT14" s="14">
        <f>BT9+BT10-BT13</f>
      </c>
      <c r="BU14" s="14">
        <f>BU9+BU10-BU13</f>
      </c>
      <c r="BV14" s="14">
        <f>BV9+BV10-BV13</f>
      </c>
      <c r="BW14" s="14">
        <f>BW9+BW10-BW13</f>
      </c>
      <c r="BX14" s="14">
        <f>BX9+BX10-BX13</f>
      </c>
      <c r="BY14" s="14">
        <f>BY9+BY10-BY13</f>
      </c>
      <c r="BZ14" s="14">
        <f>BZ9+BZ10-BZ13</f>
      </c>
      <c r="CA14" s="14">
        <f>CA9+CA10-CA13</f>
      </c>
      <c r="CB14" s="14">
        <f>CB9+CB10-CB13</f>
      </c>
      <c r="CC14" s="14">
        <f>CC9+CC10-CC13</f>
      </c>
      <c r="CD14" s="14">
        <f>CD9+CD10-CD13</f>
      </c>
      <c r="CE14" s="14">
        <f>CE9+CE10-CE13</f>
      </c>
      <c r="CF14" s="14">
        <f>CF9+CF10-CF13</f>
      </c>
      <c r="CG14" s="14">
        <f>CG9+CG10-CG13</f>
      </c>
      <c r="CH14" s="14">
        <f>CH9+CH10-CH13</f>
      </c>
      <c r="CI14" s="14">
        <f>CI9+CI10-CI13</f>
      </c>
      <c r="CJ14" s="14">
        <f>CJ9+CJ10-CJ13</f>
      </c>
      <c r="CK14" s="14">
        <f>CK9+CK10-CK13</f>
      </c>
      <c r="CL14" s="14">
        <f>CL9+CL10-CL13</f>
      </c>
    </row>
    <row r="15" spans="2:8" x14ac:dyDescent="0.25">
      <c r="B15" s="28" t="s">
        <v>232</v>
      </c>
      <c r="C15" s="29" t="s">
        <v>205</v>
      </c>
      <c r="D15" s="32">
        <f>CL14</f>
      </c>
      <c r="F15" s="32" t="s">
        <v>233</v>
      </c>
      <c r="H15" s="43" t="s">
        <v>234</v>
      </c>
    </row>
    <row r="17" spans="2:91" x14ac:dyDescent="0.25">
      <c r="B17" s="40" t="s">
        <v>76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</row>
    <row r="18" spans="2:90" x14ac:dyDescent="0.25">
      <c r="B18" s="28" t="s">
        <v>227</v>
      </c>
      <c r="C18" s="29" t="s">
        <v>205</v>
      </c>
      <c r="E18" s="32">
        <v>0</v>
      </c>
      <c r="F18" s="32">
        <f>E23</f>
      </c>
      <c r="G18" s="32">
        <f>F23</f>
      </c>
      <c r="H18" s="32">
        <f>G23</f>
      </c>
      <c r="I18" s="32">
        <f>H23</f>
      </c>
      <c r="J18" s="32">
        <f>I23</f>
      </c>
      <c r="K18" s="32">
        <f>J23</f>
      </c>
      <c r="L18" s="32">
        <f>K23</f>
      </c>
      <c r="M18" s="32">
        <f>L23</f>
      </c>
      <c r="N18" s="32">
        <f>M23</f>
      </c>
      <c r="O18" s="32">
        <f>N23</f>
      </c>
      <c r="P18" s="32">
        <f>O23</f>
      </c>
      <c r="Q18" s="32">
        <f>P23</f>
      </c>
      <c r="R18" s="32">
        <f>Q23</f>
      </c>
      <c r="S18" s="32">
        <f>R23</f>
      </c>
      <c r="T18" s="32">
        <f>S23</f>
      </c>
      <c r="U18" s="32">
        <f>T23</f>
      </c>
      <c r="V18" s="32">
        <f>U23</f>
      </c>
      <c r="W18" s="32">
        <f>V23</f>
      </c>
      <c r="X18" s="32">
        <f>W23</f>
      </c>
      <c r="Y18" s="32">
        <f>X23</f>
      </c>
      <c r="Z18" s="32">
        <f>Y23</f>
      </c>
      <c r="AA18" s="32">
        <f>Z23</f>
      </c>
      <c r="AB18" s="32">
        <f>AA23</f>
      </c>
      <c r="AC18" s="32">
        <f>AB23</f>
      </c>
      <c r="AD18" s="32">
        <f>AC23</f>
      </c>
      <c r="AE18" s="32">
        <f>AD23</f>
      </c>
      <c r="AF18" s="32">
        <f>AE23</f>
      </c>
      <c r="AG18" s="32">
        <f>AF23</f>
      </c>
      <c r="AH18" s="32">
        <f>AG23</f>
      </c>
      <c r="AI18" s="32">
        <f>AH23</f>
      </c>
      <c r="AJ18" s="32">
        <f>AI23</f>
      </c>
      <c r="AK18" s="32">
        <f>AJ23</f>
      </c>
      <c r="AL18" s="32">
        <f>AK23</f>
      </c>
      <c r="AM18" s="32">
        <f>AL23</f>
      </c>
      <c r="AN18" s="32">
        <f>AM23</f>
      </c>
      <c r="AO18" s="32">
        <f>AN23</f>
      </c>
      <c r="AP18" s="32">
        <f>AO23</f>
      </c>
      <c r="AQ18" s="32">
        <f>AP23</f>
      </c>
      <c r="AR18" s="32">
        <f>AQ23</f>
      </c>
      <c r="AS18" s="32">
        <f>AR23</f>
      </c>
      <c r="AT18" s="32">
        <f>AS23</f>
      </c>
      <c r="AU18" s="32">
        <f>AT23</f>
      </c>
      <c r="AV18" s="32">
        <f>AU23</f>
      </c>
      <c r="AW18" s="32">
        <f>AV23</f>
      </c>
      <c r="AX18" s="32">
        <f>AW23</f>
      </c>
      <c r="AY18" s="32">
        <f>AX23</f>
      </c>
      <c r="AZ18" s="32">
        <f>AY23</f>
      </c>
      <c r="BA18" s="32">
        <f>AZ23</f>
      </c>
      <c r="BB18" s="32">
        <f>BA23</f>
      </c>
      <c r="BC18" s="32">
        <f>BB23</f>
      </c>
      <c r="BD18" s="32">
        <f>BC23</f>
      </c>
      <c r="BE18" s="32">
        <f>BD23</f>
      </c>
      <c r="BF18" s="32">
        <f>BE23</f>
      </c>
      <c r="BG18" s="32">
        <f>BF23</f>
      </c>
      <c r="BH18" s="32">
        <f>BG23</f>
      </c>
      <c r="BI18" s="32">
        <f>BH23</f>
      </c>
      <c r="BJ18" s="32">
        <f>BI23</f>
      </c>
      <c r="BK18" s="32">
        <f>BJ23</f>
      </c>
      <c r="BL18" s="32">
        <f>BK23</f>
      </c>
      <c r="BM18" s="32">
        <f>BL23</f>
      </c>
      <c r="BN18" s="32">
        <f>BM23</f>
      </c>
      <c r="BO18" s="32">
        <f>BN23</f>
      </c>
      <c r="BP18" s="32">
        <f>BO23</f>
      </c>
      <c r="BQ18" s="32">
        <f>BP23</f>
      </c>
      <c r="BR18" s="32">
        <f>BQ23</f>
      </c>
      <c r="BS18" s="32">
        <f>BR23</f>
      </c>
      <c r="BT18" s="32">
        <f>BS23</f>
      </c>
      <c r="BU18" s="32">
        <f>BT23</f>
      </c>
      <c r="BV18" s="32">
        <f>BU23</f>
      </c>
      <c r="BW18" s="32">
        <f>BV23</f>
      </c>
      <c r="BX18" s="32">
        <f>BW23</f>
      </c>
      <c r="BY18" s="32">
        <f>BX23</f>
      </c>
      <c r="BZ18" s="32">
        <f>BY23</f>
      </c>
      <c r="CA18" s="32">
        <f>BZ23</f>
      </c>
      <c r="CB18" s="32">
        <f>CA23</f>
      </c>
      <c r="CC18" s="32">
        <f>CB23</f>
      </c>
      <c r="CD18" s="32">
        <f>CC23</f>
      </c>
      <c r="CE18" s="32">
        <f>CD23</f>
      </c>
      <c r="CF18" s="32">
        <f>CE23</f>
      </c>
      <c r="CG18" s="32">
        <f>CF23</f>
      </c>
      <c r="CH18" s="32">
        <f>CG23</f>
      </c>
      <c r="CI18" s="32">
        <f>CH23</f>
      </c>
      <c r="CJ18" s="32">
        <f>CI23</f>
      </c>
      <c r="CK18" s="32">
        <f>CJ23</f>
      </c>
      <c r="CL18" s="32">
        <f>CK23</f>
      </c>
    </row>
    <row r="19" spans="2:90" x14ac:dyDescent="0.25">
      <c r="B19" s="28" t="s">
        <v>228</v>
      </c>
      <c r="C19" s="29" t="s">
        <v>205</v>
      </c>
      <c r="D19" s="14">
        <f>SUM(E19:CL19)</f>
      </c>
      <c r="E19" s="32">
        <v>9935.161359526319</v>
      </c>
      <c r="F19" s="32">
        <v>5714.370798698882</v>
      </c>
      <c r="G19" s="32">
        <v>11330.803125295972</v>
      </c>
      <c r="H19" s="32">
        <v>11493.863019115224</v>
      </c>
      <c r="I19" s="32">
        <v>11525.801697363604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0</v>
      </c>
      <c r="CD19" s="32">
        <v>0</v>
      </c>
      <c r="CE19" s="32">
        <v>0</v>
      </c>
      <c r="CF19" s="32">
        <v>0</v>
      </c>
      <c r="CG19" s="32">
        <v>0</v>
      </c>
      <c r="CH19" s="32">
        <v>0</v>
      </c>
      <c r="CI19" s="32">
        <v>0</v>
      </c>
      <c r="CJ19" s="32">
        <v>0</v>
      </c>
      <c r="CK19" s="32">
        <v>0</v>
      </c>
      <c r="CL19" s="32">
        <v>0</v>
      </c>
    </row>
    <row r="20" spans="2:90" x14ac:dyDescent="0.25">
      <c r="B20" s="28" t="s">
        <v>219</v>
      </c>
      <c r="C20" s="29" t="s">
        <v>205</v>
      </c>
      <c r="D20" s="14">
        <f>SUM(E20:CL20)</f>
      </c>
      <c r="E20" s="32">
        <v>0</v>
      </c>
      <c r="F20" s="32">
        <v>136.60846869348688</v>
      </c>
      <c r="G20" s="32">
        <v>215.1810671755965</v>
      </c>
      <c r="H20" s="32">
        <v>370.9796101484161</v>
      </c>
      <c r="I20" s="32">
        <v>529.0202266612505</v>
      </c>
      <c r="J20" s="32">
        <v>687.5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  <c r="BQ20" s="32">
        <v>0</v>
      </c>
      <c r="BR20" s="32">
        <v>0</v>
      </c>
      <c r="BS20" s="3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2">
        <v>0</v>
      </c>
      <c r="CF20" s="32">
        <v>0</v>
      </c>
      <c r="CG20" s="32">
        <v>0</v>
      </c>
      <c r="CH20" s="32">
        <v>0</v>
      </c>
      <c r="CI20" s="32">
        <v>0</v>
      </c>
      <c r="CJ20" s="32">
        <v>0</v>
      </c>
      <c r="CK20" s="32">
        <v>0</v>
      </c>
      <c r="CL20" s="32">
        <v>0</v>
      </c>
    </row>
    <row r="21" spans="2:90" x14ac:dyDescent="0.25">
      <c r="B21" s="28" t="s">
        <v>229</v>
      </c>
      <c r="C21" s="29" t="s">
        <v>205</v>
      </c>
      <c r="D21" s="14">
        <f>SUM(E21:CL21)</f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f>K18*'입력값'!E30/4</f>
      </c>
      <c r="L21" s="32">
        <f>L18*'입력값'!E30/4</f>
      </c>
      <c r="M21" s="32">
        <f>M18*'입력값'!E30/4</f>
      </c>
      <c r="N21" s="32">
        <f>N18*'입력값'!E30/4</f>
      </c>
      <c r="O21" s="32">
        <f>O18*'입력값'!E30/4</f>
      </c>
      <c r="P21" s="32">
        <f>P18*'입력값'!E30/4</f>
      </c>
      <c r="Q21" s="32">
        <f>Q18*'입력값'!E30/4</f>
      </c>
      <c r="R21" s="32">
        <f>R18*'입력값'!E30/4</f>
      </c>
      <c r="S21" s="32">
        <f>S18*'입력값'!E30/4</f>
      </c>
      <c r="T21" s="32">
        <f>T18*'입력값'!E30/4</f>
      </c>
      <c r="U21" s="32">
        <f>U18*'입력값'!E30/4</f>
      </c>
      <c r="V21" s="32">
        <f>V18*'입력값'!E30/4</f>
      </c>
      <c r="W21" s="32">
        <f>W18*'입력값'!E30/4</f>
      </c>
      <c r="X21" s="32">
        <f>X18*'입력값'!E30/4</f>
      </c>
      <c r="Y21" s="32">
        <f>Y18*'입력값'!E30/4</f>
      </c>
      <c r="Z21" s="32">
        <f>Z18*'입력값'!E30/4</f>
      </c>
      <c r="AA21" s="32">
        <f>AA18*'입력값'!E30/4</f>
      </c>
      <c r="AB21" s="32">
        <f>AB18*'입력값'!E30/4</f>
      </c>
      <c r="AC21" s="32">
        <f>AC18*'입력값'!E30/4</f>
      </c>
      <c r="AD21" s="32">
        <f>AD18*'입력값'!E30/4</f>
      </c>
      <c r="AE21" s="32">
        <f>AE18*'입력값'!E30/4</f>
      </c>
      <c r="AF21" s="32">
        <f>AF18*'입력값'!E30/4</f>
      </c>
      <c r="AG21" s="32">
        <f>AG18*'입력값'!E30/4</f>
      </c>
      <c r="AH21" s="32">
        <f>AH18*'입력값'!E30/4</f>
      </c>
      <c r="AI21" s="32">
        <f>AI18*'입력값'!E30/4</f>
      </c>
      <c r="AJ21" s="32">
        <f>AJ18*'입력값'!E30/4</f>
      </c>
      <c r="AK21" s="32">
        <f>AK18*'입력값'!E30/4</f>
      </c>
      <c r="AL21" s="32">
        <f>AL18*'입력값'!E30/4</f>
      </c>
      <c r="AM21" s="32">
        <f>AM18*'입력값'!E30/4</f>
      </c>
      <c r="AN21" s="32">
        <f>AN18*'입력값'!E30/4</f>
      </c>
      <c r="AO21" s="32">
        <f>AO18*'입력값'!E30/4</f>
      </c>
      <c r="AP21" s="32">
        <f>AP18*'입력값'!E30/4</f>
      </c>
      <c r="AQ21" s="32">
        <f>AQ18*'입력값'!E30/4</f>
      </c>
      <c r="AR21" s="32">
        <f>AR18*'입력값'!E30/4</f>
      </c>
      <c r="AS21" s="32">
        <f>AS18*'입력값'!E30/4</f>
      </c>
      <c r="AT21" s="32">
        <f>AT18*'입력값'!E30/4</f>
      </c>
      <c r="AU21" s="32">
        <f>AU18*'입력값'!E30/4</f>
      </c>
      <c r="AV21" s="32">
        <f>AV18*'입력값'!E30/4</f>
      </c>
      <c r="AW21" s="32">
        <f>AW18*'입력값'!E30/4</f>
      </c>
      <c r="AX21" s="32">
        <f>AX18*'입력값'!E30/4</f>
      </c>
      <c r="AY21" s="32">
        <f>AY18*'입력값'!E30/4</f>
      </c>
      <c r="AZ21" s="32">
        <f>AZ18*'입력값'!E30/4</f>
      </c>
      <c r="BA21" s="32">
        <f>BA18*'입력값'!E30/4</f>
      </c>
      <c r="BB21" s="32">
        <f>BB18*'입력값'!E30/4</f>
      </c>
      <c r="BC21" s="32">
        <f>BC18*'입력값'!E30/4</f>
      </c>
      <c r="BD21" s="32">
        <f>BD18*'입력값'!E30/4</f>
      </c>
      <c r="BE21" s="32">
        <f>BE18*'입력값'!E30/4</f>
      </c>
      <c r="BF21" s="32">
        <f>BF18*'입력값'!E30/4</f>
      </c>
      <c r="BG21" s="32">
        <f>BG18*'입력값'!E30/4</f>
      </c>
      <c r="BH21" s="32">
        <f>BH18*'입력값'!E30/4</f>
      </c>
      <c r="BI21" s="32">
        <f>BI18*'입력값'!E30/4</f>
      </c>
      <c r="BJ21" s="32">
        <f>BJ18*'입력값'!E30/4</f>
      </c>
      <c r="BK21" s="32">
        <f>BK18*'입력값'!E30/4</f>
      </c>
      <c r="BL21" s="32">
        <f>BL18*'입력값'!E30/4</f>
      </c>
      <c r="BM21" s="32">
        <f>BM18*'입력값'!E30/4</f>
      </c>
      <c r="BN21" s="32">
        <f>BN18*'입력값'!E30/4</f>
      </c>
      <c r="BO21" s="32">
        <f>BO18*'입력값'!E30/4</f>
      </c>
      <c r="BP21" s="32">
        <f>BP18*'입력값'!E30/4</f>
      </c>
      <c r="BQ21" s="32">
        <f>BQ18*'입력값'!E30/4</f>
      </c>
      <c r="BR21" s="32">
        <f>BR18*'입력값'!E30/4</f>
      </c>
      <c r="BS21" s="32">
        <f>BS18*'입력값'!E30/4</f>
      </c>
      <c r="BT21" s="32">
        <f>BT18*'입력값'!E30/4</f>
      </c>
      <c r="BU21" s="32">
        <f>BU18*'입력값'!E30/4</f>
      </c>
      <c r="BV21" s="32">
        <f>BV18*'입력값'!E30/4</f>
      </c>
      <c r="BW21" s="32">
        <f>BW18*'입력값'!E30/4</f>
      </c>
      <c r="BX21" s="32">
        <f>BX18*'입력값'!E30/4</f>
      </c>
      <c r="BY21" s="32">
        <f>BY18*'입력값'!E30/4</f>
      </c>
      <c r="BZ21" s="32">
        <f>BZ18*'입력값'!E30/4</f>
      </c>
      <c r="CA21" s="32">
        <f>CA18*'입력값'!E30/4</f>
      </c>
      <c r="CB21" s="32">
        <f>CB18*'입력값'!E30/4</f>
      </c>
      <c r="CC21" s="32">
        <f>CC18*'입력값'!E30/4</f>
      </c>
      <c r="CD21" s="32">
        <f>CD18*'입력값'!E30/4</f>
      </c>
      <c r="CE21" s="32">
        <f>CE18*'입력값'!E30/4</f>
      </c>
      <c r="CF21" s="32">
        <f>CF18*'입력값'!E30/4</f>
      </c>
      <c r="CG21" s="32">
        <f>CG18*'입력값'!E30/4</f>
      </c>
      <c r="CH21" s="32">
        <f>CH18*'입력값'!E30/4</f>
      </c>
      <c r="CI21" s="32">
        <f>CI18*'입력값'!E30/4</f>
      </c>
      <c r="CJ21" s="32">
        <f>CJ18*'입력값'!E30/4</f>
      </c>
      <c r="CK21" s="32">
        <f>CK18*'입력값'!E30/4</f>
      </c>
      <c r="CL21" s="32">
        <f>CL18*'입력값'!E30/4</f>
      </c>
    </row>
    <row r="22" spans="2:90" x14ac:dyDescent="0.25">
      <c r="B22" s="28" t="s">
        <v>230</v>
      </c>
      <c r="C22" s="29" t="s">
        <v>205</v>
      </c>
      <c r="D22" s="14">
        <f>SUM(E22:CL22)</f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f>'입력값'!N40*'입력값'!C30*100</f>
      </c>
      <c r="O22" s="32">
        <f>'입력값'!O40*'입력값'!C30*100</f>
      </c>
      <c r="P22" s="32">
        <f>'입력값'!P40*'입력값'!C30*100</f>
      </c>
      <c r="Q22" s="32">
        <f>'입력값'!Q40*'입력값'!C30*100</f>
      </c>
      <c r="R22" s="32">
        <f>'입력값'!R40*'입력값'!C30*100</f>
      </c>
      <c r="S22" s="32">
        <f>'입력값'!S40*'입력값'!C30*100</f>
      </c>
      <c r="T22" s="32">
        <f>'입력값'!T40*'입력값'!C30*100</f>
      </c>
      <c r="U22" s="32">
        <f>'입력값'!U40*'입력값'!C30*100</f>
      </c>
      <c r="V22" s="32">
        <f>'입력값'!V40*'입력값'!C30*100</f>
      </c>
      <c r="W22" s="32">
        <f>'입력값'!W40*'입력값'!C30*100</f>
      </c>
      <c r="X22" s="32">
        <f>'입력값'!X40*'입력값'!C30*100</f>
      </c>
      <c r="Y22" s="32">
        <f>'입력값'!Y40*'입력값'!C30*100</f>
      </c>
      <c r="Z22" s="32">
        <f>'입력값'!Z40*'입력값'!C30*100</f>
      </c>
      <c r="AA22" s="32">
        <f>'입력값'!AA40*'입력값'!C30*100</f>
      </c>
      <c r="AB22" s="32">
        <f>'입력값'!AB40*'입력값'!C30*100</f>
      </c>
      <c r="AC22" s="32">
        <f>'입력값'!AC40*'입력값'!C30*100</f>
      </c>
      <c r="AD22" s="32">
        <f>'입력값'!AD40*'입력값'!C30*100</f>
      </c>
      <c r="AE22" s="32">
        <f>'입력값'!AE40*'입력값'!C30*100</f>
      </c>
      <c r="AF22" s="32">
        <f>'입력값'!AF40*'입력값'!C30*100</f>
      </c>
      <c r="AG22" s="32">
        <f>'입력값'!AG40*'입력값'!C30*100</f>
      </c>
      <c r="AH22" s="32">
        <f>'입력값'!AH40*'입력값'!C30*100</f>
      </c>
      <c r="AI22" s="32">
        <f>'입력값'!AI40*'입력값'!C30*100</f>
      </c>
      <c r="AJ22" s="32">
        <f>'입력값'!AJ40*'입력값'!C30*100</f>
      </c>
      <c r="AK22" s="32">
        <f>'입력값'!AK40*'입력값'!C30*100</f>
      </c>
      <c r="AL22" s="32">
        <f>'입력값'!AL40*'입력값'!C30*100</f>
      </c>
      <c r="AM22" s="32">
        <f>'입력값'!AM40*'입력값'!C30*100</f>
      </c>
      <c r="AN22" s="32">
        <f>'입력값'!AN40*'입력값'!C30*100</f>
      </c>
      <c r="AO22" s="32">
        <f>'입력값'!AO40*'입력값'!C30*100</f>
      </c>
      <c r="AP22" s="32">
        <f>'입력값'!AP40*'입력값'!C30*100</f>
      </c>
      <c r="AQ22" s="32">
        <f>'입력값'!AQ40*'입력값'!C30*100</f>
      </c>
      <c r="AR22" s="32">
        <f>'입력값'!AR40*'입력값'!C30*100</f>
      </c>
      <c r="AS22" s="32">
        <f>'입력값'!AS40*'입력값'!C30*100</f>
      </c>
      <c r="AT22" s="32">
        <f>'입력값'!AT40*'입력값'!C30*100</f>
      </c>
      <c r="AU22" s="32">
        <f>'입력값'!AU40*'입력값'!C30*100</f>
      </c>
      <c r="AV22" s="32">
        <f>'입력값'!AV40*'입력값'!C30*100</f>
      </c>
      <c r="AW22" s="32">
        <f>'입력값'!AW40*'입력값'!C30*100</f>
      </c>
      <c r="AX22" s="32">
        <f>'입력값'!AX40*'입력값'!C30*100</f>
      </c>
      <c r="AY22" s="32">
        <f>'입력값'!AY40*'입력값'!C30*100</f>
      </c>
      <c r="AZ22" s="32">
        <f>'입력값'!AZ40*'입력값'!C30*100</f>
      </c>
      <c r="BA22" s="32">
        <f>'입력값'!BA40*'입력값'!C30*100</f>
      </c>
      <c r="BB22" s="32">
        <f>'입력값'!BB40*'입력값'!C30*100</f>
      </c>
      <c r="BC22" s="32">
        <f>'입력값'!BC40*'입력값'!C30*100</f>
      </c>
      <c r="BD22" s="32">
        <f>'입력값'!BD40*'입력값'!C30*100</f>
      </c>
      <c r="BE22" s="32">
        <f>'입력값'!BE40*'입력값'!C30*100</f>
      </c>
      <c r="BF22" s="32">
        <f>'입력값'!BF40*'입력값'!C30*100</f>
      </c>
      <c r="BG22" s="32">
        <f>'입력값'!BG40*'입력값'!C30*100</f>
      </c>
      <c r="BH22" s="32">
        <f>'입력값'!BH40*'입력값'!C30*100</f>
      </c>
      <c r="BI22" s="32">
        <f>'입력값'!BI40*'입력값'!C30*100</f>
      </c>
      <c r="BJ22" s="32">
        <f>'입력값'!BJ40*'입력값'!C30*100</f>
      </c>
      <c r="BK22" s="32">
        <f>'입력값'!BK40*'입력값'!C30*100</f>
      </c>
      <c r="BL22" s="32">
        <f>'입력값'!BL40*'입력값'!C30*100</f>
      </c>
      <c r="BM22" s="32">
        <f>'입력값'!BM40*'입력값'!C30*100</f>
      </c>
      <c r="BN22" s="32">
        <f>'입력값'!BN40*'입력값'!C30*100</f>
      </c>
      <c r="BO22" s="32">
        <f>'입력값'!BO40*'입력값'!C30*100</f>
      </c>
      <c r="BP22" s="32">
        <f>'입력값'!BP40*'입력값'!C30*100</f>
      </c>
      <c r="BQ22" s="32">
        <f>'입력값'!BQ40*'입력값'!C30*100</f>
      </c>
      <c r="BR22" s="32">
        <f>'입력값'!BR40*'입력값'!C30*100</f>
      </c>
      <c r="BS22" s="32">
        <f>'입력값'!BS40*'입력값'!C30*100</f>
      </c>
      <c r="BT22" s="32">
        <f>'입력값'!BT40*'입력값'!C30*100</f>
      </c>
      <c r="BU22" s="32">
        <f>'입력값'!BU40*'입력값'!C30*100</f>
      </c>
      <c r="BV22" s="32">
        <f>'입력값'!BV40*'입력값'!C30*100</f>
      </c>
      <c r="BW22" s="32">
        <f>'입력값'!BW40*'입력값'!C30*100</f>
      </c>
      <c r="BX22" s="32">
        <f>'입력값'!BX40*'입력값'!C30*100</f>
      </c>
      <c r="BY22" s="32">
        <f>'입력값'!BY40*'입력값'!C30*100</f>
      </c>
      <c r="BZ22" s="32">
        <v>0</v>
      </c>
      <c r="CA22" s="32">
        <v>0</v>
      </c>
      <c r="CB22" s="32">
        <v>0</v>
      </c>
      <c r="CC22" s="32">
        <v>0</v>
      </c>
      <c r="CD22" s="32">
        <v>0</v>
      </c>
      <c r="CE22" s="32">
        <v>0</v>
      </c>
      <c r="CF22" s="32">
        <v>0</v>
      </c>
      <c r="CG22" s="32">
        <v>0</v>
      </c>
      <c r="CH22" s="32">
        <v>0</v>
      </c>
      <c r="CI22" s="32">
        <v>0</v>
      </c>
      <c r="CJ22" s="32">
        <v>0</v>
      </c>
      <c r="CK22" s="32">
        <v>0</v>
      </c>
      <c r="CL22" s="32">
        <v>0</v>
      </c>
    </row>
    <row r="23" spans="2:90" x14ac:dyDescent="0.25">
      <c r="B23" s="42" t="s">
        <v>231</v>
      </c>
      <c r="C23" s="29" t="s">
        <v>205</v>
      </c>
      <c r="E23" s="14">
        <f>E18+E19-E22</f>
      </c>
      <c r="F23" s="14">
        <f>F18+F19-F22</f>
      </c>
      <c r="G23" s="14">
        <f>G18+G19-G22</f>
      </c>
      <c r="H23" s="14">
        <f>H18+H19-H22</f>
      </c>
      <c r="I23" s="14">
        <f>I18+I19-I22</f>
      </c>
      <c r="J23" s="14">
        <f>J18+J19-J22</f>
      </c>
      <c r="K23" s="14">
        <f>K18+K19-K22</f>
      </c>
      <c r="L23" s="14">
        <f>L18+L19-L22</f>
      </c>
      <c r="M23" s="14">
        <f>M18+M19-M22</f>
      </c>
      <c r="N23" s="14">
        <f>N18+N19-N22</f>
      </c>
      <c r="O23" s="14">
        <f>O18+O19-O22</f>
      </c>
      <c r="P23" s="14">
        <f>P18+P19-P22</f>
      </c>
      <c r="Q23" s="14">
        <f>Q18+Q19-Q22</f>
      </c>
      <c r="R23" s="14">
        <f>R18+R19-R22</f>
      </c>
      <c r="S23" s="14">
        <f>S18+S19-S22</f>
      </c>
      <c r="T23" s="14">
        <f>T18+T19-T22</f>
      </c>
      <c r="U23" s="14">
        <f>U18+U19-U22</f>
      </c>
      <c r="V23" s="14">
        <f>V18+V19-V22</f>
      </c>
      <c r="W23" s="14">
        <f>W18+W19-W22</f>
      </c>
      <c r="X23" s="14">
        <f>X18+X19-X22</f>
      </c>
      <c r="Y23" s="14">
        <f>Y18+Y19-Y22</f>
      </c>
      <c r="Z23" s="14">
        <f>Z18+Z19-Z22</f>
      </c>
      <c r="AA23" s="14">
        <f>AA18+AA19-AA22</f>
      </c>
      <c r="AB23" s="14">
        <f>AB18+AB19-AB22</f>
      </c>
      <c r="AC23" s="14">
        <f>AC18+AC19-AC22</f>
      </c>
      <c r="AD23" s="14">
        <f>AD18+AD19-AD22</f>
      </c>
      <c r="AE23" s="14">
        <f>AE18+AE19-AE22</f>
      </c>
      <c r="AF23" s="14">
        <f>AF18+AF19-AF22</f>
      </c>
      <c r="AG23" s="14">
        <f>AG18+AG19-AG22</f>
      </c>
      <c r="AH23" s="14">
        <f>AH18+AH19-AH22</f>
      </c>
      <c r="AI23" s="14">
        <f>AI18+AI19-AI22</f>
      </c>
      <c r="AJ23" s="14">
        <f>AJ18+AJ19-AJ22</f>
      </c>
      <c r="AK23" s="14">
        <f>AK18+AK19-AK22</f>
      </c>
      <c r="AL23" s="14">
        <f>AL18+AL19-AL22</f>
      </c>
      <c r="AM23" s="14">
        <f>AM18+AM19-AM22</f>
      </c>
      <c r="AN23" s="14">
        <f>AN18+AN19-AN22</f>
      </c>
      <c r="AO23" s="14">
        <f>AO18+AO19-AO22</f>
      </c>
      <c r="AP23" s="14">
        <f>AP18+AP19-AP22</f>
      </c>
      <c r="AQ23" s="14">
        <f>AQ18+AQ19-AQ22</f>
      </c>
      <c r="AR23" s="14">
        <f>AR18+AR19-AR22</f>
      </c>
      <c r="AS23" s="14">
        <f>AS18+AS19-AS22</f>
      </c>
      <c r="AT23" s="14">
        <f>AT18+AT19-AT22</f>
      </c>
      <c r="AU23" s="14">
        <f>AU18+AU19-AU22</f>
      </c>
      <c r="AV23" s="14">
        <f>AV18+AV19-AV22</f>
      </c>
      <c r="AW23" s="14">
        <f>AW18+AW19-AW22</f>
      </c>
      <c r="AX23" s="14">
        <f>AX18+AX19-AX22</f>
      </c>
      <c r="AY23" s="14">
        <f>AY18+AY19-AY22</f>
      </c>
      <c r="AZ23" s="14">
        <f>AZ18+AZ19-AZ22</f>
      </c>
      <c r="BA23" s="14">
        <f>BA18+BA19-BA22</f>
      </c>
      <c r="BB23" s="14">
        <f>BB18+BB19-BB22</f>
      </c>
      <c r="BC23" s="14">
        <f>BC18+BC19-BC22</f>
      </c>
      <c r="BD23" s="14">
        <f>BD18+BD19-BD22</f>
      </c>
      <c r="BE23" s="14">
        <f>BE18+BE19-BE22</f>
      </c>
      <c r="BF23" s="14">
        <f>BF18+BF19-BF22</f>
      </c>
      <c r="BG23" s="14">
        <f>BG18+BG19-BG22</f>
      </c>
      <c r="BH23" s="14">
        <f>BH18+BH19-BH22</f>
      </c>
      <c r="BI23" s="14">
        <f>BI18+BI19-BI22</f>
      </c>
      <c r="BJ23" s="14">
        <f>BJ18+BJ19-BJ22</f>
      </c>
      <c r="BK23" s="14">
        <f>BK18+BK19-BK22</f>
      </c>
      <c r="BL23" s="14">
        <f>BL18+BL19-BL22</f>
      </c>
      <c r="BM23" s="14">
        <f>BM18+BM19-BM22</f>
      </c>
      <c r="BN23" s="14">
        <f>BN18+BN19-BN22</f>
      </c>
      <c r="BO23" s="14">
        <f>BO18+BO19-BO22</f>
      </c>
      <c r="BP23" s="14">
        <f>BP18+BP19-BP22</f>
      </c>
      <c r="BQ23" s="14">
        <f>BQ18+BQ19-BQ22</f>
      </c>
      <c r="BR23" s="14">
        <f>BR18+BR19-BR22</f>
      </c>
      <c r="BS23" s="14">
        <f>BS18+BS19-BS22</f>
      </c>
      <c r="BT23" s="14">
        <f>BT18+BT19-BT22</f>
      </c>
      <c r="BU23" s="14">
        <f>BU18+BU19-BU22</f>
      </c>
      <c r="BV23" s="14">
        <f>BV18+BV19-BV22</f>
      </c>
      <c r="BW23" s="14">
        <f>BW18+BW19-BW22</f>
      </c>
      <c r="BX23" s="14">
        <f>BX18+BX19-BX22</f>
      </c>
      <c r="BY23" s="14">
        <f>BY18+BY19-BY22</f>
      </c>
      <c r="BZ23" s="14">
        <f>BZ18+BZ19-BZ22</f>
      </c>
      <c r="CA23" s="14">
        <f>CA18+CA19-CA22</f>
      </c>
      <c r="CB23" s="14">
        <f>CB18+CB19-CB22</f>
      </c>
      <c r="CC23" s="14">
        <f>CC18+CC19-CC22</f>
      </c>
      <c r="CD23" s="14">
        <f>CD18+CD19-CD22</f>
      </c>
      <c r="CE23" s="14">
        <f>CE18+CE19-CE22</f>
      </c>
      <c r="CF23" s="14">
        <f>CF18+CF19-CF22</f>
      </c>
      <c r="CG23" s="14">
        <f>CG18+CG19-CG22</f>
      </c>
      <c r="CH23" s="14">
        <f>CH18+CH19-CH22</f>
      </c>
      <c r="CI23" s="14">
        <f>CI18+CI19-CI22</f>
      </c>
      <c r="CJ23" s="14">
        <f>CJ18+CJ19-CJ22</f>
      </c>
      <c r="CK23" s="14">
        <f>CK18+CK19-CK22</f>
      </c>
      <c r="CL23" s="14">
        <f>CL18+CL19-CL22</f>
      </c>
    </row>
    <row r="24" spans="2:8" x14ac:dyDescent="0.25">
      <c r="B24" s="28" t="s">
        <v>232</v>
      </c>
      <c r="C24" s="29" t="s">
        <v>205</v>
      </c>
      <c r="D24" s="32">
        <f>CL23</f>
      </c>
      <c r="F24" s="32" t="s">
        <v>233</v>
      </c>
      <c r="H24" s="43" t="s">
        <v>234</v>
      </c>
    </row>
    <row r="26" spans="2:91" x14ac:dyDescent="0.25">
      <c r="B26" s="40" t="s">
        <v>77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</row>
    <row r="27" spans="2:90" x14ac:dyDescent="0.25">
      <c r="B27" s="28" t="s">
        <v>227</v>
      </c>
      <c r="C27" s="29" t="s">
        <v>205</v>
      </c>
      <c r="E27" s="32">
        <v>0</v>
      </c>
      <c r="F27" s="32">
        <f>E32</f>
      </c>
      <c r="G27" s="32">
        <f>F32</f>
      </c>
      <c r="H27" s="32">
        <f>G32</f>
      </c>
      <c r="I27" s="32">
        <f>H32</f>
      </c>
      <c r="J27" s="32">
        <f>I32</f>
      </c>
      <c r="K27" s="32">
        <f>J32</f>
      </c>
      <c r="L27" s="32">
        <f>K32</f>
      </c>
      <c r="M27" s="32">
        <f>L32</f>
      </c>
      <c r="N27" s="32">
        <f>M32</f>
      </c>
      <c r="O27" s="32">
        <f>N32</f>
      </c>
      <c r="P27" s="32">
        <f>O32</f>
      </c>
      <c r="Q27" s="32">
        <f>P32</f>
      </c>
      <c r="R27" s="32">
        <f>Q32</f>
      </c>
      <c r="S27" s="32">
        <f>R32</f>
      </c>
      <c r="T27" s="32">
        <f>S32</f>
      </c>
      <c r="U27" s="32">
        <f>T32</f>
      </c>
      <c r="V27" s="32">
        <f>U32</f>
      </c>
      <c r="W27" s="32">
        <f>V32</f>
      </c>
      <c r="X27" s="32">
        <f>W32</f>
      </c>
      <c r="Y27" s="32">
        <f>X32</f>
      </c>
      <c r="Z27" s="32">
        <f>Y32</f>
      </c>
      <c r="AA27" s="32">
        <f>Z32</f>
      </c>
      <c r="AB27" s="32">
        <f>AA32</f>
      </c>
      <c r="AC27" s="32">
        <f>AB32</f>
      </c>
      <c r="AD27" s="32">
        <f>AC32</f>
      </c>
      <c r="AE27" s="32">
        <f>AD32</f>
      </c>
      <c r="AF27" s="32">
        <f>AE32</f>
      </c>
      <c r="AG27" s="32">
        <f>AF32</f>
      </c>
      <c r="AH27" s="32">
        <f>AG32</f>
      </c>
      <c r="AI27" s="32">
        <f>AH32</f>
      </c>
      <c r="AJ27" s="32">
        <f>AI32</f>
      </c>
      <c r="AK27" s="32">
        <f>AJ32</f>
      </c>
      <c r="AL27" s="32">
        <f>AK32</f>
      </c>
      <c r="AM27" s="32">
        <f>AL32</f>
      </c>
      <c r="AN27" s="32">
        <f>AM32</f>
      </c>
      <c r="AO27" s="32">
        <f>AN32</f>
      </c>
      <c r="AP27" s="32">
        <f>AO32</f>
      </c>
      <c r="AQ27" s="32">
        <f>AP32</f>
      </c>
      <c r="AR27" s="32">
        <f>AQ32</f>
      </c>
      <c r="AS27" s="32">
        <f>AR32</f>
      </c>
      <c r="AT27" s="32">
        <f>AS32</f>
      </c>
      <c r="AU27" s="32">
        <f>AT32</f>
      </c>
      <c r="AV27" s="32">
        <f>AU32</f>
      </c>
      <c r="AW27" s="32">
        <f>AV32</f>
      </c>
      <c r="AX27" s="32">
        <f>AW32</f>
      </c>
      <c r="AY27" s="32">
        <f>AX32</f>
      </c>
      <c r="AZ27" s="32">
        <f>AY32</f>
      </c>
      <c r="BA27" s="32">
        <f>AZ32</f>
      </c>
      <c r="BB27" s="32">
        <f>BA32</f>
      </c>
      <c r="BC27" s="32">
        <f>BB32</f>
      </c>
      <c r="BD27" s="32">
        <f>BC32</f>
      </c>
      <c r="BE27" s="32">
        <f>BD32</f>
      </c>
      <c r="BF27" s="32">
        <f>BE32</f>
      </c>
      <c r="BG27" s="32">
        <f>BF32</f>
      </c>
      <c r="BH27" s="32">
        <f>BG32</f>
      </c>
      <c r="BI27" s="32">
        <f>BH32</f>
      </c>
      <c r="BJ27" s="32">
        <f>BI32</f>
      </c>
      <c r="BK27" s="32">
        <f>BJ32</f>
      </c>
      <c r="BL27" s="32">
        <f>BK32</f>
      </c>
      <c r="BM27" s="32">
        <f>BL32</f>
      </c>
      <c r="BN27" s="32">
        <f>BM32</f>
      </c>
      <c r="BO27" s="32">
        <f>BN32</f>
      </c>
      <c r="BP27" s="32">
        <f>BO32</f>
      </c>
      <c r="BQ27" s="32">
        <f>BP32</f>
      </c>
      <c r="BR27" s="32">
        <f>BQ32</f>
      </c>
      <c r="BS27" s="32">
        <f>BR32</f>
      </c>
      <c r="BT27" s="32">
        <f>BS32</f>
      </c>
      <c r="BU27" s="32">
        <f>BT32</f>
      </c>
      <c r="BV27" s="32">
        <f>BU32</f>
      </c>
      <c r="BW27" s="32">
        <f>BV32</f>
      </c>
      <c r="BX27" s="32">
        <f>BW32</f>
      </c>
      <c r="BY27" s="32">
        <f>BX32</f>
      </c>
      <c r="BZ27" s="32">
        <f>BY32</f>
      </c>
      <c r="CA27" s="32">
        <f>BZ32</f>
      </c>
      <c r="CB27" s="32">
        <f>CA32</f>
      </c>
      <c r="CC27" s="32">
        <f>CB32</f>
      </c>
      <c r="CD27" s="32">
        <f>CC32</f>
      </c>
      <c r="CE27" s="32">
        <f>CD32</f>
      </c>
      <c r="CF27" s="32">
        <f>CE32</f>
      </c>
      <c r="CG27" s="32">
        <f>CF32</f>
      </c>
      <c r="CH27" s="32">
        <f>CG32</f>
      </c>
      <c r="CI27" s="32">
        <f>CH32</f>
      </c>
      <c r="CJ27" s="32">
        <f>CI32</f>
      </c>
      <c r="CK27" s="32">
        <f>CJ32</f>
      </c>
      <c r="CL27" s="32">
        <f>CK32</f>
      </c>
    </row>
    <row r="28" spans="2:90" x14ac:dyDescent="0.25">
      <c r="B28" s="28" t="s">
        <v>228</v>
      </c>
      <c r="C28" s="29" t="s">
        <v>205</v>
      </c>
      <c r="D28" s="14">
        <f>SUM(E28:CL28)</f>
      </c>
      <c r="E28" s="32">
        <v>0</v>
      </c>
      <c r="F28" s="32">
        <v>0</v>
      </c>
      <c r="G28" s="32">
        <v>0</v>
      </c>
      <c r="H28" s="32">
        <v>0</v>
      </c>
      <c r="I28" s="32">
        <v>1261.0874207284542</v>
      </c>
      <c r="J28" s="32">
        <v>33738.91208344004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0</v>
      </c>
      <c r="BE28" s="32">
        <v>0</v>
      </c>
      <c r="BF28" s="32">
        <v>0</v>
      </c>
      <c r="BG28" s="32">
        <v>0</v>
      </c>
      <c r="BH28" s="32">
        <v>0</v>
      </c>
      <c r="BI28" s="32">
        <v>0</v>
      </c>
      <c r="BJ28" s="32">
        <v>0</v>
      </c>
      <c r="BK28" s="32">
        <v>0</v>
      </c>
      <c r="BL28" s="32">
        <v>0</v>
      </c>
      <c r="BM28" s="32">
        <v>0</v>
      </c>
      <c r="BN28" s="32">
        <v>0</v>
      </c>
      <c r="BO28" s="32">
        <v>0</v>
      </c>
      <c r="BP28" s="32">
        <v>0</v>
      </c>
      <c r="BQ28" s="32">
        <v>0</v>
      </c>
      <c r="BR28" s="32">
        <v>0</v>
      </c>
      <c r="BS28" s="32">
        <v>0</v>
      </c>
      <c r="BT28" s="32">
        <v>0</v>
      </c>
      <c r="BU28" s="32">
        <v>0</v>
      </c>
      <c r="BV28" s="32">
        <v>0</v>
      </c>
      <c r="BW28" s="32">
        <v>0</v>
      </c>
      <c r="BX28" s="32">
        <v>0</v>
      </c>
      <c r="BY28" s="32">
        <v>0</v>
      </c>
      <c r="BZ28" s="32">
        <v>0</v>
      </c>
      <c r="CA28" s="32">
        <v>0</v>
      </c>
      <c r="CB28" s="32">
        <v>0</v>
      </c>
      <c r="CC28" s="32">
        <v>0</v>
      </c>
      <c r="CD28" s="32">
        <v>0</v>
      </c>
      <c r="CE28" s="32">
        <v>0</v>
      </c>
      <c r="CF28" s="32">
        <v>0</v>
      </c>
      <c r="CG28" s="32">
        <v>0</v>
      </c>
      <c r="CH28" s="32">
        <v>0</v>
      </c>
      <c r="CI28" s="32">
        <v>0</v>
      </c>
      <c r="CJ28" s="32">
        <v>0</v>
      </c>
      <c r="CK28" s="32">
        <v>0</v>
      </c>
      <c r="CL28" s="32">
        <v>0</v>
      </c>
    </row>
    <row r="29" spans="2:90" x14ac:dyDescent="0.25">
      <c r="B29" s="28" t="s">
        <v>219</v>
      </c>
      <c r="C29" s="29" t="s">
        <v>205</v>
      </c>
      <c r="D29" s="14">
        <f>SUM(E29:CL29)</f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17.339952035016246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0</v>
      </c>
      <c r="AA29" s="32">
        <v>0</v>
      </c>
      <c r="AB29" s="32">
        <v>0</v>
      </c>
      <c r="AC29" s="32">
        <v>0</v>
      </c>
      <c r="AD29" s="32">
        <v>0</v>
      </c>
      <c r="AE29" s="32">
        <v>0</v>
      </c>
      <c r="AF29" s="32">
        <v>0</v>
      </c>
      <c r="AG29" s="32">
        <v>0</v>
      </c>
      <c r="AH29" s="32">
        <v>0</v>
      </c>
      <c r="AI29" s="32">
        <v>0</v>
      </c>
      <c r="AJ29" s="32">
        <v>0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0</v>
      </c>
      <c r="AW29" s="32">
        <v>0</v>
      </c>
      <c r="AX29" s="32">
        <v>0</v>
      </c>
      <c r="AY29" s="32">
        <v>0</v>
      </c>
      <c r="AZ29" s="32">
        <v>0</v>
      </c>
      <c r="BA29" s="32">
        <v>0</v>
      </c>
      <c r="BB29" s="32">
        <v>0</v>
      </c>
      <c r="BC29" s="32">
        <v>0</v>
      </c>
      <c r="BD29" s="32">
        <v>0</v>
      </c>
      <c r="BE29" s="32">
        <v>0</v>
      </c>
      <c r="BF29" s="32">
        <v>0</v>
      </c>
      <c r="BG29" s="32">
        <v>0</v>
      </c>
      <c r="BH29" s="32">
        <v>0</v>
      </c>
      <c r="BI29" s="32">
        <v>0</v>
      </c>
      <c r="BJ29" s="32">
        <v>0</v>
      </c>
      <c r="BK29" s="32">
        <v>0</v>
      </c>
      <c r="BL29" s="32">
        <v>0</v>
      </c>
      <c r="BM29" s="32">
        <v>0</v>
      </c>
      <c r="BN29" s="32">
        <v>0</v>
      </c>
      <c r="BO29" s="32">
        <v>0</v>
      </c>
      <c r="BP29" s="32">
        <v>0</v>
      </c>
      <c r="BQ29" s="32">
        <v>0</v>
      </c>
      <c r="BR29" s="32">
        <v>0</v>
      </c>
      <c r="BS29" s="32">
        <v>0</v>
      </c>
      <c r="BT29" s="32">
        <v>0</v>
      </c>
      <c r="BU29" s="32">
        <v>0</v>
      </c>
      <c r="BV29" s="32">
        <v>0</v>
      </c>
      <c r="BW29" s="32">
        <v>0</v>
      </c>
      <c r="BX29" s="32">
        <v>0</v>
      </c>
      <c r="BY29" s="32">
        <v>0</v>
      </c>
      <c r="BZ29" s="32">
        <v>0</v>
      </c>
      <c r="CA29" s="32">
        <v>0</v>
      </c>
      <c r="CB29" s="32">
        <v>0</v>
      </c>
      <c r="CC29" s="32">
        <v>0</v>
      </c>
      <c r="CD29" s="32">
        <v>0</v>
      </c>
      <c r="CE29" s="32">
        <v>0</v>
      </c>
      <c r="CF29" s="32">
        <v>0</v>
      </c>
      <c r="CG29" s="32">
        <v>0</v>
      </c>
      <c r="CH29" s="32">
        <v>0</v>
      </c>
      <c r="CI29" s="32">
        <v>0</v>
      </c>
      <c r="CJ29" s="32">
        <v>0</v>
      </c>
      <c r="CK29" s="32">
        <v>0</v>
      </c>
      <c r="CL29" s="32">
        <v>0</v>
      </c>
    </row>
    <row r="30" spans="2:90" x14ac:dyDescent="0.25">
      <c r="B30" s="28" t="s">
        <v>229</v>
      </c>
      <c r="C30" s="29" t="s">
        <v>205</v>
      </c>
      <c r="D30" s="14">
        <f>SUM(E30:CL30)</f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f>K27*'입력값'!E31/4</f>
      </c>
      <c r="L30" s="32">
        <f>L27*'입력값'!E31/4</f>
      </c>
      <c r="M30" s="32">
        <f>M27*'입력값'!E31/4</f>
      </c>
      <c r="N30" s="32">
        <f>N27*'입력값'!E31/4</f>
      </c>
      <c r="O30" s="32">
        <f>O27*'입력값'!E31/4</f>
      </c>
      <c r="P30" s="32">
        <f>P27*'입력값'!E31/4</f>
      </c>
      <c r="Q30" s="32">
        <f>Q27*'입력값'!E31/4</f>
      </c>
      <c r="R30" s="32">
        <f>R27*'입력값'!E31/4</f>
      </c>
      <c r="S30" s="32">
        <f>S27*'입력값'!E31/4</f>
      </c>
      <c r="T30" s="32">
        <f>T27*'입력값'!E31/4</f>
      </c>
      <c r="U30" s="32">
        <f>U27*'입력값'!E31/4</f>
      </c>
      <c r="V30" s="32">
        <f>V27*'입력값'!E31/4</f>
      </c>
      <c r="W30" s="32">
        <f>W27*'입력값'!E31/4</f>
      </c>
      <c r="X30" s="32">
        <f>X27*'입력값'!E31/4</f>
      </c>
      <c r="Y30" s="32">
        <f>Y27*'입력값'!E31/4</f>
      </c>
      <c r="Z30" s="32">
        <f>Z27*'입력값'!E31/4</f>
      </c>
      <c r="AA30" s="32">
        <f>AA27*'입력값'!E31/4</f>
      </c>
      <c r="AB30" s="32">
        <f>AB27*'입력값'!E31/4</f>
      </c>
      <c r="AC30" s="32">
        <f>AC27*'입력값'!E31/4</f>
      </c>
      <c r="AD30" s="32">
        <f>AD27*'입력값'!E31/4</f>
      </c>
      <c r="AE30" s="32">
        <f>AE27*'입력값'!E31/4</f>
      </c>
      <c r="AF30" s="32">
        <f>AF27*'입력값'!E31/4</f>
      </c>
      <c r="AG30" s="32">
        <f>AG27*'입력값'!E31/4</f>
      </c>
      <c r="AH30" s="32">
        <f>AH27*'입력값'!E31/4</f>
      </c>
      <c r="AI30" s="32">
        <f>AI27*'입력값'!E31/4</f>
      </c>
      <c r="AJ30" s="32">
        <f>AJ27*'입력값'!E31/4</f>
      </c>
      <c r="AK30" s="32">
        <f>AK27*'입력값'!E31/4</f>
      </c>
      <c r="AL30" s="32">
        <f>AL27*'입력값'!E31/4</f>
      </c>
      <c r="AM30" s="32">
        <f>AM27*'입력값'!E31/4</f>
      </c>
      <c r="AN30" s="32">
        <f>AN27*'입력값'!E31/4</f>
      </c>
      <c r="AO30" s="32">
        <f>AO27*'입력값'!E31/4</f>
      </c>
      <c r="AP30" s="32">
        <f>AP27*'입력값'!E31/4</f>
      </c>
      <c r="AQ30" s="32">
        <f>AQ27*'입력값'!E31/4</f>
      </c>
      <c r="AR30" s="32">
        <f>AR27*'입력값'!E31/4</f>
      </c>
      <c r="AS30" s="32">
        <f>AS27*'입력값'!E31/4</f>
      </c>
      <c r="AT30" s="32">
        <f>AT27*'입력값'!E31/4</f>
      </c>
      <c r="AU30" s="32">
        <f>AU27*'입력값'!E31/4</f>
      </c>
      <c r="AV30" s="32">
        <f>AV27*'입력값'!E31/4</f>
      </c>
      <c r="AW30" s="32">
        <f>AW27*'입력값'!E31/4</f>
      </c>
      <c r="AX30" s="32">
        <f>AX27*'입력값'!E31/4</f>
      </c>
      <c r="AY30" s="32">
        <f>AY27*'입력값'!E31/4</f>
      </c>
      <c r="AZ30" s="32">
        <f>AZ27*'입력값'!E31/4</f>
      </c>
      <c r="BA30" s="32">
        <f>BA27*'입력값'!E31/4</f>
      </c>
      <c r="BB30" s="32">
        <f>BB27*'입력값'!E31/4</f>
      </c>
      <c r="BC30" s="32">
        <f>BC27*'입력값'!E31/4</f>
      </c>
      <c r="BD30" s="32">
        <f>BD27*'입력값'!E31/4</f>
      </c>
      <c r="BE30" s="32">
        <f>BE27*'입력값'!E31/4</f>
      </c>
      <c r="BF30" s="32">
        <f>BF27*'입력값'!E31/4</f>
      </c>
      <c r="BG30" s="32">
        <f>BG27*'입력값'!E31/4</f>
      </c>
      <c r="BH30" s="32">
        <f>BH27*'입력값'!E31/4</f>
      </c>
      <c r="BI30" s="32">
        <f>BI27*'입력값'!E31/4</f>
      </c>
      <c r="BJ30" s="32">
        <f>BJ27*'입력값'!E31/4</f>
      </c>
      <c r="BK30" s="32">
        <f>BK27*'입력값'!E31/4</f>
      </c>
      <c r="BL30" s="32">
        <f>BL27*'입력값'!E31/4</f>
      </c>
      <c r="BM30" s="32">
        <f>BM27*'입력값'!E31/4</f>
      </c>
      <c r="BN30" s="32">
        <f>BN27*'입력값'!E31/4</f>
      </c>
      <c r="BO30" s="32">
        <f>BO27*'입력값'!E31/4</f>
      </c>
      <c r="BP30" s="32">
        <f>BP27*'입력값'!E31/4</f>
      </c>
      <c r="BQ30" s="32">
        <f>BQ27*'입력값'!E31/4</f>
      </c>
      <c r="BR30" s="32">
        <f>BR27*'입력값'!E31/4</f>
      </c>
      <c r="BS30" s="32">
        <f>BS27*'입력값'!E31/4</f>
      </c>
      <c r="BT30" s="32">
        <f>BT27*'입력값'!E31/4</f>
      </c>
      <c r="BU30" s="32">
        <f>BU27*'입력값'!E31/4</f>
      </c>
      <c r="BV30" s="32">
        <f>BV27*'입력값'!E31/4</f>
      </c>
      <c r="BW30" s="32">
        <f>BW27*'입력값'!E31/4</f>
      </c>
      <c r="BX30" s="32">
        <f>BX27*'입력값'!E31/4</f>
      </c>
      <c r="BY30" s="32">
        <f>BY27*'입력값'!E31/4</f>
      </c>
      <c r="BZ30" s="32">
        <f>BZ27*'입력값'!E31/4</f>
      </c>
      <c r="CA30" s="32">
        <f>CA27*'입력값'!E31/4</f>
      </c>
      <c r="CB30" s="32">
        <f>CB27*'입력값'!E31/4</f>
      </c>
      <c r="CC30" s="32">
        <f>CC27*'입력값'!E31/4</f>
      </c>
      <c r="CD30" s="32">
        <f>CD27*'입력값'!E31/4</f>
      </c>
      <c r="CE30" s="32">
        <f>CE27*'입력값'!E31/4</f>
      </c>
      <c r="CF30" s="32">
        <f>CF27*'입력값'!E31/4</f>
      </c>
      <c r="CG30" s="32">
        <f>CG27*'입력값'!E31/4</f>
      </c>
      <c r="CH30" s="32">
        <f>CH27*'입력값'!E31/4</f>
      </c>
      <c r="CI30" s="32">
        <f>CI27*'입력값'!E31/4</f>
      </c>
      <c r="CJ30" s="32">
        <f>CJ27*'입력값'!E31/4</f>
      </c>
      <c r="CK30" s="32">
        <f>CK27*'입력값'!E31/4</f>
      </c>
      <c r="CL30" s="32">
        <f>CL27*'입력값'!E31/4</f>
      </c>
    </row>
    <row r="31" spans="2:90" x14ac:dyDescent="0.25">
      <c r="B31" s="28" t="s">
        <v>230</v>
      </c>
      <c r="C31" s="29" t="s">
        <v>205</v>
      </c>
      <c r="D31" s="14">
        <f>SUM(E31:CL31)</f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f>'입력값'!N41*'입력값'!C31*100</f>
      </c>
      <c r="O31" s="32">
        <f>'입력값'!O41*'입력값'!C31*100</f>
      </c>
      <c r="P31" s="32">
        <f>'입력값'!P41*'입력값'!C31*100</f>
      </c>
      <c r="Q31" s="32">
        <f>'입력값'!Q41*'입력값'!C31*100</f>
      </c>
      <c r="R31" s="32">
        <f>'입력값'!R41*'입력값'!C31*100</f>
      </c>
      <c r="S31" s="32">
        <f>'입력값'!S41*'입력값'!C31*100</f>
      </c>
      <c r="T31" s="32">
        <f>'입력값'!T41*'입력값'!C31*100</f>
      </c>
      <c r="U31" s="32">
        <f>'입력값'!U41*'입력값'!C31*100</f>
      </c>
      <c r="V31" s="32">
        <f>'입력값'!V41*'입력값'!C31*100</f>
      </c>
      <c r="W31" s="32">
        <f>'입력값'!W41*'입력값'!C31*100</f>
      </c>
      <c r="X31" s="32">
        <f>'입력값'!X41*'입력값'!C31*100</f>
      </c>
      <c r="Y31" s="32">
        <f>'입력값'!Y41*'입력값'!C31*100</f>
      </c>
      <c r="Z31" s="32">
        <f>'입력값'!Z41*'입력값'!C31*100</f>
      </c>
      <c r="AA31" s="32">
        <f>'입력값'!AA41*'입력값'!C31*100</f>
      </c>
      <c r="AB31" s="32">
        <f>'입력값'!AB41*'입력값'!C31*100</f>
      </c>
      <c r="AC31" s="32">
        <f>'입력값'!AC41*'입력값'!C31*100</f>
      </c>
      <c r="AD31" s="32">
        <f>'입력값'!AD41*'입력값'!C31*100</f>
      </c>
      <c r="AE31" s="32">
        <f>'입력값'!AE41*'입력값'!C31*100</f>
      </c>
      <c r="AF31" s="32">
        <f>'입력값'!AF41*'입력값'!C31*100</f>
      </c>
      <c r="AG31" s="32">
        <f>'입력값'!AG41*'입력값'!C31*100</f>
      </c>
      <c r="AH31" s="32">
        <f>'입력값'!AH41*'입력값'!C31*100</f>
      </c>
      <c r="AI31" s="32">
        <f>'입력값'!AI41*'입력값'!C31*100</f>
      </c>
      <c r="AJ31" s="32">
        <f>'입력값'!AJ41*'입력값'!C31*100</f>
      </c>
      <c r="AK31" s="32">
        <f>'입력값'!AK41*'입력값'!C31*100</f>
      </c>
      <c r="AL31" s="32">
        <f>'입력값'!AL41*'입력값'!C31*100</f>
      </c>
      <c r="AM31" s="32">
        <f>'입력값'!AM41*'입력값'!C31*100</f>
      </c>
      <c r="AN31" s="32">
        <f>'입력값'!AN41*'입력값'!C31*100</f>
      </c>
      <c r="AO31" s="32">
        <f>'입력값'!AO41*'입력값'!C31*100</f>
      </c>
      <c r="AP31" s="32">
        <f>'입력값'!AP41*'입력값'!C31*100</f>
      </c>
      <c r="AQ31" s="32">
        <f>'입력값'!AQ41*'입력값'!C31*100</f>
      </c>
      <c r="AR31" s="32">
        <f>'입력값'!AR41*'입력값'!C31*100</f>
      </c>
      <c r="AS31" s="32">
        <f>'입력값'!AS41*'입력값'!C31*100</f>
      </c>
      <c r="AT31" s="32">
        <f>'입력값'!AT41*'입력값'!C31*100</f>
      </c>
      <c r="AU31" s="32">
        <f>'입력값'!AU41*'입력값'!C31*100</f>
      </c>
      <c r="AV31" s="32">
        <f>'입력값'!AV41*'입력값'!C31*100</f>
      </c>
      <c r="AW31" s="32">
        <f>'입력값'!AW41*'입력값'!C31*100</f>
      </c>
      <c r="AX31" s="32">
        <f>'입력값'!AX41*'입력값'!C31*100</f>
      </c>
      <c r="AY31" s="32">
        <f>'입력값'!AY41*'입력값'!C31*100</f>
      </c>
      <c r="AZ31" s="32">
        <f>'입력값'!AZ41*'입력값'!C31*100</f>
      </c>
      <c r="BA31" s="32">
        <f>'입력값'!BA41*'입력값'!C31*100</f>
      </c>
      <c r="BB31" s="32">
        <f>'입력값'!BB41*'입력값'!C31*100</f>
      </c>
      <c r="BC31" s="32">
        <f>'입력값'!BC41*'입력값'!C31*100</f>
      </c>
      <c r="BD31" s="32">
        <f>'입력값'!BD41*'입력값'!C31*100</f>
      </c>
      <c r="BE31" s="32">
        <f>'입력값'!BE41*'입력값'!C31*100</f>
      </c>
      <c r="BF31" s="32">
        <f>'입력값'!BF41*'입력값'!C31*100</f>
      </c>
      <c r="BG31" s="32">
        <f>'입력값'!BG41*'입력값'!C31*100</f>
      </c>
      <c r="BH31" s="32">
        <f>'입력값'!BH41*'입력값'!C31*100</f>
      </c>
      <c r="BI31" s="32">
        <f>'입력값'!BI41*'입력값'!C31*100</f>
      </c>
      <c r="BJ31" s="32">
        <f>'입력값'!BJ41*'입력값'!C31*100</f>
      </c>
      <c r="BK31" s="32">
        <f>'입력값'!BK41*'입력값'!C31*100</f>
      </c>
      <c r="BL31" s="32">
        <f>'입력값'!BL41*'입력값'!C31*100</f>
      </c>
      <c r="BM31" s="32">
        <f>'입력값'!BM41*'입력값'!C31*100</f>
      </c>
      <c r="BN31" s="32">
        <f>'입력값'!BN41*'입력값'!C31*100</f>
      </c>
      <c r="BO31" s="32">
        <f>'입력값'!BO41*'입력값'!C31*100</f>
      </c>
      <c r="BP31" s="32">
        <f>'입력값'!BP41*'입력값'!C31*100</f>
      </c>
      <c r="BQ31" s="32">
        <f>'입력값'!BQ41*'입력값'!C31*100</f>
      </c>
      <c r="BR31" s="32">
        <f>'입력값'!BR41*'입력값'!C31*100</f>
      </c>
      <c r="BS31" s="32">
        <f>'입력값'!BS41*'입력값'!C31*100</f>
      </c>
      <c r="BT31" s="32">
        <f>'입력값'!BT41*'입력값'!C31*100</f>
      </c>
      <c r="BU31" s="32">
        <f>'입력값'!BU41*'입력값'!C31*100</f>
      </c>
      <c r="BV31" s="32">
        <f>'입력값'!BV41*'입력값'!C31*100</f>
      </c>
      <c r="BW31" s="32">
        <f>'입력값'!BW41*'입력값'!C31*100</f>
      </c>
      <c r="BX31" s="32">
        <f>'입력값'!BX41*'입력값'!C31*100</f>
      </c>
      <c r="BY31" s="32">
        <f>'입력값'!BY41*'입력값'!C31*100</f>
      </c>
      <c r="BZ31" s="32">
        <v>0</v>
      </c>
      <c r="CA31" s="32">
        <v>0</v>
      </c>
      <c r="CB31" s="32">
        <v>0</v>
      </c>
      <c r="CC31" s="32">
        <v>0</v>
      </c>
      <c r="CD31" s="32">
        <v>0</v>
      </c>
      <c r="CE31" s="32">
        <v>0</v>
      </c>
      <c r="CF31" s="32">
        <v>0</v>
      </c>
      <c r="CG31" s="32">
        <v>0</v>
      </c>
      <c r="CH31" s="32">
        <v>0</v>
      </c>
      <c r="CI31" s="32">
        <v>0</v>
      </c>
      <c r="CJ31" s="32">
        <v>0</v>
      </c>
      <c r="CK31" s="32">
        <v>0</v>
      </c>
      <c r="CL31" s="32">
        <v>0</v>
      </c>
    </row>
    <row r="32" spans="2:90" x14ac:dyDescent="0.25">
      <c r="B32" s="42" t="s">
        <v>231</v>
      </c>
      <c r="C32" s="29" t="s">
        <v>205</v>
      </c>
      <c r="E32" s="14">
        <f>E27+E28-E31</f>
      </c>
      <c r="F32" s="14">
        <f>F27+F28-F31</f>
      </c>
      <c r="G32" s="14">
        <f>G27+G28-G31</f>
      </c>
      <c r="H32" s="14">
        <f>H27+H28-H31</f>
      </c>
      <c r="I32" s="14">
        <f>I27+I28-I31</f>
      </c>
      <c r="J32" s="14">
        <f>J27+J28-J31</f>
      </c>
      <c r="K32" s="14">
        <f>K27+K28-K31</f>
      </c>
      <c r="L32" s="14">
        <f>L27+L28-L31</f>
      </c>
      <c r="M32" s="14">
        <f>M27+M28-M31</f>
      </c>
      <c r="N32" s="14">
        <f>N27+N28-N31</f>
      </c>
      <c r="O32" s="14">
        <f>O27+O28-O31</f>
      </c>
      <c r="P32" s="14">
        <f>P27+P28-P31</f>
      </c>
      <c r="Q32" s="14">
        <f>Q27+Q28-Q31</f>
      </c>
      <c r="R32" s="14">
        <f>R27+R28-R31</f>
      </c>
      <c r="S32" s="14">
        <f>S27+S28-S31</f>
      </c>
      <c r="T32" s="14">
        <f>T27+T28-T31</f>
      </c>
      <c r="U32" s="14">
        <f>U27+U28-U31</f>
      </c>
      <c r="V32" s="14">
        <f>V27+V28-V31</f>
      </c>
      <c r="W32" s="14">
        <f>W27+W28-W31</f>
      </c>
      <c r="X32" s="14">
        <f>X27+X28-X31</f>
      </c>
      <c r="Y32" s="14">
        <f>Y27+Y28-Y31</f>
      </c>
      <c r="Z32" s="14">
        <f>Z27+Z28-Z31</f>
      </c>
      <c r="AA32" s="14">
        <f>AA27+AA28-AA31</f>
      </c>
      <c r="AB32" s="14">
        <f>AB27+AB28-AB31</f>
      </c>
      <c r="AC32" s="14">
        <f>AC27+AC28-AC31</f>
      </c>
      <c r="AD32" s="14">
        <f>AD27+AD28-AD31</f>
      </c>
      <c r="AE32" s="14">
        <f>AE27+AE28-AE31</f>
      </c>
      <c r="AF32" s="14">
        <f>AF27+AF28-AF31</f>
      </c>
      <c r="AG32" s="14">
        <f>AG27+AG28-AG31</f>
      </c>
      <c r="AH32" s="14">
        <f>AH27+AH28-AH31</f>
      </c>
      <c r="AI32" s="14">
        <f>AI27+AI28-AI31</f>
      </c>
      <c r="AJ32" s="14">
        <f>AJ27+AJ28-AJ31</f>
      </c>
      <c r="AK32" s="14">
        <f>AK27+AK28-AK31</f>
      </c>
      <c r="AL32" s="14">
        <f>AL27+AL28-AL31</f>
      </c>
      <c r="AM32" s="14">
        <f>AM27+AM28-AM31</f>
      </c>
      <c r="AN32" s="14">
        <f>AN27+AN28-AN31</f>
      </c>
      <c r="AO32" s="14">
        <f>AO27+AO28-AO31</f>
      </c>
      <c r="AP32" s="14">
        <f>AP27+AP28-AP31</f>
      </c>
      <c r="AQ32" s="14">
        <f>AQ27+AQ28-AQ31</f>
      </c>
      <c r="AR32" s="14">
        <f>AR27+AR28-AR31</f>
      </c>
      <c r="AS32" s="14">
        <f>AS27+AS28-AS31</f>
      </c>
      <c r="AT32" s="14">
        <f>AT27+AT28-AT31</f>
      </c>
      <c r="AU32" s="14">
        <f>AU27+AU28-AU31</f>
      </c>
      <c r="AV32" s="14">
        <f>AV27+AV28-AV31</f>
      </c>
      <c r="AW32" s="14">
        <f>AW27+AW28-AW31</f>
      </c>
      <c r="AX32" s="14">
        <f>AX27+AX28-AX31</f>
      </c>
      <c r="AY32" s="14">
        <f>AY27+AY28-AY31</f>
      </c>
      <c r="AZ32" s="14">
        <f>AZ27+AZ28-AZ31</f>
      </c>
      <c r="BA32" s="14">
        <f>BA27+BA28-BA31</f>
      </c>
      <c r="BB32" s="14">
        <f>BB27+BB28-BB31</f>
      </c>
      <c r="BC32" s="14">
        <f>BC27+BC28-BC31</f>
      </c>
      <c r="BD32" s="14">
        <f>BD27+BD28-BD31</f>
      </c>
      <c r="BE32" s="14">
        <f>BE27+BE28-BE31</f>
      </c>
      <c r="BF32" s="14">
        <f>BF27+BF28-BF31</f>
      </c>
      <c r="BG32" s="14">
        <f>BG27+BG28-BG31</f>
      </c>
      <c r="BH32" s="14">
        <f>BH27+BH28-BH31</f>
      </c>
      <c r="BI32" s="14">
        <f>BI27+BI28-BI31</f>
      </c>
      <c r="BJ32" s="14">
        <f>BJ27+BJ28-BJ31</f>
      </c>
      <c r="BK32" s="14">
        <f>BK27+BK28-BK31</f>
      </c>
      <c r="BL32" s="14">
        <f>BL27+BL28-BL31</f>
      </c>
      <c r="BM32" s="14">
        <f>BM27+BM28-BM31</f>
      </c>
      <c r="BN32" s="14">
        <f>BN27+BN28-BN31</f>
      </c>
      <c r="BO32" s="14">
        <f>BO27+BO28-BO31</f>
      </c>
      <c r="BP32" s="14">
        <f>BP27+BP28-BP31</f>
      </c>
      <c r="BQ32" s="14">
        <f>BQ27+BQ28-BQ31</f>
      </c>
      <c r="BR32" s="14">
        <f>BR27+BR28-BR31</f>
      </c>
      <c r="BS32" s="14">
        <f>BS27+BS28-BS31</f>
      </c>
      <c r="BT32" s="14">
        <f>BT27+BT28-BT31</f>
      </c>
      <c r="BU32" s="14">
        <f>BU27+BU28-BU31</f>
      </c>
      <c r="BV32" s="14">
        <f>BV27+BV28-BV31</f>
      </c>
      <c r="BW32" s="14">
        <f>BW27+BW28-BW31</f>
      </c>
      <c r="BX32" s="14">
        <f>BX27+BX28-BX31</f>
      </c>
      <c r="BY32" s="14">
        <f>BY27+BY28-BY31</f>
      </c>
      <c r="BZ32" s="14">
        <f>BZ27+BZ28-BZ31</f>
      </c>
      <c r="CA32" s="14">
        <f>CA27+CA28-CA31</f>
      </c>
      <c r="CB32" s="14">
        <f>CB27+CB28-CB31</f>
      </c>
      <c r="CC32" s="14">
        <f>CC27+CC28-CC31</f>
      </c>
      <c r="CD32" s="14">
        <f>CD27+CD28-CD31</f>
      </c>
      <c r="CE32" s="14">
        <f>CE27+CE28-CE31</f>
      </c>
      <c r="CF32" s="14">
        <f>CF27+CF28-CF31</f>
      </c>
      <c r="CG32" s="14">
        <f>CG27+CG28-CG31</f>
      </c>
      <c r="CH32" s="14">
        <f>CH27+CH28-CH31</f>
      </c>
      <c r="CI32" s="14">
        <f>CI27+CI28-CI31</f>
      </c>
      <c r="CJ32" s="14">
        <f>CJ27+CJ28-CJ31</f>
      </c>
      <c r="CK32" s="14">
        <f>CK27+CK28-CK31</f>
      </c>
      <c r="CL32" s="14">
        <f>CL27+CL28-CL31</f>
      </c>
    </row>
    <row r="33" spans="2:8" x14ac:dyDescent="0.25">
      <c r="B33" s="28" t="s">
        <v>232</v>
      </c>
      <c r="C33" s="29" t="s">
        <v>205</v>
      </c>
      <c r="D33" s="32">
        <f>CL32</f>
      </c>
      <c r="F33" s="32" t="s">
        <v>233</v>
      </c>
      <c r="H33" s="43" t="s">
        <v>234</v>
      </c>
    </row>
    <row r="35" spans="2:91" x14ac:dyDescent="0.25">
      <c r="B35" s="40" t="s">
        <v>78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</row>
    <row r="36" spans="2:90" x14ac:dyDescent="0.25">
      <c r="B36" s="28" t="s">
        <v>227</v>
      </c>
      <c r="C36" s="29" t="s">
        <v>205</v>
      </c>
      <c r="E36" s="32">
        <v>0</v>
      </c>
      <c r="F36" s="32">
        <f>E41</f>
      </c>
      <c r="G36" s="32">
        <f>F41</f>
      </c>
      <c r="H36" s="32">
        <f>G41</f>
      </c>
      <c r="I36" s="32">
        <f>H41</f>
      </c>
      <c r="J36" s="32">
        <f>I41</f>
      </c>
      <c r="K36" s="32">
        <f>J41</f>
      </c>
      <c r="L36" s="32">
        <f>K41</f>
      </c>
      <c r="M36" s="32">
        <f>L41</f>
      </c>
      <c r="N36" s="32">
        <f>M41</f>
      </c>
      <c r="O36" s="32">
        <f>N41</f>
      </c>
      <c r="P36" s="32">
        <f>O41</f>
      </c>
      <c r="Q36" s="32">
        <f>P41</f>
      </c>
      <c r="R36" s="32">
        <f>Q41</f>
      </c>
      <c r="S36" s="32">
        <f>R41</f>
      </c>
      <c r="T36" s="32">
        <f>S41</f>
      </c>
      <c r="U36" s="32">
        <f>T41</f>
      </c>
      <c r="V36" s="32">
        <f>U41</f>
      </c>
      <c r="W36" s="32">
        <f>V41</f>
      </c>
      <c r="X36" s="32">
        <f>W41</f>
      </c>
      <c r="Y36" s="32">
        <f>X41</f>
      </c>
      <c r="Z36" s="32">
        <f>Y41</f>
      </c>
      <c r="AA36" s="32">
        <f>Z41</f>
      </c>
      <c r="AB36" s="32">
        <f>AA41</f>
      </c>
      <c r="AC36" s="32">
        <f>AB41</f>
      </c>
      <c r="AD36" s="32">
        <f>AC41</f>
      </c>
      <c r="AE36" s="32">
        <f>AD41</f>
      </c>
      <c r="AF36" s="32">
        <f>AE41</f>
      </c>
      <c r="AG36" s="32">
        <f>AF41</f>
      </c>
      <c r="AH36" s="32">
        <f>AG41</f>
      </c>
      <c r="AI36" s="32">
        <f>AH41</f>
      </c>
      <c r="AJ36" s="32">
        <f>AI41</f>
      </c>
      <c r="AK36" s="32">
        <f>AJ41</f>
      </c>
      <c r="AL36" s="32">
        <f>AK41</f>
      </c>
      <c r="AM36" s="32">
        <f>AL41</f>
      </c>
      <c r="AN36" s="32">
        <f>AM41</f>
      </c>
      <c r="AO36" s="32">
        <f>AN41</f>
      </c>
      <c r="AP36" s="32">
        <f>AO41</f>
      </c>
      <c r="AQ36" s="32">
        <f>AP41</f>
      </c>
      <c r="AR36" s="32">
        <f>AQ41</f>
      </c>
      <c r="AS36" s="32">
        <f>AR41</f>
      </c>
      <c r="AT36" s="32">
        <f>AS41</f>
      </c>
      <c r="AU36" s="32">
        <f>AT41</f>
      </c>
      <c r="AV36" s="32">
        <f>AU41</f>
      </c>
      <c r="AW36" s="32">
        <f>AV41</f>
      </c>
      <c r="AX36" s="32">
        <f>AW41</f>
      </c>
      <c r="AY36" s="32">
        <f>AX41</f>
      </c>
      <c r="AZ36" s="32">
        <f>AY41</f>
      </c>
      <c r="BA36" s="32">
        <f>AZ41</f>
      </c>
      <c r="BB36" s="32">
        <f>BA41</f>
      </c>
      <c r="BC36" s="32">
        <f>BB41</f>
      </c>
      <c r="BD36" s="32">
        <f>BC41</f>
      </c>
      <c r="BE36" s="32">
        <f>BD41</f>
      </c>
      <c r="BF36" s="32">
        <f>BE41</f>
      </c>
      <c r="BG36" s="32">
        <f>BF41</f>
      </c>
      <c r="BH36" s="32">
        <f>BG41</f>
      </c>
      <c r="BI36" s="32">
        <f>BH41</f>
      </c>
      <c r="BJ36" s="32">
        <f>BI41</f>
      </c>
      <c r="BK36" s="32">
        <f>BJ41</f>
      </c>
      <c r="BL36" s="32">
        <f>BK41</f>
      </c>
      <c r="BM36" s="32">
        <f>BL41</f>
      </c>
      <c r="BN36" s="32">
        <f>BM41</f>
      </c>
      <c r="BO36" s="32">
        <f>BN41</f>
      </c>
      <c r="BP36" s="32">
        <f>BO41</f>
      </c>
      <c r="BQ36" s="32">
        <f>BP41</f>
      </c>
      <c r="BR36" s="32">
        <f>BQ41</f>
      </c>
      <c r="BS36" s="32">
        <f>BR41</f>
      </c>
      <c r="BT36" s="32">
        <f>BS41</f>
      </c>
      <c r="BU36" s="32">
        <f>BT41</f>
      </c>
      <c r="BV36" s="32">
        <f>BU41</f>
      </c>
      <c r="BW36" s="32">
        <f>BV41</f>
      </c>
      <c r="BX36" s="32">
        <f>BW41</f>
      </c>
      <c r="BY36" s="32">
        <f>BX41</f>
      </c>
      <c r="BZ36" s="32">
        <f>BY41</f>
      </c>
      <c r="CA36" s="32">
        <f>BZ41</f>
      </c>
      <c r="CB36" s="32">
        <f>CA41</f>
      </c>
      <c r="CC36" s="32">
        <f>CB41</f>
      </c>
      <c r="CD36" s="32">
        <f>CC41</f>
      </c>
      <c r="CE36" s="32">
        <f>CD41</f>
      </c>
      <c r="CF36" s="32">
        <f>CE41</f>
      </c>
      <c r="CG36" s="32">
        <f>CF41</f>
      </c>
      <c r="CH36" s="32">
        <f>CG41</f>
      </c>
      <c r="CI36" s="32">
        <f>CH41</f>
      </c>
      <c r="CJ36" s="32">
        <f>CI41</f>
      </c>
      <c r="CK36" s="32">
        <f>CJ41</f>
      </c>
      <c r="CL36" s="32">
        <f>CK41</f>
      </c>
    </row>
    <row r="37" spans="2:90" x14ac:dyDescent="0.25">
      <c r="B37" s="28" t="s">
        <v>228</v>
      </c>
      <c r="C37" s="29" t="s">
        <v>205</v>
      </c>
      <c r="D37" s="14">
        <f>SUM(E37:CL37)</f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  <c r="X37" s="32">
        <v>0</v>
      </c>
      <c r="Y37" s="32">
        <v>0</v>
      </c>
      <c r="Z37" s="32">
        <v>0</v>
      </c>
      <c r="AA37" s="32">
        <v>0</v>
      </c>
      <c r="AB37" s="32">
        <v>0</v>
      </c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>
        <v>0</v>
      </c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2">
        <v>0</v>
      </c>
      <c r="AU37" s="32">
        <v>0</v>
      </c>
      <c r="AV37" s="32">
        <v>0</v>
      </c>
      <c r="AW37" s="32">
        <v>0</v>
      </c>
      <c r="AX37" s="32">
        <v>0</v>
      </c>
      <c r="AY37" s="32">
        <v>0</v>
      </c>
      <c r="AZ37" s="32">
        <v>0</v>
      </c>
      <c r="BA37" s="32">
        <v>0</v>
      </c>
      <c r="BB37" s="32">
        <v>0</v>
      </c>
      <c r="BC37" s="32">
        <v>0</v>
      </c>
      <c r="BD37" s="32">
        <v>0</v>
      </c>
      <c r="BE37" s="32">
        <v>0</v>
      </c>
      <c r="BF37" s="32">
        <v>0</v>
      </c>
      <c r="BG37" s="32">
        <v>0</v>
      </c>
      <c r="BH37" s="32">
        <v>0</v>
      </c>
      <c r="BI37" s="32">
        <v>0</v>
      </c>
      <c r="BJ37" s="32">
        <v>0</v>
      </c>
      <c r="BK37" s="32">
        <v>0</v>
      </c>
      <c r="BL37" s="32">
        <v>0</v>
      </c>
      <c r="BM37" s="32">
        <v>0</v>
      </c>
      <c r="BN37" s="32">
        <v>0</v>
      </c>
      <c r="BO37" s="32">
        <v>0</v>
      </c>
      <c r="BP37" s="32">
        <v>0</v>
      </c>
      <c r="BQ37" s="32">
        <v>0</v>
      </c>
      <c r="BR37" s="32">
        <v>0</v>
      </c>
      <c r="BS37" s="32">
        <v>0</v>
      </c>
      <c r="BT37" s="32">
        <v>0</v>
      </c>
      <c r="BU37" s="32">
        <v>0</v>
      </c>
      <c r="BV37" s="32">
        <v>0</v>
      </c>
      <c r="BW37" s="32">
        <v>0</v>
      </c>
      <c r="BX37" s="32">
        <v>0</v>
      </c>
      <c r="BY37" s="32">
        <v>0</v>
      </c>
      <c r="BZ37" s="32">
        <v>0</v>
      </c>
      <c r="CA37" s="32">
        <v>0</v>
      </c>
      <c r="CB37" s="32">
        <v>0</v>
      </c>
      <c r="CC37" s="32">
        <v>0</v>
      </c>
      <c r="CD37" s="32">
        <v>0</v>
      </c>
      <c r="CE37" s="32">
        <v>0</v>
      </c>
      <c r="CF37" s="32">
        <v>0</v>
      </c>
      <c r="CG37" s="32">
        <v>0</v>
      </c>
      <c r="CH37" s="32">
        <v>0</v>
      </c>
      <c r="CI37" s="32">
        <v>0</v>
      </c>
      <c r="CJ37" s="32">
        <v>0</v>
      </c>
      <c r="CK37" s="32">
        <v>0</v>
      </c>
      <c r="CL37" s="32">
        <v>0</v>
      </c>
    </row>
    <row r="38" spans="2:90" x14ac:dyDescent="0.25">
      <c r="B38" s="28" t="s">
        <v>219</v>
      </c>
      <c r="C38" s="29" t="s">
        <v>205</v>
      </c>
      <c r="D38" s="14">
        <f>SUM(E38:CL38)</f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  <c r="X38" s="32">
        <v>0</v>
      </c>
      <c r="Y38" s="32">
        <v>0</v>
      </c>
      <c r="Z38" s="32">
        <v>0</v>
      </c>
      <c r="AA38" s="32">
        <v>0</v>
      </c>
      <c r="AB38" s="32">
        <v>0</v>
      </c>
      <c r="AC38" s="32">
        <v>0</v>
      </c>
      <c r="AD38" s="32">
        <v>0</v>
      </c>
      <c r="AE38" s="32">
        <v>0</v>
      </c>
      <c r="AF38" s="32">
        <v>0</v>
      </c>
      <c r="AG38" s="32">
        <v>0</v>
      </c>
      <c r="AH38" s="32">
        <v>0</v>
      </c>
      <c r="AI38" s="32">
        <v>0</v>
      </c>
      <c r="AJ38" s="32">
        <v>0</v>
      </c>
      <c r="AK38" s="32">
        <v>0</v>
      </c>
      <c r="AL38" s="32">
        <v>0</v>
      </c>
      <c r="AM38" s="32">
        <v>0</v>
      </c>
      <c r="AN38" s="32">
        <v>0</v>
      </c>
      <c r="AO38" s="32">
        <v>0</v>
      </c>
      <c r="AP38" s="32">
        <v>0</v>
      </c>
      <c r="AQ38" s="32">
        <v>0</v>
      </c>
      <c r="AR38" s="32">
        <v>0</v>
      </c>
      <c r="AS38" s="32">
        <v>0</v>
      </c>
      <c r="AT38" s="32">
        <v>0</v>
      </c>
      <c r="AU38" s="32">
        <v>0</v>
      </c>
      <c r="AV38" s="32">
        <v>0</v>
      </c>
      <c r="AW38" s="32">
        <v>0</v>
      </c>
      <c r="AX38" s="32">
        <v>0</v>
      </c>
      <c r="AY38" s="32">
        <v>0</v>
      </c>
      <c r="AZ38" s="32">
        <v>0</v>
      </c>
      <c r="BA38" s="32">
        <v>0</v>
      </c>
      <c r="BB38" s="32">
        <v>0</v>
      </c>
      <c r="BC38" s="32">
        <v>0</v>
      </c>
      <c r="BD38" s="32">
        <v>0</v>
      </c>
      <c r="BE38" s="32">
        <v>0</v>
      </c>
      <c r="BF38" s="32">
        <v>0</v>
      </c>
      <c r="BG38" s="32">
        <v>0</v>
      </c>
      <c r="BH38" s="32">
        <v>0</v>
      </c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>
        <v>0</v>
      </c>
      <c r="BO38" s="32">
        <v>0</v>
      </c>
      <c r="BP38" s="32">
        <v>0</v>
      </c>
      <c r="BQ38" s="32">
        <v>0</v>
      </c>
      <c r="BR38" s="32">
        <v>0</v>
      </c>
      <c r="BS38" s="32">
        <v>0</v>
      </c>
      <c r="BT38" s="32">
        <v>0</v>
      </c>
      <c r="BU38" s="32">
        <v>0</v>
      </c>
      <c r="BV38" s="32">
        <v>0</v>
      </c>
      <c r="BW38" s="32">
        <v>0</v>
      </c>
      <c r="BX38" s="32">
        <v>0</v>
      </c>
      <c r="BY38" s="32">
        <v>0</v>
      </c>
      <c r="BZ38" s="32">
        <v>0</v>
      </c>
      <c r="CA38" s="32">
        <v>0</v>
      </c>
      <c r="CB38" s="32">
        <v>0</v>
      </c>
      <c r="CC38" s="32">
        <v>0</v>
      </c>
      <c r="CD38" s="32">
        <v>0</v>
      </c>
      <c r="CE38" s="32">
        <v>0</v>
      </c>
      <c r="CF38" s="32">
        <v>0</v>
      </c>
      <c r="CG38" s="32">
        <v>0</v>
      </c>
      <c r="CH38" s="32">
        <v>0</v>
      </c>
      <c r="CI38" s="32">
        <v>0</v>
      </c>
      <c r="CJ38" s="32">
        <v>0</v>
      </c>
      <c r="CK38" s="32">
        <v>0</v>
      </c>
      <c r="CL38" s="32">
        <v>0</v>
      </c>
    </row>
    <row r="39" spans="2:90" x14ac:dyDescent="0.25">
      <c r="B39" s="28" t="s">
        <v>229</v>
      </c>
      <c r="C39" s="29" t="s">
        <v>205</v>
      </c>
      <c r="D39" s="14">
        <f>SUM(E39:CL39)</f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f>K36*'입력값'!E32/4</f>
      </c>
      <c r="L39" s="32">
        <f>L36*'입력값'!E32/4</f>
      </c>
      <c r="M39" s="32">
        <f>M36*'입력값'!E32/4</f>
      </c>
      <c r="N39" s="32">
        <f>N36*'입력값'!E32/4</f>
      </c>
      <c r="O39" s="32">
        <f>O36*'입력값'!E32/4</f>
      </c>
      <c r="P39" s="32">
        <f>P36*'입력값'!E32/4</f>
      </c>
      <c r="Q39" s="32">
        <f>Q36*'입력값'!E32/4</f>
      </c>
      <c r="R39" s="32">
        <f>R36*'입력값'!E32/4</f>
      </c>
      <c r="S39" s="32">
        <f>S36*'입력값'!E32/4</f>
      </c>
      <c r="T39" s="32">
        <f>T36*'입력값'!E32/4</f>
      </c>
      <c r="U39" s="32">
        <f>U36*'입력값'!E32/4</f>
      </c>
      <c r="V39" s="32">
        <f>V36*'입력값'!E32/4</f>
      </c>
      <c r="W39" s="32">
        <f>W36*'입력값'!E32/4</f>
      </c>
      <c r="X39" s="32">
        <f>X36*'입력값'!E32/4</f>
      </c>
      <c r="Y39" s="32">
        <f>Y36*'입력값'!E32/4</f>
      </c>
      <c r="Z39" s="32">
        <f>Z36*'입력값'!E32/4</f>
      </c>
      <c r="AA39" s="32">
        <f>AA36*'입력값'!E32/4</f>
      </c>
      <c r="AB39" s="32">
        <f>AB36*'입력값'!E32/4</f>
      </c>
      <c r="AC39" s="32">
        <f>AC36*'입력값'!E32/4</f>
      </c>
      <c r="AD39" s="32">
        <f>AD36*'입력값'!E32/4</f>
      </c>
      <c r="AE39" s="32">
        <f>AE36*'입력값'!E32/4</f>
      </c>
      <c r="AF39" s="32">
        <f>AF36*'입력값'!E32/4</f>
      </c>
      <c r="AG39" s="32">
        <f>AG36*'입력값'!E32/4</f>
      </c>
      <c r="AH39" s="32">
        <f>AH36*'입력값'!E32/4</f>
      </c>
      <c r="AI39" s="32">
        <f>AI36*'입력값'!E32/4</f>
      </c>
      <c r="AJ39" s="32">
        <f>AJ36*'입력값'!E32/4</f>
      </c>
      <c r="AK39" s="32">
        <f>AK36*'입력값'!E32/4</f>
      </c>
      <c r="AL39" s="32">
        <f>AL36*'입력값'!E32/4</f>
      </c>
      <c r="AM39" s="32">
        <f>AM36*'입력값'!E32/4</f>
      </c>
      <c r="AN39" s="32">
        <f>AN36*'입력값'!E32/4</f>
      </c>
      <c r="AO39" s="32">
        <f>AO36*'입력값'!E32/4</f>
      </c>
      <c r="AP39" s="32">
        <f>AP36*'입력값'!E32/4</f>
      </c>
      <c r="AQ39" s="32">
        <f>AQ36*'입력값'!E32/4</f>
      </c>
      <c r="AR39" s="32">
        <f>AR36*'입력값'!E32/4</f>
      </c>
      <c r="AS39" s="32">
        <f>AS36*'입력값'!E32/4</f>
      </c>
      <c r="AT39" s="32">
        <f>AT36*'입력값'!E32/4</f>
      </c>
      <c r="AU39" s="32">
        <f>AU36*'입력값'!E32/4</f>
      </c>
      <c r="AV39" s="32">
        <f>AV36*'입력값'!E32/4</f>
      </c>
      <c r="AW39" s="32">
        <f>AW36*'입력값'!E32/4</f>
      </c>
      <c r="AX39" s="32">
        <f>AX36*'입력값'!E32/4</f>
      </c>
      <c r="AY39" s="32">
        <f>AY36*'입력값'!E32/4</f>
      </c>
      <c r="AZ39" s="32">
        <f>AZ36*'입력값'!E32/4</f>
      </c>
      <c r="BA39" s="32">
        <f>BA36*'입력값'!E32/4</f>
      </c>
      <c r="BB39" s="32">
        <f>BB36*'입력값'!E32/4</f>
      </c>
      <c r="BC39" s="32">
        <f>BC36*'입력값'!E32/4</f>
      </c>
      <c r="BD39" s="32">
        <f>BD36*'입력값'!E32/4</f>
      </c>
      <c r="BE39" s="32">
        <f>BE36*'입력값'!E32/4</f>
      </c>
      <c r="BF39" s="32">
        <f>BF36*'입력값'!E32/4</f>
      </c>
      <c r="BG39" s="32">
        <f>BG36*'입력값'!E32/4</f>
      </c>
      <c r="BH39" s="32">
        <f>BH36*'입력값'!E32/4</f>
      </c>
      <c r="BI39" s="32">
        <f>BI36*'입력값'!E32/4</f>
      </c>
      <c r="BJ39" s="32">
        <f>BJ36*'입력값'!E32/4</f>
      </c>
      <c r="BK39" s="32">
        <f>BK36*'입력값'!E32/4</f>
      </c>
      <c r="BL39" s="32">
        <f>BL36*'입력값'!E32/4</f>
      </c>
      <c r="BM39" s="32">
        <f>BM36*'입력값'!E32/4</f>
      </c>
      <c r="BN39" s="32">
        <f>BN36*'입력값'!E32/4</f>
      </c>
      <c r="BO39" s="32">
        <f>BO36*'입력값'!E32/4</f>
      </c>
      <c r="BP39" s="32">
        <f>BP36*'입력값'!E32/4</f>
      </c>
      <c r="BQ39" s="32">
        <f>BQ36*'입력값'!E32/4</f>
      </c>
      <c r="BR39" s="32">
        <f>BR36*'입력값'!E32/4</f>
      </c>
      <c r="BS39" s="32">
        <f>BS36*'입력값'!E32/4</f>
      </c>
      <c r="BT39" s="32">
        <f>BT36*'입력값'!E32/4</f>
      </c>
      <c r="BU39" s="32">
        <f>BU36*'입력값'!E32/4</f>
      </c>
      <c r="BV39" s="32">
        <f>BV36*'입력값'!E32/4</f>
      </c>
      <c r="BW39" s="32">
        <f>BW36*'입력값'!E32/4</f>
      </c>
      <c r="BX39" s="32">
        <f>BX36*'입력값'!E32/4</f>
      </c>
      <c r="BY39" s="32">
        <f>BY36*'입력값'!E32/4</f>
      </c>
      <c r="BZ39" s="32">
        <f>BZ36*'입력값'!E32/4</f>
      </c>
      <c r="CA39" s="32">
        <f>CA36*'입력값'!E32/4</f>
      </c>
      <c r="CB39" s="32">
        <f>CB36*'입력값'!E32/4</f>
      </c>
      <c r="CC39" s="32">
        <f>CC36*'입력값'!E32/4</f>
      </c>
      <c r="CD39" s="32">
        <f>CD36*'입력값'!E32/4</f>
      </c>
      <c r="CE39" s="32">
        <f>CE36*'입력값'!E32/4</f>
      </c>
      <c r="CF39" s="32">
        <f>CF36*'입력값'!E32/4</f>
      </c>
      <c r="CG39" s="32">
        <f>CG36*'입력값'!E32/4</f>
      </c>
      <c r="CH39" s="32">
        <f>CH36*'입력값'!E32/4</f>
      </c>
      <c r="CI39" s="32">
        <f>CI36*'입력값'!E32/4</f>
      </c>
      <c r="CJ39" s="32">
        <f>CJ36*'입력값'!E32/4</f>
      </c>
      <c r="CK39" s="32">
        <f>CK36*'입력값'!E32/4</f>
      </c>
      <c r="CL39" s="32">
        <f>CL36*'입력값'!E32/4</f>
      </c>
    </row>
    <row r="40" spans="2:90" x14ac:dyDescent="0.25">
      <c r="B40" s="28" t="s">
        <v>230</v>
      </c>
      <c r="C40" s="29" t="s">
        <v>205</v>
      </c>
      <c r="D40" s="14">
        <f>SUM(E40:CL40)</f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0</v>
      </c>
      <c r="AB40" s="32">
        <v>0</v>
      </c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>
        <v>0</v>
      </c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2">
        <v>0</v>
      </c>
      <c r="AU40" s="32">
        <v>0</v>
      </c>
      <c r="AV40" s="32">
        <v>0</v>
      </c>
      <c r="AW40" s="32">
        <v>0</v>
      </c>
      <c r="AX40" s="32">
        <v>0</v>
      </c>
      <c r="AY40" s="32">
        <v>0</v>
      </c>
      <c r="AZ40" s="32">
        <v>0</v>
      </c>
      <c r="BA40" s="32">
        <v>0</v>
      </c>
      <c r="BB40" s="32">
        <v>0</v>
      </c>
      <c r="BC40" s="32">
        <v>0</v>
      </c>
      <c r="BD40" s="32">
        <v>0</v>
      </c>
      <c r="BE40" s="32">
        <v>0</v>
      </c>
      <c r="BF40" s="32">
        <v>0</v>
      </c>
      <c r="BG40" s="32">
        <v>0</v>
      </c>
      <c r="BH40" s="32">
        <v>0</v>
      </c>
      <c r="BI40" s="32">
        <v>0</v>
      </c>
      <c r="BJ40" s="32">
        <v>0</v>
      </c>
      <c r="BK40" s="32">
        <v>0</v>
      </c>
      <c r="BL40" s="32">
        <v>0</v>
      </c>
      <c r="BM40" s="32">
        <v>0</v>
      </c>
      <c r="BN40" s="32">
        <v>0</v>
      </c>
      <c r="BO40" s="32">
        <v>0</v>
      </c>
      <c r="BP40" s="32">
        <v>0</v>
      </c>
      <c r="BQ40" s="32">
        <v>0</v>
      </c>
      <c r="BR40" s="32">
        <v>0</v>
      </c>
      <c r="BS40" s="32">
        <v>0</v>
      </c>
      <c r="BT40" s="32">
        <v>0</v>
      </c>
      <c r="BU40" s="32">
        <v>0</v>
      </c>
      <c r="BV40" s="32">
        <v>0</v>
      </c>
      <c r="BW40" s="32">
        <v>0</v>
      </c>
      <c r="BX40" s="32">
        <v>0</v>
      </c>
      <c r="BY40" s="32">
        <v>0</v>
      </c>
      <c r="BZ40" s="32">
        <v>0</v>
      </c>
      <c r="CA40" s="32">
        <v>0</v>
      </c>
      <c r="CB40" s="32">
        <v>0</v>
      </c>
      <c r="CC40" s="32">
        <v>0</v>
      </c>
      <c r="CD40" s="32">
        <v>0</v>
      </c>
      <c r="CE40" s="32">
        <v>0</v>
      </c>
      <c r="CF40" s="32">
        <v>0</v>
      </c>
      <c r="CG40" s="32">
        <v>0</v>
      </c>
      <c r="CH40" s="32">
        <v>0</v>
      </c>
      <c r="CI40" s="32">
        <v>0</v>
      </c>
      <c r="CJ40" s="32">
        <v>0</v>
      </c>
      <c r="CK40" s="32">
        <v>0</v>
      </c>
      <c r="CL40" s="32">
        <v>0</v>
      </c>
    </row>
    <row r="41" spans="2:90" x14ac:dyDescent="0.25">
      <c r="B41" s="42" t="s">
        <v>231</v>
      </c>
      <c r="C41" s="29" t="s">
        <v>205</v>
      </c>
      <c r="E41" s="14">
        <f>E36+E37-E40</f>
      </c>
      <c r="F41" s="14">
        <f>F36+F37-F40</f>
      </c>
      <c r="G41" s="14">
        <f>G36+G37-G40</f>
      </c>
      <c r="H41" s="14">
        <f>H36+H37-H40</f>
      </c>
      <c r="I41" s="14">
        <f>I36+I37-I40</f>
      </c>
      <c r="J41" s="14">
        <f>J36+J37-J40</f>
      </c>
      <c r="K41" s="14">
        <f>K36+K37-K40</f>
      </c>
      <c r="L41" s="14">
        <f>L36+L37-L40</f>
      </c>
      <c r="M41" s="14">
        <f>M36+M37-M40</f>
      </c>
      <c r="N41" s="14">
        <f>N36+N37-N40</f>
      </c>
      <c r="O41" s="14">
        <f>O36+O37-O40</f>
      </c>
      <c r="P41" s="14">
        <f>P36+P37-P40</f>
      </c>
      <c r="Q41" s="14">
        <f>Q36+Q37-Q40</f>
      </c>
      <c r="R41" s="14">
        <f>R36+R37-R40</f>
      </c>
      <c r="S41" s="14">
        <f>S36+S37-S40</f>
      </c>
      <c r="T41" s="14">
        <f>T36+T37-T40</f>
      </c>
      <c r="U41" s="14">
        <f>U36+U37-U40</f>
      </c>
      <c r="V41" s="14">
        <f>V36+V37-V40</f>
      </c>
      <c r="W41" s="14">
        <f>W36+W37-W40</f>
      </c>
      <c r="X41" s="14">
        <f>X36+X37-X40</f>
      </c>
      <c r="Y41" s="14">
        <f>Y36+Y37-Y40</f>
      </c>
      <c r="Z41" s="14">
        <f>Z36+Z37-Z40</f>
      </c>
      <c r="AA41" s="14">
        <f>AA36+AA37-AA40</f>
      </c>
      <c r="AB41" s="14">
        <f>AB36+AB37-AB40</f>
      </c>
      <c r="AC41" s="14">
        <f>AC36+AC37-AC40</f>
      </c>
      <c r="AD41" s="14">
        <f>AD36+AD37-AD40</f>
      </c>
      <c r="AE41" s="14">
        <f>AE36+AE37-AE40</f>
      </c>
      <c r="AF41" s="14">
        <f>AF36+AF37-AF40</f>
      </c>
      <c r="AG41" s="14">
        <f>AG36+AG37-AG40</f>
      </c>
      <c r="AH41" s="14">
        <f>AH36+AH37-AH40</f>
      </c>
      <c r="AI41" s="14">
        <f>AI36+AI37-AI40</f>
      </c>
      <c r="AJ41" s="14">
        <f>AJ36+AJ37-AJ40</f>
      </c>
      <c r="AK41" s="14">
        <f>AK36+AK37-AK40</f>
      </c>
      <c r="AL41" s="14">
        <f>AL36+AL37-AL40</f>
      </c>
      <c r="AM41" s="14">
        <f>AM36+AM37-AM40</f>
      </c>
      <c r="AN41" s="14">
        <f>AN36+AN37-AN40</f>
      </c>
      <c r="AO41" s="14">
        <f>AO36+AO37-AO40</f>
      </c>
      <c r="AP41" s="14">
        <f>AP36+AP37-AP40</f>
      </c>
      <c r="AQ41" s="14">
        <f>AQ36+AQ37-AQ40</f>
      </c>
      <c r="AR41" s="14">
        <f>AR36+AR37-AR40</f>
      </c>
      <c r="AS41" s="14">
        <f>AS36+AS37-AS40</f>
      </c>
      <c r="AT41" s="14">
        <f>AT36+AT37-AT40</f>
      </c>
      <c r="AU41" s="14">
        <f>AU36+AU37-AU40</f>
      </c>
      <c r="AV41" s="14">
        <f>AV36+AV37-AV40</f>
      </c>
      <c r="AW41" s="14">
        <f>AW36+AW37-AW40</f>
      </c>
      <c r="AX41" s="14">
        <f>AX36+AX37-AX40</f>
      </c>
      <c r="AY41" s="14">
        <f>AY36+AY37-AY40</f>
      </c>
      <c r="AZ41" s="14">
        <f>AZ36+AZ37-AZ40</f>
      </c>
      <c r="BA41" s="14">
        <f>BA36+BA37-BA40</f>
      </c>
      <c r="BB41" s="14">
        <f>BB36+BB37-BB40</f>
      </c>
      <c r="BC41" s="14">
        <f>BC36+BC37-BC40</f>
      </c>
      <c r="BD41" s="14">
        <f>BD36+BD37-BD40</f>
      </c>
      <c r="BE41" s="14">
        <f>BE36+BE37-BE40</f>
      </c>
      <c r="BF41" s="14">
        <f>BF36+BF37-BF40</f>
      </c>
      <c r="BG41" s="14">
        <f>BG36+BG37-BG40</f>
      </c>
      <c r="BH41" s="14">
        <f>BH36+BH37-BH40</f>
      </c>
      <c r="BI41" s="14">
        <f>BI36+BI37-BI40</f>
      </c>
      <c r="BJ41" s="14">
        <f>BJ36+BJ37-BJ40</f>
      </c>
      <c r="BK41" s="14">
        <f>BK36+BK37-BK40</f>
      </c>
      <c r="BL41" s="14">
        <f>BL36+BL37-BL40</f>
      </c>
      <c r="BM41" s="14">
        <f>BM36+BM37-BM40</f>
      </c>
      <c r="BN41" s="14">
        <f>BN36+BN37-BN40</f>
      </c>
      <c r="BO41" s="14">
        <f>BO36+BO37-BO40</f>
      </c>
      <c r="BP41" s="14">
        <f>BP36+BP37-BP40</f>
      </c>
      <c r="BQ41" s="14">
        <f>BQ36+BQ37-BQ40</f>
      </c>
      <c r="BR41" s="14">
        <f>BR36+BR37-BR40</f>
      </c>
      <c r="BS41" s="14">
        <f>BS36+BS37-BS40</f>
      </c>
      <c r="BT41" s="14">
        <f>BT36+BT37-BT40</f>
      </c>
      <c r="BU41" s="14">
        <f>BU36+BU37-BU40</f>
      </c>
      <c r="BV41" s="14">
        <f>BV36+BV37-BV40</f>
      </c>
      <c r="BW41" s="14">
        <f>BW36+BW37-BW40</f>
      </c>
      <c r="BX41" s="14">
        <f>BX36+BX37-BX40</f>
      </c>
      <c r="BY41" s="14">
        <f>BY36+BY37-BY40</f>
      </c>
      <c r="BZ41" s="14">
        <f>BZ36+BZ37-BZ40</f>
      </c>
      <c r="CA41" s="14">
        <f>CA36+CA37-CA40</f>
      </c>
      <c r="CB41" s="14">
        <f>CB36+CB37-CB40</f>
      </c>
      <c r="CC41" s="14">
        <f>CC36+CC37-CC40</f>
      </c>
      <c r="CD41" s="14">
        <f>CD36+CD37-CD40</f>
      </c>
      <c r="CE41" s="14">
        <f>CE36+CE37-CE40</f>
      </c>
      <c r="CF41" s="14">
        <f>CF36+CF37-CF40</f>
      </c>
      <c r="CG41" s="14">
        <f>CG36+CG37-CG40</f>
      </c>
      <c r="CH41" s="14">
        <f>CH36+CH37-CH40</f>
      </c>
      <c r="CI41" s="14">
        <f>CI36+CI37-CI40</f>
      </c>
      <c r="CJ41" s="14">
        <f>CJ36+CJ37-CJ40</f>
      </c>
      <c r="CK41" s="14">
        <f>CK36+CK37-CK40</f>
      </c>
      <c r="CL41" s="14">
        <f>CL36+CL37-CL40</f>
      </c>
    </row>
    <row r="42" spans="2:8" x14ac:dyDescent="0.25">
      <c r="B42" s="28" t="s">
        <v>232</v>
      </c>
      <c r="C42" s="29" t="s">
        <v>205</v>
      </c>
      <c r="D42" s="32">
        <f>CL41</f>
      </c>
      <c r="F42" s="32" t="s">
        <v>233</v>
      </c>
      <c r="H42" s="43" t="s">
        <v>235</v>
      </c>
    </row>
    <row r="44" spans="2:91" x14ac:dyDescent="0.25">
      <c r="B44" s="40" t="s">
        <v>79</v>
      </c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</row>
    <row r="45" spans="2:90" x14ac:dyDescent="0.25">
      <c r="B45" s="28" t="s">
        <v>227</v>
      </c>
      <c r="C45" s="29" t="s">
        <v>205</v>
      </c>
      <c r="E45" s="32">
        <v>0</v>
      </c>
      <c r="F45" s="32">
        <f>E50</f>
      </c>
      <c r="G45" s="32">
        <f>F50</f>
      </c>
      <c r="H45" s="32">
        <f>G50</f>
      </c>
      <c r="I45" s="32">
        <f>H50</f>
      </c>
      <c r="J45" s="32">
        <f>I50</f>
      </c>
      <c r="K45" s="32">
        <f>J50</f>
      </c>
      <c r="L45" s="32">
        <f>K50</f>
      </c>
      <c r="M45" s="32">
        <f>L50</f>
      </c>
      <c r="N45" s="32">
        <f>M50</f>
      </c>
      <c r="O45" s="32">
        <f>N50</f>
      </c>
      <c r="P45" s="32">
        <f>O50</f>
      </c>
      <c r="Q45" s="32">
        <f>P50</f>
      </c>
      <c r="R45" s="32">
        <f>Q50</f>
      </c>
      <c r="S45" s="32">
        <f>R50</f>
      </c>
      <c r="T45" s="32">
        <f>S50</f>
      </c>
      <c r="U45" s="32">
        <f>T50</f>
      </c>
      <c r="V45" s="32">
        <f>U50</f>
      </c>
      <c r="W45" s="32">
        <f>V50</f>
      </c>
      <c r="X45" s="32">
        <f>W50</f>
      </c>
      <c r="Y45" s="32">
        <f>X50</f>
      </c>
      <c r="Z45" s="32">
        <f>Y50</f>
      </c>
      <c r="AA45" s="32">
        <f>Z50</f>
      </c>
      <c r="AB45" s="32">
        <f>AA50</f>
      </c>
      <c r="AC45" s="32">
        <f>AB50</f>
      </c>
      <c r="AD45" s="32">
        <f>AC50</f>
      </c>
      <c r="AE45" s="32">
        <f>AD50</f>
      </c>
      <c r="AF45" s="32">
        <f>AE50</f>
      </c>
      <c r="AG45" s="32">
        <f>AF50</f>
      </c>
      <c r="AH45" s="32">
        <f>AG50</f>
      </c>
      <c r="AI45" s="32">
        <f>AH50</f>
      </c>
      <c r="AJ45" s="32">
        <f>AI50</f>
      </c>
      <c r="AK45" s="32">
        <f>AJ50</f>
      </c>
      <c r="AL45" s="32">
        <f>AK50</f>
      </c>
      <c r="AM45" s="32">
        <f>AL50</f>
      </c>
      <c r="AN45" s="32">
        <f>AM50</f>
      </c>
      <c r="AO45" s="32">
        <f>AN50</f>
      </c>
      <c r="AP45" s="32">
        <f>AO50</f>
      </c>
      <c r="AQ45" s="32">
        <f>AP50</f>
      </c>
      <c r="AR45" s="32">
        <f>AQ50</f>
      </c>
      <c r="AS45" s="32">
        <f>AR50</f>
      </c>
      <c r="AT45" s="32">
        <f>AS50</f>
      </c>
      <c r="AU45" s="32">
        <f>AT50</f>
      </c>
      <c r="AV45" s="32">
        <f>AU50</f>
      </c>
      <c r="AW45" s="32">
        <f>AV50</f>
      </c>
      <c r="AX45" s="32">
        <f>AW50</f>
      </c>
      <c r="AY45" s="32">
        <f>AX50</f>
      </c>
      <c r="AZ45" s="32">
        <f>AY50</f>
      </c>
      <c r="BA45" s="32">
        <f>AZ50</f>
      </c>
      <c r="BB45" s="32">
        <f>BA50</f>
      </c>
      <c r="BC45" s="32">
        <f>BB50</f>
      </c>
      <c r="BD45" s="32">
        <f>BC50</f>
      </c>
      <c r="BE45" s="32">
        <f>BD50</f>
      </c>
      <c r="BF45" s="32">
        <f>BE50</f>
      </c>
      <c r="BG45" s="32">
        <f>BF50</f>
      </c>
      <c r="BH45" s="32">
        <f>BG50</f>
      </c>
      <c r="BI45" s="32">
        <f>BH50</f>
      </c>
      <c r="BJ45" s="32">
        <f>BI50</f>
      </c>
      <c r="BK45" s="32">
        <f>BJ50</f>
      </c>
      <c r="BL45" s="32">
        <f>BK50</f>
      </c>
      <c r="BM45" s="32">
        <f>BL50</f>
      </c>
      <c r="BN45" s="32">
        <f>BM50</f>
      </c>
      <c r="BO45" s="32">
        <f>BN50</f>
      </c>
      <c r="BP45" s="32">
        <f>BO50</f>
      </c>
      <c r="BQ45" s="32">
        <f>BP50</f>
      </c>
      <c r="BR45" s="32">
        <f>BQ50</f>
      </c>
      <c r="BS45" s="32">
        <f>BR50</f>
      </c>
      <c r="BT45" s="32">
        <f>BS50</f>
      </c>
      <c r="BU45" s="32">
        <f>BT50</f>
      </c>
      <c r="BV45" s="32">
        <f>BU50</f>
      </c>
      <c r="BW45" s="32">
        <f>BV50</f>
      </c>
      <c r="BX45" s="32">
        <f>BW50</f>
      </c>
      <c r="BY45" s="32">
        <f>BX50</f>
      </c>
      <c r="BZ45" s="32">
        <f>BY50</f>
      </c>
      <c r="CA45" s="32">
        <f>BZ50</f>
      </c>
      <c r="CB45" s="32">
        <f>CA50</f>
      </c>
      <c r="CC45" s="32">
        <f>CB50</f>
      </c>
      <c r="CD45" s="32">
        <f>CC50</f>
      </c>
      <c r="CE45" s="32">
        <f>CD50</f>
      </c>
      <c r="CF45" s="32">
        <f>CE50</f>
      </c>
      <c r="CG45" s="32">
        <f>CF50</f>
      </c>
      <c r="CH45" s="32">
        <f>CG50</f>
      </c>
      <c r="CI45" s="32">
        <f>CH50</f>
      </c>
      <c r="CJ45" s="32">
        <f>CI50</f>
      </c>
      <c r="CK45" s="32">
        <f>CJ50</f>
      </c>
      <c r="CL45" s="32">
        <f>CK50</f>
      </c>
    </row>
    <row r="46" spans="2:90" x14ac:dyDescent="0.25">
      <c r="B46" s="28" t="s">
        <v>228</v>
      </c>
      <c r="C46" s="29" t="s">
        <v>205</v>
      </c>
      <c r="D46" s="14">
        <f>SUM(E46:CL46)</f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  <c r="Z46" s="32">
        <v>0</v>
      </c>
      <c r="AA46" s="32">
        <v>0</v>
      </c>
      <c r="AB46" s="32">
        <v>0</v>
      </c>
      <c r="AC46" s="32">
        <v>0</v>
      </c>
      <c r="AD46" s="32">
        <v>0</v>
      </c>
      <c r="AE46" s="32">
        <v>0</v>
      </c>
      <c r="AF46" s="32">
        <v>0</v>
      </c>
      <c r="AG46" s="32">
        <v>0</v>
      </c>
      <c r="AH46" s="32">
        <v>0</v>
      </c>
      <c r="AI46" s="32">
        <v>0</v>
      </c>
      <c r="AJ46" s="32">
        <v>0</v>
      </c>
      <c r="AK46" s="32">
        <v>0</v>
      </c>
      <c r="AL46" s="32">
        <v>0</v>
      </c>
      <c r="AM46" s="32">
        <v>0</v>
      </c>
      <c r="AN46" s="32">
        <v>0</v>
      </c>
      <c r="AO46" s="32">
        <v>0</v>
      </c>
      <c r="AP46" s="32">
        <v>0</v>
      </c>
      <c r="AQ46" s="32">
        <v>0</v>
      </c>
      <c r="AR46" s="32">
        <v>0</v>
      </c>
      <c r="AS46" s="32">
        <v>0</v>
      </c>
      <c r="AT46" s="32">
        <v>0</v>
      </c>
      <c r="AU46" s="32">
        <v>0</v>
      </c>
      <c r="AV46" s="32">
        <v>0</v>
      </c>
      <c r="AW46" s="32">
        <v>0</v>
      </c>
      <c r="AX46" s="32">
        <v>0</v>
      </c>
      <c r="AY46" s="32">
        <v>0</v>
      </c>
      <c r="AZ46" s="32">
        <v>0</v>
      </c>
      <c r="BA46" s="32">
        <v>0</v>
      </c>
      <c r="BB46" s="32">
        <v>0</v>
      </c>
      <c r="BC46" s="32">
        <v>0</v>
      </c>
      <c r="BD46" s="32">
        <v>0</v>
      </c>
      <c r="BE46" s="32">
        <v>0</v>
      </c>
      <c r="BF46" s="32">
        <v>0</v>
      </c>
      <c r="BG46" s="32">
        <v>0</v>
      </c>
      <c r="BH46" s="32">
        <v>0</v>
      </c>
      <c r="BI46" s="32">
        <v>0</v>
      </c>
      <c r="BJ46" s="32">
        <v>0</v>
      </c>
      <c r="BK46" s="32">
        <v>0</v>
      </c>
      <c r="BL46" s="32">
        <v>0</v>
      </c>
      <c r="BM46" s="32">
        <v>0</v>
      </c>
      <c r="BN46" s="32">
        <v>0</v>
      </c>
      <c r="BO46" s="32">
        <v>0</v>
      </c>
      <c r="BP46" s="32">
        <v>0</v>
      </c>
      <c r="BQ46" s="32">
        <v>0</v>
      </c>
      <c r="BR46" s="32">
        <v>0</v>
      </c>
      <c r="BS46" s="32">
        <v>0</v>
      </c>
      <c r="BT46" s="32">
        <v>0</v>
      </c>
      <c r="BU46" s="32">
        <v>0</v>
      </c>
      <c r="BV46" s="32">
        <v>0</v>
      </c>
      <c r="BW46" s="32">
        <v>0</v>
      </c>
      <c r="BX46" s="32">
        <v>0</v>
      </c>
      <c r="BY46" s="32">
        <v>0</v>
      </c>
      <c r="BZ46" s="32">
        <v>0</v>
      </c>
      <c r="CA46" s="32">
        <v>0</v>
      </c>
      <c r="CB46" s="32">
        <v>0</v>
      </c>
      <c r="CC46" s="32">
        <v>0</v>
      </c>
      <c r="CD46" s="32">
        <v>0</v>
      </c>
      <c r="CE46" s="32">
        <v>0</v>
      </c>
      <c r="CF46" s="32">
        <v>0</v>
      </c>
      <c r="CG46" s="32">
        <v>0</v>
      </c>
      <c r="CH46" s="32">
        <v>0</v>
      </c>
      <c r="CI46" s="32">
        <v>0</v>
      </c>
      <c r="CJ46" s="32">
        <v>0</v>
      </c>
      <c r="CK46" s="32">
        <v>0</v>
      </c>
      <c r="CL46" s="32">
        <v>0</v>
      </c>
    </row>
    <row r="47" spans="2:90" x14ac:dyDescent="0.25">
      <c r="B47" s="28" t="s">
        <v>219</v>
      </c>
      <c r="C47" s="29" t="s">
        <v>205</v>
      </c>
      <c r="D47" s="14">
        <f>SUM(E47:CL47)</f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  <c r="X47" s="32">
        <v>0</v>
      </c>
      <c r="Y47" s="32">
        <v>0</v>
      </c>
      <c r="Z47" s="32">
        <v>0</v>
      </c>
      <c r="AA47" s="32">
        <v>0</v>
      </c>
      <c r="AB47" s="32">
        <v>0</v>
      </c>
      <c r="AC47" s="32">
        <v>0</v>
      </c>
      <c r="AD47" s="32">
        <v>0</v>
      </c>
      <c r="AE47" s="32">
        <v>0</v>
      </c>
      <c r="AF47" s="32">
        <v>0</v>
      </c>
      <c r="AG47" s="32">
        <v>0</v>
      </c>
      <c r="AH47" s="32">
        <v>0</v>
      </c>
      <c r="AI47" s="32">
        <v>0</v>
      </c>
      <c r="AJ47" s="32">
        <v>0</v>
      </c>
      <c r="AK47" s="32">
        <v>0</v>
      </c>
      <c r="AL47" s="32">
        <v>0</v>
      </c>
      <c r="AM47" s="32">
        <v>0</v>
      </c>
      <c r="AN47" s="32">
        <v>0</v>
      </c>
      <c r="AO47" s="32">
        <v>0</v>
      </c>
      <c r="AP47" s="32">
        <v>0</v>
      </c>
      <c r="AQ47" s="32">
        <v>0</v>
      </c>
      <c r="AR47" s="32">
        <v>0</v>
      </c>
      <c r="AS47" s="32">
        <v>0</v>
      </c>
      <c r="AT47" s="32">
        <v>0</v>
      </c>
      <c r="AU47" s="32">
        <v>0</v>
      </c>
      <c r="AV47" s="32">
        <v>0</v>
      </c>
      <c r="AW47" s="32">
        <v>0</v>
      </c>
      <c r="AX47" s="32">
        <v>0</v>
      </c>
      <c r="AY47" s="32">
        <v>0</v>
      </c>
      <c r="AZ47" s="32">
        <v>0</v>
      </c>
      <c r="BA47" s="32">
        <v>0</v>
      </c>
      <c r="BB47" s="32">
        <v>0</v>
      </c>
      <c r="BC47" s="32">
        <v>0</v>
      </c>
      <c r="BD47" s="32">
        <v>0</v>
      </c>
      <c r="BE47" s="32">
        <v>0</v>
      </c>
      <c r="BF47" s="32">
        <v>0</v>
      </c>
      <c r="BG47" s="32">
        <v>0</v>
      </c>
      <c r="BH47" s="32">
        <v>0</v>
      </c>
      <c r="BI47" s="32">
        <v>0</v>
      </c>
      <c r="BJ47" s="32">
        <v>0</v>
      </c>
      <c r="BK47" s="32">
        <v>0</v>
      </c>
      <c r="BL47" s="32">
        <v>0</v>
      </c>
      <c r="BM47" s="32">
        <v>0</v>
      </c>
      <c r="BN47" s="32">
        <v>0</v>
      </c>
      <c r="BO47" s="32">
        <v>0</v>
      </c>
      <c r="BP47" s="32">
        <v>0</v>
      </c>
      <c r="BQ47" s="32">
        <v>0</v>
      </c>
      <c r="BR47" s="32">
        <v>0</v>
      </c>
      <c r="BS47" s="32">
        <v>0</v>
      </c>
      <c r="BT47" s="32">
        <v>0</v>
      </c>
      <c r="BU47" s="32">
        <v>0</v>
      </c>
      <c r="BV47" s="32">
        <v>0</v>
      </c>
      <c r="BW47" s="32">
        <v>0</v>
      </c>
      <c r="BX47" s="32">
        <v>0</v>
      </c>
      <c r="BY47" s="32">
        <v>0</v>
      </c>
      <c r="BZ47" s="32">
        <v>0</v>
      </c>
      <c r="CA47" s="32">
        <v>0</v>
      </c>
      <c r="CB47" s="32">
        <v>0</v>
      </c>
      <c r="CC47" s="32">
        <v>0</v>
      </c>
      <c r="CD47" s="32">
        <v>0</v>
      </c>
      <c r="CE47" s="32">
        <v>0</v>
      </c>
      <c r="CF47" s="32">
        <v>0</v>
      </c>
      <c r="CG47" s="32">
        <v>0</v>
      </c>
      <c r="CH47" s="32">
        <v>0</v>
      </c>
      <c r="CI47" s="32">
        <v>0</v>
      </c>
      <c r="CJ47" s="32">
        <v>0</v>
      </c>
      <c r="CK47" s="32">
        <v>0</v>
      </c>
      <c r="CL47" s="32">
        <v>0</v>
      </c>
    </row>
    <row r="48" spans="2:90" x14ac:dyDescent="0.25">
      <c r="B48" s="28" t="s">
        <v>229</v>
      </c>
      <c r="C48" s="29" t="s">
        <v>205</v>
      </c>
      <c r="D48" s="14">
        <f>SUM(E48:CL48)</f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f>K45*'입력값'!E33/4</f>
      </c>
      <c r="L48" s="32">
        <f>L45*'입력값'!E33/4</f>
      </c>
      <c r="M48" s="32">
        <f>M45*'입력값'!E33/4</f>
      </c>
      <c r="N48" s="32">
        <f>N45*'입력값'!E33/4</f>
      </c>
      <c r="O48" s="32">
        <f>O45*'입력값'!E33/4</f>
      </c>
      <c r="P48" s="32">
        <f>P45*'입력값'!E33/4</f>
      </c>
      <c r="Q48" s="32">
        <f>Q45*'입력값'!E33/4</f>
      </c>
      <c r="R48" s="32">
        <f>R45*'입력값'!E33/4</f>
      </c>
      <c r="S48" s="32">
        <f>S45*'입력값'!E33/4</f>
      </c>
      <c r="T48" s="32">
        <f>T45*'입력값'!E33/4</f>
      </c>
      <c r="U48" s="32">
        <f>U45*'입력값'!E33/4</f>
      </c>
      <c r="V48" s="32">
        <f>V45*'입력값'!E33/4</f>
      </c>
      <c r="W48" s="32">
        <f>W45*'입력값'!E33/4</f>
      </c>
      <c r="X48" s="32">
        <f>X45*'입력값'!E33/4</f>
      </c>
      <c r="Y48" s="32">
        <f>Y45*'입력값'!E33/4</f>
      </c>
      <c r="Z48" s="32">
        <f>Z45*'입력값'!E33/4</f>
      </c>
      <c r="AA48" s="32">
        <f>AA45*'입력값'!E33/4</f>
      </c>
      <c r="AB48" s="32">
        <f>AB45*'입력값'!E33/4</f>
      </c>
      <c r="AC48" s="32">
        <f>AC45*'입력값'!E33/4</f>
      </c>
      <c r="AD48" s="32">
        <f>AD45*'입력값'!E33/4</f>
      </c>
      <c r="AE48" s="32">
        <f>AE45*'입력값'!E33/4</f>
      </c>
      <c r="AF48" s="32">
        <f>AF45*'입력값'!E33/4</f>
      </c>
      <c r="AG48" s="32">
        <f>AG45*'입력값'!E33/4</f>
      </c>
      <c r="AH48" s="32">
        <f>AH45*'입력값'!E33/4</f>
      </c>
      <c r="AI48" s="32">
        <f>AI45*'입력값'!E33/4</f>
      </c>
      <c r="AJ48" s="32">
        <f>AJ45*'입력값'!E33/4</f>
      </c>
      <c r="AK48" s="32">
        <f>AK45*'입력값'!E33/4</f>
      </c>
      <c r="AL48" s="32">
        <f>AL45*'입력값'!E33/4</f>
      </c>
      <c r="AM48" s="32">
        <f>AM45*'입력값'!E33/4</f>
      </c>
      <c r="AN48" s="32">
        <f>AN45*'입력값'!E33/4</f>
      </c>
      <c r="AO48" s="32">
        <f>AO45*'입력값'!E33/4</f>
      </c>
      <c r="AP48" s="32">
        <f>AP45*'입력값'!E33/4</f>
      </c>
      <c r="AQ48" s="32">
        <f>AQ45*'입력값'!E33/4</f>
      </c>
      <c r="AR48" s="32">
        <f>AR45*'입력값'!E33/4</f>
      </c>
      <c r="AS48" s="32">
        <f>AS45*'입력값'!E33/4</f>
      </c>
      <c r="AT48" s="32">
        <f>AT45*'입력값'!E33/4</f>
      </c>
      <c r="AU48" s="32">
        <f>AU45*'입력값'!E33/4</f>
      </c>
      <c r="AV48" s="32">
        <f>AV45*'입력값'!E33/4</f>
      </c>
      <c r="AW48" s="32">
        <f>AW45*'입력값'!E33/4</f>
      </c>
      <c r="AX48" s="32">
        <f>AX45*'입력값'!E33/4</f>
      </c>
      <c r="AY48" s="32">
        <f>AY45*'입력값'!E33/4</f>
      </c>
      <c r="AZ48" s="32">
        <f>AZ45*'입력값'!E33/4</f>
      </c>
      <c r="BA48" s="32">
        <f>BA45*'입력값'!E33/4</f>
      </c>
      <c r="BB48" s="32">
        <f>BB45*'입력값'!E33/4</f>
      </c>
      <c r="BC48" s="32">
        <f>BC45*'입력값'!E33/4</f>
      </c>
      <c r="BD48" s="32">
        <f>BD45*'입력값'!E33/4</f>
      </c>
      <c r="BE48" s="32">
        <f>BE45*'입력값'!E33/4</f>
      </c>
      <c r="BF48" s="32">
        <f>BF45*'입력값'!E33/4</f>
      </c>
      <c r="BG48" s="32">
        <f>BG45*'입력값'!E33/4</f>
      </c>
      <c r="BH48" s="32">
        <f>BH45*'입력값'!E33/4</f>
      </c>
      <c r="BI48" s="32">
        <f>BI45*'입력값'!E33/4</f>
      </c>
      <c r="BJ48" s="32">
        <f>BJ45*'입력값'!E33/4</f>
      </c>
      <c r="BK48" s="32">
        <f>BK45*'입력값'!E33/4</f>
      </c>
      <c r="BL48" s="32">
        <f>BL45*'입력값'!E33/4</f>
      </c>
      <c r="BM48" s="32">
        <f>BM45*'입력값'!E33/4</f>
      </c>
      <c r="BN48" s="32">
        <f>BN45*'입력값'!E33/4</f>
      </c>
      <c r="BO48" s="32">
        <f>BO45*'입력값'!E33/4</f>
      </c>
      <c r="BP48" s="32">
        <f>BP45*'입력값'!E33/4</f>
      </c>
      <c r="BQ48" s="32">
        <f>BQ45*'입력값'!E33/4</f>
      </c>
      <c r="BR48" s="32">
        <f>BR45*'입력값'!E33/4</f>
      </c>
      <c r="BS48" s="32">
        <f>BS45*'입력값'!E33/4</f>
      </c>
      <c r="BT48" s="32">
        <f>BT45*'입력값'!E33/4</f>
      </c>
      <c r="BU48" s="32">
        <f>BU45*'입력값'!E33/4</f>
      </c>
      <c r="BV48" s="32">
        <f>BV45*'입력값'!E33/4</f>
      </c>
      <c r="BW48" s="32">
        <f>BW45*'입력값'!E33/4</f>
      </c>
      <c r="BX48" s="32">
        <f>BX45*'입력값'!E33/4</f>
      </c>
      <c r="BY48" s="32">
        <f>BY45*'입력값'!E33/4</f>
      </c>
      <c r="BZ48" s="32">
        <f>BZ45*'입력값'!E33/4</f>
      </c>
      <c r="CA48" s="32">
        <f>CA45*'입력값'!E33/4</f>
      </c>
      <c r="CB48" s="32">
        <f>CB45*'입력값'!E33/4</f>
      </c>
      <c r="CC48" s="32">
        <f>CC45*'입력값'!E33/4</f>
      </c>
      <c r="CD48" s="32">
        <f>CD45*'입력값'!E33/4</f>
      </c>
      <c r="CE48" s="32">
        <f>CE45*'입력값'!E33/4</f>
      </c>
      <c r="CF48" s="32">
        <f>CF45*'입력값'!E33/4</f>
      </c>
      <c r="CG48" s="32">
        <f>CG45*'입력값'!E33/4</f>
      </c>
      <c r="CH48" s="32">
        <f>CH45*'입력값'!E33/4</f>
      </c>
      <c r="CI48" s="32">
        <f>CI45*'입력값'!E33/4</f>
      </c>
      <c r="CJ48" s="32">
        <f>CJ45*'입력값'!E33/4</f>
      </c>
      <c r="CK48" s="32">
        <f>CK45*'입력값'!E33/4</f>
      </c>
      <c r="CL48" s="32">
        <f>CL45*'입력값'!E33/4</f>
      </c>
    </row>
    <row r="49" spans="2:90" x14ac:dyDescent="0.25">
      <c r="B49" s="28" t="s">
        <v>230</v>
      </c>
      <c r="C49" s="29" t="s">
        <v>205</v>
      </c>
      <c r="D49" s="14">
        <f>SUM(E49:CL49)</f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  <c r="X49" s="32">
        <v>0</v>
      </c>
      <c r="Y49" s="32">
        <v>0</v>
      </c>
      <c r="Z49" s="32">
        <v>0</v>
      </c>
      <c r="AA49" s="32">
        <v>0</v>
      </c>
      <c r="AB49" s="32">
        <v>0</v>
      </c>
      <c r="AC49" s="32">
        <v>0</v>
      </c>
      <c r="AD49" s="32">
        <v>0</v>
      </c>
      <c r="AE49" s="32">
        <v>0</v>
      </c>
      <c r="AF49" s="32">
        <v>0</v>
      </c>
      <c r="AG49" s="32">
        <v>0</v>
      </c>
      <c r="AH49" s="32">
        <v>0</v>
      </c>
      <c r="AI49" s="32">
        <v>0</v>
      </c>
      <c r="AJ49" s="32">
        <v>0</v>
      </c>
      <c r="AK49" s="32">
        <v>0</v>
      </c>
      <c r="AL49" s="32">
        <v>0</v>
      </c>
      <c r="AM49" s="32">
        <v>0</v>
      </c>
      <c r="AN49" s="32">
        <v>0</v>
      </c>
      <c r="AO49" s="32">
        <v>0</v>
      </c>
      <c r="AP49" s="32">
        <v>0</v>
      </c>
      <c r="AQ49" s="32">
        <v>0</v>
      </c>
      <c r="AR49" s="32">
        <v>0</v>
      </c>
      <c r="AS49" s="32">
        <v>0</v>
      </c>
      <c r="AT49" s="32">
        <v>0</v>
      </c>
      <c r="AU49" s="32">
        <v>0</v>
      </c>
      <c r="AV49" s="32">
        <v>0</v>
      </c>
      <c r="AW49" s="32">
        <v>0</v>
      </c>
      <c r="AX49" s="32">
        <v>0</v>
      </c>
      <c r="AY49" s="32">
        <v>0</v>
      </c>
      <c r="AZ49" s="32">
        <v>0</v>
      </c>
      <c r="BA49" s="32">
        <v>0</v>
      </c>
      <c r="BB49" s="32">
        <v>0</v>
      </c>
      <c r="BC49" s="32">
        <v>0</v>
      </c>
      <c r="BD49" s="32">
        <v>0</v>
      </c>
      <c r="BE49" s="32">
        <v>0</v>
      </c>
      <c r="BF49" s="32">
        <v>0</v>
      </c>
      <c r="BG49" s="32">
        <v>0</v>
      </c>
      <c r="BH49" s="32">
        <v>0</v>
      </c>
      <c r="BI49" s="32">
        <v>0</v>
      </c>
      <c r="BJ49" s="32">
        <v>0</v>
      </c>
      <c r="BK49" s="32">
        <v>0</v>
      </c>
      <c r="BL49" s="32">
        <v>0</v>
      </c>
      <c r="BM49" s="32">
        <v>0</v>
      </c>
      <c r="BN49" s="32">
        <v>0</v>
      </c>
      <c r="BO49" s="32">
        <v>0</v>
      </c>
      <c r="BP49" s="32">
        <v>0</v>
      </c>
      <c r="BQ49" s="32">
        <v>0</v>
      </c>
      <c r="BR49" s="32">
        <v>0</v>
      </c>
      <c r="BS49" s="32">
        <v>0</v>
      </c>
      <c r="BT49" s="32">
        <v>0</v>
      </c>
      <c r="BU49" s="32">
        <v>0</v>
      </c>
      <c r="BV49" s="32">
        <v>0</v>
      </c>
      <c r="BW49" s="32">
        <v>0</v>
      </c>
      <c r="BX49" s="32">
        <v>0</v>
      </c>
      <c r="BY49" s="32">
        <v>0</v>
      </c>
      <c r="BZ49" s="32">
        <v>0</v>
      </c>
      <c r="CA49" s="32">
        <v>0</v>
      </c>
      <c r="CB49" s="32">
        <v>0</v>
      </c>
      <c r="CC49" s="32">
        <v>0</v>
      </c>
      <c r="CD49" s="32">
        <v>0</v>
      </c>
      <c r="CE49" s="32">
        <v>0</v>
      </c>
      <c r="CF49" s="32">
        <v>0</v>
      </c>
      <c r="CG49" s="32">
        <v>0</v>
      </c>
      <c r="CH49" s="32">
        <v>0</v>
      </c>
      <c r="CI49" s="32">
        <v>0</v>
      </c>
      <c r="CJ49" s="32">
        <v>0</v>
      </c>
      <c r="CK49" s="32">
        <v>0</v>
      </c>
      <c r="CL49" s="32">
        <v>0</v>
      </c>
    </row>
    <row r="50" spans="2:90" x14ac:dyDescent="0.25">
      <c r="B50" s="42" t="s">
        <v>231</v>
      </c>
      <c r="C50" s="29" t="s">
        <v>205</v>
      </c>
      <c r="E50" s="14">
        <f>E45+E46-E49</f>
      </c>
      <c r="F50" s="14">
        <f>F45+F46-F49</f>
      </c>
      <c r="G50" s="14">
        <f>G45+G46-G49</f>
      </c>
      <c r="H50" s="14">
        <f>H45+H46-H49</f>
      </c>
      <c r="I50" s="14">
        <f>I45+I46-I49</f>
      </c>
      <c r="J50" s="14">
        <f>J45+J46-J49</f>
      </c>
      <c r="K50" s="14">
        <f>K45+K46-K49</f>
      </c>
      <c r="L50" s="14">
        <f>L45+L46-L49</f>
      </c>
      <c r="M50" s="14">
        <f>M45+M46-M49</f>
      </c>
      <c r="N50" s="14">
        <f>N45+N46-N49</f>
      </c>
      <c r="O50" s="14">
        <f>O45+O46-O49</f>
      </c>
      <c r="P50" s="14">
        <f>P45+P46-P49</f>
      </c>
      <c r="Q50" s="14">
        <f>Q45+Q46-Q49</f>
      </c>
      <c r="R50" s="14">
        <f>R45+R46-R49</f>
      </c>
      <c r="S50" s="14">
        <f>S45+S46-S49</f>
      </c>
      <c r="T50" s="14">
        <f>T45+T46-T49</f>
      </c>
      <c r="U50" s="14">
        <f>U45+U46-U49</f>
      </c>
      <c r="V50" s="14">
        <f>V45+V46-V49</f>
      </c>
      <c r="W50" s="14">
        <f>W45+W46-W49</f>
      </c>
      <c r="X50" s="14">
        <f>X45+X46-X49</f>
      </c>
      <c r="Y50" s="14">
        <f>Y45+Y46-Y49</f>
      </c>
      <c r="Z50" s="14">
        <f>Z45+Z46-Z49</f>
      </c>
      <c r="AA50" s="14">
        <f>AA45+AA46-AA49</f>
      </c>
      <c r="AB50" s="14">
        <f>AB45+AB46-AB49</f>
      </c>
      <c r="AC50" s="14">
        <f>AC45+AC46-AC49</f>
      </c>
      <c r="AD50" s="14">
        <f>AD45+AD46-AD49</f>
      </c>
      <c r="AE50" s="14">
        <f>AE45+AE46-AE49</f>
      </c>
      <c r="AF50" s="14">
        <f>AF45+AF46-AF49</f>
      </c>
      <c r="AG50" s="14">
        <f>AG45+AG46-AG49</f>
      </c>
      <c r="AH50" s="14">
        <f>AH45+AH46-AH49</f>
      </c>
      <c r="AI50" s="14">
        <f>AI45+AI46-AI49</f>
      </c>
      <c r="AJ50" s="14">
        <f>AJ45+AJ46-AJ49</f>
      </c>
      <c r="AK50" s="14">
        <f>AK45+AK46-AK49</f>
      </c>
      <c r="AL50" s="14">
        <f>AL45+AL46-AL49</f>
      </c>
      <c r="AM50" s="14">
        <f>AM45+AM46-AM49</f>
      </c>
      <c r="AN50" s="14">
        <f>AN45+AN46-AN49</f>
      </c>
      <c r="AO50" s="14">
        <f>AO45+AO46-AO49</f>
      </c>
      <c r="AP50" s="14">
        <f>AP45+AP46-AP49</f>
      </c>
      <c r="AQ50" s="14">
        <f>AQ45+AQ46-AQ49</f>
      </c>
      <c r="AR50" s="14">
        <f>AR45+AR46-AR49</f>
      </c>
      <c r="AS50" s="14">
        <f>AS45+AS46-AS49</f>
      </c>
      <c r="AT50" s="14">
        <f>AT45+AT46-AT49</f>
      </c>
      <c r="AU50" s="14">
        <f>AU45+AU46-AU49</f>
      </c>
      <c r="AV50" s="14">
        <f>AV45+AV46-AV49</f>
      </c>
      <c r="AW50" s="14">
        <f>AW45+AW46-AW49</f>
      </c>
      <c r="AX50" s="14">
        <f>AX45+AX46-AX49</f>
      </c>
      <c r="AY50" s="14">
        <f>AY45+AY46-AY49</f>
      </c>
      <c r="AZ50" s="14">
        <f>AZ45+AZ46-AZ49</f>
      </c>
      <c r="BA50" s="14">
        <f>BA45+BA46-BA49</f>
      </c>
      <c r="BB50" s="14">
        <f>BB45+BB46-BB49</f>
      </c>
      <c r="BC50" s="14">
        <f>BC45+BC46-BC49</f>
      </c>
      <c r="BD50" s="14">
        <f>BD45+BD46-BD49</f>
      </c>
      <c r="BE50" s="14">
        <f>BE45+BE46-BE49</f>
      </c>
      <c r="BF50" s="14">
        <f>BF45+BF46-BF49</f>
      </c>
      <c r="BG50" s="14">
        <f>BG45+BG46-BG49</f>
      </c>
      <c r="BH50" s="14">
        <f>BH45+BH46-BH49</f>
      </c>
      <c r="BI50" s="14">
        <f>BI45+BI46-BI49</f>
      </c>
      <c r="BJ50" s="14">
        <f>BJ45+BJ46-BJ49</f>
      </c>
      <c r="BK50" s="14">
        <f>BK45+BK46-BK49</f>
      </c>
      <c r="BL50" s="14">
        <f>BL45+BL46-BL49</f>
      </c>
      <c r="BM50" s="14">
        <f>BM45+BM46-BM49</f>
      </c>
      <c r="BN50" s="14">
        <f>BN45+BN46-BN49</f>
      </c>
      <c r="BO50" s="14">
        <f>BO45+BO46-BO49</f>
      </c>
      <c r="BP50" s="14">
        <f>BP45+BP46-BP49</f>
      </c>
      <c r="BQ50" s="14">
        <f>BQ45+BQ46-BQ49</f>
      </c>
      <c r="BR50" s="14">
        <f>BR45+BR46-BR49</f>
      </c>
      <c r="BS50" s="14">
        <f>BS45+BS46-BS49</f>
      </c>
      <c r="BT50" s="14">
        <f>BT45+BT46-BT49</f>
      </c>
      <c r="BU50" s="14">
        <f>BU45+BU46-BU49</f>
      </c>
      <c r="BV50" s="14">
        <f>BV45+BV46-BV49</f>
      </c>
      <c r="BW50" s="14">
        <f>BW45+BW46-BW49</f>
      </c>
      <c r="BX50" s="14">
        <f>BX45+BX46-BX49</f>
      </c>
      <c r="BY50" s="14">
        <f>BY45+BY46-BY49</f>
      </c>
      <c r="BZ50" s="14">
        <f>BZ45+BZ46-BZ49</f>
      </c>
      <c r="CA50" s="14">
        <f>CA45+CA46-CA49</f>
      </c>
      <c r="CB50" s="14">
        <f>CB45+CB46-CB49</f>
      </c>
      <c r="CC50" s="14">
        <f>CC45+CC46-CC49</f>
      </c>
      <c r="CD50" s="14">
        <f>CD45+CD46-CD49</f>
      </c>
      <c r="CE50" s="14">
        <f>CE45+CE46-CE49</f>
      </c>
      <c r="CF50" s="14">
        <f>CF45+CF46-CF49</f>
      </c>
      <c r="CG50" s="14">
        <f>CG45+CG46-CG49</f>
      </c>
      <c r="CH50" s="14">
        <f>CH45+CH46-CH49</f>
      </c>
      <c r="CI50" s="14">
        <f>CI45+CI46-CI49</f>
      </c>
      <c r="CJ50" s="14">
        <f>CJ45+CJ46-CJ49</f>
      </c>
      <c r="CK50" s="14">
        <f>CK45+CK46-CK49</f>
      </c>
      <c r="CL50" s="14">
        <f>CL45+CL46-CL49</f>
      </c>
    </row>
    <row r="51" spans="2:8" x14ac:dyDescent="0.25">
      <c r="B51" s="28" t="s">
        <v>232</v>
      </c>
      <c r="C51" s="29" t="s">
        <v>205</v>
      </c>
      <c r="D51" s="32">
        <f>CL50</f>
      </c>
      <c r="F51" s="32" t="s">
        <v>233</v>
      </c>
      <c r="H51" s="43" t="s">
        <v>235</v>
      </c>
    </row>
    <row r="53" spans="2:91" x14ac:dyDescent="0.25">
      <c r="B53" s="9" t="s">
        <v>236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spans="2:90" x14ac:dyDescent="0.25">
      <c r="B54" s="28" t="s">
        <v>227</v>
      </c>
      <c r="C54" s="29" t="s">
        <v>205</v>
      </c>
      <c r="E54" s="32">
        <v>0</v>
      </c>
      <c r="F54" s="32">
        <v>19870.322719052638</v>
      </c>
      <c r="G54" s="32">
        <v>31299.064316450396</v>
      </c>
      <c r="H54" s="32">
        <v>53960.67056704234</v>
      </c>
      <c r="I54" s="32">
        <v>76948.39660527279</v>
      </c>
      <c r="J54" s="32">
        <v>101261.08742072845</v>
      </c>
      <c r="K54" s="32">
        <v>134999.9995041685</v>
      </c>
      <c r="L54" s="32">
        <v>134999.9995041685</v>
      </c>
      <c r="M54" s="32">
        <v>134999.9995041685</v>
      </c>
      <c r="N54" s="32">
        <v>134999.9995041685</v>
      </c>
      <c r="O54" s="32">
        <v>130865.62451935333</v>
      </c>
      <c r="P54" s="32">
        <v>128030.6245297658</v>
      </c>
      <c r="Q54" s="32">
        <v>126275.6245362116</v>
      </c>
      <c r="R54" s="32">
        <v>124520.62454265742</v>
      </c>
      <c r="S54" s="32">
        <v>122630.62454959906</v>
      </c>
      <c r="T54" s="32">
        <v>120740.6245565407</v>
      </c>
      <c r="U54" s="32">
        <v>118850.62456348234</v>
      </c>
      <c r="V54" s="32">
        <v>116960.62457042398</v>
      </c>
      <c r="W54" s="32">
        <v>115070.62457736563</v>
      </c>
      <c r="X54" s="32">
        <v>113180.62458430727</v>
      </c>
      <c r="Y54" s="32">
        <v>111290.62459124891</v>
      </c>
      <c r="Z54" s="32">
        <v>109265.62459868638</v>
      </c>
      <c r="AA54" s="32">
        <v>107240.62460612386</v>
      </c>
      <c r="AB54" s="32">
        <v>105215.62461356133</v>
      </c>
      <c r="AC54" s="32">
        <v>103190.6246209988</v>
      </c>
      <c r="AD54" s="32">
        <v>101165.62462843627</v>
      </c>
      <c r="AE54" s="32">
        <v>99140.62463587374</v>
      </c>
      <c r="AF54" s="32">
        <v>97031.24964362112</v>
      </c>
      <c r="AG54" s="32">
        <v>94921.87465136847</v>
      </c>
      <c r="AH54" s="32">
        <v>92812.49965911586</v>
      </c>
      <c r="AI54" s="32">
        <v>90703.12466686321</v>
      </c>
      <c r="AJ54" s="32">
        <v>88593.74967461059</v>
      </c>
      <c r="AK54" s="32">
        <v>86484.37468235794</v>
      </c>
      <c r="AL54" s="32">
        <v>84374.99969010532</v>
      </c>
      <c r="AM54" s="32">
        <v>82265.62469785268</v>
      </c>
      <c r="AN54" s="32">
        <v>80156.24970560006</v>
      </c>
      <c r="AO54" s="32">
        <v>78046.87471334741</v>
      </c>
      <c r="AP54" s="32">
        <v>75937.49972109479</v>
      </c>
      <c r="AQ54" s="32">
        <v>73828.12472884214</v>
      </c>
      <c r="AR54" s="32">
        <v>71718.74973658953</v>
      </c>
      <c r="AS54" s="32">
        <v>69609.37474433688</v>
      </c>
      <c r="AT54" s="32">
        <v>67499.99975208426</v>
      </c>
      <c r="AU54" s="32">
        <v>65390.62475983162</v>
      </c>
      <c r="AV54" s="32">
        <v>63281.249767578985</v>
      </c>
      <c r="AW54" s="32">
        <v>61171.87477532635</v>
      </c>
      <c r="AX54" s="32">
        <v>59062.49978307372</v>
      </c>
      <c r="AY54" s="32">
        <v>56953.124790821086</v>
      </c>
      <c r="AZ54" s="32">
        <v>54843.74979856845</v>
      </c>
      <c r="BA54" s="32">
        <v>52734.37480631582</v>
      </c>
      <c r="BB54" s="32">
        <v>50624.99981406319</v>
      </c>
      <c r="BC54" s="32">
        <v>48515.624821810554</v>
      </c>
      <c r="BD54" s="32">
        <v>46406.24982955792</v>
      </c>
      <c r="BE54" s="32">
        <v>44296.87483730529</v>
      </c>
      <c r="BF54" s="32">
        <v>42187.499845052655</v>
      </c>
      <c r="BG54" s="32">
        <v>40078.12485280002</v>
      </c>
      <c r="BH54" s="32">
        <v>37968.74986054739</v>
      </c>
      <c r="BI54" s="32">
        <v>35859.374868294755</v>
      </c>
      <c r="BJ54" s="32">
        <v>33749.99987604212</v>
      </c>
      <c r="BK54" s="32">
        <v>31640.62488378949</v>
      </c>
      <c r="BL54" s="32">
        <v>29531.249891536856</v>
      </c>
      <c r="BM54" s="32">
        <v>27421.874899284223</v>
      </c>
      <c r="BN54" s="32">
        <v>25312.49990703159</v>
      </c>
      <c r="BO54" s="32">
        <v>23203.124914778957</v>
      </c>
      <c r="BP54" s="32">
        <v>21093.749922526324</v>
      </c>
      <c r="BQ54" s="32">
        <v>18984.37493027369</v>
      </c>
      <c r="BR54" s="32">
        <v>16874.999938021057</v>
      </c>
      <c r="BS54" s="32">
        <v>14765.624945768424</v>
      </c>
      <c r="BT54" s="32">
        <v>12656.249953515791</v>
      </c>
      <c r="BU54" s="32">
        <v>10546.87496126316</v>
      </c>
      <c r="BV54" s="32">
        <v>8437.499969010527</v>
      </c>
      <c r="BW54" s="32">
        <v>6328.124976757894</v>
      </c>
      <c r="BX54" s="32">
        <v>4218.749984505262</v>
      </c>
      <c r="BY54" s="32">
        <v>2109.374992252629</v>
      </c>
      <c r="BZ54" s="32">
        <v>0</v>
      </c>
      <c r="CA54" s="32">
        <v>0</v>
      </c>
      <c r="CB54" s="32">
        <v>0</v>
      </c>
      <c r="CC54" s="32">
        <v>0</v>
      </c>
      <c r="CD54" s="32">
        <v>0</v>
      </c>
      <c r="CE54" s="32">
        <v>0</v>
      </c>
      <c r="CF54" s="32">
        <v>0</v>
      </c>
      <c r="CG54" s="32">
        <v>0</v>
      </c>
      <c r="CH54" s="32">
        <v>0</v>
      </c>
      <c r="CI54" s="32">
        <v>0</v>
      </c>
      <c r="CJ54" s="32">
        <v>0</v>
      </c>
      <c r="CK54" s="32">
        <v>0</v>
      </c>
      <c r="CL54" s="32">
        <v>0</v>
      </c>
    </row>
    <row r="55" spans="2:90" x14ac:dyDescent="0.25">
      <c r="B55" s="28" t="s">
        <v>237</v>
      </c>
      <c r="C55" s="29" t="s">
        <v>205</v>
      </c>
      <c r="D55" s="14">
        <f>SUM(E55:CL55)</f>
      </c>
      <c r="E55" s="32">
        <f>E12+E21+E30+E39+E48</f>
      </c>
      <c r="F55" s="32">
        <f>F12+F21+F30+F39+F48</f>
      </c>
      <c r="G55" s="32">
        <f>G12+G21+G30+G39+G48</f>
      </c>
      <c r="H55" s="32">
        <f>H12+H21+H30+H39+H48</f>
      </c>
      <c r="I55" s="32">
        <f>I12+I21+I30+I39+I48</f>
      </c>
      <c r="J55" s="32">
        <f>J12+J21+J30+J39+J48</f>
      </c>
      <c r="K55" s="32">
        <f>K12+K21+K30+K39+K48</f>
      </c>
      <c r="L55" s="32">
        <f>L12+L21+L30+L39+L48</f>
      </c>
      <c r="M55" s="32">
        <f>M12+M21+M30+M39+M48</f>
      </c>
      <c r="N55" s="32">
        <f>N12+N21+N30+N39+N48</f>
      </c>
      <c r="O55" s="32">
        <f>O12+O21+O30+O39+O48</f>
      </c>
      <c r="P55" s="32">
        <f>P12+P21+P30+P39+P48</f>
      </c>
      <c r="Q55" s="32">
        <f>Q12+Q21+Q30+Q39+Q48</f>
      </c>
      <c r="R55" s="32">
        <f>R12+R21+R30+R39+R48</f>
      </c>
      <c r="S55" s="32">
        <f>S12+S21+S30+S39+S48</f>
      </c>
      <c r="T55" s="32">
        <f>T12+T21+T30+T39+T48</f>
      </c>
      <c r="U55" s="32">
        <f>U12+U21+U30+U39+U48</f>
      </c>
      <c r="V55" s="32">
        <f>V12+V21+V30+V39+V48</f>
      </c>
      <c r="W55" s="32">
        <f>W12+W21+W30+W39+W48</f>
      </c>
      <c r="X55" s="32">
        <f>X12+X21+X30+X39+X48</f>
      </c>
      <c r="Y55" s="32">
        <f>Y12+Y21+Y30+Y39+Y48</f>
      </c>
      <c r="Z55" s="32">
        <f>Z12+Z21+Z30+Z39+Z48</f>
      </c>
      <c r="AA55" s="32">
        <f>AA12+AA21+AA30+AA39+AA48</f>
      </c>
      <c r="AB55" s="32">
        <f>AB12+AB21+AB30+AB39+AB48</f>
      </c>
      <c r="AC55" s="32">
        <f>AC12+AC21+AC30+AC39+AC48</f>
      </c>
      <c r="AD55" s="32">
        <f>AD12+AD21+AD30+AD39+AD48</f>
      </c>
      <c r="AE55" s="32">
        <f>AE12+AE21+AE30+AE39+AE48</f>
      </c>
      <c r="AF55" s="32">
        <f>AF12+AF21+AF30+AF39+AF48</f>
      </c>
      <c r="AG55" s="32">
        <f>AG12+AG21+AG30+AG39+AG48</f>
      </c>
      <c r="AH55" s="32">
        <f>AH12+AH21+AH30+AH39+AH48</f>
      </c>
      <c r="AI55" s="32">
        <f>AI12+AI21+AI30+AI39+AI48</f>
      </c>
      <c r="AJ55" s="32">
        <f>AJ12+AJ21+AJ30+AJ39+AJ48</f>
      </c>
      <c r="AK55" s="32">
        <f>AK12+AK21+AK30+AK39+AK48</f>
      </c>
      <c r="AL55" s="32">
        <f>AL12+AL21+AL30+AL39+AL48</f>
      </c>
      <c r="AM55" s="32">
        <f>AM12+AM21+AM30+AM39+AM48</f>
      </c>
      <c r="AN55" s="32">
        <f>AN12+AN21+AN30+AN39+AN48</f>
      </c>
      <c r="AO55" s="32">
        <f>AO12+AO21+AO30+AO39+AO48</f>
      </c>
      <c r="AP55" s="32">
        <f>AP12+AP21+AP30+AP39+AP48</f>
      </c>
      <c r="AQ55" s="32">
        <f>AQ12+AQ21+AQ30+AQ39+AQ48</f>
      </c>
      <c r="AR55" s="32">
        <f>AR12+AR21+AR30+AR39+AR48</f>
      </c>
      <c r="AS55" s="32">
        <f>AS12+AS21+AS30+AS39+AS48</f>
      </c>
      <c r="AT55" s="32">
        <f>AT12+AT21+AT30+AT39+AT48</f>
      </c>
      <c r="AU55" s="32">
        <f>AU12+AU21+AU30+AU39+AU48</f>
      </c>
      <c r="AV55" s="32">
        <f>AV12+AV21+AV30+AV39+AV48</f>
      </c>
      <c r="AW55" s="32">
        <f>AW12+AW21+AW30+AW39+AW48</f>
      </c>
      <c r="AX55" s="32">
        <f>AX12+AX21+AX30+AX39+AX48</f>
      </c>
      <c r="AY55" s="32">
        <f>AY12+AY21+AY30+AY39+AY48</f>
      </c>
      <c r="AZ55" s="32">
        <f>AZ12+AZ21+AZ30+AZ39+AZ48</f>
      </c>
      <c r="BA55" s="32">
        <f>BA12+BA21+BA30+BA39+BA48</f>
      </c>
      <c r="BB55" s="32">
        <f>BB12+BB21+BB30+BB39+BB48</f>
      </c>
      <c r="BC55" s="32">
        <f>BC12+BC21+BC30+BC39+BC48</f>
      </c>
      <c r="BD55" s="32">
        <f>BD12+BD21+BD30+BD39+BD48</f>
      </c>
      <c r="BE55" s="32">
        <f>BE12+BE21+BE30+BE39+BE48</f>
      </c>
      <c r="BF55" s="32">
        <f>BF12+BF21+BF30+BF39+BF48</f>
      </c>
      <c r="BG55" s="32">
        <f>BG12+BG21+BG30+BG39+BG48</f>
      </c>
      <c r="BH55" s="32">
        <f>BH12+BH21+BH30+BH39+BH48</f>
      </c>
      <c r="BI55" s="32">
        <f>BI12+BI21+BI30+BI39+BI48</f>
      </c>
      <c r="BJ55" s="32">
        <f>BJ12+BJ21+BJ30+BJ39+BJ48</f>
      </c>
      <c r="BK55" s="32">
        <f>BK12+BK21+BK30+BK39+BK48</f>
      </c>
      <c r="BL55" s="32">
        <f>BL12+BL21+BL30+BL39+BL48</f>
      </c>
      <c r="BM55" s="32">
        <f>BM12+BM21+BM30+BM39+BM48</f>
      </c>
      <c r="BN55" s="32">
        <f>BN12+BN21+BN30+BN39+BN48</f>
      </c>
      <c r="BO55" s="32">
        <f>BO12+BO21+BO30+BO39+BO48</f>
      </c>
      <c r="BP55" s="32">
        <f>BP12+BP21+BP30+BP39+BP48</f>
      </c>
      <c r="BQ55" s="32">
        <f>BQ12+BQ21+BQ30+BQ39+BQ48</f>
      </c>
      <c r="BR55" s="32">
        <f>BR12+BR21+BR30+BR39+BR48</f>
      </c>
      <c r="BS55" s="32">
        <f>BS12+BS21+BS30+BS39+BS48</f>
      </c>
      <c r="BT55" s="32">
        <f>BT12+BT21+BT30+BT39+BT48</f>
      </c>
      <c r="BU55" s="32">
        <f>BU12+BU21+BU30+BU39+BU48</f>
      </c>
      <c r="BV55" s="32">
        <f>BV12+BV21+BV30+BV39+BV48</f>
      </c>
      <c r="BW55" s="32">
        <f>BW12+BW21+BW30+BW39+BW48</f>
      </c>
      <c r="BX55" s="32">
        <f>BX12+BX21+BX30+BX39+BX48</f>
      </c>
      <c r="BY55" s="32">
        <f>BY12+BY21+BY30+BY39+BY48</f>
      </c>
      <c r="BZ55" s="32">
        <f>BZ12+BZ21+BZ30+BZ39+BZ48</f>
      </c>
      <c r="CA55" s="32">
        <f>CA12+CA21+CA30+CA39+CA48</f>
      </c>
      <c r="CB55" s="32">
        <f>CB12+CB21+CB30+CB39+CB48</f>
      </c>
      <c r="CC55" s="32">
        <f>CC12+CC21+CC30+CC39+CC48</f>
      </c>
      <c r="CD55" s="32">
        <f>CD12+CD21+CD30+CD39+CD48</f>
      </c>
      <c r="CE55" s="32">
        <f>CE12+CE21+CE30+CE39+CE48</f>
      </c>
      <c r="CF55" s="32">
        <f>CF12+CF21+CF30+CF39+CF48</f>
      </c>
      <c r="CG55" s="32">
        <f>CG12+CG21+CG30+CG39+CG48</f>
      </c>
      <c r="CH55" s="32">
        <f>CH12+CH21+CH30+CH39+CH48</f>
      </c>
      <c r="CI55" s="32">
        <f>CI12+CI21+CI30+CI39+CI48</f>
      </c>
      <c r="CJ55" s="32">
        <f>CJ12+CJ21+CJ30+CJ39+CJ48</f>
      </c>
      <c r="CK55" s="32">
        <f>CK12+CK21+CK30+CK39+CK48</f>
      </c>
      <c r="CL55" s="32">
        <f>CL12+CL21+CL30+CL39+CL48</f>
      </c>
    </row>
    <row r="56" spans="2:90" x14ac:dyDescent="0.25">
      <c r="B56" s="28" t="s">
        <v>230</v>
      </c>
      <c r="C56" s="29" t="s">
        <v>205</v>
      </c>
      <c r="D56" s="14">
        <f>SUM(E56:CL56)</f>
      </c>
      <c r="E56" s="32">
        <f>E13+E22+E31+E40+E49</f>
      </c>
      <c r="F56" s="32">
        <f>F13+F22+F31+F40+F49</f>
      </c>
      <c r="G56" s="32">
        <f>G13+G22+G31+G40+G49</f>
      </c>
      <c r="H56" s="32">
        <f>H13+H22+H31+H40+H49</f>
      </c>
      <c r="I56" s="32">
        <f>I13+I22+I31+I40+I49</f>
      </c>
      <c r="J56" s="32">
        <f>J13+J22+J31+J40+J49</f>
      </c>
      <c r="K56" s="32">
        <f>K13+K22+K31+K40+K49</f>
      </c>
      <c r="L56" s="32">
        <f>L13+L22+L31+L40+L49</f>
      </c>
      <c r="M56" s="32">
        <f>M13+M22+M31+M40+M49</f>
      </c>
      <c r="N56" s="32">
        <f>N13+N22+N31+N40+N49</f>
      </c>
      <c r="O56" s="32">
        <f>O13+O22+O31+O40+O49</f>
      </c>
      <c r="P56" s="32">
        <f>P13+P22+P31+P40+P49</f>
      </c>
      <c r="Q56" s="32">
        <f>Q13+Q22+Q31+Q40+Q49</f>
      </c>
      <c r="R56" s="32">
        <f>R13+R22+R31+R40+R49</f>
      </c>
      <c r="S56" s="32">
        <f>S13+S22+S31+S40+S49</f>
      </c>
      <c r="T56" s="32">
        <f>T13+T22+T31+T40+T49</f>
      </c>
      <c r="U56" s="32">
        <f>U13+U22+U31+U40+U49</f>
      </c>
      <c r="V56" s="32">
        <f>V13+V22+V31+V40+V49</f>
      </c>
      <c r="W56" s="32">
        <f>W13+W22+W31+W40+W49</f>
      </c>
      <c r="X56" s="32">
        <f>X13+X22+X31+X40+X49</f>
      </c>
      <c r="Y56" s="32">
        <f>Y13+Y22+Y31+Y40+Y49</f>
      </c>
      <c r="Z56" s="32">
        <f>Z13+Z22+Z31+Z40+Z49</f>
      </c>
      <c r="AA56" s="32">
        <f>AA13+AA22+AA31+AA40+AA49</f>
      </c>
      <c r="AB56" s="32">
        <f>AB13+AB22+AB31+AB40+AB49</f>
      </c>
      <c r="AC56" s="32">
        <f>AC13+AC22+AC31+AC40+AC49</f>
      </c>
      <c r="AD56" s="32">
        <f>AD13+AD22+AD31+AD40+AD49</f>
      </c>
      <c r="AE56" s="32">
        <f>AE13+AE22+AE31+AE40+AE49</f>
      </c>
      <c r="AF56" s="32">
        <f>AF13+AF22+AF31+AF40+AF49</f>
      </c>
      <c r="AG56" s="32">
        <f>AG13+AG22+AG31+AG40+AG49</f>
      </c>
      <c r="AH56" s="32">
        <f>AH13+AH22+AH31+AH40+AH49</f>
      </c>
      <c r="AI56" s="32">
        <f>AI13+AI22+AI31+AI40+AI49</f>
      </c>
      <c r="AJ56" s="32">
        <f>AJ13+AJ22+AJ31+AJ40+AJ49</f>
      </c>
      <c r="AK56" s="32">
        <f>AK13+AK22+AK31+AK40+AK49</f>
      </c>
      <c r="AL56" s="32">
        <f>AL13+AL22+AL31+AL40+AL49</f>
      </c>
      <c r="AM56" s="32">
        <f>AM13+AM22+AM31+AM40+AM49</f>
      </c>
      <c r="AN56" s="32">
        <f>AN13+AN22+AN31+AN40+AN49</f>
      </c>
      <c r="AO56" s="32">
        <f>AO13+AO22+AO31+AO40+AO49</f>
      </c>
      <c r="AP56" s="32">
        <f>AP13+AP22+AP31+AP40+AP49</f>
      </c>
      <c r="AQ56" s="32">
        <f>AQ13+AQ22+AQ31+AQ40+AQ49</f>
      </c>
      <c r="AR56" s="32">
        <f>AR13+AR22+AR31+AR40+AR49</f>
      </c>
      <c r="AS56" s="32">
        <f>AS13+AS22+AS31+AS40+AS49</f>
      </c>
      <c r="AT56" s="32">
        <f>AT13+AT22+AT31+AT40+AT49</f>
      </c>
      <c r="AU56" s="32">
        <f>AU13+AU22+AU31+AU40+AU49</f>
      </c>
      <c r="AV56" s="32">
        <f>AV13+AV22+AV31+AV40+AV49</f>
      </c>
      <c r="AW56" s="32">
        <f>AW13+AW22+AW31+AW40+AW49</f>
      </c>
      <c r="AX56" s="32">
        <f>AX13+AX22+AX31+AX40+AX49</f>
      </c>
      <c r="AY56" s="32">
        <f>AY13+AY22+AY31+AY40+AY49</f>
      </c>
      <c r="AZ56" s="32">
        <f>AZ13+AZ22+AZ31+AZ40+AZ49</f>
      </c>
      <c r="BA56" s="32">
        <f>BA13+BA22+BA31+BA40+BA49</f>
      </c>
      <c r="BB56" s="32">
        <f>BB13+BB22+BB31+BB40+BB49</f>
      </c>
      <c r="BC56" s="32">
        <f>BC13+BC22+BC31+BC40+BC49</f>
      </c>
      <c r="BD56" s="32">
        <f>BD13+BD22+BD31+BD40+BD49</f>
      </c>
      <c r="BE56" s="32">
        <f>BE13+BE22+BE31+BE40+BE49</f>
      </c>
      <c r="BF56" s="32">
        <f>BF13+BF22+BF31+BF40+BF49</f>
      </c>
      <c r="BG56" s="32">
        <f>BG13+BG22+BG31+BG40+BG49</f>
      </c>
      <c r="BH56" s="32">
        <f>BH13+BH22+BH31+BH40+BH49</f>
      </c>
      <c r="BI56" s="32">
        <f>BI13+BI22+BI31+BI40+BI49</f>
      </c>
      <c r="BJ56" s="32">
        <f>BJ13+BJ22+BJ31+BJ40+BJ49</f>
      </c>
      <c r="BK56" s="32">
        <f>BK13+BK22+BK31+BK40+BK49</f>
      </c>
      <c r="BL56" s="32">
        <f>BL13+BL22+BL31+BL40+BL49</f>
      </c>
      <c r="BM56" s="32">
        <f>BM13+BM22+BM31+BM40+BM49</f>
      </c>
      <c r="BN56" s="32">
        <f>BN13+BN22+BN31+BN40+BN49</f>
      </c>
      <c r="BO56" s="32">
        <f>BO13+BO22+BO31+BO40+BO49</f>
      </c>
      <c r="BP56" s="32">
        <f>BP13+BP22+BP31+BP40+BP49</f>
      </c>
      <c r="BQ56" s="32">
        <f>BQ13+BQ22+BQ31+BQ40+BQ49</f>
      </c>
      <c r="BR56" s="32">
        <f>BR13+BR22+BR31+BR40+BR49</f>
      </c>
      <c r="BS56" s="32">
        <f>BS13+BS22+BS31+BS40+BS49</f>
      </c>
      <c r="BT56" s="32">
        <f>BT13+BT22+BT31+BT40+BT49</f>
      </c>
      <c r="BU56" s="32">
        <f>BU13+BU22+BU31+BU40+BU49</f>
      </c>
      <c r="BV56" s="32">
        <f>BV13+BV22+BV31+BV40+BV49</f>
      </c>
      <c r="BW56" s="32">
        <f>BW13+BW22+BW31+BW40+BW49</f>
      </c>
      <c r="BX56" s="32">
        <f>BX13+BX22+BX31+BX40+BX49</f>
      </c>
      <c r="BY56" s="32">
        <f>BY13+BY22+BY31+BY40+BY49</f>
      </c>
      <c r="BZ56" s="32">
        <f>BZ13+BZ22+BZ31+BZ40+BZ49</f>
      </c>
      <c r="CA56" s="32">
        <f>CA13+CA22+CA31+CA40+CA49</f>
      </c>
      <c r="CB56" s="32">
        <f>CB13+CB22+CB31+CB40+CB49</f>
      </c>
      <c r="CC56" s="32">
        <f>CC13+CC22+CC31+CC40+CC49</f>
      </c>
      <c r="CD56" s="32">
        <f>CD13+CD22+CD31+CD40+CD49</f>
      </c>
      <c r="CE56" s="32">
        <f>CE13+CE22+CE31+CE40+CE49</f>
      </c>
      <c r="CF56" s="32">
        <f>CF13+CF22+CF31+CF40+CF49</f>
      </c>
      <c r="CG56" s="32">
        <f>CG13+CG22+CG31+CG40+CG49</f>
      </c>
      <c r="CH56" s="32">
        <f>CH13+CH22+CH31+CH40+CH49</f>
      </c>
      <c r="CI56" s="32">
        <f>CI13+CI22+CI31+CI40+CI49</f>
      </c>
      <c r="CJ56" s="32">
        <f>CJ13+CJ22+CJ31+CJ40+CJ49</f>
      </c>
      <c r="CK56" s="32">
        <f>CK13+CK22+CK31+CK40+CK49</f>
      </c>
      <c r="CL56" s="32">
        <f>CL13+CL22+CL31+CL40+CL49</f>
      </c>
    </row>
    <row r="57" spans="2:91" x14ac:dyDescent="0.25">
      <c r="B57" s="40" t="s">
        <v>238</v>
      </c>
      <c r="C57" s="44" t="s">
        <v>205</v>
      </c>
      <c r="D57" s="39">
        <f>SUM(E57:CL57)</f>
      </c>
      <c r="E57" s="39">
        <f>E55+E56</f>
      </c>
      <c r="F57" s="39">
        <f>F55+F56</f>
      </c>
      <c r="G57" s="39">
        <f>G55+G56</f>
      </c>
      <c r="H57" s="39">
        <f>H55+H56</f>
      </c>
      <c r="I57" s="39">
        <f>I55+I56</f>
      </c>
      <c r="J57" s="39">
        <f>J55+J56</f>
      </c>
      <c r="K57" s="39">
        <f>K55+K56</f>
      </c>
      <c r="L57" s="39">
        <f>L55+L56</f>
      </c>
      <c r="M57" s="39">
        <f>M55+M56</f>
      </c>
      <c r="N57" s="39">
        <f>N55+N56</f>
      </c>
      <c r="O57" s="39">
        <f>O55+O56</f>
      </c>
      <c r="P57" s="39">
        <f>P55+P56</f>
      </c>
      <c r="Q57" s="39">
        <f>Q55+Q56</f>
      </c>
      <c r="R57" s="39">
        <f>R55+R56</f>
      </c>
      <c r="S57" s="39">
        <f>S55+S56</f>
      </c>
      <c r="T57" s="39">
        <f>T55+T56</f>
      </c>
      <c r="U57" s="39">
        <f>U55+U56</f>
      </c>
      <c r="V57" s="39">
        <f>V55+V56</f>
      </c>
      <c r="W57" s="39">
        <f>W55+W56</f>
      </c>
      <c r="X57" s="39">
        <f>X55+X56</f>
      </c>
      <c r="Y57" s="39">
        <f>Y55+Y56</f>
      </c>
      <c r="Z57" s="39">
        <f>Z55+Z56</f>
      </c>
      <c r="AA57" s="39">
        <f>AA55+AA56</f>
      </c>
      <c r="AB57" s="39">
        <f>AB55+AB56</f>
      </c>
      <c r="AC57" s="39">
        <f>AC55+AC56</f>
      </c>
      <c r="AD57" s="39">
        <f>AD55+AD56</f>
      </c>
      <c r="AE57" s="39">
        <f>AE55+AE56</f>
      </c>
      <c r="AF57" s="39">
        <f>AF55+AF56</f>
      </c>
      <c r="AG57" s="39">
        <f>AG55+AG56</f>
      </c>
      <c r="AH57" s="39">
        <f>AH55+AH56</f>
      </c>
      <c r="AI57" s="39">
        <f>AI55+AI56</f>
      </c>
      <c r="AJ57" s="39">
        <f>AJ55+AJ56</f>
      </c>
      <c r="AK57" s="39">
        <f>AK55+AK56</f>
      </c>
      <c r="AL57" s="39">
        <f>AL55+AL56</f>
      </c>
      <c r="AM57" s="39">
        <f>AM55+AM56</f>
      </c>
      <c r="AN57" s="39">
        <f>AN55+AN56</f>
      </c>
      <c r="AO57" s="39">
        <f>AO55+AO56</f>
      </c>
      <c r="AP57" s="39">
        <f>AP55+AP56</f>
      </c>
      <c r="AQ57" s="39">
        <f>AQ55+AQ56</f>
      </c>
      <c r="AR57" s="39">
        <f>AR55+AR56</f>
      </c>
      <c r="AS57" s="39">
        <f>AS55+AS56</f>
      </c>
      <c r="AT57" s="39">
        <f>AT55+AT56</f>
      </c>
      <c r="AU57" s="39">
        <f>AU55+AU56</f>
      </c>
      <c r="AV57" s="39">
        <f>AV55+AV56</f>
      </c>
      <c r="AW57" s="39">
        <f>AW55+AW56</f>
      </c>
      <c r="AX57" s="39">
        <f>AX55+AX56</f>
      </c>
      <c r="AY57" s="39">
        <f>AY55+AY56</f>
      </c>
      <c r="AZ57" s="39">
        <f>AZ55+AZ56</f>
      </c>
      <c r="BA57" s="39">
        <f>BA55+BA56</f>
      </c>
      <c r="BB57" s="39">
        <f>BB55+BB56</f>
      </c>
      <c r="BC57" s="39">
        <f>BC55+BC56</f>
      </c>
      <c r="BD57" s="39">
        <f>BD55+BD56</f>
      </c>
      <c r="BE57" s="39">
        <f>BE55+BE56</f>
      </c>
      <c r="BF57" s="39">
        <f>BF55+BF56</f>
      </c>
      <c r="BG57" s="39">
        <f>BG55+BG56</f>
      </c>
      <c r="BH57" s="39">
        <f>BH55+BH56</f>
      </c>
      <c r="BI57" s="39">
        <f>BI55+BI56</f>
      </c>
      <c r="BJ57" s="39">
        <f>BJ55+BJ56</f>
      </c>
      <c r="BK57" s="39">
        <f>BK55+BK56</f>
      </c>
      <c r="BL57" s="39">
        <f>BL55+BL56</f>
      </c>
      <c r="BM57" s="39">
        <f>BM55+BM56</f>
      </c>
      <c r="BN57" s="39">
        <f>BN55+BN56</f>
      </c>
      <c r="BO57" s="39">
        <f>BO55+BO56</f>
      </c>
      <c r="BP57" s="39">
        <f>BP55+BP56</f>
      </c>
      <c r="BQ57" s="39">
        <f>BQ55+BQ56</f>
      </c>
      <c r="BR57" s="39">
        <f>BR55+BR56</f>
      </c>
      <c r="BS57" s="39">
        <f>BS55+BS56</f>
      </c>
      <c r="BT57" s="39">
        <f>BT55+BT56</f>
      </c>
      <c r="BU57" s="39">
        <f>BU55+BU56</f>
      </c>
      <c r="BV57" s="39">
        <f>BV55+BV56</f>
      </c>
      <c r="BW57" s="39">
        <f>BW55+BW56</f>
      </c>
      <c r="BX57" s="39">
        <f>BX55+BX56</f>
      </c>
      <c r="BY57" s="39">
        <f>BY55+BY56</f>
      </c>
      <c r="BZ57" s="39">
        <f>BZ55+BZ56</f>
      </c>
      <c r="CA57" s="39">
        <f>CA55+CA56</f>
      </c>
      <c r="CB57" s="39">
        <f>CB55+CB56</f>
      </c>
      <c r="CC57" s="39">
        <f>CC55+CC56</f>
      </c>
      <c r="CD57" s="39">
        <f>CD55+CD56</f>
      </c>
      <c r="CE57" s="39">
        <f>CE55+CE56</f>
      </c>
      <c r="CF57" s="39">
        <f>CF55+CF56</f>
      </c>
      <c r="CG57" s="39">
        <f>CG55+CG56</f>
      </c>
      <c r="CH57" s="39">
        <f>CH55+CH56</f>
      </c>
      <c r="CI57" s="39">
        <f>CI55+CI56</f>
      </c>
      <c r="CJ57" s="39">
        <f>CJ55+CJ56</f>
      </c>
      <c r="CK57" s="39">
        <f>CK55+CK56</f>
      </c>
      <c r="CL57" s="39">
        <f>CL55+CL56</f>
      </c>
      <c r="CM57" s="41"/>
    </row>
    <row r="58" spans="2:90" x14ac:dyDescent="0.25">
      <c r="B58" s="28" t="s">
        <v>231</v>
      </c>
      <c r="C58" s="29" t="s">
        <v>205</v>
      </c>
      <c r="E58" s="32">
        <f>E14+E23+E32+E41+E50</f>
      </c>
      <c r="F58" s="32">
        <f>F14+F23+F32+F41+F50</f>
      </c>
      <c r="G58" s="32">
        <f>G14+G23+G32+G41+G50</f>
      </c>
      <c r="H58" s="32">
        <f>H14+H23+H32+H41+H50</f>
      </c>
      <c r="I58" s="32">
        <f>I14+I23+I32+I41+I50</f>
      </c>
      <c r="J58" s="32">
        <f>J14+J23+J32+J41+J50</f>
      </c>
      <c r="K58" s="32">
        <f>K14+K23+K32+K41+K50</f>
      </c>
      <c r="L58" s="32">
        <f>L14+L23+L32+L41+L50</f>
      </c>
      <c r="M58" s="32">
        <f>M14+M23+M32+M41+M50</f>
      </c>
      <c r="N58" s="32">
        <f>N14+N23+N32+N41+N50</f>
      </c>
      <c r="O58" s="32">
        <f>O14+O23+O32+O41+O50</f>
      </c>
      <c r="P58" s="32">
        <f>P14+P23+P32+P41+P50</f>
      </c>
      <c r="Q58" s="32">
        <f>Q14+Q23+Q32+Q41+Q50</f>
      </c>
      <c r="R58" s="32">
        <f>R14+R23+R32+R41+R50</f>
      </c>
      <c r="S58" s="32">
        <f>S14+S23+S32+S41+S50</f>
      </c>
      <c r="T58" s="32">
        <f>T14+T23+T32+T41+T50</f>
      </c>
      <c r="U58" s="32">
        <f>U14+U23+U32+U41+U50</f>
      </c>
      <c r="V58" s="32">
        <f>V14+V23+V32+V41+V50</f>
      </c>
      <c r="W58" s="32">
        <f>W14+W23+W32+W41+W50</f>
      </c>
      <c r="X58" s="32">
        <f>X14+X23+X32+X41+X50</f>
      </c>
      <c r="Y58" s="32">
        <f>Y14+Y23+Y32+Y41+Y50</f>
      </c>
      <c r="Z58" s="32">
        <f>Z14+Z23+Z32+Z41+Z50</f>
      </c>
      <c r="AA58" s="32">
        <f>AA14+AA23+AA32+AA41+AA50</f>
      </c>
      <c r="AB58" s="32">
        <f>AB14+AB23+AB32+AB41+AB50</f>
      </c>
      <c r="AC58" s="32">
        <f>AC14+AC23+AC32+AC41+AC50</f>
      </c>
      <c r="AD58" s="32">
        <f>AD14+AD23+AD32+AD41+AD50</f>
      </c>
      <c r="AE58" s="32">
        <f>AE14+AE23+AE32+AE41+AE50</f>
      </c>
      <c r="AF58" s="32">
        <f>AF14+AF23+AF32+AF41+AF50</f>
      </c>
      <c r="AG58" s="32">
        <f>AG14+AG23+AG32+AG41+AG50</f>
      </c>
      <c r="AH58" s="32">
        <f>AH14+AH23+AH32+AH41+AH50</f>
      </c>
      <c r="AI58" s="32">
        <f>AI14+AI23+AI32+AI41+AI50</f>
      </c>
      <c r="AJ58" s="32">
        <f>AJ14+AJ23+AJ32+AJ41+AJ50</f>
      </c>
      <c r="AK58" s="32">
        <f>AK14+AK23+AK32+AK41+AK50</f>
      </c>
      <c r="AL58" s="32">
        <f>AL14+AL23+AL32+AL41+AL50</f>
      </c>
      <c r="AM58" s="32">
        <f>AM14+AM23+AM32+AM41+AM50</f>
      </c>
      <c r="AN58" s="32">
        <f>AN14+AN23+AN32+AN41+AN50</f>
      </c>
      <c r="AO58" s="32">
        <f>AO14+AO23+AO32+AO41+AO50</f>
      </c>
      <c r="AP58" s="32">
        <f>AP14+AP23+AP32+AP41+AP50</f>
      </c>
      <c r="AQ58" s="32">
        <f>AQ14+AQ23+AQ32+AQ41+AQ50</f>
      </c>
      <c r="AR58" s="32">
        <f>AR14+AR23+AR32+AR41+AR50</f>
      </c>
      <c r="AS58" s="32">
        <f>AS14+AS23+AS32+AS41+AS50</f>
      </c>
      <c r="AT58" s="32">
        <f>AT14+AT23+AT32+AT41+AT50</f>
      </c>
      <c r="AU58" s="32">
        <f>AU14+AU23+AU32+AU41+AU50</f>
      </c>
      <c r="AV58" s="32">
        <f>AV14+AV23+AV32+AV41+AV50</f>
      </c>
      <c r="AW58" s="32">
        <f>AW14+AW23+AW32+AW41+AW50</f>
      </c>
      <c r="AX58" s="32">
        <f>AX14+AX23+AX32+AX41+AX50</f>
      </c>
      <c r="AY58" s="32">
        <f>AY14+AY23+AY32+AY41+AY50</f>
      </c>
      <c r="AZ58" s="32">
        <f>AZ14+AZ23+AZ32+AZ41+AZ50</f>
      </c>
      <c r="BA58" s="32">
        <f>BA14+BA23+BA32+BA41+BA50</f>
      </c>
      <c r="BB58" s="32">
        <f>BB14+BB23+BB32+BB41+BB50</f>
      </c>
      <c r="BC58" s="32">
        <f>BC14+BC23+BC32+BC41+BC50</f>
      </c>
      <c r="BD58" s="32">
        <f>BD14+BD23+BD32+BD41+BD50</f>
      </c>
      <c r="BE58" s="32">
        <f>BE14+BE23+BE32+BE41+BE50</f>
      </c>
      <c r="BF58" s="32">
        <f>BF14+BF23+BF32+BF41+BF50</f>
      </c>
      <c r="BG58" s="32">
        <f>BG14+BG23+BG32+BG41+BG50</f>
      </c>
      <c r="BH58" s="32">
        <f>BH14+BH23+BH32+BH41+BH50</f>
      </c>
      <c r="BI58" s="32">
        <f>BI14+BI23+BI32+BI41+BI50</f>
      </c>
      <c r="BJ58" s="32">
        <f>BJ14+BJ23+BJ32+BJ41+BJ50</f>
      </c>
      <c r="BK58" s="32">
        <f>BK14+BK23+BK32+BK41+BK50</f>
      </c>
      <c r="BL58" s="32">
        <f>BL14+BL23+BL32+BL41+BL50</f>
      </c>
      <c r="BM58" s="32">
        <f>BM14+BM23+BM32+BM41+BM50</f>
      </c>
      <c r="BN58" s="32">
        <f>BN14+BN23+BN32+BN41+BN50</f>
      </c>
      <c r="BO58" s="32">
        <f>BO14+BO23+BO32+BO41+BO50</f>
      </c>
      <c r="BP58" s="32">
        <f>BP14+BP23+BP32+BP41+BP50</f>
      </c>
      <c r="BQ58" s="32">
        <f>BQ14+BQ23+BQ32+BQ41+BQ50</f>
      </c>
      <c r="BR58" s="32">
        <f>BR14+BR23+BR32+BR41+BR50</f>
      </c>
      <c r="BS58" s="32">
        <f>BS14+BS23+BS32+BS41+BS50</f>
      </c>
      <c r="BT58" s="32">
        <f>BT14+BT23+BT32+BT41+BT50</f>
      </c>
      <c r="BU58" s="32">
        <f>BU14+BU23+BU32+BU41+BU50</f>
      </c>
      <c r="BV58" s="32">
        <f>BV14+BV23+BV32+BV41+BV50</f>
      </c>
      <c r="BW58" s="32">
        <f>BW14+BW23+BW32+BW41+BW50</f>
      </c>
      <c r="BX58" s="32">
        <f>BX14+BX23+BX32+BX41+BX50</f>
      </c>
      <c r="BY58" s="32">
        <f>BY14+BY23+BY32+BY41+BY50</f>
      </c>
      <c r="BZ58" s="32">
        <f>BZ14+BZ23+BZ32+BZ41+BZ50</f>
      </c>
      <c r="CA58" s="32">
        <f>CA14+CA23+CA32+CA41+CA50</f>
      </c>
      <c r="CB58" s="32">
        <f>CB14+CB23+CB32+CB41+CB50</f>
      </c>
      <c r="CC58" s="32">
        <f>CC14+CC23+CC32+CC41+CC50</f>
      </c>
      <c r="CD58" s="32">
        <f>CD14+CD23+CD32+CD41+CD50</f>
      </c>
      <c r="CE58" s="32">
        <f>CE14+CE23+CE32+CE41+CE50</f>
      </c>
      <c r="CF58" s="32">
        <f>CF14+CF23+CF32+CF41+CF50</f>
      </c>
      <c r="CG58" s="32">
        <f>CG14+CG23+CG32+CG41+CG50</f>
      </c>
      <c r="CH58" s="32">
        <f>CH14+CH23+CH32+CH41+CH50</f>
      </c>
      <c r="CI58" s="32">
        <f>CI14+CI23+CI32+CI41+CI50</f>
      </c>
      <c r="CJ58" s="32">
        <f>CJ14+CJ23+CJ32+CJ41+CJ50</f>
      </c>
      <c r="CK58" s="32">
        <f>CK14+CK23+CK32+CK41+CK50</f>
      </c>
      <c r="CL58" s="32">
        <f>CL14+CL23+CL32+CL41+CL50</f>
      </c>
    </row>
    <row r="60" spans="2:90" x14ac:dyDescent="0.25">
      <c r="B60" s="28" t="s">
        <v>239</v>
      </c>
      <c r="C60" s="29" t="s">
        <v>205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5000</v>
      </c>
      <c r="K60" s="32">
        <v>3737.4999863646335</v>
      </c>
      <c r="L60" s="32">
        <v>7871.874971179794</v>
      </c>
      <c r="M60" s="32">
        <v>10649.644492226123</v>
      </c>
      <c r="N60" s="32">
        <v>8173.795282567116</v>
      </c>
      <c r="O60" s="32">
        <v>7030.25778676557</v>
      </c>
      <c r="P60" s="32">
        <v>7116.670286446999</v>
      </c>
      <c r="Q60" s="32">
        <v>7201.214036135245</v>
      </c>
      <c r="R60" s="32">
        <v>7148.88903632614</v>
      </c>
      <c r="S60" s="32">
        <v>7096.564036517035</v>
      </c>
      <c r="T60" s="32">
        <v>7044.23903670793</v>
      </c>
      <c r="U60" s="32">
        <v>6991.914036898825</v>
      </c>
      <c r="V60" s="32">
        <v>6939.58903708972</v>
      </c>
      <c r="W60" s="32">
        <v>7022.2640367847835</v>
      </c>
      <c r="X60" s="32">
        <v>7103.070286486665</v>
      </c>
      <c r="Y60" s="32">
        <v>7047.007786691196</v>
      </c>
      <c r="Z60" s="32">
        <v>6990.945286895725</v>
      </c>
      <c r="AA60" s="32">
        <v>6934.882787100256</v>
      </c>
      <c r="AB60" s="32">
        <v>6878.820287304787</v>
      </c>
      <c r="AC60" s="32">
        <v>6907.132787199423</v>
      </c>
      <c r="AD60" s="32">
        <v>6934.27731834832</v>
      </c>
      <c r="AE60" s="32">
        <v>6875.878881061372</v>
      </c>
      <c r="AF60" s="32">
        <v>6817.480443774425</v>
      </c>
      <c r="AG60" s="32">
        <v>6759.082006487478</v>
      </c>
      <c r="AH60" s="32">
        <v>6700.68356920053</v>
      </c>
      <c r="AI60" s="32">
        <v>6642.2851319135825</v>
      </c>
      <c r="AJ60" s="32">
        <v>6583.886694626635</v>
      </c>
      <c r="AK60" s="32">
        <v>6525.488257339688</v>
      </c>
      <c r="AL60" s="32">
        <v>6467.08982005274</v>
      </c>
      <c r="AM60" s="32">
        <v>6408.691382765793</v>
      </c>
      <c r="AN60" s="32">
        <v>6350.2929454788455</v>
      </c>
      <c r="AO60" s="32">
        <v>6291.894508191898</v>
      </c>
      <c r="AP60" s="32">
        <v>6233.496070904951</v>
      </c>
      <c r="AQ60" s="32">
        <v>6175.097633618004</v>
      </c>
      <c r="AR60" s="32">
        <v>6116.699196331056</v>
      </c>
      <c r="AS60" s="32">
        <v>6058.300759044108</v>
      </c>
      <c r="AT60" s="32">
        <v>5999.902321757161</v>
      </c>
      <c r="AU60" s="32">
        <v>5941.503884470214</v>
      </c>
      <c r="AV60" s="32">
        <v>5883.105447183266</v>
      </c>
      <c r="AW60" s="32">
        <v>5824.707009896319</v>
      </c>
      <c r="AX60" s="32">
        <v>5766.308572609371</v>
      </c>
      <c r="AY60" s="32">
        <v>5707.910135322424</v>
      </c>
      <c r="AZ60" s="32">
        <v>5649.511698035477</v>
      </c>
      <c r="BA60" s="32">
        <v>5591.11326074853</v>
      </c>
      <c r="BB60" s="32">
        <v>5532.714823461582</v>
      </c>
      <c r="BC60" s="32">
        <v>5474.316386174634</v>
      </c>
      <c r="BD60" s="32">
        <v>5415.917948887687</v>
      </c>
      <c r="BE60" s="32">
        <v>5357.51951160074</v>
      </c>
      <c r="BF60" s="32">
        <v>5299.121074313792</v>
      </c>
      <c r="BG60" s="32">
        <v>5240.7226370268445</v>
      </c>
      <c r="BH60" s="32">
        <v>5182.324199739897</v>
      </c>
      <c r="BI60" s="32">
        <v>5123.92576245295</v>
      </c>
      <c r="BJ60" s="32">
        <v>5065.527325166003</v>
      </c>
      <c r="BK60" s="32">
        <v>5007.128887879055</v>
      </c>
      <c r="BL60" s="32">
        <v>4948.730450592107</v>
      </c>
      <c r="BM60" s="32">
        <v>4890.33201330516</v>
      </c>
      <c r="BN60" s="32">
        <v>4831.933576018213</v>
      </c>
      <c r="BO60" s="32">
        <v>4773.535138731266</v>
      </c>
      <c r="BP60" s="32">
        <v>4715.1367014443185</v>
      </c>
      <c r="BQ60" s="32">
        <v>4656.73826415737</v>
      </c>
      <c r="BR60" s="32">
        <v>4598.339826870423</v>
      </c>
      <c r="BS60" s="32">
        <v>4539.941389583476</v>
      </c>
      <c r="BT60" s="32">
        <v>4481.542952296529</v>
      </c>
      <c r="BU60" s="32">
        <v>4423.144515009581</v>
      </c>
      <c r="BV60" s="32">
        <v>4364.746077722633</v>
      </c>
      <c r="BW60" s="32">
        <v>4306.3476404356825</v>
      </c>
      <c r="BX60" s="32">
        <v>2138.5742108961026</v>
      </c>
      <c r="BY60" s="32">
        <v>0</v>
      </c>
      <c r="BZ60" s="32">
        <v>0</v>
      </c>
      <c r="CA60" s="32">
        <v>0</v>
      </c>
      <c r="CB60" s="32">
        <v>0</v>
      </c>
      <c r="CC60" s="32">
        <v>0</v>
      </c>
      <c r="CD60" s="32">
        <v>0</v>
      </c>
      <c r="CE60" s="32">
        <v>0</v>
      </c>
      <c r="CF60" s="32">
        <v>0</v>
      </c>
      <c r="CG60" s="32">
        <v>0</v>
      </c>
      <c r="CH60" s="32">
        <v>0</v>
      </c>
      <c r="CI60" s="32">
        <v>0</v>
      </c>
      <c r="CJ60" s="32">
        <v>0</v>
      </c>
      <c r="CK60" s="32">
        <v>0</v>
      </c>
      <c r="CL60" s="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240</v>
      </c>
    </row>
    <row r="4" spans="2:91" x14ac:dyDescent="0.25">
      <c r="B4" s="9" t="s">
        <v>241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81</v>
      </c>
      <c r="C6" s="24" t="s">
        <v>82</v>
      </c>
      <c r="D6" s="24" t="s">
        <v>83</v>
      </c>
      <c r="E6" s="27" t="s">
        <v>84</v>
      </c>
      <c r="F6" s="27" t="s">
        <v>85</v>
      </c>
      <c r="G6" s="27" t="s">
        <v>86</v>
      </c>
      <c r="H6" s="27" t="s">
        <v>87</v>
      </c>
      <c r="I6" s="27" t="s">
        <v>88</v>
      </c>
      <c r="J6" s="27" t="s">
        <v>89</v>
      </c>
      <c r="K6" s="27" t="s">
        <v>90</v>
      </c>
      <c r="L6" s="27" t="s">
        <v>91</v>
      </c>
      <c r="M6" s="27" t="s">
        <v>92</v>
      </c>
      <c r="N6" s="27" t="s">
        <v>93</v>
      </c>
      <c r="O6" s="27" t="s">
        <v>94</v>
      </c>
      <c r="P6" s="27" t="s">
        <v>95</v>
      </c>
      <c r="Q6" s="27" t="s">
        <v>96</v>
      </c>
      <c r="R6" s="27" t="s">
        <v>97</v>
      </c>
      <c r="S6" s="27" t="s">
        <v>98</v>
      </c>
      <c r="T6" s="27" t="s">
        <v>99</v>
      </c>
      <c r="U6" s="27" t="s">
        <v>100</v>
      </c>
      <c r="V6" s="27" t="s">
        <v>101</v>
      </c>
      <c r="W6" s="27" t="s">
        <v>102</v>
      </c>
      <c r="X6" s="27" t="s">
        <v>103</v>
      </c>
      <c r="Y6" s="27" t="s">
        <v>104</v>
      </c>
      <c r="Z6" s="27" t="s">
        <v>105</v>
      </c>
      <c r="AA6" s="27" t="s">
        <v>106</v>
      </c>
      <c r="AB6" s="27" t="s">
        <v>107</v>
      </c>
      <c r="AC6" s="27" t="s">
        <v>108</v>
      </c>
      <c r="AD6" s="27" t="s">
        <v>109</v>
      </c>
      <c r="AE6" s="27" t="s">
        <v>110</v>
      </c>
      <c r="AF6" s="27" t="s">
        <v>111</v>
      </c>
      <c r="AG6" s="27" t="s">
        <v>112</v>
      </c>
      <c r="AH6" s="27" t="s">
        <v>113</v>
      </c>
      <c r="AI6" s="27" t="s">
        <v>114</v>
      </c>
      <c r="AJ6" s="27" t="s">
        <v>115</v>
      </c>
      <c r="AK6" s="27" t="s">
        <v>116</v>
      </c>
      <c r="AL6" s="27" t="s">
        <v>117</v>
      </c>
      <c r="AM6" s="27" t="s">
        <v>118</v>
      </c>
      <c r="AN6" s="27" t="s">
        <v>119</v>
      </c>
      <c r="AO6" s="27" t="s">
        <v>120</v>
      </c>
      <c r="AP6" s="27" t="s">
        <v>121</v>
      </c>
      <c r="AQ6" s="27" t="s">
        <v>122</v>
      </c>
      <c r="AR6" s="27" t="s">
        <v>123</v>
      </c>
      <c r="AS6" s="27" t="s">
        <v>124</v>
      </c>
      <c r="AT6" s="27" t="s">
        <v>125</v>
      </c>
      <c r="AU6" s="27" t="s">
        <v>126</v>
      </c>
      <c r="AV6" s="27" t="s">
        <v>127</v>
      </c>
      <c r="AW6" s="27" t="s">
        <v>128</v>
      </c>
      <c r="AX6" s="27" t="s">
        <v>129</v>
      </c>
      <c r="AY6" s="27" t="s">
        <v>130</v>
      </c>
      <c r="AZ6" s="27" t="s">
        <v>131</v>
      </c>
      <c r="BA6" s="27" t="s">
        <v>132</v>
      </c>
      <c r="BB6" s="27" t="s">
        <v>133</v>
      </c>
      <c r="BC6" s="27" t="s">
        <v>134</v>
      </c>
      <c r="BD6" s="27" t="s">
        <v>135</v>
      </c>
      <c r="BE6" s="27" t="s">
        <v>136</v>
      </c>
      <c r="BF6" s="27" t="s">
        <v>137</v>
      </c>
      <c r="BG6" s="27" t="s">
        <v>138</v>
      </c>
      <c r="BH6" s="27" t="s">
        <v>139</v>
      </c>
      <c r="BI6" s="27" t="s">
        <v>140</v>
      </c>
      <c r="BJ6" s="27" t="s">
        <v>141</v>
      </c>
      <c r="BK6" s="27" t="s">
        <v>142</v>
      </c>
      <c r="BL6" s="27" t="s">
        <v>143</v>
      </c>
      <c r="BM6" s="27" t="s">
        <v>144</v>
      </c>
      <c r="BN6" s="27" t="s">
        <v>145</v>
      </c>
      <c r="BO6" s="27" t="s">
        <v>146</v>
      </c>
      <c r="BP6" s="27" t="s">
        <v>147</v>
      </c>
      <c r="BQ6" s="27" t="s">
        <v>148</v>
      </c>
      <c r="BR6" s="27" t="s">
        <v>149</v>
      </c>
      <c r="BS6" s="27" t="s">
        <v>150</v>
      </c>
      <c r="BT6" s="27" t="s">
        <v>151</v>
      </c>
      <c r="BU6" s="27" t="s">
        <v>152</v>
      </c>
      <c r="BV6" s="27" t="s">
        <v>153</v>
      </c>
      <c r="BW6" s="27" t="s">
        <v>154</v>
      </c>
      <c r="BX6" s="27" t="s">
        <v>155</v>
      </c>
      <c r="BY6" s="27" t="s">
        <v>156</v>
      </c>
      <c r="BZ6" s="27" t="s">
        <v>157</v>
      </c>
      <c r="CA6" s="27" t="s">
        <v>158</v>
      </c>
      <c r="CB6" s="27" t="s">
        <v>159</v>
      </c>
      <c r="CC6" s="27" t="s">
        <v>160</v>
      </c>
      <c r="CD6" s="27" t="s">
        <v>161</v>
      </c>
      <c r="CE6" s="27" t="s">
        <v>162</v>
      </c>
      <c r="CF6" s="27" t="s">
        <v>163</v>
      </c>
      <c r="CG6" s="27" t="s">
        <v>164</v>
      </c>
      <c r="CH6" s="27" t="s">
        <v>165</v>
      </c>
      <c r="CI6" s="27" t="s">
        <v>166</v>
      </c>
      <c r="CJ6" s="27" t="s">
        <v>167</v>
      </c>
      <c r="CK6" s="27" t="s">
        <v>168</v>
      </c>
      <c r="CL6" s="27" t="s">
        <v>169</v>
      </c>
    </row>
    <row r="9" spans="2:90" x14ac:dyDescent="0.25">
      <c r="B9" s="28" t="s">
        <v>242</v>
      </c>
      <c r="C9" s="29" t="s">
        <v>243</v>
      </c>
      <c r="D9" s="45">
        <f>SUM(E9:CL9)</f>
      </c>
      <c r="E9" s="46">
        <f>('입력값'!C7*'입력값'!C14*365)*MAX(0,1-'입력값'!C12/100*0)*(1-'입력값'!C13/100)*0</f>
      </c>
      <c r="F9" s="46">
        <f>('입력값'!C7*'입력값'!C14*365)*MAX(0,1-'입력값'!C12/100*0)*(1-'입력값'!C13/100)*0</f>
      </c>
      <c r="G9" s="46">
        <f>('입력값'!C7*'입력값'!C14*365)*MAX(0,1-'입력값'!C12/100*0)*(1-'입력값'!C13/100)*0</f>
      </c>
      <c r="H9" s="46">
        <f>('입력값'!C7*'입력값'!C14*365)*MAX(0,1-'입력값'!C12/100*0)*(1-'입력값'!C13/100)*0</f>
      </c>
      <c r="I9" s="46">
        <f>('입력값'!C7*'입력값'!C14*365)*MAX(0,1-'입력값'!C12/100*0)*(1-'입력값'!C13/100)*0</f>
      </c>
      <c r="J9" s="46">
        <f>('입력값'!C7*'입력값'!C14*365)*MAX(0,1-'입력값'!C12/100*0)*(1-'입력값'!C13/100)*0</f>
      </c>
      <c r="K9" s="46">
        <f>('입력값'!C7*'입력값'!C14*365)*MAX(0,1-'입력값'!C12/100*0)*(1-'입력값'!C13/100)*0.2347</f>
      </c>
      <c r="L9" s="46">
        <f>('입력값'!C7*'입력값'!C14*365)*MAX(0,1-'입력값'!C12/100*0)*(1-'입력값'!C13/100)*0.2397</f>
      </c>
      <c r="M9" s="46">
        <f>('입력값'!C7*'입력값'!C14*365)*MAX(0,1-'입력값'!C12/100*0)*(1-'입력값'!C13/100)*0.3057</f>
      </c>
      <c r="N9" s="46">
        <f>('입력값'!C7*'입력값'!C14*365)*MAX(0,1-'입력값'!C12/100*0)*(1-'입력값'!C13/100)*0.2199</f>
      </c>
      <c r="O9" s="46">
        <f>('입력값'!C7*'입력값'!C14*365)*MAX(0,1-'입력값'!C12/100*1)*(1-'입력값'!C13/100)*0.2347</f>
      </c>
      <c r="P9" s="46">
        <f>('입력값'!C7*'입력값'!C14*365)*MAX(0,1-'입력값'!C12/100*1)*(1-'입력값'!C13/100)*0.2397</f>
      </c>
      <c r="Q9" s="46">
        <f>('입력값'!C7*'입력값'!C14*365)*MAX(0,1-'입력값'!C12/100*1)*(1-'입력값'!C13/100)*0.3057</f>
      </c>
      <c r="R9" s="46">
        <f>('입력값'!C7*'입력값'!C14*365)*MAX(0,1-'입력값'!C12/100*1)*(1-'입력값'!C13/100)*0.2199</f>
      </c>
      <c r="S9" s="46">
        <f>('입력값'!C7*'입력값'!C14*365)*MAX(0,1-'입력값'!C12/100*2)*(1-'입력값'!C13/100)*0.2347</f>
      </c>
      <c r="T9" s="46">
        <f>('입력값'!C7*'입력값'!C14*365)*MAX(0,1-'입력값'!C12/100*2)*(1-'입력값'!C13/100)*0.2397</f>
      </c>
      <c r="U9" s="46">
        <f>('입력값'!C7*'입력값'!C14*365)*MAX(0,1-'입력값'!C12/100*2)*(1-'입력값'!C13/100)*0.3057</f>
      </c>
      <c r="V9" s="46">
        <f>('입력값'!C7*'입력값'!C14*365)*MAX(0,1-'입력값'!C12/100*2)*(1-'입력값'!C13/100)*0.2199</f>
      </c>
      <c r="W9" s="46">
        <f>('입력값'!C7*'입력값'!C14*365)*MAX(0,1-'입력값'!C12/100*3)*(1-'입력값'!C13/100)*0.2347</f>
      </c>
      <c r="X9" s="46">
        <f>('입력값'!C7*'입력값'!C14*365)*MAX(0,1-'입력값'!C12/100*3)*(1-'입력값'!C13/100)*0.2397</f>
      </c>
      <c r="Y9" s="46">
        <f>('입력값'!C7*'입력값'!C14*365)*MAX(0,1-'입력값'!C12/100*3)*(1-'입력값'!C13/100)*0.3057</f>
      </c>
      <c r="Z9" s="46">
        <f>('입력값'!C7*'입력값'!C14*365)*MAX(0,1-'입력값'!C12/100*3)*(1-'입력값'!C13/100)*0.2199</f>
      </c>
      <c r="AA9" s="46">
        <f>('입력값'!C7*'입력값'!C14*365)*MAX(0,1-'입력값'!C12/100*4)*(1-'입력값'!C13/100)*0.2347</f>
      </c>
      <c r="AB9" s="46">
        <f>('입력값'!C7*'입력값'!C14*365)*MAX(0,1-'입력값'!C12/100*4)*(1-'입력값'!C13/100)*0.2397</f>
      </c>
      <c r="AC9" s="46">
        <f>('입력값'!C7*'입력값'!C14*365)*MAX(0,1-'입력값'!C12/100*4)*(1-'입력값'!C13/100)*0.3057</f>
      </c>
      <c r="AD9" s="46">
        <f>('입력값'!C7*'입력값'!C14*365)*MAX(0,1-'입력값'!C12/100*4)*(1-'입력값'!C13/100)*0.2199</f>
      </c>
      <c r="AE9" s="46">
        <f>('입력값'!C7*'입력값'!C14*365)*MAX(0,1-'입력값'!C12/100*5)*(1-'입력값'!C13/100)*0.2347</f>
      </c>
      <c r="AF9" s="46">
        <f>('입력값'!C7*'입력값'!C14*365)*MAX(0,1-'입력값'!C12/100*5)*(1-'입력값'!C13/100)*0.2397</f>
      </c>
      <c r="AG9" s="46">
        <f>('입력값'!C7*'입력값'!C14*365)*MAX(0,1-'입력값'!C12/100*5)*(1-'입력값'!C13/100)*0.3057</f>
      </c>
      <c r="AH9" s="46">
        <f>('입력값'!C7*'입력값'!C14*365)*MAX(0,1-'입력값'!C12/100*5)*(1-'입력값'!C13/100)*0.2199</f>
      </c>
      <c r="AI9" s="46">
        <f>('입력값'!C7*'입력값'!C14*365)*MAX(0,1-'입력값'!C12/100*6)*(1-'입력값'!C13/100)*0.2347</f>
      </c>
      <c r="AJ9" s="46">
        <f>('입력값'!C7*'입력값'!C14*365)*MAX(0,1-'입력값'!C12/100*6)*(1-'입력값'!C13/100)*0.2397</f>
      </c>
      <c r="AK9" s="46">
        <f>('입력값'!C7*'입력값'!C14*365)*MAX(0,1-'입력값'!C12/100*6)*(1-'입력값'!C13/100)*0.3057</f>
      </c>
      <c r="AL9" s="46">
        <f>('입력값'!C7*'입력값'!C14*365)*MAX(0,1-'입력값'!C12/100*6)*(1-'입력값'!C13/100)*0.2199</f>
      </c>
      <c r="AM9" s="46">
        <f>('입력값'!C7*'입력값'!C14*365)*MAX(0,1-'입력값'!C12/100*7)*(1-'입력값'!C13/100)*0.2347</f>
      </c>
      <c r="AN9" s="46">
        <f>('입력값'!C7*'입력값'!C14*365)*MAX(0,1-'입력값'!C12/100*7)*(1-'입력값'!C13/100)*0.2397</f>
      </c>
      <c r="AO9" s="46">
        <f>('입력값'!C7*'입력값'!C14*365)*MAX(0,1-'입력값'!C12/100*7)*(1-'입력값'!C13/100)*0.3057</f>
      </c>
      <c r="AP9" s="46">
        <f>('입력값'!C7*'입력값'!C14*365)*MAX(0,1-'입력값'!C12/100*7)*(1-'입력값'!C13/100)*0.2199</f>
      </c>
      <c r="AQ9" s="46">
        <f>('입력값'!C7*'입력값'!C14*365)*MAX(0,1-'입력값'!C12/100*8)*(1-'입력값'!C13/100)*0.2347</f>
      </c>
      <c r="AR9" s="46">
        <f>('입력값'!C7*'입력값'!C14*365)*MAX(0,1-'입력값'!C12/100*8)*(1-'입력값'!C13/100)*0.2397</f>
      </c>
      <c r="AS9" s="46">
        <f>('입력값'!C7*'입력값'!C14*365)*MAX(0,1-'입력값'!C12/100*8)*(1-'입력값'!C13/100)*0.3057</f>
      </c>
      <c r="AT9" s="46">
        <f>('입력값'!C7*'입력값'!C14*365)*MAX(0,1-'입력값'!C12/100*8)*(1-'입력값'!C13/100)*0.2199</f>
      </c>
      <c r="AU9" s="46">
        <f>('입력값'!C7*'입력값'!C14*365)*MAX(0,1-'입력값'!C12/100*9)*(1-'입력값'!C13/100)*0.2347</f>
      </c>
      <c r="AV9" s="46">
        <f>('입력값'!C7*'입력값'!C14*365)*MAX(0,1-'입력값'!C12/100*9)*(1-'입력값'!C13/100)*0.2397</f>
      </c>
      <c r="AW9" s="46">
        <f>('입력값'!C7*'입력값'!C14*365)*MAX(0,1-'입력값'!C12/100*9)*(1-'입력값'!C13/100)*0.3057</f>
      </c>
      <c r="AX9" s="46">
        <f>('입력값'!C7*'입력값'!C14*365)*MAX(0,1-'입력값'!C12/100*9)*(1-'입력값'!C13/100)*0.2199</f>
      </c>
      <c r="AY9" s="46">
        <f>('입력값'!C7*'입력값'!C14*365)*MAX(0,1-'입력값'!C12/100*10)*(1-'입력값'!C13/100)*0.2347</f>
      </c>
      <c r="AZ9" s="46">
        <f>('입력값'!C7*'입력값'!C14*365)*MAX(0,1-'입력값'!C12/100*10)*(1-'입력값'!C13/100)*0.2397</f>
      </c>
      <c r="BA9" s="46">
        <f>('입력값'!C7*'입력값'!C14*365)*MAX(0,1-'입력값'!C12/100*10)*(1-'입력값'!C13/100)*0.3057</f>
      </c>
      <c r="BB9" s="46">
        <f>('입력값'!C7*'입력값'!C14*365)*MAX(0,1-'입력값'!C12/100*10)*(1-'입력값'!C13/100)*0.2199</f>
      </c>
      <c r="BC9" s="46">
        <f>('입력값'!C7*'입력값'!C14*365)*MAX(0,1-'입력값'!C12/100*11)*(1-'입력값'!C13/100)*0.2347</f>
      </c>
      <c r="BD9" s="46">
        <f>('입력값'!C7*'입력값'!C14*365)*MAX(0,1-'입력값'!C12/100*11)*(1-'입력값'!C13/100)*0.2397</f>
      </c>
      <c r="BE9" s="46">
        <f>('입력값'!C7*'입력값'!C14*365)*MAX(0,1-'입력값'!C12/100*11)*(1-'입력값'!C13/100)*0.3057</f>
      </c>
      <c r="BF9" s="46">
        <f>('입력값'!C7*'입력값'!C14*365)*MAX(0,1-'입력값'!C12/100*11)*(1-'입력값'!C13/100)*0.2199</f>
      </c>
      <c r="BG9" s="46">
        <f>('입력값'!C7*'입력값'!C14*365)*MAX(0,1-'입력값'!C12/100*12)*(1-'입력값'!C13/100)*0.2347</f>
      </c>
      <c r="BH9" s="46">
        <f>('입력값'!C7*'입력값'!C14*365)*MAX(0,1-'입력값'!C12/100*12)*(1-'입력값'!C13/100)*0.2397</f>
      </c>
      <c r="BI9" s="46">
        <f>('입력값'!C7*'입력값'!C14*365)*MAX(0,1-'입력값'!C12/100*12)*(1-'입력값'!C13/100)*0.3057</f>
      </c>
      <c r="BJ9" s="46">
        <f>('입력값'!C7*'입력값'!C14*365)*MAX(0,1-'입력값'!C12/100*12)*(1-'입력값'!C13/100)*0.2199</f>
      </c>
      <c r="BK9" s="46">
        <f>('입력값'!C7*'입력값'!C14*365)*MAX(0,1-'입력값'!C12/100*13)*(1-'입력값'!C13/100)*0.2347</f>
      </c>
      <c r="BL9" s="46">
        <f>('입력값'!C7*'입력값'!C14*365)*MAX(0,1-'입력값'!C12/100*13)*(1-'입력값'!C13/100)*0.2397</f>
      </c>
      <c r="BM9" s="46">
        <f>('입력값'!C7*'입력값'!C14*365)*MAX(0,1-'입력값'!C12/100*13)*(1-'입력값'!C13/100)*0.3057</f>
      </c>
      <c r="BN9" s="46">
        <f>('입력값'!C7*'입력값'!C14*365)*MAX(0,1-'입력값'!C12/100*13)*(1-'입력값'!C13/100)*0.2199</f>
      </c>
      <c r="BO9" s="46">
        <f>('입력값'!C7*'입력값'!C14*365)*MAX(0,1-'입력값'!C12/100*14)*(1-'입력값'!C13/100)*0.2347</f>
      </c>
      <c r="BP9" s="46">
        <f>('입력값'!C7*'입력값'!C14*365)*MAX(0,1-'입력값'!C12/100*14)*(1-'입력값'!C13/100)*0.2397</f>
      </c>
      <c r="BQ9" s="46">
        <f>('입력값'!C7*'입력값'!C14*365)*MAX(0,1-'입력값'!C12/100*14)*(1-'입력값'!C13/100)*0.3057</f>
      </c>
      <c r="BR9" s="46">
        <f>('입력값'!C7*'입력값'!C14*365)*MAX(0,1-'입력값'!C12/100*14)*(1-'입력값'!C13/100)*0.2199</f>
      </c>
      <c r="BS9" s="46">
        <f>('입력값'!C7*'입력값'!C14*365)*MAX(0,1-'입력값'!C12/100*15)*(1-'입력값'!C13/100)*0.2347</f>
      </c>
      <c r="BT9" s="46">
        <f>('입력값'!C7*'입력값'!C14*365)*MAX(0,1-'입력값'!C12/100*15)*(1-'입력값'!C13/100)*0.2397</f>
      </c>
      <c r="BU9" s="46">
        <f>('입력값'!C7*'입력값'!C14*365)*MAX(0,1-'입력값'!C12/100*15)*(1-'입력값'!C13/100)*0.3057</f>
      </c>
      <c r="BV9" s="46">
        <f>('입력값'!C7*'입력값'!C14*365)*MAX(0,1-'입력값'!C12/100*15)*(1-'입력값'!C13/100)*0.2199</f>
      </c>
      <c r="BW9" s="46">
        <f>('입력값'!C7*'입력값'!C14*365)*MAX(0,1-'입력값'!C12/100*16)*(1-'입력값'!C13/100)*0.2347</f>
      </c>
      <c r="BX9" s="46">
        <f>('입력값'!C7*'입력값'!C14*365)*MAX(0,1-'입력값'!C12/100*16)*(1-'입력값'!C13/100)*0.2397</f>
      </c>
      <c r="BY9" s="46">
        <f>('입력값'!C7*'입력값'!C14*365)*MAX(0,1-'입력값'!C12/100*16)*(1-'입력값'!C13/100)*0.3057</f>
      </c>
      <c r="BZ9" s="46">
        <f>('입력값'!C7*'입력값'!C14*365)*MAX(0,1-'입력값'!C12/100*16)*(1-'입력값'!C13/100)*0.2199</f>
      </c>
      <c r="CA9" s="46">
        <f>('입력값'!C7*'입력값'!C14*365)*MAX(0,1-'입력값'!C12/100*17)*(1-'입력값'!C13/100)*0.2347</f>
      </c>
      <c r="CB9" s="46">
        <f>('입력값'!C7*'입력값'!C14*365)*MAX(0,1-'입력값'!C12/100*17)*(1-'입력값'!C13/100)*0.2397</f>
      </c>
      <c r="CC9" s="46">
        <f>('입력값'!C7*'입력값'!C14*365)*MAX(0,1-'입력값'!C12/100*17)*(1-'입력값'!C13/100)*0.3057</f>
      </c>
      <c r="CD9" s="46">
        <f>('입력값'!C7*'입력값'!C14*365)*MAX(0,1-'입력값'!C12/100*17)*(1-'입력값'!C13/100)*0.2199</f>
      </c>
      <c r="CE9" s="46">
        <f>('입력값'!C7*'입력값'!C14*365)*MAX(0,1-'입력값'!C12/100*18)*(1-'입력값'!C13/100)*0.2347</f>
      </c>
      <c r="CF9" s="46">
        <f>('입력값'!C7*'입력값'!C14*365)*MAX(0,1-'입력값'!C12/100*18)*(1-'입력값'!C13/100)*0.2397</f>
      </c>
      <c r="CG9" s="46">
        <f>('입력값'!C7*'입력값'!C14*365)*MAX(0,1-'입력값'!C12/100*18)*(1-'입력값'!C13/100)*0.3057</f>
      </c>
      <c r="CH9" s="46">
        <f>('입력값'!C7*'입력값'!C14*365)*MAX(0,1-'입력값'!C12/100*18)*(1-'입력값'!C13/100)*0.2199</f>
      </c>
      <c r="CI9" s="46">
        <f>('입력값'!C7*'입력값'!C14*365)*MAX(0,1-'입력값'!C12/100*19)*(1-'입력값'!C13/100)*0.2347</f>
      </c>
      <c r="CJ9" s="46">
        <f>('입력값'!C7*'입력값'!C14*365)*MAX(0,1-'입력값'!C12/100*19)*(1-'입력값'!C13/100)*0.2397</f>
      </c>
      <c r="CK9" s="46">
        <f>('입력값'!C7*'입력값'!C14*365)*MAX(0,1-'입력값'!C12/100*19)*(1-'입력값'!C13/100)*0.3057</f>
      </c>
      <c r="CL9" s="46">
        <f>('입력값'!C7*'입력값'!C14*365)*MAX(0,1-'입력값'!C12/100*19)*(1-'입력값'!C13/100)*0.2199</f>
      </c>
    </row>
    <row r="10" spans="2:90" x14ac:dyDescent="0.25">
      <c r="B10" s="28" t="s">
        <v>244</v>
      </c>
      <c r="C10" s="29" t="s">
        <v>203</v>
      </c>
      <c r="E10" s="31"/>
      <c r="F10" s="31"/>
      <c r="G10" s="31"/>
      <c r="H10" s="31"/>
      <c r="I10" s="31"/>
      <c r="J10" s="31"/>
      <c r="K10" s="31">
        <f>'입력값'!K80</f>
      </c>
      <c r="L10" s="31">
        <f>'입력값'!L80</f>
      </c>
      <c r="M10" s="31">
        <f>'입력값'!M80</f>
      </c>
      <c r="N10" s="31">
        <f>'입력값'!N80</f>
      </c>
      <c r="O10" s="31">
        <f>'입력값'!O80</f>
      </c>
      <c r="P10" s="31">
        <f>'입력값'!P80</f>
      </c>
      <c r="Q10" s="31">
        <f>'입력값'!Q80</f>
      </c>
      <c r="R10" s="31">
        <f>'입력값'!R80</f>
      </c>
      <c r="S10" s="31">
        <f>'입력값'!S80</f>
      </c>
      <c r="T10" s="31">
        <f>'입력값'!T80</f>
      </c>
      <c r="U10" s="31">
        <f>'입력값'!U80</f>
      </c>
      <c r="V10" s="31">
        <f>'입력값'!V80</f>
      </c>
      <c r="W10" s="31">
        <f>'입력값'!W80</f>
      </c>
      <c r="X10" s="31">
        <f>'입력값'!X80</f>
      </c>
      <c r="Y10" s="31">
        <f>'입력값'!Y80</f>
      </c>
      <c r="Z10" s="31">
        <f>'입력값'!Z80</f>
      </c>
      <c r="AA10" s="31">
        <f>'입력값'!AA80</f>
      </c>
      <c r="AB10" s="31">
        <f>'입력값'!AB80</f>
      </c>
      <c r="AC10" s="31">
        <f>'입력값'!AC80</f>
      </c>
      <c r="AD10" s="31">
        <f>'입력값'!AD80</f>
      </c>
      <c r="AE10" s="31">
        <f>'입력값'!AE80</f>
      </c>
      <c r="AF10" s="31">
        <f>'입력값'!AF80</f>
      </c>
      <c r="AG10" s="31">
        <f>'입력값'!AG80</f>
      </c>
      <c r="AH10" s="31">
        <f>'입력값'!AH80</f>
      </c>
      <c r="AI10" s="31">
        <f>'입력값'!AI80</f>
      </c>
      <c r="AJ10" s="31">
        <f>'입력값'!AJ80</f>
      </c>
      <c r="AK10" s="31">
        <f>'입력값'!AK80</f>
      </c>
      <c r="AL10" s="31">
        <f>'입력값'!AL80</f>
      </c>
      <c r="AM10" s="31">
        <f>'입력값'!AM80</f>
      </c>
      <c r="AN10" s="31">
        <f>'입력값'!AN80</f>
      </c>
      <c r="AO10" s="31">
        <f>'입력값'!AO80</f>
      </c>
      <c r="AP10" s="31">
        <f>'입력값'!AP80</f>
      </c>
      <c r="AQ10" s="31">
        <f>'입력값'!AQ80</f>
      </c>
      <c r="AR10" s="31">
        <f>'입력값'!AR80</f>
      </c>
      <c r="AS10" s="31">
        <f>'입력값'!AS80</f>
      </c>
      <c r="AT10" s="31">
        <f>'입력값'!AT80</f>
      </c>
      <c r="AU10" s="31">
        <f>'입력값'!AU80</f>
      </c>
      <c r="AV10" s="31">
        <f>'입력값'!AV80</f>
      </c>
      <c r="AW10" s="31">
        <f>'입력값'!AW80</f>
      </c>
      <c r="AX10" s="31">
        <f>'입력값'!AX80</f>
      </c>
      <c r="AY10" s="31">
        <f>'입력값'!AY80</f>
      </c>
      <c r="AZ10" s="31">
        <f>'입력값'!AZ80</f>
      </c>
      <c r="BA10" s="31">
        <f>'입력값'!BA80</f>
      </c>
      <c r="BB10" s="31">
        <f>'입력값'!BB80</f>
      </c>
      <c r="BC10" s="31">
        <f>'입력값'!BC80</f>
      </c>
      <c r="BD10" s="31">
        <f>'입력값'!BD80</f>
      </c>
      <c r="BE10" s="31">
        <f>'입력값'!BE80</f>
      </c>
      <c r="BF10" s="31">
        <f>'입력값'!BF80</f>
      </c>
      <c r="BG10" s="31">
        <f>'입력값'!BG80</f>
      </c>
      <c r="BH10" s="31">
        <f>'입력값'!BH80</f>
      </c>
      <c r="BI10" s="31">
        <f>'입력값'!BI80</f>
      </c>
      <c r="BJ10" s="31">
        <f>'입력값'!BJ80</f>
      </c>
      <c r="BK10" s="31">
        <f>'입력값'!BK80</f>
      </c>
      <c r="BL10" s="31">
        <f>'입력값'!BL80</f>
      </c>
      <c r="BM10" s="31">
        <f>'입력값'!BM80</f>
      </c>
      <c r="BN10" s="31">
        <f>'입력값'!BN80</f>
      </c>
      <c r="BO10" s="31">
        <f>'입력값'!BO80</f>
      </c>
      <c r="BP10" s="31">
        <f>'입력값'!BP80</f>
      </c>
      <c r="BQ10" s="31">
        <f>'입력값'!BQ80</f>
      </c>
      <c r="BR10" s="31">
        <f>'입력값'!BR80</f>
      </c>
      <c r="BS10" s="31">
        <f>'입력값'!BS80</f>
      </c>
      <c r="BT10" s="31">
        <f>'입력값'!BT80</f>
      </c>
      <c r="BU10" s="31">
        <f>'입력값'!BU80</f>
      </c>
      <c r="BV10" s="31">
        <f>'입력값'!BV80</f>
      </c>
      <c r="BW10" s="31">
        <f>'입력값'!BW80</f>
      </c>
      <c r="BX10" s="31">
        <f>'입력값'!BX80</f>
      </c>
      <c r="BY10" s="31">
        <f>'입력값'!BY80</f>
      </c>
      <c r="BZ10" s="31">
        <f>'입력값'!BZ80</f>
      </c>
      <c r="CA10" s="31">
        <f>'입력값'!CA80</f>
      </c>
      <c r="CB10" s="31">
        <f>'입력값'!CB80</f>
      </c>
      <c r="CC10" s="31">
        <f>'입력값'!CC80</f>
      </c>
      <c r="CD10" s="31">
        <f>'입력값'!CD80</f>
      </c>
      <c r="CE10" s="31">
        <f>'입력값'!CE80</f>
      </c>
      <c r="CF10" s="31">
        <f>'입력값'!CF80</f>
      </c>
      <c r="CG10" s="31">
        <f>'입력값'!CG80</f>
      </c>
      <c r="CH10" s="31">
        <f>'입력값'!CH80</f>
      </c>
      <c r="CI10" s="31">
        <f>'입력값'!CI80</f>
      </c>
      <c r="CJ10" s="31">
        <f>'입력값'!CJ80</f>
      </c>
      <c r="CK10" s="31">
        <f>'입력값'!CK80</f>
      </c>
      <c r="CL10" s="31">
        <f>'입력값'!CL80</f>
      </c>
    </row>
    <row r="12" spans="2:91" x14ac:dyDescent="0.25">
      <c r="B12" s="40" t="s">
        <v>245</v>
      </c>
      <c r="C12" s="44" t="s">
        <v>205</v>
      </c>
      <c r="D12" s="39">
        <f>SUM(E12:CL12)</f>
      </c>
      <c r="E12" s="39">
        <v>0</v>
      </c>
      <c r="F12" s="39">
        <v>0</v>
      </c>
      <c r="G12" s="39">
        <v>0</v>
      </c>
      <c r="H12" s="39">
        <v>0</v>
      </c>
      <c r="I12" s="39">
        <v>0</v>
      </c>
      <c r="J12" s="39">
        <v>0</v>
      </c>
      <c r="K12" s="39">
        <f>K9*K10/1000</f>
      </c>
      <c r="L12" s="39">
        <f>L9*L10/1000</f>
      </c>
      <c r="M12" s="39">
        <f>M9*M10/1000</f>
      </c>
      <c r="N12" s="39">
        <f>N9*N10/1000</f>
      </c>
      <c r="O12" s="39">
        <f>O9*O10/1000</f>
      </c>
      <c r="P12" s="39">
        <f>P9*P10/1000</f>
      </c>
      <c r="Q12" s="39">
        <f>Q9*Q10/1000</f>
      </c>
      <c r="R12" s="39">
        <f>R9*R10/1000</f>
      </c>
      <c r="S12" s="39">
        <f>S9*S10/1000</f>
      </c>
      <c r="T12" s="39">
        <f>T9*T10/1000</f>
      </c>
      <c r="U12" s="39">
        <f>U9*U10/1000</f>
      </c>
      <c r="V12" s="39">
        <f>V9*V10/1000</f>
      </c>
      <c r="W12" s="39">
        <f>W9*W10/1000</f>
      </c>
      <c r="X12" s="39">
        <f>X9*X10/1000</f>
      </c>
      <c r="Y12" s="39">
        <f>Y9*Y10/1000</f>
      </c>
      <c r="Z12" s="39">
        <f>Z9*Z10/1000</f>
      </c>
      <c r="AA12" s="39">
        <f>AA9*AA10/1000</f>
      </c>
      <c r="AB12" s="39">
        <f>AB9*AB10/1000</f>
      </c>
      <c r="AC12" s="39">
        <f>AC9*AC10/1000</f>
      </c>
      <c r="AD12" s="39">
        <f>AD9*AD10/1000</f>
      </c>
      <c r="AE12" s="39">
        <f>AE9*AE10/1000</f>
      </c>
      <c r="AF12" s="39">
        <f>AF9*AF10/1000</f>
      </c>
      <c r="AG12" s="39">
        <f>AG9*AG10/1000</f>
      </c>
      <c r="AH12" s="39">
        <f>AH9*AH10/1000</f>
      </c>
      <c r="AI12" s="39">
        <f>AI9*AI10/1000</f>
      </c>
      <c r="AJ12" s="39">
        <f>AJ9*AJ10/1000</f>
      </c>
      <c r="AK12" s="39">
        <f>AK9*AK10/1000</f>
      </c>
      <c r="AL12" s="39">
        <f>AL9*AL10/1000</f>
      </c>
      <c r="AM12" s="39">
        <f>AM9*AM10/1000</f>
      </c>
      <c r="AN12" s="39">
        <f>AN9*AN10/1000</f>
      </c>
      <c r="AO12" s="39">
        <f>AO9*AO10/1000</f>
      </c>
      <c r="AP12" s="39">
        <f>AP9*AP10/1000</f>
      </c>
      <c r="AQ12" s="39">
        <f>AQ9*AQ10/1000</f>
      </c>
      <c r="AR12" s="39">
        <f>AR9*AR10/1000</f>
      </c>
      <c r="AS12" s="39">
        <f>AS9*AS10/1000</f>
      </c>
      <c r="AT12" s="39">
        <f>AT9*AT10/1000</f>
      </c>
      <c r="AU12" s="39">
        <f>AU9*AU10/1000</f>
      </c>
      <c r="AV12" s="39">
        <f>AV9*AV10/1000</f>
      </c>
      <c r="AW12" s="39">
        <f>AW9*AW10/1000</f>
      </c>
      <c r="AX12" s="39">
        <f>AX9*AX10/1000</f>
      </c>
      <c r="AY12" s="39">
        <f>AY9*AY10/1000</f>
      </c>
      <c r="AZ12" s="39">
        <f>AZ9*AZ10/1000</f>
      </c>
      <c r="BA12" s="39">
        <f>BA9*BA10/1000</f>
      </c>
      <c r="BB12" s="39">
        <f>BB9*BB10/1000</f>
      </c>
      <c r="BC12" s="39">
        <f>BC9*BC10/1000</f>
      </c>
      <c r="BD12" s="39">
        <f>BD9*BD10/1000</f>
      </c>
      <c r="BE12" s="39">
        <f>BE9*BE10/1000</f>
      </c>
      <c r="BF12" s="39">
        <f>BF9*BF10/1000</f>
      </c>
      <c r="BG12" s="39">
        <f>BG9*BG10/1000</f>
      </c>
      <c r="BH12" s="39">
        <f>BH9*BH10/1000</f>
      </c>
      <c r="BI12" s="39">
        <f>BI9*BI10/1000</f>
      </c>
      <c r="BJ12" s="39">
        <f>BJ9*BJ10/1000</f>
      </c>
      <c r="BK12" s="39">
        <f>BK9*BK10/1000</f>
      </c>
      <c r="BL12" s="39">
        <f>BL9*BL10/1000</f>
      </c>
      <c r="BM12" s="39">
        <f>BM9*BM10/1000</f>
      </c>
      <c r="BN12" s="39">
        <f>BN9*BN10/1000</f>
      </c>
      <c r="BO12" s="39">
        <f>BO9*BO10/1000</f>
      </c>
      <c r="BP12" s="39">
        <f>BP9*BP10/1000</f>
      </c>
      <c r="BQ12" s="39">
        <f>BQ9*BQ10/1000</f>
      </c>
      <c r="BR12" s="39">
        <f>BR9*BR10/1000</f>
      </c>
      <c r="BS12" s="39">
        <f>BS9*BS10/1000</f>
      </c>
      <c r="BT12" s="39">
        <f>BT9*BT10/1000</f>
      </c>
      <c r="BU12" s="39">
        <f>BU9*BU10/1000</f>
      </c>
      <c r="BV12" s="39">
        <f>BV9*BV10/1000</f>
      </c>
      <c r="BW12" s="39">
        <f>BW9*BW10/1000</f>
      </c>
      <c r="BX12" s="39">
        <f>BX9*BX10/1000</f>
      </c>
      <c r="BY12" s="39">
        <f>BY9*BY10/1000</f>
      </c>
      <c r="BZ12" s="39">
        <f>BZ9*BZ10/1000</f>
      </c>
      <c r="CA12" s="39">
        <f>CA9*CA10/1000</f>
      </c>
      <c r="CB12" s="39">
        <f>CB9*CB10/1000</f>
      </c>
      <c r="CC12" s="39">
        <f>CC9*CC10/1000</f>
      </c>
      <c r="CD12" s="39">
        <f>CD9*CD10/1000</f>
      </c>
      <c r="CE12" s="39">
        <f>CE9*CE10/1000</f>
      </c>
      <c r="CF12" s="39">
        <f>CF9*CF10/1000</f>
      </c>
      <c r="CG12" s="39">
        <f>CG9*CG10/1000</f>
      </c>
      <c r="CH12" s="39">
        <f>CH9*CH10/1000</f>
      </c>
      <c r="CI12" s="39">
        <f>CI9*CI10/1000</f>
      </c>
      <c r="CJ12" s="39">
        <f>CJ9*CJ10/1000</f>
      </c>
      <c r="CK12" s="39">
        <f>CK9*CK10/1000</f>
      </c>
      <c r="CL12" s="39">
        <f>CL9*CL10/1000</f>
      </c>
      <c r="CM12" s="41"/>
    </row>
    <row r="14" spans="2:2" x14ac:dyDescent="0.25">
      <c r="B14" s="33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247</v>
      </c>
    </row>
    <row r="4" spans="2:91" x14ac:dyDescent="0.25">
      <c r="B4" s="9" t="s">
        <v>248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81</v>
      </c>
      <c r="C6" s="24" t="s">
        <v>82</v>
      </c>
      <c r="D6" s="24" t="s">
        <v>83</v>
      </c>
      <c r="E6" s="27" t="s">
        <v>84</v>
      </c>
      <c r="F6" s="27" t="s">
        <v>85</v>
      </c>
      <c r="G6" s="27" t="s">
        <v>86</v>
      </c>
      <c r="H6" s="27" t="s">
        <v>87</v>
      </c>
      <c r="I6" s="27" t="s">
        <v>88</v>
      </c>
      <c r="J6" s="27" t="s">
        <v>89</v>
      </c>
      <c r="K6" s="27" t="s">
        <v>90</v>
      </c>
      <c r="L6" s="27" t="s">
        <v>91</v>
      </c>
      <c r="M6" s="27" t="s">
        <v>92</v>
      </c>
      <c r="N6" s="27" t="s">
        <v>93</v>
      </c>
      <c r="O6" s="27" t="s">
        <v>94</v>
      </c>
      <c r="P6" s="27" t="s">
        <v>95</v>
      </c>
      <c r="Q6" s="27" t="s">
        <v>96</v>
      </c>
      <c r="R6" s="27" t="s">
        <v>97</v>
      </c>
      <c r="S6" s="27" t="s">
        <v>98</v>
      </c>
      <c r="T6" s="27" t="s">
        <v>99</v>
      </c>
      <c r="U6" s="27" t="s">
        <v>100</v>
      </c>
      <c r="V6" s="27" t="s">
        <v>101</v>
      </c>
      <c r="W6" s="27" t="s">
        <v>102</v>
      </c>
      <c r="X6" s="27" t="s">
        <v>103</v>
      </c>
      <c r="Y6" s="27" t="s">
        <v>104</v>
      </c>
      <c r="Z6" s="27" t="s">
        <v>105</v>
      </c>
      <c r="AA6" s="27" t="s">
        <v>106</v>
      </c>
      <c r="AB6" s="27" t="s">
        <v>107</v>
      </c>
      <c r="AC6" s="27" t="s">
        <v>108</v>
      </c>
      <c r="AD6" s="27" t="s">
        <v>109</v>
      </c>
      <c r="AE6" s="27" t="s">
        <v>110</v>
      </c>
      <c r="AF6" s="27" t="s">
        <v>111</v>
      </c>
      <c r="AG6" s="27" t="s">
        <v>112</v>
      </c>
      <c r="AH6" s="27" t="s">
        <v>113</v>
      </c>
      <c r="AI6" s="27" t="s">
        <v>114</v>
      </c>
      <c r="AJ6" s="27" t="s">
        <v>115</v>
      </c>
      <c r="AK6" s="27" t="s">
        <v>116</v>
      </c>
      <c r="AL6" s="27" t="s">
        <v>117</v>
      </c>
      <c r="AM6" s="27" t="s">
        <v>118</v>
      </c>
      <c r="AN6" s="27" t="s">
        <v>119</v>
      </c>
      <c r="AO6" s="27" t="s">
        <v>120</v>
      </c>
      <c r="AP6" s="27" t="s">
        <v>121</v>
      </c>
      <c r="AQ6" s="27" t="s">
        <v>122</v>
      </c>
      <c r="AR6" s="27" t="s">
        <v>123</v>
      </c>
      <c r="AS6" s="27" t="s">
        <v>124</v>
      </c>
      <c r="AT6" s="27" t="s">
        <v>125</v>
      </c>
      <c r="AU6" s="27" t="s">
        <v>126</v>
      </c>
      <c r="AV6" s="27" t="s">
        <v>127</v>
      </c>
      <c r="AW6" s="27" t="s">
        <v>128</v>
      </c>
      <c r="AX6" s="27" t="s">
        <v>129</v>
      </c>
      <c r="AY6" s="27" t="s">
        <v>130</v>
      </c>
      <c r="AZ6" s="27" t="s">
        <v>131</v>
      </c>
      <c r="BA6" s="27" t="s">
        <v>132</v>
      </c>
      <c r="BB6" s="27" t="s">
        <v>133</v>
      </c>
      <c r="BC6" s="27" t="s">
        <v>134</v>
      </c>
      <c r="BD6" s="27" t="s">
        <v>135</v>
      </c>
      <c r="BE6" s="27" t="s">
        <v>136</v>
      </c>
      <c r="BF6" s="27" t="s">
        <v>137</v>
      </c>
      <c r="BG6" s="27" t="s">
        <v>138</v>
      </c>
      <c r="BH6" s="27" t="s">
        <v>139</v>
      </c>
      <c r="BI6" s="27" t="s">
        <v>140</v>
      </c>
      <c r="BJ6" s="27" t="s">
        <v>141</v>
      </c>
      <c r="BK6" s="27" t="s">
        <v>142</v>
      </c>
      <c r="BL6" s="27" t="s">
        <v>143</v>
      </c>
      <c r="BM6" s="27" t="s">
        <v>144</v>
      </c>
      <c r="BN6" s="27" t="s">
        <v>145</v>
      </c>
      <c r="BO6" s="27" t="s">
        <v>146</v>
      </c>
      <c r="BP6" s="27" t="s">
        <v>147</v>
      </c>
      <c r="BQ6" s="27" t="s">
        <v>148</v>
      </c>
      <c r="BR6" s="27" t="s">
        <v>149</v>
      </c>
      <c r="BS6" s="27" t="s">
        <v>150</v>
      </c>
      <c r="BT6" s="27" t="s">
        <v>151</v>
      </c>
      <c r="BU6" s="27" t="s">
        <v>152</v>
      </c>
      <c r="BV6" s="27" t="s">
        <v>153</v>
      </c>
      <c r="BW6" s="27" t="s">
        <v>154</v>
      </c>
      <c r="BX6" s="27" t="s">
        <v>155</v>
      </c>
      <c r="BY6" s="27" t="s">
        <v>156</v>
      </c>
      <c r="BZ6" s="27" t="s">
        <v>157</v>
      </c>
      <c r="CA6" s="27" t="s">
        <v>158</v>
      </c>
      <c r="CB6" s="27" t="s">
        <v>159</v>
      </c>
      <c r="CC6" s="27" t="s">
        <v>160</v>
      </c>
      <c r="CD6" s="27" t="s">
        <v>161</v>
      </c>
      <c r="CE6" s="27" t="s">
        <v>162</v>
      </c>
      <c r="CF6" s="27" t="s">
        <v>163</v>
      </c>
      <c r="CG6" s="27" t="s">
        <v>164</v>
      </c>
      <c r="CH6" s="27" t="s">
        <v>165</v>
      </c>
      <c r="CI6" s="27" t="s">
        <v>166</v>
      </c>
      <c r="CJ6" s="27" t="s">
        <v>167</v>
      </c>
      <c r="CK6" s="27" t="s">
        <v>168</v>
      </c>
      <c r="CL6" s="27" t="s">
        <v>169</v>
      </c>
    </row>
    <row r="8" spans="2:2" x14ac:dyDescent="0.25">
      <c r="B8" s="42" t="s">
        <v>249</v>
      </c>
    </row>
    <row r="9" spans="2:90" x14ac:dyDescent="0.25">
      <c r="B9" s="28" t="s">
        <v>250</v>
      </c>
      <c r="C9" s="29" t="s">
        <v>205</v>
      </c>
      <c r="D9" s="32">
        <f>SUM(E9:CL9)</f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K81+'입력값'!K82)*('입력값'!C62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L9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L81+'입력값'!L82)*('입력값'!C62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M9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M81+'입력값'!M82)*('입력값'!C62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N9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N81+'입력값'!N82)*('입력값'!C62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O9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O81+'입력값'!O82)*('입력값'!C62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P9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P81+'입력값'!P82)*('입력값'!C62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Q9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Q81+'입력값'!Q82)*('입력값'!C62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R9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R81+'입력값'!R82)*('입력값'!C62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S9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S81+'입력값'!S82)*('입력값'!C62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T9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T81+'입력값'!T82)*('입력값'!C62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U9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U81+'입력값'!U82)*('입력값'!C62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V9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V81+'입력값'!V82)*('입력값'!C62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W9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W81+'입력값'!W82)*('입력값'!C62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X9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X81+'입력값'!X82)*('입력값'!C62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Y9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Y81+'입력값'!Y82)*('입력값'!C62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Z9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Z81+'입력값'!Z82)*('입력값'!C62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AA9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A81+'입력값'!AA82)*('입력값'!C62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B9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B81+'입력값'!AB82)*('입력값'!C62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C9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C81+'입력값'!AC82)*('입력값'!C62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D9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D81+'입력값'!AD82)*('입력값'!C62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E9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E81+'입력값'!AE82)*('입력값'!C62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F9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F81+'입력값'!AF82)*('입력값'!C62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G9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G81+'입력값'!AG82)*('입력값'!C62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H9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H81+'입력값'!AH82)*('입력값'!C62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I9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I81+'입력값'!AI82)*('입력값'!C62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J9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J81+'입력값'!AJ82)*('입력값'!C62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K9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K81+'입력값'!AK82)*('입력값'!C62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L9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L81+'입력값'!AL82)*('입력값'!C62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M9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M81+'입력값'!AM82)*('입력값'!C62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N9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N81+'입력값'!AN82)*('입력값'!C62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O9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O81+'입력값'!AO82)*('입력값'!C62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P9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P81+'입력값'!AP82)*('입력값'!C62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Q9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Q81+'입력값'!AQ82)*('입력값'!C62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R9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R81+'입력값'!AR82)*('입력값'!C62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S9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S81+'입력값'!AS82)*('입력값'!C62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T9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T81+'입력값'!AT82)*('입력값'!C62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U9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U81+'입력값'!AU82)*('입력값'!C62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V9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V81+'입력값'!AV82)*('입력값'!C62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W9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W81+'입력값'!AW82)*('입력값'!C62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X9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X81+'입력값'!AX82)*('입력값'!C62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Y9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Y81+'입력값'!AY82)*('입력값'!C62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AZ9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Z81+'입력값'!AZ82)*('입력값'!C62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A9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A81+'입력값'!BA82)*('입력값'!C62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B9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B81+'입력값'!BB82)*('입력값'!C62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C9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C81+'입력값'!BC82)*('입력값'!C62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D9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D81+'입력값'!BD82)*('입력값'!C62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E9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E81+'입력값'!BE82)*('입력값'!C62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F9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F81+'입력값'!BF82)*('입력값'!C62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G9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G81+'입력값'!BG82)*('입력값'!C62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H9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H81+'입력값'!BH82)*('입력값'!C62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I9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I81+'입력값'!BI82)*('입력값'!C62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J9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J81+'입력값'!BJ82)*('입력값'!C62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K9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K81+'입력값'!BK82)*('입력값'!C62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L9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L81+'입력값'!BL82)*('입력값'!C62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M9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M81+'입력값'!BM82)*('입력값'!C62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N9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N81+'입력값'!BN82)*('입력값'!C62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O9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O81+'입력값'!BO82)*('입력값'!C62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P9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P81+'입력값'!BP82)*('입력값'!C62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Q9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Q81+'입력값'!BQ82)*('입력값'!C62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R9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R81+'입력값'!BR82)*('입력값'!C62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S9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S81+'입력값'!BS82)*('입력값'!C62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T9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T81+'입력값'!BT82)*('입력값'!C62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U9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U81+'입력값'!BU82)*('입력값'!C62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V9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V81+'입력값'!BV82)*('입력값'!C62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W9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W81+'입력값'!BW82)*('입력값'!C62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X9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X81+'입력값'!BX82)*('입력값'!C62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Y9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Y81+'입력값'!BY82)*('입력값'!C62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Z9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Z81+'입력값'!BZ82)*('입력값'!C62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CA9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A81+'입력값'!CA82)*('입력값'!C62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B9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B81+'입력값'!CB82)*('입력값'!C62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C9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C81+'입력값'!CC82)*('입력값'!C62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D9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D81+'입력값'!CD82)*('입력값'!C62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E9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E81+'입력값'!CE82)*('입력값'!C62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F9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F81+'입력값'!CF82)*('입력값'!C62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G9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G81+'입력값'!CG82)*('입력값'!C62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H9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H81+'입력값'!CH82)*('입력값'!C62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I9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I81+'입력값'!CI82)*('입력값'!C62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J9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J81+'입력값'!CJ82)*('입력값'!C62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K9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K81+'입력값'!CK82)*('입력값'!C62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L9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L81+'입력값'!CL82)*('입력값'!C62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</row>
    <row r="10" spans="2:90" x14ac:dyDescent="0.25">
      <c r="B10" s="28" t="s">
        <v>251</v>
      </c>
      <c r="C10" s="29" t="s">
        <v>205</v>
      </c>
      <c r="D10" s="32">
        <f>SUM(E10:CL10)</f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K81+'입력값'!K82)*('입력값'!C63*100*(3/12)*(1+'입력값'!D63/100)^0)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L10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L81+'입력값'!L82)*('입력값'!C63*100*(3/12)*(1+'입력값'!D63/100)^0)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M10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M81+'입력값'!M82)*('입력값'!C63*100*(3/12)*(1+'입력값'!D63/100)^0)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N10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N81+'입력값'!N82)*('입력값'!C63*100*(3/12)*(1+'입력값'!D63/100)^0)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O10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O81+'입력값'!O82)*('입력값'!C63*100*(3/12)*(1+'입력값'!D63/100)^1)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P10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P81+'입력값'!P82)*('입력값'!C63*100*(3/12)*(1+'입력값'!D63/100)^1)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Q10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Q81+'입력값'!Q82)*('입력값'!C63*100*(3/12)*(1+'입력값'!D63/100)^1)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R10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R81+'입력값'!R82)*('입력값'!C63*100*(3/12)*(1+'입력값'!D63/100)^1)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S10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S81+'입력값'!S82)*('입력값'!C63*100*(3/12)*(1+'입력값'!D63/100)^2)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T10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T81+'입력값'!T82)*('입력값'!C63*100*(3/12)*(1+'입력값'!D63/100)^2)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U10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U81+'입력값'!U82)*('입력값'!C63*100*(3/12)*(1+'입력값'!D63/100)^2)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V10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V81+'입력값'!V82)*('입력값'!C63*100*(3/12)*(1+'입력값'!D63/100)^2)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W10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W81+'입력값'!W82)*('입력값'!C63*100*(3/12)*(1+'입력값'!D63/100)^3)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X10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X81+'입력값'!X82)*('입력값'!C63*100*(3/12)*(1+'입력값'!D63/100)^3)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Y10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Y81+'입력값'!Y82)*('입력값'!C63*100*(3/12)*(1+'입력값'!D63/100)^3)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Z10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Z81+'입력값'!Z82)*('입력값'!C63*100*(3/12)*(1+'입력값'!D63/100)^3)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AA10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A81+'입력값'!AA82)*('입력값'!C63*100*(3/12)*(1+'입력값'!D63/100)^4)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B10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B81+'입력값'!AB82)*('입력값'!C63*100*(3/12)*(1+'입력값'!D63/100)^4)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C10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C81+'입력값'!AC82)*('입력값'!C63*100*(3/12)*(1+'입력값'!D63/100)^4)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D10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D81+'입력값'!AD82)*('입력값'!C63*100*(3/12)*(1+'입력값'!D63/100)^4)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E10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E81+'입력값'!AE82)*('입력값'!C63*100*(3/12)*(1+'입력값'!D63/100)^5)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F10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F81+'입력값'!AF82)*('입력값'!C63*100*(3/12)*(1+'입력값'!D63/100)^5)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G10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G81+'입력값'!AG82)*('입력값'!C63*100*(3/12)*(1+'입력값'!D63/100)^5)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H10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H81+'입력값'!AH82)*('입력값'!C63*100*(3/12)*(1+'입력값'!D63/100)^5)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I10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I81+'입력값'!AI82)*('입력값'!C63*100*(3/12)*(1+'입력값'!D63/100)^6)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J10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J81+'입력값'!AJ82)*('입력값'!C63*100*(3/12)*(1+'입력값'!D63/100)^6)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K10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K81+'입력값'!AK82)*('입력값'!C63*100*(3/12)*(1+'입력값'!D63/100)^6)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L10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L81+'입력값'!AL82)*('입력값'!C63*100*(3/12)*(1+'입력값'!D63/100)^6)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M10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M81+'입력값'!AM82)*('입력값'!C63*100*(3/12)*(1+'입력값'!D63/100)^7)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N10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N81+'입력값'!AN82)*('입력값'!C63*100*(3/12)*(1+'입력값'!D63/100)^7)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O10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O81+'입력값'!AO82)*('입력값'!C63*100*(3/12)*(1+'입력값'!D63/100)^7)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P10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P81+'입력값'!AP82)*('입력값'!C63*100*(3/12)*(1+'입력값'!D63/100)^7)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Q10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Q81+'입력값'!AQ82)*('입력값'!C63*100*(3/12)*(1+'입력값'!D63/100)^8)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R10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R81+'입력값'!AR82)*('입력값'!C63*100*(3/12)*(1+'입력값'!D63/100)^8)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S10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S81+'입력값'!AS82)*('입력값'!C63*100*(3/12)*(1+'입력값'!D63/100)^8)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T10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T81+'입력값'!AT82)*('입력값'!C63*100*(3/12)*(1+'입력값'!D63/100)^8)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U10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U81+'입력값'!AU82)*('입력값'!C63*100*(3/12)*(1+'입력값'!D63/100)^9)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V10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V81+'입력값'!AV82)*('입력값'!C63*100*(3/12)*(1+'입력값'!D63/100)^9)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W10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W81+'입력값'!AW82)*('입력값'!C63*100*(3/12)*(1+'입력값'!D63/100)^9)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X10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X81+'입력값'!AX82)*('입력값'!C63*100*(3/12)*(1+'입력값'!D63/100)^9)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Y10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Y81+'입력값'!AY82)*('입력값'!C63*100*(3/12)*(1+'입력값'!D63/100)^10)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AZ10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Z81+'입력값'!AZ82)*('입력값'!C63*100*(3/12)*(1+'입력값'!D63/100)^10)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A10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A81+'입력값'!BA82)*('입력값'!C63*100*(3/12)*(1+'입력값'!D63/100)^10)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B10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B81+'입력값'!BB82)*('입력값'!C63*100*(3/12)*(1+'입력값'!D63/100)^10)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C10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C81+'입력값'!BC82)*('입력값'!C63*100*(3/12)*(1+'입력값'!D63/100)^11)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D10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D81+'입력값'!BD82)*('입력값'!C63*100*(3/12)*(1+'입력값'!D63/100)^11)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E10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E81+'입력값'!BE82)*('입력값'!C63*100*(3/12)*(1+'입력값'!D63/100)^11)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F10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F81+'입력값'!BF82)*('입력값'!C63*100*(3/12)*(1+'입력값'!D63/100)^11)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G10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G81+'입력값'!BG82)*('입력값'!C63*100*(3/12)*(1+'입력값'!D63/100)^12)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H10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H81+'입력값'!BH82)*('입력값'!C63*100*(3/12)*(1+'입력값'!D63/100)^12)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I10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I81+'입력값'!BI82)*('입력값'!C63*100*(3/12)*(1+'입력값'!D63/100)^12)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J10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J81+'입력값'!BJ82)*('입력값'!C63*100*(3/12)*(1+'입력값'!D63/100)^12)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K10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K81+'입력값'!BK82)*('입력값'!C63*100*(3/12)*(1+'입력값'!D63/100)^13)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L10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L81+'입력값'!BL82)*('입력값'!C63*100*(3/12)*(1+'입력값'!D63/100)^13)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M10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M81+'입력값'!BM82)*('입력값'!C63*100*(3/12)*(1+'입력값'!D63/100)^13)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N10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N81+'입력값'!BN82)*('입력값'!C63*100*(3/12)*(1+'입력값'!D63/100)^13)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O10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O81+'입력값'!BO82)*('입력값'!C63*100*(3/12)*(1+'입력값'!D63/100)^14)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P10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P81+'입력값'!BP82)*('입력값'!C63*100*(3/12)*(1+'입력값'!D63/100)^14)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Q10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Q81+'입력값'!BQ82)*('입력값'!C63*100*(3/12)*(1+'입력값'!D63/100)^14)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R10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R81+'입력값'!BR82)*('입력값'!C63*100*(3/12)*(1+'입력값'!D63/100)^14)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S10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S81+'입력값'!BS82)*('입력값'!C63*100*(3/12)*(1+'입력값'!D63/100)^15)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T10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T81+'입력값'!BT82)*('입력값'!C63*100*(3/12)*(1+'입력값'!D63/100)^15)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U10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U81+'입력값'!BU82)*('입력값'!C63*100*(3/12)*(1+'입력값'!D63/100)^15)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V10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V81+'입력값'!BV82)*('입력값'!C63*100*(3/12)*(1+'입력값'!D63/100)^15)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W10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W81+'입력값'!BW82)*('입력값'!C63*100*(3/12)*(1+'입력값'!D63/100)^16)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X10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X81+'입력값'!BX82)*('입력값'!C63*100*(3/12)*(1+'입력값'!D63/100)^16)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Y10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Y81+'입력값'!BY82)*('입력값'!C63*100*(3/12)*(1+'입력값'!D63/100)^16)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Z10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Z81+'입력값'!BZ82)*('입력값'!C63*100*(3/12)*(1+'입력값'!D63/100)^16)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CA10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A81+'입력값'!CA82)*('입력값'!C63*100*(3/12)*(1+'입력값'!D63/100)^17)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B10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B81+'입력값'!CB82)*('입력값'!C63*100*(3/12)*(1+'입력값'!D63/100)^17)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C10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C81+'입력값'!CC82)*('입력값'!C63*100*(3/12)*(1+'입력값'!D63/100)^17)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D10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D81+'입력값'!CD82)*('입력값'!C63*100*(3/12)*(1+'입력값'!D63/100)^17)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E10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E81+'입력값'!CE82)*('입력값'!C63*100*(3/12)*(1+'입력값'!D63/100)^18)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F10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F81+'입력값'!CF82)*('입력값'!C63*100*(3/12)*(1+'입력값'!D63/100)^18)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G10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G81+'입력값'!CG82)*('입력값'!C63*100*(3/12)*(1+'입력값'!D63/100)^18)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H10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H81+'입력값'!CH82)*('입력값'!C63*100*(3/12)*(1+'입력값'!D63/100)^18)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I10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I81+'입력값'!CI82)*('입력값'!C63*100*(3/12)*(1+'입력값'!D63/100)^19)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J10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J81+'입력값'!CJ82)*('입력값'!C63*100*(3/12)*(1+'입력값'!D63/100)^19)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K10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K81+'입력값'!CK82)*('입력값'!C63*100*(3/12)*(1+'입력값'!D63/100)^19)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L10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L81+'입력값'!CL82)*('입력값'!C63*100*(3/12)*(1+'입력값'!D63/100)^19)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</row>
    <row r="11" spans="2:90" x14ac:dyDescent="0.25">
      <c r="B11" s="28" t="s">
        <v>252</v>
      </c>
      <c r="C11" s="29" t="s">
        <v>205</v>
      </c>
      <c r="D11" s="32">
        <f>SUM(E11:CL11)</f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K81+'입력값'!K82)*('입력값'!C64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L11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L81+'입력값'!L82)*('입력값'!C64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M11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M81+'입력값'!M82)*('입력값'!C64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N11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N81+'입력값'!N82)*('입력값'!C64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O11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O81+'입력값'!O82)*('입력값'!C64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P11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P81+'입력값'!P82)*('입력값'!C64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Q11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Q81+'입력값'!Q82)*('입력값'!C64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R11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R81+'입력값'!R82)*('입력값'!C64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S11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S81+'입력값'!S82)*('입력값'!C64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T11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T81+'입력값'!T82)*('입력값'!C64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U11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U81+'입력값'!U82)*('입력값'!C64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V11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V81+'입력값'!V82)*('입력값'!C64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W11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W81+'입력값'!W82)*('입력값'!C64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X11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X81+'입력값'!X82)*('입력값'!C64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Y11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Y81+'입력값'!Y82)*('입력값'!C64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Z11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Z81+'입력값'!Z82)*('입력값'!C64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AA11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A81+'입력값'!AA82)*('입력값'!C64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B11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B81+'입력값'!AB82)*('입력값'!C64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C11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C81+'입력값'!AC82)*('입력값'!C64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D11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D81+'입력값'!AD82)*('입력값'!C64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E11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E81+'입력값'!AE82)*('입력값'!C64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F11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F81+'입력값'!AF82)*('입력값'!C64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G11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G81+'입력값'!AG82)*('입력값'!C64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H11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H81+'입력값'!AH82)*('입력값'!C64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I11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I81+'입력값'!AI82)*('입력값'!C64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J11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J81+'입력값'!AJ82)*('입력값'!C64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K11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K81+'입력값'!AK82)*('입력값'!C64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L11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L81+'입력값'!AL82)*('입력값'!C64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M11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M81+'입력값'!AM82)*('입력값'!C64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N11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N81+'입력값'!AN82)*('입력값'!C64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O11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O81+'입력값'!AO82)*('입력값'!C64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P11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P81+'입력값'!AP82)*('입력값'!C64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Q11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Q81+'입력값'!AQ82)*('입력값'!C64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R11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R81+'입력값'!AR82)*('입력값'!C64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S11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S81+'입력값'!AS82)*('입력값'!C64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T11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T81+'입력값'!AT82)*('입력값'!C64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U11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U81+'입력값'!AU82)*('입력값'!C64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V11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V81+'입력값'!AV82)*('입력값'!C64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W11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W81+'입력값'!AW82)*('입력값'!C64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X11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X81+'입력값'!AX82)*('입력값'!C64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Y11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Y81+'입력값'!AY82)*('입력값'!C64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AZ11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Z81+'입력값'!AZ82)*('입력값'!C64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A11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A81+'입력값'!BA82)*('입력값'!C64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B11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B81+'입력값'!BB82)*('입력값'!C64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C11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C81+'입력값'!BC82)*('입력값'!C64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D11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D81+'입력값'!BD82)*('입력값'!C64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E11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E81+'입력값'!BE82)*('입력값'!C64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F11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F81+'입력값'!BF82)*('입력값'!C64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G11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G81+'입력값'!BG82)*('입력값'!C64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H11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H81+'입력값'!BH82)*('입력값'!C64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I11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I81+'입력값'!BI82)*('입력값'!C64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J11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J81+'입력값'!BJ82)*('입력값'!C64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K11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K81+'입력값'!BK82)*('입력값'!C64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L11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L81+'입력값'!BL82)*('입력값'!C64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M11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M81+'입력값'!BM82)*('입력값'!C64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N11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N81+'입력값'!BN82)*('입력값'!C64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O11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O81+'입력값'!BO82)*('입력값'!C64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P11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P81+'입력값'!BP82)*('입력값'!C64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Q11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Q81+'입력값'!BQ82)*('입력값'!C64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R11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R81+'입력값'!BR82)*('입력값'!C64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S11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S81+'입력값'!BS82)*('입력값'!C64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T11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T81+'입력값'!BT82)*('입력값'!C64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U11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U81+'입력값'!BU82)*('입력값'!C64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V11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V81+'입력값'!BV82)*('입력값'!C64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W11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W81+'입력값'!BW82)*('입력값'!C64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X11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X81+'입력값'!BX82)*('입력값'!C64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Y11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Y81+'입력값'!BY82)*('입력값'!C64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Z11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Z81+'입력값'!BZ82)*('입력값'!C64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CA11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A81+'입력값'!CA82)*('입력값'!C64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B11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B81+'입력값'!CB82)*('입력값'!C64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C11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C81+'입력값'!CC82)*('입력값'!C64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D11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D81+'입력값'!CD82)*('입력값'!C64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E11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E81+'입력값'!CE82)*('입력값'!C64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F11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F81+'입력값'!CF82)*('입력값'!C64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G11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G81+'입력값'!CG82)*('입력값'!C64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H11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H81+'입력값'!CH82)*('입력값'!C64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I11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I81+'입력값'!CI82)*('입력값'!C64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J11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J81+'입력값'!CJ82)*('입력값'!C64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K11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K81+'입력값'!CK82)*('입력값'!C64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L11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L81+'입력값'!CL82)*('입력값'!C64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</row>
    <row r="12" spans="2:90" x14ac:dyDescent="0.25">
      <c r="B12" s="28" t="s">
        <v>253</v>
      </c>
      <c r="C12" s="29" t="s">
        <v>205</v>
      </c>
      <c r="D12" s="32">
        <f>SUM(E12:CL12)</f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K81+'입력값'!K82)*('입력값'!C65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L12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L81+'입력값'!L82)*('입력값'!C65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M12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M81+'입력값'!M82)*('입력값'!C65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N12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N81+'입력값'!N82)*('입력값'!C65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O12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O81+'입력값'!O82)*('입력값'!C65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P12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P81+'입력값'!P82)*('입력값'!C65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Q12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Q81+'입력값'!Q82)*('입력값'!C65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R12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R81+'입력값'!R82)*('입력값'!C65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S12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S81+'입력값'!S82)*('입력값'!C65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T12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T81+'입력값'!T82)*('입력값'!C65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U12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U81+'입력값'!U82)*('입력값'!C65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V12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V81+'입력값'!V82)*('입력값'!C65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W12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W81+'입력값'!W82)*('입력값'!C65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X12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X81+'입력값'!X82)*('입력값'!C65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Y12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Y81+'입력값'!Y82)*('입력값'!C65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Z12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Z81+'입력값'!Z82)*('입력값'!C65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AA12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A81+'입력값'!AA82)*('입력값'!C65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B12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B81+'입력값'!AB82)*('입력값'!C65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C12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C81+'입력값'!AC82)*('입력값'!C65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D12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D81+'입력값'!AD82)*('입력값'!C65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E12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E81+'입력값'!AE82)*('입력값'!C65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F12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F81+'입력값'!AF82)*('입력값'!C65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G12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G81+'입력값'!AG82)*('입력값'!C65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H12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H81+'입력값'!AH82)*('입력값'!C65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I12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I81+'입력값'!AI82)*('입력값'!C65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J12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J81+'입력값'!AJ82)*('입력값'!C65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K12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K81+'입력값'!AK82)*('입력값'!C65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L12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L81+'입력값'!AL82)*('입력값'!C65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M12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M81+'입력값'!AM82)*('입력값'!C65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N12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N81+'입력값'!AN82)*('입력값'!C65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O12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O81+'입력값'!AO82)*('입력값'!C65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P12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P81+'입력값'!AP82)*('입력값'!C65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Q12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Q81+'입력값'!AQ82)*('입력값'!C65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R12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R81+'입력값'!AR82)*('입력값'!C65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S12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S81+'입력값'!AS82)*('입력값'!C65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T12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T81+'입력값'!AT82)*('입력값'!C65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U12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U81+'입력값'!AU82)*('입력값'!C65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V12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V81+'입력값'!AV82)*('입력값'!C65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W12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W81+'입력값'!AW82)*('입력값'!C65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X12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X81+'입력값'!AX82)*('입력값'!C65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Y12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Y81+'입력값'!AY82)*('입력값'!C65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AZ12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Z81+'입력값'!AZ82)*('입력값'!C65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A12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A81+'입력값'!BA82)*('입력값'!C65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B12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B81+'입력값'!BB82)*('입력값'!C65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C12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C81+'입력값'!BC82)*('입력값'!C65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D12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D81+'입력값'!BD82)*('입력값'!C65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E12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E81+'입력값'!BE82)*('입력값'!C65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F12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F81+'입력값'!BF82)*('입력값'!C65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G12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G81+'입력값'!BG82)*('입력값'!C65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H12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H81+'입력값'!BH82)*('입력값'!C65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I12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I81+'입력값'!BI82)*('입력값'!C65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J12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J81+'입력값'!BJ82)*('입력값'!C65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K12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K81+'입력값'!BK82)*('입력값'!C65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L12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L81+'입력값'!BL82)*('입력값'!C65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M12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M81+'입력값'!BM82)*('입력값'!C65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N12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N81+'입력값'!BN82)*('입력값'!C65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O12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O81+'입력값'!BO82)*('입력값'!C65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P12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P81+'입력값'!BP82)*('입력값'!C65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Q12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Q81+'입력값'!BQ82)*('입력값'!C65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R12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R81+'입력값'!BR82)*('입력값'!C65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S12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S81+'입력값'!BS82)*('입력값'!C65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T12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T81+'입력값'!BT82)*('입력값'!C65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U12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U81+'입력값'!BU82)*('입력값'!C65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V12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V81+'입력값'!BV82)*('입력값'!C65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W12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W81+'입력값'!BW82)*('입력값'!C65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X12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X81+'입력값'!BX82)*('입력값'!C65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Y12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Y81+'입력값'!BY82)*('입력값'!C65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Z12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Z81+'입력값'!BZ82)*('입력값'!C65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CA12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A81+'입력값'!CA82)*('입력값'!C65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B12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B81+'입력값'!CB82)*('입력값'!C65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C12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C81+'입력값'!CC82)*('입력값'!C65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D12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D81+'입력값'!CD82)*('입력값'!C65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E12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E81+'입력값'!CE82)*('입력값'!C65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F12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F81+'입력값'!CF82)*('입력값'!C65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G12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G81+'입력값'!CG82)*('입력값'!C65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H12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H81+'입력값'!CH82)*('입력값'!C65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I12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I81+'입력값'!CI82)*('입력값'!C65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J12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J81+'입력값'!CJ82)*('입력값'!C65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K12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K81+'입력값'!CK82)*('입력값'!C65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L12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L81+'입력값'!CL82)*('입력값'!C65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</row>
    <row r="13" spans="2:90" x14ac:dyDescent="0.25">
      <c r="B13" s="28" t="s">
        <v>254</v>
      </c>
      <c r="C13" s="29" t="s">
        <v>205</v>
      </c>
      <c r="D13" s="32">
        <f>SUM(E13:CL13)</f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K81+'입력값'!K82)*('입력값'!C66*100*(3/12)*(1+'입력값'!D66/100)^0)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L13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L81+'입력값'!L82)*('입력값'!C66*100*(3/12)*(1+'입력값'!D66/100)^0)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M13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M81+'입력값'!M82)*('입력값'!C66*100*(3/12)*(1+'입력값'!D66/100)^0)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N13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N81+'입력값'!N82)*('입력값'!C66*100*(3/12)*(1+'입력값'!D66/100)^0)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O13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O81+'입력값'!O82)*('입력값'!C66*100*(3/12)*(1+'입력값'!D66/100)^1)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P13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P81+'입력값'!P82)*('입력값'!C66*100*(3/12)*(1+'입력값'!D66/100)^1)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Q13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Q81+'입력값'!Q82)*('입력값'!C66*100*(3/12)*(1+'입력값'!D66/100)^1)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R13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R81+'입력값'!R82)*('입력값'!C66*100*(3/12)*(1+'입력값'!D66/100)^1)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S13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S81+'입력값'!S82)*('입력값'!C66*100*(3/12)*(1+'입력값'!D66/100)^2)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T13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T81+'입력값'!T82)*('입력값'!C66*100*(3/12)*(1+'입력값'!D66/100)^2)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U13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U81+'입력값'!U82)*('입력값'!C66*100*(3/12)*(1+'입력값'!D66/100)^2)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V13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V81+'입력값'!V82)*('입력값'!C66*100*(3/12)*(1+'입력값'!D66/100)^2)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W13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W81+'입력값'!W82)*('입력값'!C66*100*(3/12)*(1+'입력값'!D66/100)^3)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X13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X81+'입력값'!X82)*('입력값'!C66*100*(3/12)*(1+'입력값'!D66/100)^3)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Y13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Y81+'입력값'!Y82)*('입력값'!C66*100*(3/12)*(1+'입력값'!D66/100)^3)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Z13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Z81+'입력값'!Z82)*('입력값'!C66*100*(3/12)*(1+'입력값'!D66/100)^3)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AA13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A81+'입력값'!AA82)*('입력값'!C66*100*(3/12)*(1+'입력값'!D66/100)^4)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B13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B81+'입력값'!AB82)*('입력값'!C66*100*(3/12)*(1+'입력값'!D66/100)^4)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C13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C81+'입력값'!AC82)*('입력값'!C66*100*(3/12)*(1+'입력값'!D66/100)^4)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D13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D81+'입력값'!AD82)*('입력값'!C66*100*(3/12)*(1+'입력값'!D66/100)^4)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E13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E81+'입력값'!AE82)*('입력값'!C66*100*(3/12)*(1+'입력값'!D66/100)^5)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F13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F81+'입력값'!AF82)*('입력값'!C66*100*(3/12)*(1+'입력값'!D66/100)^5)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G13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G81+'입력값'!AG82)*('입력값'!C66*100*(3/12)*(1+'입력값'!D66/100)^5)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H13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H81+'입력값'!AH82)*('입력값'!C66*100*(3/12)*(1+'입력값'!D66/100)^5)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I13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I81+'입력값'!AI82)*('입력값'!C66*100*(3/12)*(1+'입력값'!D66/100)^6)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J13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J81+'입력값'!AJ82)*('입력값'!C66*100*(3/12)*(1+'입력값'!D66/100)^6)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K13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K81+'입력값'!AK82)*('입력값'!C66*100*(3/12)*(1+'입력값'!D66/100)^6)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L13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L81+'입력값'!AL82)*('입력값'!C66*100*(3/12)*(1+'입력값'!D66/100)^6)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M13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M81+'입력값'!AM82)*('입력값'!C66*100*(3/12)*(1+'입력값'!D66/100)^7)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N13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N81+'입력값'!AN82)*('입력값'!C66*100*(3/12)*(1+'입력값'!D66/100)^7)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O13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O81+'입력값'!AO82)*('입력값'!C66*100*(3/12)*(1+'입력값'!D66/100)^7)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P13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P81+'입력값'!AP82)*('입력값'!C66*100*(3/12)*(1+'입력값'!D66/100)^7)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Q13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Q81+'입력값'!AQ82)*('입력값'!C66*100*(3/12)*(1+'입력값'!D66/100)^8)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R13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R81+'입력값'!AR82)*('입력값'!C66*100*(3/12)*(1+'입력값'!D66/100)^8)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S13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S81+'입력값'!AS82)*('입력값'!C66*100*(3/12)*(1+'입력값'!D66/100)^8)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T13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T81+'입력값'!AT82)*('입력값'!C66*100*(3/12)*(1+'입력값'!D66/100)^8)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U13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U81+'입력값'!AU82)*('입력값'!C66*100*(3/12)*(1+'입력값'!D66/100)^9)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V13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V81+'입력값'!AV82)*('입력값'!C66*100*(3/12)*(1+'입력값'!D66/100)^9)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W13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W81+'입력값'!AW82)*('입력값'!C66*100*(3/12)*(1+'입력값'!D66/100)^9)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X13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X81+'입력값'!AX82)*('입력값'!C66*100*(3/12)*(1+'입력값'!D66/100)^9)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Y13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Y81+'입력값'!AY82)*('입력값'!C66*100*(3/12)*(1+'입력값'!D66/100)^10)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AZ13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Z81+'입력값'!AZ82)*('입력값'!C66*100*(3/12)*(1+'입력값'!D66/100)^10)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A13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A81+'입력값'!BA82)*('입력값'!C66*100*(3/12)*(1+'입력값'!D66/100)^10)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B13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B81+'입력값'!BB82)*('입력값'!C66*100*(3/12)*(1+'입력값'!D66/100)^10)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C13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C81+'입력값'!BC82)*('입력값'!C66*100*(3/12)*(1+'입력값'!D66/100)^11)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D13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D81+'입력값'!BD82)*('입력값'!C66*100*(3/12)*(1+'입력값'!D66/100)^11)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E13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E81+'입력값'!BE82)*('입력값'!C66*100*(3/12)*(1+'입력값'!D66/100)^11)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F13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F81+'입력값'!BF82)*('입력값'!C66*100*(3/12)*(1+'입력값'!D66/100)^11)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G13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G81+'입력값'!BG82)*('입력값'!C66*100*(3/12)*(1+'입력값'!D66/100)^12)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H13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H81+'입력값'!BH82)*('입력값'!C66*100*(3/12)*(1+'입력값'!D66/100)^12)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I13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I81+'입력값'!BI82)*('입력값'!C66*100*(3/12)*(1+'입력값'!D66/100)^12)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J13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J81+'입력값'!BJ82)*('입력값'!C66*100*(3/12)*(1+'입력값'!D66/100)^12)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K13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K81+'입력값'!BK82)*('입력값'!C66*100*(3/12)*(1+'입력값'!D66/100)^13)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L13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L81+'입력값'!BL82)*('입력값'!C66*100*(3/12)*(1+'입력값'!D66/100)^13)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M13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M81+'입력값'!BM82)*('입력값'!C66*100*(3/12)*(1+'입력값'!D66/100)^13)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N13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N81+'입력값'!BN82)*('입력값'!C66*100*(3/12)*(1+'입력값'!D66/100)^13)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O13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O81+'입력값'!BO82)*('입력값'!C66*100*(3/12)*(1+'입력값'!D66/100)^14)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P13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P81+'입력값'!BP82)*('입력값'!C66*100*(3/12)*(1+'입력값'!D66/100)^14)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Q13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Q81+'입력값'!BQ82)*('입력값'!C66*100*(3/12)*(1+'입력값'!D66/100)^14)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R13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R81+'입력값'!BR82)*('입력값'!C66*100*(3/12)*(1+'입력값'!D66/100)^14)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S13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S81+'입력값'!BS82)*('입력값'!C66*100*(3/12)*(1+'입력값'!D66/100)^15)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T13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T81+'입력값'!BT82)*('입력값'!C66*100*(3/12)*(1+'입력값'!D66/100)^15)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U13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U81+'입력값'!BU82)*('입력값'!C66*100*(3/12)*(1+'입력값'!D66/100)^15)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V13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V81+'입력값'!BV82)*('입력값'!C66*100*(3/12)*(1+'입력값'!D66/100)^15)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W13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W81+'입력값'!BW82)*('입력값'!C66*100*(3/12)*(1+'입력값'!D66/100)^16)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X13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X81+'입력값'!BX82)*('입력값'!C66*100*(3/12)*(1+'입력값'!D66/100)^16)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Y13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Y81+'입력값'!BY82)*('입력값'!C66*100*(3/12)*(1+'입력값'!D66/100)^16)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Z13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Z81+'입력값'!BZ82)*('입력값'!C66*100*(3/12)*(1+'입력값'!D66/100)^16)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CA13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A81+'입력값'!CA82)*('입력값'!C66*100*(3/12)*(1+'입력값'!D66/100)^17)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B13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B81+'입력값'!CB82)*('입력값'!C66*100*(3/12)*(1+'입력값'!D66/100)^17)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C13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C81+'입력값'!CC82)*('입력값'!C66*100*(3/12)*(1+'입력값'!D66/100)^17)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D13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D81+'입력값'!CD82)*('입력값'!C66*100*(3/12)*(1+'입력값'!D66/100)^17)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E13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E81+'입력값'!CE82)*('입력값'!C66*100*(3/12)*(1+'입력값'!D66/100)^18)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F13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F81+'입력값'!CF82)*('입력값'!C66*100*(3/12)*(1+'입력값'!D66/100)^18)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G13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G81+'입력값'!CG82)*('입력값'!C66*100*(3/12)*(1+'입력값'!D66/100)^18)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H13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H81+'입력값'!CH82)*('입력값'!C66*100*(3/12)*(1+'입력값'!D66/100)^18)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I13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I81+'입력값'!CI82)*('입력값'!C66*100*(3/12)*(1+'입력값'!D66/100)^19)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J13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J81+'입력값'!CJ82)*('입력값'!C66*100*(3/12)*(1+'입력값'!D66/100)^19)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K13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K81+'입력값'!CK82)*('입력값'!C66*100*(3/12)*(1+'입력값'!D66/100)^19)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L13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L81+'입력값'!CL82)*('입력값'!C66*100*(3/12)*(1+'입력값'!D66/100)^19)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</row>
    <row r="14" spans="2:90" x14ac:dyDescent="0.25">
      <c r="B14" s="28" t="s">
        <v>255</v>
      </c>
      <c r="C14" s="29" t="s">
        <v>205</v>
      </c>
      <c r="D14" s="32">
        <f>SUM(E14:CL14)</f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K81+'입력값'!K82)*('입력값'!C67*100*(3/12)*(1+'입력값'!D67/100)^0)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L14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L81+'입력값'!L82)*('입력값'!C67*100*(3/12)*(1+'입력값'!D67/100)^0)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M14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M81+'입력값'!M82)*('입력값'!C67*100*(3/12)*(1+'입력값'!D67/100)^0)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N14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N81+'입력값'!N82)*('입력값'!C67*100*(3/12)*(1+'입력값'!D67/100)^0)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O14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O81+'입력값'!O82)*('입력값'!C67*100*(3/12)*(1+'입력값'!D67/100)^1)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P14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P81+'입력값'!P82)*('입력값'!C67*100*(3/12)*(1+'입력값'!D67/100)^1)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Q14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Q81+'입력값'!Q82)*('입력값'!C67*100*(3/12)*(1+'입력값'!D67/100)^1)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R14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R81+'입력값'!R82)*('입력값'!C67*100*(3/12)*(1+'입력값'!D67/100)^1)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S14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S81+'입력값'!S82)*('입력값'!C67*100*(3/12)*(1+'입력값'!D67/100)^2)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T14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T81+'입력값'!T82)*('입력값'!C67*100*(3/12)*(1+'입력값'!D67/100)^2)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U14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U81+'입력값'!U82)*('입력값'!C67*100*(3/12)*(1+'입력값'!D67/100)^2)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V14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V81+'입력값'!V82)*('입력값'!C67*100*(3/12)*(1+'입력값'!D67/100)^2)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W14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W81+'입력값'!W82)*('입력값'!C67*100*(3/12)*(1+'입력값'!D67/100)^3)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X14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X81+'입력값'!X82)*('입력값'!C67*100*(3/12)*(1+'입력값'!D67/100)^3)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Y14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Y81+'입력값'!Y82)*('입력값'!C67*100*(3/12)*(1+'입력값'!D67/100)^3)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Z14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Z81+'입력값'!Z82)*('입력값'!C67*100*(3/12)*(1+'입력값'!D67/100)^3)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AA14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A81+'입력값'!AA82)*('입력값'!C67*100*(3/12)*(1+'입력값'!D67/100)^4)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B14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B81+'입력값'!AB82)*('입력값'!C67*100*(3/12)*(1+'입력값'!D67/100)^4)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C14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C81+'입력값'!AC82)*('입력값'!C67*100*(3/12)*(1+'입력값'!D67/100)^4)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D14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D81+'입력값'!AD82)*('입력값'!C67*100*(3/12)*(1+'입력값'!D67/100)^4)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E14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E81+'입력값'!AE82)*('입력값'!C67*100*(3/12)*(1+'입력값'!D67/100)^5)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F14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F81+'입력값'!AF82)*('입력값'!C67*100*(3/12)*(1+'입력값'!D67/100)^5)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G14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G81+'입력값'!AG82)*('입력값'!C67*100*(3/12)*(1+'입력값'!D67/100)^5)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H14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H81+'입력값'!AH82)*('입력값'!C67*100*(3/12)*(1+'입력값'!D67/100)^5)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I14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I81+'입력값'!AI82)*('입력값'!C67*100*(3/12)*(1+'입력값'!D67/100)^6)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J14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J81+'입력값'!AJ82)*('입력값'!C67*100*(3/12)*(1+'입력값'!D67/100)^6)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K14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K81+'입력값'!AK82)*('입력값'!C67*100*(3/12)*(1+'입력값'!D67/100)^6)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L14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L81+'입력값'!AL82)*('입력값'!C67*100*(3/12)*(1+'입력값'!D67/100)^6)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M14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M81+'입력값'!AM82)*('입력값'!C67*100*(3/12)*(1+'입력값'!D67/100)^7)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N14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N81+'입력값'!AN82)*('입력값'!C67*100*(3/12)*(1+'입력값'!D67/100)^7)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O14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O81+'입력값'!AO82)*('입력값'!C67*100*(3/12)*(1+'입력값'!D67/100)^7)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P14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P81+'입력값'!AP82)*('입력값'!C67*100*(3/12)*(1+'입력값'!D67/100)^7)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Q14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Q81+'입력값'!AQ82)*('입력값'!C67*100*(3/12)*(1+'입력값'!D67/100)^8)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R14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R81+'입력값'!AR82)*('입력값'!C67*100*(3/12)*(1+'입력값'!D67/100)^8)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S14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S81+'입력값'!AS82)*('입력값'!C67*100*(3/12)*(1+'입력값'!D67/100)^8)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T14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T81+'입력값'!AT82)*('입력값'!C67*100*(3/12)*(1+'입력값'!D67/100)^8)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U14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U81+'입력값'!AU82)*('입력값'!C67*100*(3/12)*(1+'입력값'!D67/100)^9)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V14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V81+'입력값'!AV82)*('입력값'!C67*100*(3/12)*(1+'입력값'!D67/100)^9)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W14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W81+'입력값'!AW82)*('입력값'!C67*100*(3/12)*(1+'입력값'!D67/100)^9)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X14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X81+'입력값'!AX82)*('입력값'!C67*100*(3/12)*(1+'입력값'!D67/100)^9)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Y14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Y81+'입력값'!AY82)*('입력값'!C67*100*(3/12)*(1+'입력값'!D67/100)^10)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AZ14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Z81+'입력값'!AZ82)*('입력값'!C67*100*(3/12)*(1+'입력값'!D67/100)^10)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A14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A81+'입력값'!BA82)*('입력값'!C67*100*(3/12)*(1+'입력값'!D67/100)^10)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B14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B81+'입력값'!BB82)*('입력값'!C67*100*(3/12)*(1+'입력값'!D67/100)^10)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C14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C81+'입력값'!BC82)*('입력값'!C67*100*(3/12)*(1+'입력값'!D67/100)^11)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D14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D81+'입력값'!BD82)*('입력값'!C67*100*(3/12)*(1+'입력값'!D67/100)^11)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E14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E81+'입력값'!BE82)*('입력값'!C67*100*(3/12)*(1+'입력값'!D67/100)^11)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F14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F81+'입력값'!BF82)*('입력값'!C67*100*(3/12)*(1+'입력값'!D67/100)^11)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G14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G81+'입력값'!BG82)*('입력값'!C67*100*(3/12)*(1+'입력값'!D67/100)^12)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H14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H81+'입력값'!BH82)*('입력값'!C67*100*(3/12)*(1+'입력값'!D67/100)^12)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I14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I81+'입력값'!BI82)*('입력값'!C67*100*(3/12)*(1+'입력값'!D67/100)^12)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J14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J81+'입력값'!BJ82)*('입력값'!C67*100*(3/12)*(1+'입력값'!D67/100)^12)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K14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K81+'입력값'!BK82)*('입력값'!C67*100*(3/12)*(1+'입력값'!D67/100)^13)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L14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L81+'입력값'!BL82)*('입력값'!C67*100*(3/12)*(1+'입력값'!D67/100)^13)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M14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M81+'입력값'!BM82)*('입력값'!C67*100*(3/12)*(1+'입력값'!D67/100)^13)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N14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N81+'입력값'!BN82)*('입력값'!C67*100*(3/12)*(1+'입력값'!D67/100)^13)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O14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O81+'입력값'!BO82)*('입력값'!C67*100*(3/12)*(1+'입력값'!D67/100)^14)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P14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P81+'입력값'!BP82)*('입력값'!C67*100*(3/12)*(1+'입력값'!D67/100)^14)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Q14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Q81+'입력값'!BQ82)*('입력값'!C67*100*(3/12)*(1+'입력값'!D67/100)^14)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R14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R81+'입력값'!BR82)*('입력값'!C67*100*(3/12)*(1+'입력값'!D67/100)^14)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S14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S81+'입력값'!BS82)*('입력값'!C67*100*(3/12)*(1+'입력값'!D67/100)^15)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T14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T81+'입력값'!BT82)*('입력값'!C67*100*(3/12)*(1+'입력값'!D67/100)^15)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U14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U81+'입력값'!BU82)*('입력값'!C67*100*(3/12)*(1+'입력값'!D67/100)^15)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V14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V81+'입력값'!BV82)*('입력값'!C67*100*(3/12)*(1+'입력값'!D67/100)^15)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W14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W81+'입력값'!BW82)*('입력값'!C67*100*(3/12)*(1+'입력값'!D67/100)^16)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X14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X81+'입력값'!BX82)*('입력값'!C67*100*(3/12)*(1+'입력값'!D67/100)^16)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Y14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Y81+'입력값'!BY82)*('입력값'!C67*100*(3/12)*(1+'입력값'!D67/100)^16)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Z14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Z81+'입력값'!BZ82)*('입력값'!C67*100*(3/12)*(1+'입력값'!D67/100)^16)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CA14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A81+'입력값'!CA82)*('입력값'!C67*100*(3/12)*(1+'입력값'!D67/100)^17)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B14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B81+'입력값'!CB82)*('입력값'!C67*100*(3/12)*(1+'입력값'!D67/100)^17)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C14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C81+'입력값'!CC82)*('입력값'!C67*100*(3/12)*(1+'입력값'!D67/100)^17)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D14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D81+'입력값'!CD82)*('입력값'!C67*100*(3/12)*(1+'입력값'!D67/100)^17)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E14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E81+'입력값'!CE82)*('입력값'!C67*100*(3/12)*(1+'입력값'!D67/100)^18)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F14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F81+'입력값'!CF82)*('입력값'!C67*100*(3/12)*(1+'입력값'!D67/100)^18)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G14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G81+'입력값'!CG82)*('입력값'!C67*100*(3/12)*(1+'입력값'!D67/100)^18)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H14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H81+'입력값'!CH82)*('입력값'!C67*100*(3/12)*(1+'입력값'!D67/100)^18)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I14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I81+'입력값'!CI82)*('입력값'!C67*100*(3/12)*(1+'입력값'!D67/100)^19)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J14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J81+'입력값'!CJ82)*('입력값'!C67*100*(3/12)*(1+'입력값'!D67/100)^19)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K14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K81+'입력값'!CK82)*('입력값'!C67*100*(3/12)*(1+'입력값'!D67/100)^19)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L14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L81+'입력값'!CL82)*('입력값'!C67*100*(3/12)*(1+'입력값'!D67/100)^19)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</row>
    <row r="15" spans="2:90" x14ac:dyDescent="0.25">
      <c r="B15" s="28" t="s">
        <v>256</v>
      </c>
      <c r="C15" s="29" t="s">
        <v>205</v>
      </c>
      <c r="D15" s="32">
        <f>SUM(E15:CL15)</f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K81+'입력값'!K82)*('입력값'!C68*100*(3/12)*(1+'입력값'!D68/100)^0)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L15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L81+'입력값'!L82)*('입력값'!C68*100*(3/12)*(1+'입력값'!D68/100)^0)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M15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M81+'입력값'!M82)*('입력값'!C68*100*(3/12)*(1+'입력값'!D68/100)^0)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N15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N81+'입력값'!N82)*('입력값'!C68*100*(3/12)*(1+'입력값'!D68/100)^0)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O15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O81+'입력값'!O82)*('입력값'!C68*100*(3/12)*(1+'입력값'!D68/100)^1)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P15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P81+'입력값'!P82)*('입력값'!C68*100*(3/12)*(1+'입력값'!D68/100)^1)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Q15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Q81+'입력값'!Q82)*('입력값'!C68*100*(3/12)*(1+'입력값'!D68/100)^1)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R15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R81+'입력값'!R82)*('입력값'!C68*100*(3/12)*(1+'입력값'!D68/100)^1)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S15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S81+'입력값'!S82)*('입력값'!C68*100*(3/12)*(1+'입력값'!D68/100)^2)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T15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T81+'입력값'!T82)*('입력값'!C68*100*(3/12)*(1+'입력값'!D68/100)^2)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U15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U81+'입력값'!U82)*('입력값'!C68*100*(3/12)*(1+'입력값'!D68/100)^2)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V15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V81+'입력값'!V82)*('입력값'!C68*100*(3/12)*(1+'입력값'!D68/100)^2)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W15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W81+'입력값'!W82)*('입력값'!C68*100*(3/12)*(1+'입력값'!D68/100)^3)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X15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X81+'입력값'!X82)*('입력값'!C68*100*(3/12)*(1+'입력값'!D68/100)^3)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Y15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Y81+'입력값'!Y82)*('입력값'!C68*100*(3/12)*(1+'입력값'!D68/100)^3)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Z15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Z81+'입력값'!Z82)*('입력값'!C68*100*(3/12)*(1+'입력값'!D68/100)^3)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AA15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A81+'입력값'!AA82)*('입력값'!C68*100*(3/12)*(1+'입력값'!D68/100)^4)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B15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B81+'입력값'!AB82)*('입력값'!C68*100*(3/12)*(1+'입력값'!D68/100)^4)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C15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C81+'입력값'!AC82)*('입력값'!C68*100*(3/12)*(1+'입력값'!D68/100)^4)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D15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D81+'입력값'!AD82)*('입력값'!C68*100*(3/12)*(1+'입력값'!D68/100)^4)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E15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E81+'입력값'!AE82)*('입력값'!C68*100*(3/12)*(1+'입력값'!D68/100)^5)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F15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F81+'입력값'!AF82)*('입력값'!C68*100*(3/12)*(1+'입력값'!D68/100)^5)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G15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G81+'입력값'!AG82)*('입력값'!C68*100*(3/12)*(1+'입력값'!D68/100)^5)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H15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H81+'입력값'!AH82)*('입력값'!C68*100*(3/12)*(1+'입력값'!D68/100)^5)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I15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I81+'입력값'!AI82)*('입력값'!C68*100*(3/12)*(1+'입력값'!D68/100)^6)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J15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J81+'입력값'!AJ82)*('입력값'!C68*100*(3/12)*(1+'입력값'!D68/100)^6)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K15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K81+'입력값'!AK82)*('입력값'!C68*100*(3/12)*(1+'입력값'!D68/100)^6)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L15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L81+'입력값'!AL82)*('입력값'!C68*100*(3/12)*(1+'입력값'!D68/100)^6)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M15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M81+'입력값'!AM82)*('입력값'!C68*100*(3/12)*(1+'입력값'!D68/100)^7)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N15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N81+'입력값'!AN82)*('입력값'!C68*100*(3/12)*(1+'입력값'!D68/100)^7)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O15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O81+'입력값'!AO82)*('입력값'!C68*100*(3/12)*(1+'입력값'!D68/100)^7)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P15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P81+'입력값'!AP82)*('입력값'!C68*100*(3/12)*(1+'입력값'!D68/100)^7)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Q15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Q81+'입력값'!AQ82)*('입력값'!C68*100*(3/12)*(1+'입력값'!D68/100)^8)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R15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R81+'입력값'!AR82)*('입력값'!C68*100*(3/12)*(1+'입력값'!D68/100)^8)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S15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S81+'입력값'!AS82)*('입력값'!C68*100*(3/12)*(1+'입력값'!D68/100)^8)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T15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T81+'입력값'!AT82)*('입력값'!C68*100*(3/12)*(1+'입력값'!D68/100)^8)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U15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U81+'입력값'!AU82)*('입력값'!C68*100*(3/12)*(1+'입력값'!D68/100)^9)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V15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V81+'입력값'!AV82)*('입력값'!C68*100*(3/12)*(1+'입력값'!D68/100)^9)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W15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W81+'입력값'!AW82)*('입력값'!C68*100*(3/12)*(1+'입력값'!D68/100)^9)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X15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X81+'입력값'!AX82)*('입력값'!C68*100*(3/12)*(1+'입력값'!D68/100)^9)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Y15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Y81+'입력값'!AY82)*('입력값'!C68*100*(3/12)*(1+'입력값'!D68/100)^10)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AZ15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Z81+'입력값'!AZ82)*('입력값'!C68*100*(3/12)*(1+'입력값'!D68/100)^10)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A15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A81+'입력값'!BA82)*('입력값'!C68*100*(3/12)*(1+'입력값'!D68/100)^10)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B15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B81+'입력값'!BB82)*('입력값'!C68*100*(3/12)*(1+'입력값'!D68/100)^10)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C15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C81+'입력값'!BC82)*('입력값'!C68*100*(3/12)*(1+'입력값'!D68/100)^11)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D15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D81+'입력값'!BD82)*('입력값'!C68*100*(3/12)*(1+'입력값'!D68/100)^11)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E15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E81+'입력값'!BE82)*('입력값'!C68*100*(3/12)*(1+'입력값'!D68/100)^11)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F15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F81+'입력값'!BF82)*('입력값'!C68*100*(3/12)*(1+'입력값'!D68/100)^11)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G15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G81+'입력값'!BG82)*('입력값'!C68*100*(3/12)*(1+'입력값'!D68/100)^12)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H15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H81+'입력값'!BH82)*('입력값'!C68*100*(3/12)*(1+'입력값'!D68/100)^12)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I15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I81+'입력값'!BI82)*('입력값'!C68*100*(3/12)*(1+'입력값'!D68/100)^12)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J15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J81+'입력값'!BJ82)*('입력값'!C68*100*(3/12)*(1+'입력값'!D68/100)^12)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K15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K81+'입력값'!BK82)*('입력값'!C68*100*(3/12)*(1+'입력값'!D68/100)^13)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L15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L81+'입력값'!BL82)*('입력값'!C68*100*(3/12)*(1+'입력값'!D68/100)^13)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M15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M81+'입력값'!BM82)*('입력값'!C68*100*(3/12)*(1+'입력값'!D68/100)^13)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N15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N81+'입력값'!BN82)*('입력값'!C68*100*(3/12)*(1+'입력값'!D68/100)^13)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O15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O81+'입력값'!BO82)*('입력값'!C68*100*(3/12)*(1+'입력값'!D68/100)^14)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P15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P81+'입력값'!BP82)*('입력값'!C68*100*(3/12)*(1+'입력값'!D68/100)^14)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Q15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Q81+'입력값'!BQ82)*('입력값'!C68*100*(3/12)*(1+'입력값'!D68/100)^14)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R15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R81+'입력값'!BR82)*('입력값'!C68*100*(3/12)*(1+'입력값'!D68/100)^14)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S15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S81+'입력값'!BS82)*('입력값'!C68*100*(3/12)*(1+'입력값'!D68/100)^15)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T15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T81+'입력값'!BT82)*('입력값'!C68*100*(3/12)*(1+'입력값'!D68/100)^15)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U15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U81+'입력값'!BU82)*('입력값'!C68*100*(3/12)*(1+'입력값'!D68/100)^15)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V15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V81+'입력값'!BV82)*('입력값'!C68*100*(3/12)*(1+'입력값'!D68/100)^15)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W15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W81+'입력값'!BW82)*('입력값'!C68*100*(3/12)*(1+'입력값'!D68/100)^16)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X15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X81+'입력값'!BX82)*('입력값'!C68*100*(3/12)*(1+'입력값'!D68/100)^16)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Y15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Y81+'입력값'!BY82)*('입력값'!C68*100*(3/12)*(1+'입력값'!D68/100)^16)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Z15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Z81+'입력값'!BZ82)*('입력값'!C68*100*(3/12)*(1+'입력값'!D68/100)^16)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CA15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A81+'입력값'!CA82)*('입력값'!C68*100*(3/12)*(1+'입력값'!D68/100)^17)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B15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B81+'입력값'!CB82)*('입력값'!C68*100*(3/12)*(1+'입력값'!D68/100)^17)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C15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C81+'입력값'!CC82)*('입력값'!C68*100*(3/12)*(1+'입력값'!D68/100)^17)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D15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D81+'입력값'!CD82)*('입력값'!C68*100*(3/12)*(1+'입력값'!D68/100)^17)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E15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E81+'입력값'!CE82)*('입력값'!C68*100*(3/12)*(1+'입력값'!D68/100)^18)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F15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F81+'입력값'!CF82)*('입력값'!C68*100*(3/12)*(1+'입력값'!D68/100)^18)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G15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G81+'입력값'!CG82)*('입력값'!C68*100*(3/12)*(1+'입력값'!D68/100)^18)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H15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H81+'입력값'!CH82)*('입력값'!C68*100*(3/12)*(1+'입력값'!D68/100)^18)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I15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I81+'입력값'!CI82)*('입력값'!C68*100*(3/12)*(1+'입력값'!D68/100)^19)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J15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J81+'입력값'!CJ82)*('입력값'!C68*100*(3/12)*(1+'입력값'!D68/100)^19)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K15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K81+'입력값'!CK82)*('입력값'!C68*100*(3/12)*(1+'입력값'!D68/100)^19)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L15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L81+'입력값'!CL82)*('입력값'!C68*100*(3/12)*(1+'입력값'!D68/100)^19)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</row>
    <row r="16" spans="2:90" x14ac:dyDescent="0.25">
      <c r="B16" s="28" t="s">
        <v>257</v>
      </c>
      <c r="C16" s="29" t="s">
        <v>205</v>
      </c>
      <c r="D16" s="32">
        <f>SUM(E16:CL16)</f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K81+'입력값'!K82)*('입력값'!C69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L16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L81+'입력값'!L82)*('입력값'!C69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M16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M81+'입력값'!M82)*('입력값'!C69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N16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N81+'입력값'!N82)*('입력값'!C69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O16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O81+'입력값'!O82)*('입력값'!C69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P16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P81+'입력값'!P82)*('입력값'!C69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Q16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Q81+'입력값'!Q82)*('입력값'!C69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R16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R81+'입력값'!R82)*('입력값'!C69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S16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S81+'입력값'!S82)*('입력값'!C69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T16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T81+'입력값'!T82)*('입력값'!C69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U16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U81+'입력값'!U82)*('입력값'!C69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V16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V81+'입력값'!V82)*('입력값'!C69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W16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W81+'입력값'!W82)*('입력값'!C69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X16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X81+'입력값'!X82)*('입력값'!C69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Y16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Y81+'입력값'!Y82)*('입력값'!C69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Z16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Z81+'입력값'!Z82)*('입력값'!C69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AA16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A81+'입력값'!AA82)*('입력값'!C69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B16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B81+'입력값'!AB82)*('입력값'!C69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C16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C81+'입력값'!AC82)*('입력값'!C69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D16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D81+'입력값'!AD82)*('입력값'!C69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E16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E81+'입력값'!AE82)*('입력값'!C69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F16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F81+'입력값'!AF82)*('입력값'!C69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G16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G81+'입력값'!AG82)*('입력값'!C69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H16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H81+'입력값'!AH82)*('입력값'!C69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I16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I81+'입력값'!AI82)*('입력값'!C69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J16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J81+'입력값'!AJ82)*('입력값'!C69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K16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K81+'입력값'!AK82)*('입력값'!C69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L16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L81+'입력값'!AL82)*('입력값'!C69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M16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M81+'입력값'!AM82)*('입력값'!C69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N16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N81+'입력값'!AN82)*('입력값'!C69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O16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O81+'입력값'!AO82)*('입력값'!C69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P16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P81+'입력값'!AP82)*('입력값'!C69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Q16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Q81+'입력값'!AQ82)*('입력값'!C69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R16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R81+'입력값'!AR82)*('입력값'!C69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S16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S81+'입력값'!AS82)*('입력값'!C69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T16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T81+'입력값'!AT82)*('입력값'!C69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U16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U81+'입력값'!AU82)*('입력값'!C69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V16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V81+'입력값'!AV82)*('입력값'!C69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W16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W81+'입력값'!AW82)*('입력값'!C69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X16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X81+'입력값'!AX82)*('입력값'!C69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Y16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Y81+'입력값'!AY82)*('입력값'!C69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AZ16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Z81+'입력값'!AZ82)*('입력값'!C69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A16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A81+'입력값'!BA82)*('입력값'!C69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B16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B81+'입력값'!BB82)*('입력값'!C69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C16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C81+'입력값'!BC82)*('입력값'!C69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D16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D81+'입력값'!BD82)*('입력값'!C69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E16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E81+'입력값'!BE82)*('입력값'!C69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F16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F81+'입력값'!BF82)*('입력값'!C69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G16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G81+'입력값'!BG82)*('입력값'!C69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H16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H81+'입력값'!BH82)*('입력값'!C69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I16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I81+'입력값'!BI82)*('입력값'!C69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J16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J81+'입력값'!BJ82)*('입력값'!C69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K16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K81+'입력값'!BK82)*('입력값'!C69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L16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L81+'입력값'!BL82)*('입력값'!C69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M16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M81+'입력값'!BM82)*('입력값'!C69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N16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N81+'입력값'!BN82)*('입력값'!C69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O16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O81+'입력값'!BO82)*('입력값'!C69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P16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P81+'입력값'!BP82)*('입력값'!C69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Q16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Q81+'입력값'!BQ82)*('입력값'!C69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R16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R81+'입력값'!BR82)*('입력값'!C69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S16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S81+'입력값'!BS82)*('입력값'!C69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T16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T81+'입력값'!BT82)*('입력값'!C69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U16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U81+'입력값'!BU82)*('입력값'!C69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V16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V81+'입력값'!BV82)*('입력값'!C69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W16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W81+'입력값'!BW82)*('입력값'!C69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X16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X81+'입력값'!BX82)*('입력값'!C69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Y16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Y81+'입력값'!BY82)*('입력값'!C69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Z16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Z81+'입력값'!BZ82)*('입력값'!C69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CA16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A81+'입력값'!CA82)*('입력값'!C69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B16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B81+'입력값'!CB82)*('입력값'!C69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C16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C81+'입력값'!CC82)*('입력값'!C69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D16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D81+'입력값'!CD82)*('입력값'!C69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E16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E81+'입력값'!CE82)*('입력값'!C69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F16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F81+'입력값'!CF82)*('입력값'!C69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G16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G81+'입력값'!CG82)*('입력값'!C69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H16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H81+'입력값'!CH82)*('입력값'!C69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I16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I81+'입력값'!CI82)*('입력값'!C69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J16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J81+'입력값'!CJ82)*('입력값'!C69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K16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K81+'입력값'!CK82)*('입력값'!C69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L16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L81+'입력값'!CL82)*('입력값'!C69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</row>
    <row r="17" spans="2:90" x14ac:dyDescent="0.25">
      <c r="B17" s="28" t="s">
        <v>258</v>
      </c>
      <c r="C17" s="29" t="s">
        <v>205</v>
      </c>
      <c r="D17" s="32">
        <f>SUM(E17:CL17)</f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K81+'입력값'!K82)*('입력값'!C70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L17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L81+'입력값'!L82)*('입력값'!C70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M17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M81+'입력값'!M82)*('입력값'!C70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N17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N81+'입력값'!N82)*('입력값'!C70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O17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O81+'입력값'!O82)*('입력값'!C70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P17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P81+'입력값'!P82)*('입력값'!C70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Q17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Q81+'입력값'!Q82)*('입력값'!C70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R17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R81+'입력값'!R82)*('입력값'!C70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S17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S81+'입력값'!S82)*('입력값'!C70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T17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T81+'입력값'!T82)*('입력값'!C70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U17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U81+'입력값'!U82)*('입력값'!C70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V17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V81+'입력값'!V82)*('입력값'!C70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W17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W81+'입력값'!W82)*('입력값'!C70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X17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X81+'입력값'!X82)*('입력값'!C70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Y17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Y81+'입력값'!Y82)*('입력값'!C70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Z17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Z81+'입력값'!Z82)*('입력값'!C70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AA17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A81+'입력값'!AA82)*('입력값'!C70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B17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B81+'입력값'!AB82)*('입력값'!C70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C17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C81+'입력값'!AC82)*('입력값'!C70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D17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D81+'입력값'!AD82)*('입력값'!C70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E17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E81+'입력값'!AE82)*('입력값'!C70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F17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F81+'입력값'!AF82)*('입력값'!C70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G17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G81+'입력값'!AG82)*('입력값'!C70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H17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H81+'입력값'!AH82)*('입력값'!C70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I17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I81+'입력값'!AI82)*('입력값'!C70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J17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J81+'입력값'!AJ82)*('입력값'!C70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K17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K81+'입력값'!AK82)*('입력값'!C70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L17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L81+'입력값'!AL82)*('입력값'!C70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M17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M81+'입력값'!AM82)*('입력값'!C70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N17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N81+'입력값'!AN82)*('입력값'!C70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O17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O81+'입력값'!AO82)*('입력값'!C70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P17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P81+'입력값'!AP82)*('입력값'!C70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Q17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Q81+'입력값'!AQ82)*('입력값'!C70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R17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R81+'입력값'!AR82)*('입력값'!C70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S17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S81+'입력값'!AS82)*('입력값'!C70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T17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T81+'입력값'!AT82)*('입력값'!C70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U17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U81+'입력값'!AU82)*('입력값'!C70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V17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V81+'입력값'!AV82)*('입력값'!C70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W17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W81+'입력값'!AW82)*('입력값'!C70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X17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X81+'입력값'!AX82)*('입력값'!C70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Y17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Y81+'입력값'!AY82)*('입력값'!C70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AZ17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Z81+'입력값'!AZ82)*('입력값'!C70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A17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A81+'입력값'!BA82)*('입력값'!C70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B17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B81+'입력값'!BB82)*('입력값'!C70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C17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C81+'입력값'!BC82)*('입력값'!C70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D17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D81+'입력값'!BD82)*('입력값'!C70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E17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E81+'입력값'!BE82)*('입력값'!C70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F17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F81+'입력값'!BF82)*('입력값'!C70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G17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G81+'입력값'!BG82)*('입력값'!C70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H17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H81+'입력값'!BH82)*('입력값'!C70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I17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I81+'입력값'!BI82)*('입력값'!C70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J17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J81+'입력값'!BJ82)*('입력값'!C70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K17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K81+'입력값'!BK82)*('입력값'!C70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L17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L81+'입력값'!BL82)*('입력값'!C70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M17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M81+'입력값'!BM82)*('입력값'!C70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N17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N81+'입력값'!BN82)*('입력값'!C70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O17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O81+'입력값'!BO82)*('입력값'!C70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P17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P81+'입력값'!BP82)*('입력값'!C70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Q17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Q81+'입력값'!BQ82)*('입력값'!C70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R17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R81+'입력값'!BR82)*('입력값'!C70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S17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S81+'입력값'!BS82)*('입력값'!C70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T17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T81+'입력값'!BT82)*('입력값'!C70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U17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U81+'입력값'!BU82)*('입력값'!C70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V17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V81+'입력값'!BV82)*('입력값'!C70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W17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W81+'입력값'!BW82)*('입력값'!C70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X17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X81+'입력값'!BX82)*('입력값'!C70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Y17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Y81+'입력값'!BY82)*('입력값'!C70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Z17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Z81+'입력값'!BZ82)*('입력값'!C70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CA17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A81+'입력값'!CA82)*('입력값'!C70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B17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B81+'입력값'!CB82)*('입력값'!C70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C17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C81+'입력값'!CC82)*('입력값'!C70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D17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D81+'입력값'!CD82)*('입력값'!C70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E17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E81+'입력값'!CE82)*('입력값'!C70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F17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F81+'입력값'!CF82)*('입력값'!C70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G17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G81+'입력값'!CG82)*('입력값'!C70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H17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H81+'입력값'!CH82)*('입력값'!C70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I17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I81+'입력값'!CI82)*('입력값'!C70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J17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J81+'입력값'!CJ82)*('입력값'!C70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K17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K81+'입력값'!CK82)*('입력값'!C70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L17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L81+'입력값'!CL82)*('입력값'!C70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</row>
    <row r="18" spans="2:90" x14ac:dyDescent="0.25">
      <c r="B18" s="28" t="s">
        <v>259</v>
      </c>
      <c r="C18" s="29" t="s">
        <v>205</v>
      </c>
      <c r="D18" s="32">
        <f>SUM(E18:CL18)</f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K81+'입력값'!K82)*('입력값'!C71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L18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L81+'입력값'!L82)*('입력값'!C71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M18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M81+'입력값'!M82)*('입력값'!C71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N18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N81+'입력값'!N82)*('입력값'!C71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O18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O81+'입력값'!O82)*('입력값'!C71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P18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P81+'입력값'!P82)*('입력값'!C71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Q18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Q81+'입력값'!Q82)*('입력값'!C71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R18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R81+'입력값'!R82)*('입력값'!C71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S18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S81+'입력값'!S82)*('입력값'!C71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T18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T81+'입력값'!T82)*('입력값'!C71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U18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U81+'입력값'!U82)*('입력값'!C71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V18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V81+'입력값'!V82)*('입력값'!C71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W18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W81+'입력값'!W82)*('입력값'!C71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X18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X81+'입력값'!X82)*('입력값'!C71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Y18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Y81+'입력값'!Y82)*('입력값'!C71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Z18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Z81+'입력값'!Z82)*('입력값'!C71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AA18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A81+'입력값'!AA82)*('입력값'!C71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B18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B81+'입력값'!AB82)*('입력값'!C71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C18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C81+'입력값'!AC82)*('입력값'!C71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D18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D81+'입력값'!AD82)*('입력값'!C71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E18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E81+'입력값'!AE82)*('입력값'!C71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F18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F81+'입력값'!AF82)*('입력값'!C71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G18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G81+'입력값'!AG82)*('입력값'!C71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H18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H81+'입력값'!AH82)*('입력값'!C71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I18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I81+'입력값'!AI82)*('입력값'!C71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J18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J81+'입력값'!AJ82)*('입력값'!C71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K18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K81+'입력값'!AK82)*('입력값'!C71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L18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L81+'입력값'!AL82)*('입력값'!C71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M18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M81+'입력값'!AM82)*('입력값'!C71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N18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N81+'입력값'!AN82)*('입력값'!C71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O18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O81+'입력값'!AO82)*('입력값'!C71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P18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P81+'입력값'!AP82)*('입력값'!C71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Q18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Q81+'입력값'!AQ82)*('입력값'!C71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R18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R81+'입력값'!AR82)*('입력값'!C71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S18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S81+'입력값'!AS82)*('입력값'!C71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T18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T81+'입력값'!AT82)*('입력값'!C71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U18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U81+'입력값'!AU82)*('입력값'!C71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V18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V81+'입력값'!AV82)*('입력값'!C71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W18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W81+'입력값'!AW82)*('입력값'!C71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X18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X81+'입력값'!AX82)*('입력값'!C71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Y18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Y81+'입력값'!AY82)*('입력값'!C71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AZ18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Z81+'입력값'!AZ82)*('입력값'!C71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A18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A81+'입력값'!BA82)*('입력값'!C71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B18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B81+'입력값'!BB82)*('입력값'!C71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C18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C81+'입력값'!BC82)*('입력값'!C71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D18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D81+'입력값'!BD82)*('입력값'!C71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E18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E81+'입력값'!BE82)*('입력값'!C71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F18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F81+'입력값'!BF82)*('입력값'!C71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G18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G81+'입력값'!BG82)*('입력값'!C71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H18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H81+'입력값'!BH82)*('입력값'!C71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I18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I81+'입력값'!BI82)*('입력값'!C71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J18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J81+'입력값'!BJ82)*('입력값'!C71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K18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K81+'입력값'!BK82)*('입력값'!C71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L18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L81+'입력값'!BL82)*('입력값'!C71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M18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M81+'입력값'!BM82)*('입력값'!C71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N18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N81+'입력값'!BN82)*('입력값'!C71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O18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O81+'입력값'!BO82)*('입력값'!C71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P18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P81+'입력값'!BP82)*('입력값'!C71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Q18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Q81+'입력값'!BQ82)*('입력값'!C71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R18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R81+'입력값'!BR82)*('입력값'!C71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S18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S81+'입력값'!BS82)*('입력값'!C71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T18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T81+'입력값'!BT82)*('입력값'!C71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U18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U81+'입력값'!BU82)*('입력값'!C71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V18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V81+'입력값'!BV82)*('입력값'!C71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W18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W81+'입력값'!BW82)*('입력값'!C71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X18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X81+'입력값'!BX82)*('입력값'!C71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Y18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Y81+'입력값'!BY82)*('입력값'!C71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Z18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Z81+'입력값'!BZ82)*('입력값'!C71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CA18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A81+'입력값'!CA82)*('입력값'!C71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B18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B81+'입력값'!CB82)*('입력값'!C71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C18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C81+'입력값'!CC82)*('입력값'!C71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D18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D81+'입력값'!CD82)*('입력값'!C71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E18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E81+'입력값'!CE82)*('입력값'!C71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F18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F81+'입력값'!CF82)*('입력값'!C71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G18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G81+'입력값'!CG82)*('입력값'!C71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H18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H81+'입력값'!CH82)*('입력값'!C71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I18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I81+'입력값'!CI82)*('입력값'!C71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J18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J81+'입력값'!CJ82)*('입력값'!C71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K18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K81+'입력값'!CK82)*('입력값'!C71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L18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L81+'입력값'!CL82)*('입력값'!C71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</row>
    <row r="19" spans="2:90" x14ac:dyDescent="0.25">
      <c r="B19" s="28" t="s">
        <v>260</v>
      </c>
      <c r="C19" s="29" t="s">
        <v>205</v>
      </c>
      <c r="D19" s="32">
        <f>SUM(E19:CL19)</f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K81+'입력값'!K82)*('입력값'!C72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L19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L81+'입력값'!L82)*('입력값'!C72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M19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M81+'입력값'!M82)*('입력값'!C72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N19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N81+'입력값'!N82)*('입력값'!C72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O19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O81+'입력값'!O82)*('입력값'!C72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P19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P81+'입력값'!P82)*('입력값'!C72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Q19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Q81+'입력값'!Q82)*('입력값'!C72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R19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R81+'입력값'!R82)*('입력값'!C72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S19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S81+'입력값'!S82)*('입력값'!C72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T19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T81+'입력값'!T82)*('입력값'!C72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U19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U81+'입력값'!U82)*('입력값'!C72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V19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V81+'입력값'!V82)*('입력값'!C72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W19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W81+'입력값'!W82)*('입력값'!C72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X19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X81+'입력값'!X82)*('입력값'!C72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Y19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Y81+'입력값'!Y82)*('입력값'!C72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Z19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Z81+'입력값'!Z82)*('입력값'!C72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AA19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A81+'입력값'!AA82)*('입력값'!C72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B19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B81+'입력값'!AB82)*('입력값'!C72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C19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C81+'입력값'!AC82)*('입력값'!C72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D19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D81+'입력값'!AD82)*('입력값'!C72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E19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E81+'입력값'!AE82)*('입력값'!C72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F19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F81+'입력값'!AF82)*('입력값'!C72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G19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G81+'입력값'!AG82)*('입력값'!C72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H19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H81+'입력값'!AH82)*('입력값'!C72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I19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I81+'입력값'!AI82)*('입력값'!C72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J19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J81+'입력값'!AJ82)*('입력값'!C72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K19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K81+'입력값'!AK82)*('입력값'!C72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L19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L81+'입력값'!AL82)*('입력값'!C72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M19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M81+'입력값'!AM82)*('입력값'!C72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N19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N81+'입력값'!AN82)*('입력값'!C72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O19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O81+'입력값'!AO82)*('입력값'!C72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P19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P81+'입력값'!AP82)*('입력값'!C72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Q19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Q81+'입력값'!AQ82)*('입력값'!C72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R19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R81+'입력값'!AR82)*('입력값'!C72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S19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S81+'입력값'!AS82)*('입력값'!C72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T19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T81+'입력값'!AT82)*('입력값'!C72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U19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U81+'입력값'!AU82)*('입력값'!C72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V19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V81+'입력값'!AV82)*('입력값'!C72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W19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W81+'입력값'!AW82)*('입력값'!C72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X19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X81+'입력값'!AX82)*('입력값'!C72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Y19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Y81+'입력값'!AY82)*('입력값'!C72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AZ19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Z81+'입력값'!AZ82)*('입력값'!C72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A19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A81+'입력값'!BA82)*('입력값'!C72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B19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B81+'입력값'!BB82)*('입력값'!C72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C19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C81+'입력값'!BC82)*('입력값'!C72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D19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D81+'입력값'!BD82)*('입력값'!C72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E19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E81+'입력값'!BE82)*('입력값'!C72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F19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F81+'입력값'!BF82)*('입력값'!C72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G19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G81+'입력값'!BG82)*('입력값'!C72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H19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H81+'입력값'!BH82)*('입력값'!C72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I19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I81+'입력값'!BI82)*('입력값'!C72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J19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J81+'입력값'!BJ82)*('입력값'!C72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K19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K81+'입력값'!BK82)*('입력값'!C72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L19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L81+'입력값'!BL82)*('입력값'!C72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M19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M81+'입력값'!BM82)*('입력값'!C72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N19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N81+'입력값'!BN82)*('입력값'!C72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O19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O81+'입력값'!BO82)*('입력값'!C72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P19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P81+'입력값'!BP82)*('입력값'!C72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Q19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Q81+'입력값'!BQ82)*('입력값'!C72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R19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R81+'입력값'!BR82)*('입력값'!C72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S19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S81+'입력값'!BS82)*('입력값'!C72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T19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T81+'입력값'!BT82)*('입력값'!C72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U19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U81+'입력값'!BU82)*('입력값'!C72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V19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V81+'입력값'!BV82)*('입력값'!C72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W19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W81+'입력값'!BW82)*('입력값'!C72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X19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X81+'입력값'!BX82)*('입력값'!C72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Y19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Y81+'입력값'!BY82)*('입력값'!C72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Z19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Z81+'입력값'!BZ82)*('입력값'!C72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CA19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A81+'입력값'!CA82)*('입력값'!C72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B19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B81+'입력값'!CB82)*('입력값'!C72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C19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C81+'입력값'!CC82)*('입력값'!C72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D19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D81+'입력값'!CD82)*('입력값'!C72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E19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E81+'입력값'!CE82)*('입력값'!C72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F19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F81+'입력값'!CF82)*('입력값'!C72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G19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G81+'입력값'!CG82)*('입력값'!C72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H19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H81+'입력값'!CH82)*('입력값'!C72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I19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I81+'입력값'!CI82)*('입력값'!C72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J19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J81+'입력값'!CJ82)*('입력값'!C72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K19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K81+'입력값'!CK82)*('입력값'!C72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L19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L81+'입력값'!CL82)*('입력값'!C72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</row>
    <row r="20" spans="2:90" x14ac:dyDescent="0.25">
      <c r="B20" s="28" t="s">
        <v>261</v>
      </c>
      <c r="C20" s="29" t="s">
        <v>205</v>
      </c>
      <c r="D20" s="32">
        <f>SUM(E20:CL20)</f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K81+'입력값'!K82)*('입력값'!C73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L20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L81+'입력값'!L82)*('입력값'!C73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M20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M81+'입력값'!M82)*('입력값'!C73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N20" s="32">
        <f>-(IF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=0,0,('입력값'!N81+'입력값'!N82)*('입력값'!C73*100*(3/12))/(('입력값'!C62*100*(3/12))+('입력값'!C63*100*(3/12)*(1+'입력값'!D63/100)^0)+('입력값'!C64*100*(3/12))+('입력값'!C65*100*(3/12))+('입력값'!C66*100*(3/12)*(1+'입력값'!D66/100)^0)+('입력값'!C67*100*(3/12)*(1+'입력값'!D67/100)^0)+('입력값'!C68*100*(3/12)*(1+'입력값'!D68/100)^0)+('입력값'!C69*100*(3/12))+('입력값'!C70*100*(3/12))+('입력값'!C71*100*(3/12))+('입력값'!C72*100*(3/12))+('입력값'!C73*100*(3/12)))))</f>
      </c>
      <c r="O20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O81+'입력값'!O82)*('입력값'!C73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P20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P81+'입력값'!P82)*('입력값'!C73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Q20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Q81+'입력값'!Q82)*('입력값'!C73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R20" s="32">
        <f>-(IF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=0,0,('입력값'!R81+'입력값'!R82)*('입력값'!C73*100*(3/12))/(('입력값'!C62*100*(3/12))+('입력값'!C63*100*(3/12)*(1+'입력값'!D63/100)^1)+('입력값'!C64*100*(3/12))+('입력값'!C65*100*(3/12))+('입력값'!C66*100*(3/12)*(1+'입력값'!D66/100)^1)+('입력값'!C67*100*(3/12)*(1+'입력값'!D67/100)^1)+('입력값'!C68*100*(3/12)*(1+'입력값'!D68/100)^1)+('입력값'!C69*100*(3/12))+('입력값'!C70*100*(3/12))+('입력값'!C71*100*(3/12))+('입력값'!C72*100*(3/12))+('입력값'!C73*100*(3/12)))))</f>
      </c>
      <c r="S20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S81+'입력값'!S82)*('입력값'!C73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T20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T81+'입력값'!T82)*('입력값'!C73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U20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U81+'입력값'!U82)*('입력값'!C73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V20" s="32">
        <f>-(IF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=0,0,('입력값'!V81+'입력값'!V82)*('입력값'!C73*100*(3/12))/(('입력값'!C62*100*(3/12))+('입력값'!C63*100*(3/12)*(1+'입력값'!D63/100)^2)+('입력값'!C64*100*(3/12))+('입력값'!C65*100*(3/12))+('입력값'!C66*100*(3/12)*(1+'입력값'!D66/100)^2)+('입력값'!C67*100*(3/12)*(1+'입력값'!D67/100)^2)+('입력값'!C68*100*(3/12)*(1+'입력값'!D68/100)^2)+('입력값'!C69*100*(3/12))+('입력값'!C70*100*(3/12))+('입력값'!C71*100*(3/12))+('입력값'!C72*100*(3/12))+('입력값'!C73*100*(3/12)))))</f>
      </c>
      <c r="W20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W81+'입력값'!W82)*('입력값'!C73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X20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X81+'입력값'!X82)*('입력값'!C73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Y20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Y81+'입력값'!Y82)*('입력값'!C73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Z20" s="32">
        <f>-(IF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=0,0,('입력값'!Z81+'입력값'!Z82)*('입력값'!C73*100*(3/12))/(('입력값'!C62*100*(3/12))+('입력값'!C63*100*(3/12)*(1+'입력값'!D63/100)^3)+('입력값'!C64*100*(3/12))+('입력값'!C65*100*(3/12))+('입력값'!C66*100*(3/12)*(1+'입력값'!D66/100)^3)+('입력값'!C67*100*(3/12)*(1+'입력값'!D67/100)^3)+('입력값'!C68*100*(3/12)*(1+'입력값'!D68/100)^3)+('입력값'!C69*100*(3/12))+('입력값'!C70*100*(3/12))+('입력값'!C71*100*(3/12))+('입력값'!C72*100*(3/12))+('입력값'!C73*100*(3/12)))))</f>
      </c>
      <c r="AA20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A81+'입력값'!AA82)*('입력값'!C73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B20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B81+'입력값'!AB82)*('입력값'!C73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C20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C81+'입력값'!AC82)*('입력값'!C73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D20" s="32">
        <f>-(IF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=0,0,('입력값'!AD81+'입력값'!AD82)*('입력값'!C73*100*(3/12))/(('입력값'!C62*100*(3/12))+('입력값'!C63*100*(3/12)*(1+'입력값'!D63/100)^4)+('입력값'!C64*100*(3/12))+('입력값'!C65*100*(3/12))+('입력값'!C66*100*(3/12)*(1+'입력값'!D66/100)^4)+('입력값'!C67*100*(3/12)*(1+'입력값'!D67/100)^4)+('입력값'!C68*100*(3/12)*(1+'입력값'!D68/100)^4)+('입력값'!C69*100*(3/12))+('입력값'!C70*100*(3/12))+('입력값'!C71*100*(3/12))+('입력값'!C72*100*(3/12))+('입력값'!C73*100*(3/12)))))</f>
      </c>
      <c r="AE20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E81+'입력값'!AE82)*('입력값'!C73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F20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F81+'입력값'!AF82)*('입력값'!C73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G20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G81+'입력값'!AG82)*('입력값'!C73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H20" s="32">
        <f>-(IF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=0,0,('입력값'!AH81+'입력값'!AH82)*('입력값'!C73*100*(3/12))/(('입력값'!C62*100*(3/12))+('입력값'!C63*100*(3/12)*(1+'입력값'!D63/100)^5)+('입력값'!C64*100*(3/12))+('입력값'!C65*100*(3/12))+('입력값'!C66*100*(3/12)*(1+'입력값'!D66/100)^5)+('입력값'!C67*100*(3/12)*(1+'입력값'!D67/100)^5)+('입력값'!C68*100*(3/12)*(1+'입력값'!D68/100)^5)+('입력값'!C69*100*(3/12))+('입력값'!C70*100*(3/12))+('입력값'!C71*100*(3/12))+('입력값'!C72*100*(3/12))+('입력값'!C73*100*(3/12)))))</f>
      </c>
      <c r="AI20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I81+'입력값'!AI82)*('입력값'!C73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J20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J81+'입력값'!AJ82)*('입력값'!C73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K20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K81+'입력값'!AK82)*('입력값'!C73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L20" s="32">
        <f>-(IF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=0,0,('입력값'!AL81+'입력값'!AL82)*('입력값'!C73*100*(3/12))/(('입력값'!C62*100*(3/12))+('입력값'!C63*100*(3/12)*(1+'입력값'!D63/100)^6)+('입력값'!C64*100*(3/12))+('입력값'!C65*100*(3/12))+('입력값'!C66*100*(3/12)*(1+'입력값'!D66/100)^6)+('입력값'!C67*100*(3/12)*(1+'입력값'!D67/100)^6)+('입력값'!C68*100*(3/12)*(1+'입력값'!D68/100)^6)+('입력값'!C69*100*(3/12))+('입력값'!C70*100*(3/12))+('입력값'!C71*100*(3/12))+('입력값'!C72*100*(3/12))+('입력값'!C73*100*(3/12)))))</f>
      </c>
      <c r="AM20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M81+'입력값'!AM82)*('입력값'!C73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N20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N81+'입력값'!AN82)*('입력값'!C73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O20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O81+'입력값'!AO82)*('입력값'!C73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P20" s="32">
        <f>-(IF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=0,0,('입력값'!AP81+'입력값'!AP82)*('입력값'!C73*100*(3/12))/(('입력값'!C62*100*(3/12))+('입력값'!C63*100*(3/12)*(1+'입력값'!D63/100)^7)+('입력값'!C64*100*(3/12))+('입력값'!C65*100*(3/12))+('입력값'!C66*100*(3/12)*(1+'입력값'!D66/100)^7)+('입력값'!C67*100*(3/12)*(1+'입력값'!D67/100)^7)+('입력값'!C68*100*(3/12)*(1+'입력값'!D68/100)^7)+('입력값'!C69*100*(3/12))+('입력값'!C70*100*(3/12))+('입력값'!C71*100*(3/12))+('입력값'!C72*100*(3/12))+('입력값'!C73*100*(3/12)))))</f>
      </c>
      <c r="AQ20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Q81+'입력값'!AQ82)*('입력값'!C73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R20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R81+'입력값'!AR82)*('입력값'!C73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S20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S81+'입력값'!AS82)*('입력값'!C73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T20" s="32">
        <f>-(IF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=0,0,('입력값'!AT81+'입력값'!AT82)*('입력값'!C73*100*(3/12))/(('입력값'!C62*100*(3/12))+('입력값'!C63*100*(3/12)*(1+'입력값'!D63/100)^8)+('입력값'!C64*100*(3/12))+('입력값'!C65*100*(3/12))+('입력값'!C66*100*(3/12)*(1+'입력값'!D66/100)^8)+('입력값'!C67*100*(3/12)*(1+'입력값'!D67/100)^8)+('입력값'!C68*100*(3/12)*(1+'입력값'!D68/100)^8)+('입력값'!C69*100*(3/12))+('입력값'!C70*100*(3/12))+('입력값'!C71*100*(3/12))+('입력값'!C72*100*(3/12))+('입력값'!C73*100*(3/12)))))</f>
      </c>
      <c r="AU20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U81+'입력값'!AU82)*('입력값'!C73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V20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V81+'입력값'!AV82)*('입력값'!C73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W20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W81+'입력값'!AW82)*('입력값'!C73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X20" s="32">
        <f>-(IF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=0,0,('입력값'!AX81+'입력값'!AX82)*('입력값'!C73*100*(3/12))/(('입력값'!C62*100*(3/12))+('입력값'!C63*100*(3/12)*(1+'입력값'!D63/100)^9)+('입력값'!C64*100*(3/12))+('입력값'!C65*100*(3/12))+('입력값'!C66*100*(3/12)*(1+'입력값'!D66/100)^9)+('입력값'!C67*100*(3/12)*(1+'입력값'!D67/100)^9)+('입력값'!C68*100*(3/12)*(1+'입력값'!D68/100)^9)+('입력값'!C69*100*(3/12))+('입력값'!C70*100*(3/12))+('입력값'!C71*100*(3/12))+('입력값'!C72*100*(3/12))+('입력값'!C73*100*(3/12)))))</f>
      </c>
      <c r="AY20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Y81+'입력값'!AY82)*('입력값'!C73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AZ20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AZ81+'입력값'!AZ82)*('입력값'!C73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A20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A81+'입력값'!BA82)*('입력값'!C73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B20" s="32">
        <f>-(IF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=0,0,('입력값'!BB81+'입력값'!BB82)*('입력값'!C73*100*(3/12))/(('입력값'!C62*100*(3/12))+('입력값'!C63*100*(3/12)*(1+'입력값'!D63/100)^10)+('입력값'!C64*100*(3/12))+('입력값'!C65*100*(3/12))+('입력값'!C66*100*(3/12)*(1+'입력값'!D66/100)^10)+('입력값'!C67*100*(3/12)*(1+'입력값'!D67/100)^10)+('입력값'!C68*100*(3/12)*(1+'입력값'!D68/100)^10)+('입력값'!C69*100*(3/12))+('입력값'!C70*100*(3/12))+('입력값'!C71*100*(3/12))+('입력값'!C72*100*(3/12))+('입력값'!C73*100*(3/12)))))</f>
      </c>
      <c r="BC20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C81+'입력값'!BC82)*('입력값'!C73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D20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D81+'입력값'!BD82)*('입력값'!C73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E20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E81+'입력값'!BE82)*('입력값'!C73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F20" s="32">
        <f>-(IF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=0,0,('입력값'!BF81+'입력값'!BF82)*('입력값'!C73*100*(3/12))/(('입력값'!C62*100*(3/12))+('입력값'!C63*100*(3/12)*(1+'입력값'!D63/100)^11)+('입력값'!C64*100*(3/12))+('입력값'!C65*100*(3/12))+('입력값'!C66*100*(3/12)*(1+'입력값'!D66/100)^11)+('입력값'!C67*100*(3/12)*(1+'입력값'!D67/100)^11)+('입력값'!C68*100*(3/12)*(1+'입력값'!D68/100)^11)+('입력값'!C69*100*(3/12))+('입력값'!C70*100*(3/12))+('입력값'!C71*100*(3/12))+('입력값'!C72*100*(3/12))+('입력값'!C73*100*(3/12)))))</f>
      </c>
      <c r="BG20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G81+'입력값'!BG82)*('입력값'!C73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H20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H81+'입력값'!BH82)*('입력값'!C73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I20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I81+'입력값'!BI82)*('입력값'!C73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J20" s="32">
        <f>-(IF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=0,0,('입력값'!BJ81+'입력값'!BJ82)*('입력값'!C73*100*(3/12))/(('입력값'!C62*100*(3/12))+('입력값'!C63*100*(3/12)*(1+'입력값'!D63/100)^12)+('입력값'!C64*100*(3/12))+('입력값'!C65*100*(3/12))+('입력값'!C66*100*(3/12)*(1+'입력값'!D66/100)^12)+('입력값'!C67*100*(3/12)*(1+'입력값'!D67/100)^12)+('입력값'!C68*100*(3/12)*(1+'입력값'!D68/100)^12)+('입력값'!C69*100*(3/12))+('입력값'!C70*100*(3/12))+('입력값'!C71*100*(3/12))+('입력값'!C72*100*(3/12))+('입력값'!C73*100*(3/12)))))</f>
      </c>
      <c r="BK20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K81+'입력값'!BK82)*('입력값'!C73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L20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L81+'입력값'!BL82)*('입력값'!C73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M20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M81+'입력값'!BM82)*('입력값'!C73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N20" s="32">
        <f>-(IF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=0,0,('입력값'!BN81+'입력값'!BN82)*('입력값'!C73*100*(3/12))/(('입력값'!C62*100*(3/12))+('입력값'!C63*100*(3/12)*(1+'입력값'!D63/100)^13)+('입력값'!C64*100*(3/12))+('입력값'!C65*100*(3/12))+('입력값'!C66*100*(3/12)*(1+'입력값'!D66/100)^13)+('입력값'!C67*100*(3/12)*(1+'입력값'!D67/100)^13)+('입력값'!C68*100*(3/12)*(1+'입력값'!D68/100)^13)+('입력값'!C69*100*(3/12))+('입력값'!C70*100*(3/12))+('입력값'!C71*100*(3/12))+('입력값'!C72*100*(3/12))+('입력값'!C73*100*(3/12)))))</f>
      </c>
      <c r="BO20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O81+'입력값'!BO82)*('입력값'!C73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P20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P81+'입력값'!BP82)*('입력값'!C73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Q20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Q81+'입력값'!BQ82)*('입력값'!C73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R20" s="32">
        <f>-(IF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=0,0,('입력값'!BR81+'입력값'!BR82)*('입력값'!C73*100*(3/12))/(('입력값'!C62*100*(3/12))+('입력값'!C63*100*(3/12)*(1+'입력값'!D63/100)^14)+('입력값'!C64*100*(3/12))+('입력값'!C65*100*(3/12))+('입력값'!C66*100*(3/12)*(1+'입력값'!D66/100)^14)+('입력값'!C67*100*(3/12)*(1+'입력값'!D67/100)^14)+('입력값'!C68*100*(3/12)*(1+'입력값'!D68/100)^14)+('입력값'!C69*100*(3/12))+('입력값'!C70*100*(3/12))+('입력값'!C71*100*(3/12))+('입력값'!C72*100*(3/12))+('입력값'!C73*100*(3/12)))))</f>
      </c>
      <c r="BS20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S81+'입력값'!BS82)*('입력값'!C73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T20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T81+'입력값'!BT82)*('입력값'!C73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U20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U81+'입력값'!BU82)*('입력값'!C73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V20" s="32">
        <f>-(IF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=0,0,('입력값'!BV81+'입력값'!BV82)*('입력값'!C73*100*(3/12))/(('입력값'!C62*100*(3/12))+('입력값'!C63*100*(3/12)*(1+'입력값'!D63/100)^15)+('입력값'!C64*100*(3/12))+('입력값'!C65*100*(3/12))+('입력값'!C66*100*(3/12)*(1+'입력값'!D66/100)^15)+('입력값'!C67*100*(3/12)*(1+'입력값'!D67/100)^15)+('입력값'!C68*100*(3/12)*(1+'입력값'!D68/100)^15)+('입력값'!C69*100*(3/12))+('입력값'!C70*100*(3/12))+('입력값'!C71*100*(3/12))+('입력값'!C72*100*(3/12))+('입력값'!C73*100*(3/12)))))</f>
      </c>
      <c r="BW20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W81+'입력값'!BW82)*('입력값'!C73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X20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X81+'입력값'!BX82)*('입력값'!C73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Y20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Y81+'입력값'!BY82)*('입력값'!C73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BZ20" s="32">
        <f>-(IF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=0,0,('입력값'!BZ81+'입력값'!BZ82)*('입력값'!C73*100*(3/12))/(('입력값'!C62*100*(3/12))+('입력값'!C63*100*(3/12)*(1+'입력값'!D63/100)^16)+('입력값'!C64*100*(3/12))+('입력값'!C65*100*(3/12))+('입력값'!C66*100*(3/12)*(1+'입력값'!D66/100)^16)+('입력값'!C67*100*(3/12)*(1+'입력값'!D67/100)^16)+('입력값'!C68*100*(3/12)*(1+'입력값'!D68/100)^16)+('입력값'!C69*100*(3/12))+('입력값'!C70*100*(3/12))+('입력값'!C71*100*(3/12))+('입력값'!C72*100*(3/12))+('입력값'!C73*100*(3/12)))))</f>
      </c>
      <c r="CA20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A81+'입력값'!CA82)*('입력값'!C73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B20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B81+'입력값'!CB82)*('입력값'!C73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C20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C81+'입력값'!CC82)*('입력값'!C73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D20" s="32">
        <f>-(IF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=0,0,('입력값'!CD81+'입력값'!CD82)*('입력값'!C73*100*(3/12))/(('입력값'!C62*100*(3/12))+('입력값'!C63*100*(3/12)*(1+'입력값'!D63/100)^17)+('입력값'!C64*100*(3/12))+('입력값'!C65*100*(3/12))+('입력값'!C66*100*(3/12)*(1+'입력값'!D66/100)^17)+('입력값'!C67*100*(3/12)*(1+'입력값'!D67/100)^17)+('입력값'!C68*100*(3/12)*(1+'입력값'!D68/100)^17)+('입력값'!C69*100*(3/12))+('입력값'!C70*100*(3/12))+('입력값'!C71*100*(3/12))+('입력값'!C72*100*(3/12))+('입력값'!C73*100*(3/12)))))</f>
      </c>
      <c r="CE20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E81+'입력값'!CE82)*('입력값'!C73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F20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F81+'입력값'!CF82)*('입력값'!C73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G20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G81+'입력값'!CG82)*('입력값'!C73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H20" s="32">
        <f>-(IF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=0,0,('입력값'!CH81+'입력값'!CH82)*('입력값'!C73*100*(3/12))/(('입력값'!C62*100*(3/12))+('입력값'!C63*100*(3/12)*(1+'입력값'!D63/100)^18)+('입력값'!C64*100*(3/12))+('입력값'!C65*100*(3/12))+('입력값'!C66*100*(3/12)*(1+'입력값'!D66/100)^18)+('입력값'!C67*100*(3/12)*(1+'입력값'!D67/100)^18)+('입력값'!C68*100*(3/12)*(1+'입력값'!D68/100)^18)+('입력값'!C69*100*(3/12))+('입력값'!C70*100*(3/12))+('입력값'!C71*100*(3/12))+('입력값'!C72*100*(3/12))+('입력값'!C73*100*(3/12)))))</f>
      </c>
      <c r="CI20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I81+'입력값'!CI82)*('입력값'!C73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J20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J81+'입력값'!CJ82)*('입력값'!C73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K20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K81+'입력값'!CK82)*('입력값'!C73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  <c r="CL20" s="32">
        <f>-(IF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=0,0,('입력값'!CL81+'입력값'!CL82)*('입력값'!C73*100*(3/12))/(('입력값'!C62*100*(3/12))+('입력값'!C63*100*(3/12)*(1+'입력값'!D63/100)^19)+('입력값'!C64*100*(3/12))+('입력값'!C65*100*(3/12))+('입력값'!C66*100*(3/12)*(1+'입력값'!D66/100)^19)+('입력값'!C67*100*(3/12)*(1+'입력값'!D67/100)^19)+('입력값'!C68*100*(3/12)*(1+'입력값'!D68/100)^19)+('입력값'!C69*100*(3/12))+('입력값'!C70*100*(3/12))+('입력값'!C71*100*(3/12))+('입력값'!C72*100*(3/12))+('입력값'!C73*100*(3/12)))))</f>
      </c>
    </row>
    <row r="22" spans="2:90" x14ac:dyDescent="0.25">
      <c r="B22" s="28" t="s">
        <v>262</v>
      </c>
      <c r="C22" s="29" t="s">
        <v>205</v>
      </c>
      <c r="D22" s="32">
        <f>SUM(E22:CL22)</f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f>'입력값'!K81</f>
      </c>
      <c r="L22" s="32">
        <f>'입력값'!L81</f>
      </c>
      <c r="M22" s="32">
        <f>'입력값'!M81</f>
      </c>
      <c r="N22" s="32">
        <f>'입력값'!N81</f>
      </c>
      <c r="O22" s="32">
        <f>'입력값'!O81</f>
      </c>
      <c r="P22" s="32">
        <f>'입력값'!P81</f>
      </c>
      <c r="Q22" s="32">
        <f>'입력값'!Q81</f>
      </c>
      <c r="R22" s="32">
        <f>'입력값'!R81</f>
      </c>
      <c r="S22" s="32">
        <f>'입력값'!S81</f>
      </c>
      <c r="T22" s="32">
        <f>'입력값'!T81</f>
      </c>
      <c r="U22" s="32">
        <f>'입력값'!U81</f>
      </c>
      <c r="V22" s="32">
        <f>'입력값'!V81</f>
      </c>
      <c r="W22" s="32">
        <f>'입력값'!W81</f>
      </c>
      <c r="X22" s="32">
        <f>'입력값'!X81</f>
      </c>
      <c r="Y22" s="32">
        <f>'입력값'!Y81</f>
      </c>
      <c r="Z22" s="32">
        <f>'입력값'!Z81</f>
      </c>
      <c r="AA22" s="32">
        <f>'입력값'!AA81</f>
      </c>
      <c r="AB22" s="32">
        <f>'입력값'!AB81</f>
      </c>
      <c r="AC22" s="32">
        <f>'입력값'!AC81</f>
      </c>
      <c r="AD22" s="32">
        <f>'입력값'!AD81</f>
      </c>
      <c r="AE22" s="32">
        <f>'입력값'!AE81</f>
      </c>
      <c r="AF22" s="32">
        <f>'입력값'!AF81</f>
      </c>
      <c r="AG22" s="32">
        <f>'입력값'!AG81</f>
      </c>
      <c r="AH22" s="32">
        <f>'입력값'!AH81</f>
      </c>
      <c r="AI22" s="32">
        <f>'입력값'!AI81</f>
      </c>
      <c r="AJ22" s="32">
        <f>'입력값'!AJ81</f>
      </c>
      <c r="AK22" s="32">
        <f>'입력값'!AK81</f>
      </c>
      <c r="AL22" s="32">
        <f>'입력값'!AL81</f>
      </c>
      <c r="AM22" s="32">
        <f>'입력값'!AM81</f>
      </c>
      <c r="AN22" s="32">
        <f>'입력값'!AN81</f>
      </c>
      <c r="AO22" s="32">
        <f>'입력값'!AO81</f>
      </c>
      <c r="AP22" s="32">
        <f>'입력값'!AP81</f>
      </c>
      <c r="AQ22" s="32">
        <f>'입력값'!AQ81</f>
      </c>
      <c r="AR22" s="32">
        <f>'입력값'!AR81</f>
      </c>
      <c r="AS22" s="32">
        <f>'입력값'!AS81</f>
      </c>
      <c r="AT22" s="32">
        <f>'입력값'!AT81</f>
      </c>
      <c r="AU22" s="32">
        <f>'입력값'!AU81</f>
      </c>
      <c r="AV22" s="32">
        <f>'입력값'!AV81</f>
      </c>
      <c r="AW22" s="32">
        <f>'입력값'!AW81</f>
      </c>
      <c r="AX22" s="32">
        <f>'입력값'!AX81</f>
      </c>
      <c r="AY22" s="32">
        <f>'입력값'!AY81</f>
      </c>
      <c r="AZ22" s="32">
        <f>'입력값'!AZ81</f>
      </c>
      <c r="BA22" s="32">
        <f>'입력값'!BA81</f>
      </c>
      <c r="BB22" s="32">
        <f>'입력값'!BB81</f>
      </c>
      <c r="BC22" s="32">
        <f>'입력값'!BC81</f>
      </c>
      <c r="BD22" s="32">
        <f>'입력값'!BD81</f>
      </c>
      <c r="BE22" s="32">
        <f>'입력값'!BE81</f>
      </c>
      <c r="BF22" s="32">
        <f>'입력값'!BF81</f>
      </c>
      <c r="BG22" s="32">
        <f>'입력값'!BG81</f>
      </c>
      <c r="BH22" s="32">
        <f>'입력값'!BH81</f>
      </c>
      <c r="BI22" s="32">
        <f>'입력값'!BI81</f>
      </c>
      <c r="BJ22" s="32">
        <f>'입력값'!BJ81</f>
      </c>
      <c r="BK22" s="32">
        <f>'입력값'!BK81</f>
      </c>
      <c r="BL22" s="32">
        <f>'입력값'!BL81</f>
      </c>
      <c r="BM22" s="32">
        <f>'입력값'!BM81</f>
      </c>
      <c r="BN22" s="32">
        <f>'입력값'!BN81</f>
      </c>
      <c r="BO22" s="32">
        <f>'입력값'!BO81</f>
      </c>
      <c r="BP22" s="32">
        <f>'입력값'!BP81</f>
      </c>
      <c r="BQ22" s="32">
        <f>'입력값'!BQ81</f>
      </c>
      <c r="BR22" s="32">
        <f>'입력값'!BR81</f>
      </c>
      <c r="BS22" s="32">
        <f>'입력값'!BS81</f>
      </c>
      <c r="BT22" s="32">
        <f>'입력값'!BT81</f>
      </c>
      <c r="BU22" s="32">
        <f>'입력값'!BU81</f>
      </c>
      <c r="BV22" s="32">
        <f>'입력값'!BV81</f>
      </c>
      <c r="BW22" s="32">
        <f>'입력값'!BW81</f>
      </c>
      <c r="BX22" s="32">
        <f>'입력값'!BX81</f>
      </c>
      <c r="BY22" s="32">
        <f>'입력값'!BY81</f>
      </c>
      <c r="BZ22" s="32">
        <f>'입력값'!BZ81</f>
      </c>
      <c r="CA22" s="32">
        <f>'입력값'!CA81</f>
      </c>
      <c r="CB22" s="32">
        <f>'입력값'!CB81</f>
      </c>
      <c r="CC22" s="32">
        <f>'입력값'!CC81</f>
      </c>
      <c r="CD22" s="32">
        <f>'입력값'!CD81</f>
      </c>
      <c r="CE22" s="32">
        <f>'입력값'!CE81</f>
      </c>
      <c r="CF22" s="32">
        <f>'입력값'!CF81</f>
      </c>
      <c r="CG22" s="32">
        <f>'입력값'!CG81</f>
      </c>
      <c r="CH22" s="32">
        <f>'입력값'!CH81</f>
      </c>
      <c r="CI22" s="32">
        <f>'입력값'!CI81</f>
      </c>
      <c r="CJ22" s="32">
        <f>'입력값'!CJ81</f>
      </c>
      <c r="CK22" s="32">
        <f>'입력값'!CK81</f>
      </c>
      <c r="CL22" s="32">
        <f>'입력값'!CL81</f>
      </c>
    </row>
    <row r="23" spans="2:90" x14ac:dyDescent="0.25">
      <c r="B23" s="28" t="s">
        <v>263</v>
      </c>
      <c r="C23" s="29" t="s">
        <v>205</v>
      </c>
      <c r="D23" s="32">
        <f>SUM(E23:CL23)</f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f>'입력값'!K82</f>
      </c>
      <c r="L23" s="32">
        <f>'입력값'!L82</f>
      </c>
      <c r="M23" s="32">
        <f>'입력값'!M82</f>
      </c>
      <c r="N23" s="32">
        <f>'입력값'!N82</f>
      </c>
      <c r="O23" s="32">
        <f>'입력값'!O82</f>
      </c>
      <c r="P23" s="32">
        <f>'입력값'!P82</f>
      </c>
      <c r="Q23" s="32">
        <f>'입력값'!Q82</f>
      </c>
      <c r="R23" s="32">
        <f>'입력값'!R82</f>
      </c>
      <c r="S23" s="32">
        <f>'입력값'!S82</f>
      </c>
      <c r="T23" s="32">
        <f>'입력값'!T82</f>
      </c>
      <c r="U23" s="32">
        <f>'입력값'!U82</f>
      </c>
      <c r="V23" s="32">
        <f>'입력값'!V82</f>
      </c>
      <c r="W23" s="32">
        <f>'입력값'!W82</f>
      </c>
      <c r="X23" s="32">
        <f>'입력값'!X82</f>
      </c>
      <c r="Y23" s="32">
        <f>'입력값'!Y82</f>
      </c>
      <c r="Z23" s="32">
        <f>'입력값'!Z82</f>
      </c>
      <c r="AA23" s="32">
        <f>'입력값'!AA82</f>
      </c>
      <c r="AB23" s="32">
        <f>'입력값'!AB82</f>
      </c>
      <c r="AC23" s="32">
        <f>'입력값'!AC82</f>
      </c>
      <c r="AD23" s="32">
        <f>'입력값'!AD82</f>
      </c>
      <c r="AE23" s="32">
        <f>'입력값'!AE82</f>
      </c>
      <c r="AF23" s="32">
        <f>'입력값'!AF82</f>
      </c>
      <c r="AG23" s="32">
        <f>'입력값'!AG82</f>
      </c>
      <c r="AH23" s="32">
        <f>'입력값'!AH82</f>
      </c>
      <c r="AI23" s="32">
        <f>'입력값'!AI82</f>
      </c>
      <c r="AJ23" s="32">
        <f>'입력값'!AJ82</f>
      </c>
      <c r="AK23" s="32">
        <f>'입력값'!AK82</f>
      </c>
      <c r="AL23" s="32">
        <f>'입력값'!AL82</f>
      </c>
      <c r="AM23" s="32">
        <f>'입력값'!AM82</f>
      </c>
      <c r="AN23" s="32">
        <f>'입력값'!AN82</f>
      </c>
      <c r="AO23" s="32">
        <f>'입력값'!AO82</f>
      </c>
      <c r="AP23" s="32">
        <f>'입력값'!AP82</f>
      </c>
      <c r="AQ23" s="32">
        <f>'입력값'!AQ82</f>
      </c>
      <c r="AR23" s="32">
        <f>'입력값'!AR82</f>
      </c>
      <c r="AS23" s="32">
        <f>'입력값'!AS82</f>
      </c>
      <c r="AT23" s="32">
        <f>'입력값'!AT82</f>
      </c>
      <c r="AU23" s="32">
        <f>'입력값'!AU82</f>
      </c>
      <c r="AV23" s="32">
        <f>'입력값'!AV82</f>
      </c>
      <c r="AW23" s="32">
        <f>'입력값'!AW82</f>
      </c>
      <c r="AX23" s="32">
        <f>'입력값'!AX82</f>
      </c>
      <c r="AY23" s="32">
        <f>'입력값'!AY82</f>
      </c>
      <c r="AZ23" s="32">
        <f>'입력값'!AZ82</f>
      </c>
      <c r="BA23" s="32">
        <f>'입력값'!BA82</f>
      </c>
      <c r="BB23" s="32">
        <f>'입력값'!BB82</f>
      </c>
      <c r="BC23" s="32">
        <f>'입력값'!BC82</f>
      </c>
      <c r="BD23" s="32">
        <f>'입력값'!BD82</f>
      </c>
      <c r="BE23" s="32">
        <f>'입력값'!BE82</f>
      </c>
      <c r="BF23" s="32">
        <f>'입력값'!BF82</f>
      </c>
      <c r="BG23" s="32">
        <f>'입력값'!BG82</f>
      </c>
      <c r="BH23" s="32">
        <f>'입력값'!BH82</f>
      </c>
      <c r="BI23" s="32">
        <f>'입력값'!BI82</f>
      </c>
      <c r="BJ23" s="32">
        <f>'입력값'!BJ82</f>
      </c>
      <c r="BK23" s="32">
        <f>'입력값'!BK82</f>
      </c>
      <c r="BL23" s="32">
        <f>'입력값'!BL82</f>
      </c>
      <c r="BM23" s="32">
        <f>'입력값'!BM82</f>
      </c>
      <c r="BN23" s="32">
        <f>'입력값'!BN82</f>
      </c>
      <c r="BO23" s="32">
        <f>'입력값'!BO82</f>
      </c>
      <c r="BP23" s="32">
        <f>'입력값'!BP82</f>
      </c>
      <c r="BQ23" s="32">
        <f>'입력값'!BQ82</f>
      </c>
      <c r="BR23" s="32">
        <f>'입력값'!BR82</f>
      </c>
      <c r="BS23" s="32">
        <f>'입력값'!BS82</f>
      </c>
      <c r="BT23" s="32">
        <f>'입력값'!BT82</f>
      </c>
      <c r="BU23" s="32">
        <f>'입력값'!BU82</f>
      </c>
      <c r="BV23" s="32">
        <f>'입력값'!BV82</f>
      </c>
      <c r="BW23" s="32">
        <f>'입력값'!BW82</f>
      </c>
      <c r="BX23" s="32">
        <f>'입력값'!BX82</f>
      </c>
      <c r="BY23" s="32">
        <f>'입력값'!BY82</f>
      </c>
      <c r="BZ23" s="32">
        <f>'입력값'!BZ82</f>
      </c>
      <c r="CA23" s="32">
        <f>'입력값'!CA82</f>
      </c>
      <c r="CB23" s="32">
        <f>'입력값'!CB82</f>
      </c>
      <c r="CC23" s="32">
        <f>'입력값'!CC82</f>
      </c>
      <c r="CD23" s="32">
        <f>'입력값'!CD82</f>
      </c>
      <c r="CE23" s="32">
        <f>'입력값'!CE82</f>
      </c>
      <c r="CF23" s="32">
        <f>'입력값'!CF82</f>
      </c>
      <c r="CG23" s="32">
        <f>'입력값'!CG82</f>
      </c>
      <c r="CH23" s="32">
        <f>'입력값'!CH82</f>
      </c>
      <c r="CI23" s="32">
        <f>'입력값'!CI82</f>
      </c>
      <c r="CJ23" s="32">
        <f>'입력값'!CJ82</f>
      </c>
      <c r="CK23" s="32">
        <f>'입력값'!CK82</f>
      </c>
      <c r="CL23" s="32">
        <f>'입력값'!CL82</f>
      </c>
    </row>
    <row r="24" spans="2:91" x14ac:dyDescent="0.25">
      <c r="B24" s="40" t="s">
        <v>264</v>
      </c>
      <c r="C24" s="44" t="s">
        <v>205</v>
      </c>
      <c r="D24" s="39">
        <f>SUM(E24:CL24)</f>
      </c>
      <c r="E24" s="39">
        <f>E22+E23</f>
      </c>
      <c r="F24" s="39">
        <f>F22+F23</f>
      </c>
      <c r="G24" s="39">
        <f>G22+G23</f>
      </c>
      <c r="H24" s="39">
        <f>H22+H23</f>
      </c>
      <c r="I24" s="39">
        <f>I22+I23</f>
      </c>
      <c r="J24" s="39">
        <f>J22+J23</f>
      </c>
      <c r="K24" s="39">
        <f>K22+K23</f>
      </c>
      <c r="L24" s="39">
        <f>L22+L23</f>
      </c>
      <c r="M24" s="39">
        <f>M22+M23</f>
      </c>
      <c r="N24" s="39">
        <f>N22+N23</f>
      </c>
      <c r="O24" s="39">
        <f>O22+O23</f>
      </c>
      <c r="P24" s="39">
        <f>P22+P23</f>
      </c>
      <c r="Q24" s="39">
        <f>Q22+Q23</f>
      </c>
      <c r="R24" s="39">
        <f>R22+R23</f>
      </c>
      <c r="S24" s="39">
        <f>S22+S23</f>
      </c>
      <c r="T24" s="39">
        <f>T22+T23</f>
      </c>
      <c r="U24" s="39">
        <f>U22+U23</f>
      </c>
      <c r="V24" s="39">
        <f>V22+V23</f>
      </c>
      <c r="W24" s="39">
        <f>W22+W23</f>
      </c>
      <c r="X24" s="39">
        <f>X22+X23</f>
      </c>
      <c r="Y24" s="39">
        <f>Y22+Y23</f>
      </c>
      <c r="Z24" s="39">
        <f>Z22+Z23</f>
      </c>
      <c r="AA24" s="39">
        <f>AA22+AA23</f>
      </c>
      <c r="AB24" s="39">
        <f>AB22+AB23</f>
      </c>
      <c r="AC24" s="39">
        <f>AC22+AC23</f>
      </c>
      <c r="AD24" s="39">
        <f>AD22+AD23</f>
      </c>
      <c r="AE24" s="39">
        <f>AE22+AE23</f>
      </c>
      <c r="AF24" s="39">
        <f>AF22+AF23</f>
      </c>
      <c r="AG24" s="39">
        <f>AG22+AG23</f>
      </c>
      <c r="AH24" s="39">
        <f>AH22+AH23</f>
      </c>
      <c r="AI24" s="39">
        <f>AI22+AI23</f>
      </c>
      <c r="AJ24" s="39">
        <f>AJ22+AJ23</f>
      </c>
      <c r="AK24" s="39">
        <f>AK22+AK23</f>
      </c>
      <c r="AL24" s="39">
        <f>AL22+AL23</f>
      </c>
      <c r="AM24" s="39">
        <f>AM22+AM23</f>
      </c>
      <c r="AN24" s="39">
        <f>AN22+AN23</f>
      </c>
      <c r="AO24" s="39">
        <f>AO22+AO23</f>
      </c>
      <c r="AP24" s="39">
        <f>AP22+AP23</f>
      </c>
      <c r="AQ24" s="39">
        <f>AQ22+AQ23</f>
      </c>
      <c r="AR24" s="39">
        <f>AR22+AR23</f>
      </c>
      <c r="AS24" s="39">
        <f>AS22+AS23</f>
      </c>
      <c r="AT24" s="39">
        <f>AT22+AT23</f>
      </c>
      <c r="AU24" s="39">
        <f>AU22+AU23</f>
      </c>
      <c r="AV24" s="39">
        <f>AV22+AV23</f>
      </c>
      <c r="AW24" s="39">
        <f>AW22+AW23</f>
      </c>
      <c r="AX24" s="39">
        <f>AX22+AX23</f>
      </c>
      <c r="AY24" s="39">
        <f>AY22+AY23</f>
      </c>
      <c r="AZ24" s="39">
        <f>AZ22+AZ23</f>
      </c>
      <c r="BA24" s="39">
        <f>BA22+BA23</f>
      </c>
      <c r="BB24" s="39">
        <f>BB22+BB23</f>
      </c>
      <c r="BC24" s="39">
        <f>BC22+BC23</f>
      </c>
      <c r="BD24" s="39">
        <f>BD22+BD23</f>
      </c>
      <c r="BE24" s="39">
        <f>BE22+BE23</f>
      </c>
      <c r="BF24" s="39">
        <f>BF22+BF23</f>
      </c>
      <c r="BG24" s="39">
        <f>BG22+BG23</f>
      </c>
      <c r="BH24" s="39">
        <f>BH22+BH23</f>
      </c>
      <c r="BI24" s="39">
        <f>BI22+BI23</f>
      </c>
      <c r="BJ24" s="39">
        <f>BJ22+BJ23</f>
      </c>
      <c r="BK24" s="39">
        <f>BK22+BK23</f>
      </c>
      <c r="BL24" s="39">
        <f>BL22+BL23</f>
      </c>
      <c r="BM24" s="39">
        <f>BM22+BM23</f>
      </c>
      <c r="BN24" s="39">
        <f>BN22+BN23</f>
      </c>
      <c r="BO24" s="39">
        <f>BO22+BO23</f>
      </c>
      <c r="BP24" s="39">
        <f>BP22+BP23</f>
      </c>
      <c r="BQ24" s="39">
        <f>BQ22+BQ23</f>
      </c>
      <c r="BR24" s="39">
        <f>BR22+BR23</f>
      </c>
      <c r="BS24" s="39">
        <f>BS22+BS23</f>
      </c>
      <c r="BT24" s="39">
        <f>BT22+BT23</f>
      </c>
      <c r="BU24" s="39">
        <f>BU22+BU23</f>
      </c>
      <c r="BV24" s="39">
        <f>BV22+BV23</f>
      </c>
      <c r="BW24" s="39">
        <f>BW22+BW23</f>
      </c>
      <c r="BX24" s="39">
        <f>BX22+BX23</f>
      </c>
      <c r="BY24" s="39">
        <f>BY22+BY23</f>
      </c>
      <c r="BZ24" s="39">
        <f>BZ22+BZ23</f>
      </c>
      <c r="CA24" s="39">
        <f>CA22+CA23</f>
      </c>
      <c r="CB24" s="39">
        <f>CB22+CB23</f>
      </c>
      <c r="CC24" s="39">
        <f>CC22+CC23</f>
      </c>
      <c r="CD24" s="39">
        <f>CD22+CD23</f>
      </c>
      <c r="CE24" s="39">
        <f>CE22+CE23</f>
      </c>
      <c r="CF24" s="39">
        <f>CF22+CF23</f>
      </c>
      <c r="CG24" s="39">
        <f>CG22+CG23</f>
      </c>
      <c r="CH24" s="39">
        <f>CH22+CH23</f>
      </c>
      <c r="CI24" s="39">
        <f>CI22+CI23</f>
      </c>
      <c r="CJ24" s="39">
        <f>CJ22+CJ23</f>
      </c>
      <c r="CK24" s="39">
        <f>CK22+CK23</f>
      </c>
      <c r="CL24" s="39">
        <f>CL22+CL23</f>
      </c>
      <c r="CM24" s="41"/>
    </row>
    <row r="26" spans="2:2" x14ac:dyDescent="0.25">
      <c r="B26" s="33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4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266</v>
      </c>
    </row>
    <row r="4" spans="2:91" x14ac:dyDescent="0.25">
      <c r="B4" s="9" t="s">
        <v>267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81</v>
      </c>
      <c r="C6" s="24" t="s">
        <v>82</v>
      </c>
      <c r="D6" s="24" t="s">
        <v>83</v>
      </c>
      <c r="E6" s="27" t="s">
        <v>84</v>
      </c>
      <c r="F6" s="27" t="s">
        <v>85</v>
      </c>
      <c r="G6" s="27" t="s">
        <v>86</v>
      </c>
      <c r="H6" s="27" t="s">
        <v>87</v>
      </c>
      <c r="I6" s="27" t="s">
        <v>88</v>
      </c>
      <c r="J6" s="27" t="s">
        <v>89</v>
      </c>
      <c r="K6" s="27" t="s">
        <v>90</v>
      </c>
      <c r="L6" s="27" t="s">
        <v>91</v>
      </c>
      <c r="M6" s="27" t="s">
        <v>92</v>
      </c>
      <c r="N6" s="27" t="s">
        <v>93</v>
      </c>
      <c r="O6" s="27" t="s">
        <v>94</v>
      </c>
      <c r="P6" s="27" t="s">
        <v>95</v>
      </c>
      <c r="Q6" s="27" t="s">
        <v>96</v>
      </c>
      <c r="R6" s="27" t="s">
        <v>97</v>
      </c>
      <c r="S6" s="27" t="s">
        <v>98</v>
      </c>
      <c r="T6" s="27" t="s">
        <v>99</v>
      </c>
      <c r="U6" s="27" t="s">
        <v>100</v>
      </c>
      <c r="V6" s="27" t="s">
        <v>101</v>
      </c>
      <c r="W6" s="27" t="s">
        <v>102</v>
      </c>
      <c r="X6" s="27" t="s">
        <v>103</v>
      </c>
      <c r="Y6" s="27" t="s">
        <v>104</v>
      </c>
      <c r="Z6" s="27" t="s">
        <v>105</v>
      </c>
      <c r="AA6" s="27" t="s">
        <v>106</v>
      </c>
      <c r="AB6" s="27" t="s">
        <v>107</v>
      </c>
      <c r="AC6" s="27" t="s">
        <v>108</v>
      </c>
      <c r="AD6" s="27" t="s">
        <v>109</v>
      </c>
      <c r="AE6" s="27" t="s">
        <v>110</v>
      </c>
      <c r="AF6" s="27" t="s">
        <v>111</v>
      </c>
      <c r="AG6" s="27" t="s">
        <v>112</v>
      </c>
      <c r="AH6" s="27" t="s">
        <v>113</v>
      </c>
      <c r="AI6" s="27" t="s">
        <v>114</v>
      </c>
      <c r="AJ6" s="27" t="s">
        <v>115</v>
      </c>
      <c r="AK6" s="27" t="s">
        <v>116</v>
      </c>
      <c r="AL6" s="27" t="s">
        <v>117</v>
      </c>
      <c r="AM6" s="27" t="s">
        <v>118</v>
      </c>
      <c r="AN6" s="27" t="s">
        <v>119</v>
      </c>
      <c r="AO6" s="27" t="s">
        <v>120</v>
      </c>
      <c r="AP6" s="27" t="s">
        <v>121</v>
      </c>
      <c r="AQ6" s="27" t="s">
        <v>122</v>
      </c>
      <c r="AR6" s="27" t="s">
        <v>123</v>
      </c>
      <c r="AS6" s="27" t="s">
        <v>124</v>
      </c>
      <c r="AT6" s="27" t="s">
        <v>125</v>
      </c>
      <c r="AU6" s="27" t="s">
        <v>126</v>
      </c>
      <c r="AV6" s="27" t="s">
        <v>127</v>
      </c>
      <c r="AW6" s="27" t="s">
        <v>128</v>
      </c>
      <c r="AX6" s="27" t="s">
        <v>129</v>
      </c>
      <c r="AY6" s="27" t="s">
        <v>130</v>
      </c>
      <c r="AZ6" s="27" t="s">
        <v>131</v>
      </c>
      <c r="BA6" s="27" t="s">
        <v>132</v>
      </c>
      <c r="BB6" s="27" t="s">
        <v>133</v>
      </c>
      <c r="BC6" s="27" t="s">
        <v>134</v>
      </c>
      <c r="BD6" s="27" t="s">
        <v>135</v>
      </c>
      <c r="BE6" s="27" t="s">
        <v>136</v>
      </c>
      <c r="BF6" s="27" t="s">
        <v>137</v>
      </c>
      <c r="BG6" s="27" t="s">
        <v>138</v>
      </c>
      <c r="BH6" s="27" t="s">
        <v>139</v>
      </c>
      <c r="BI6" s="27" t="s">
        <v>140</v>
      </c>
      <c r="BJ6" s="27" t="s">
        <v>141</v>
      </c>
      <c r="BK6" s="27" t="s">
        <v>142</v>
      </c>
      <c r="BL6" s="27" t="s">
        <v>143</v>
      </c>
      <c r="BM6" s="27" t="s">
        <v>144</v>
      </c>
      <c r="BN6" s="27" t="s">
        <v>145</v>
      </c>
      <c r="BO6" s="27" t="s">
        <v>146</v>
      </c>
      <c r="BP6" s="27" t="s">
        <v>147</v>
      </c>
      <c r="BQ6" s="27" t="s">
        <v>148</v>
      </c>
      <c r="BR6" s="27" t="s">
        <v>149</v>
      </c>
      <c r="BS6" s="27" t="s">
        <v>150</v>
      </c>
      <c r="BT6" s="27" t="s">
        <v>151</v>
      </c>
      <c r="BU6" s="27" t="s">
        <v>152</v>
      </c>
      <c r="BV6" s="27" t="s">
        <v>153</v>
      </c>
      <c r="BW6" s="27" t="s">
        <v>154</v>
      </c>
      <c r="BX6" s="27" t="s">
        <v>155</v>
      </c>
      <c r="BY6" s="27" t="s">
        <v>156</v>
      </c>
      <c r="BZ6" s="27" t="s">
        <v>157</v>
      </c>
      <c r="CA6" s="27" t="s">
        <v>158</v>
      </c>
      <c r="CB6" s="27" t="s">
        <v>159</v>
      </c>
      <c r="CC6" s="27" t="s">
        <v>160</v>
      </c>
      <c r="CD6" s="27" t="s">
        <v>161</v>
      </c>
      <c r="CE6" s="27" t="s">
        <v>162</v>
      </c>
      <c r="CF6" s="27" t="s">
        <v>163</v>
      </c>
      <c r="CG6" s="27" t="s">
        <v>164</v>
      </c>
      <c r="CH6" s="27" t="s">
        <v>165</v>
      </c>
      <c r="CI6" s="27" t="s">
        <v>166</v>
      </c>
      <c r="CJ6" s="27" t="s">
        <v>167</v>
      </c>
      <c r="CK6" s="27" t="s">
        <v>168</v>
      </c>
      <c r="CL6" s="27" t="s">
        <v>169</v>
      </c>
    </row>
    <row r="8" spans="2:90" x14ac:dyDescent="0.25">
      <c r="B8" s="42" t="s">
        <v>245</v>
      </c>
      <c r="C8" s="29" t="s">
        <v>205</v>
      </c>
      <c r="D8" s="14">
        <f>SUM(E8:CL8)</f>
      </c>
      <c r="E8" s="14">
        <f>'Revenue'!E12</f>
      </c>
      <c r="F8" s="14">
        <f>'Revenue'!F12</f>
      </c>
      <c r="G8" s="14">
        <f>'Revenue'!G12</f>
      </c>
      <c r="H8" s="14">
        <f>'Revenue'!H12</f>
      </c>
      <c r="I8" s="14">
        <f>'Revenue'!I12</f>
      </c>
      <c r="J8" s="14">
        <f>'Revenue'!J12</f>
      </c>
      <c r="K8" s="14">
        <f>'Revenue'!K12</f>
      </c>
      <c r="L8" s="14">
        <f>'Revenue'!L12</f>
      </c>
      <c r="M8" s="14">
        <f>'Revenue'!M12</f>
      </c>
      <c r="N8" s="14">
        <f>'Revenue'!N12</f>
      </c>
      <c r="O8" s="14">
        <f>'Revenue'!O12</f>
      </c>
      <c r="P8" s="14">
        <f>'Revenue'!P12</f>
      </c>
      <c r="Q8" s="14">
        <f>'Revenue'!Q12</f>
      </c>
      <c r="R8" s="14">
        <f>'Revenue'!R12</f>
      </c>
      <c r="S8" s="14">
        <f>'Revenue'!S12</f>
      </c>
      <c r="T8" s="14">
        <f>'Revenue'!T12</f>
      </c>
      <c r="U8" s="14">
        <f>'Revenue'!U12</f>
      </c>
      <c r="V8" s="14">
        <f>'Revenue'!V12</f>
      </c>
      <c r="W8" s="14">
        <f>'Revenue'!W12</f>
      </c>
      <c r="X8" s="14">
        <f>'Revenue'!X12</f>
      </c>
      <c r="Y8" s="14">
        <f>'Revenue'!Y12</f>
      </c>
      <c r="Z8" s="14">
        <f>'Revenue'!Z12</f>
      </c>
      <c r="AA8" s="14">
        <f>'Revenue'!AA12</f>
      </c>
      <c r="AB8" s="14">
        <f>'Revenue'!AB12</f>
      </c>
      <c r="AC8" s="14">
        <f>'Revenue'!AC12</f>
      </c>
      <c r="AD8" s="14">
        <f>'Revenue'!AD12</f>
      </c>
      <c r="AE8" s="14">
        <f>'Revenue'!AE12</f>
      </c>
      <c r="AF8" s="14">
        <f>'Revenue'!AF12</f>
      </c>
      <c r="AG8" s="14">
        <f>'Revenue'!AG12</f>
      </c>
      <c r="AH8" s="14">
        <f>'Revenue'!AH12</f>
      </c>
      <c r="AI8" s="14">
        <f>'Revenue'!AI12</f>
      </c>
      <c r="AJ8" s="14">
        <f>'Revenue'!AJ12</f>
      </c>
      <c r="AK8" s="14">
        <f>'Revenue'!AK12</f>
      </c>
      <c r="AL8" s="14">
        <f>'Revenue'!AL12</f>
      </c>
      <c r="AM8" s="14">
        <f>'Revenue'!AM12</f>
      </c>
      <c r="AN8" s="14">
        <f>'Revenue'!AN12</f>
      </c>
      <c r="AO8" s="14">
        <f>'Revenue'!AO12</f>
      </c>
      <c r="AP8" s="14">
        <f>'Revenue'!AP12</f>
      </c>
      <c r="AQ8" s="14">
        <f>'Revenue'!AQ12</f>
      </c>
      <c r="AR8" s="14">
        <f>'Revenue'!AR12</f>
      </c>
      <c r="AS8" s="14">
        <f>'Revenue'!AS12</f>
      </c>
      <c r="AT8" s="14">
        <f>'Revenue'!AT12</f>
      </c>
      <c r="AU8" s="14">
        <f>'Revenue'!AU12</f>
      </c>
      <c r="AV8" s="14">
        <f>'Revenue'!AV12</f>
      </c>
      <c r="AW8" s="14">
        <f>'Revenue'!AW12</f>
      </c>
      <c r="AX8" s="14">
        <f>'Revenue'!AX12</f>
      </c>
      <c r="AY8" s="14">
        <f>'Revenue'!AY12</f>
      </c>
      <c r="AZ8" s="14">
        <f>'Revenue'!AZ12</f>
      </c>
      <c r="BA8" s="14">
        <f>'Revenue'!BA12</f>
      </c>
      <c r="BB8" s="14">
        <f>'Revenue'!BB12</f>
      </c>
      <c r="BC8" s="14">
        <f>'Revenue'!BC12</f>
      </c>
      <c r="BD8" s="14">
        <f>'Revenue'!BD12</f>
      </c>
      <c r="BE8" s="14">
        <f>'Revenue'!BE12</f>
      </c>
      <c r="BF8" s="14">
        <f>'Revenue'!BF12</f>
      </c>
      <c r="BG8" s="14">
        <f>'Revenue'!BG12</f>
      </c>
      <c r="BH8" s="14">
        <f>'Revenue'!BH12</f>
      </c>
      <c r="BI8" s="14">
        <f>'Revenue'!BI12</f>
      </c>
      <c r="BJ8" s="14">
        <f>'Revenue'!BJ12</f>
      </c>
      <c r="BK8" s="14">
        <f>'Revenue'!BK12</f>
      </c>
      <c r="BL8" s="14">
        <f>'Revenue'!BL12</f>
      </c>
      <c r="BM8" s="14">
        <f>'Revenue'!BM12</f>
      </c>
      <c r="BN8" s="14">
        <f>'Revenue'!BN12</f>
      </c>
      <c r="BO8" s="14">
        <f>'Revenue'!BO12</f>
      </c>
      <c r="BP8" s="14">
        <f>'Revenue'!BP12</f>
      </c>
      <c r="BQ8" s="14">
        <f>'Revenue'!BQ12</f>
      </c>
      <c r="BR8" s="14">
        <f>'Revenue'!BR12</f>
      </c>
      <c r="BS8" s="14">
        <f>'Revenue'!BS12</f>
      </c>
      <c r="BT8" s="14">
        <f>'Revenue'!BT12</f>
      </c>
      <c r="BU8" s="14">
        <f>'Revenue'!BU12</f>
      </c>
      <c r="BV8" s="14">
        <f>'Revenue'!BV12</f>
      </c>
      <c r="BW8" s="14">
        <f>'Revenue'!BW12</f>
      </c>
      <c r="BX8" s="14">
        <f>'Revenue'!BX12</f>
      </c>
      <c r="BY8" s="14">
        <f>'Revenue'!BY12</f>
      </c>
      <c r="BZ8" s="14">
        <f>'Revenue'!BZ12</f>
      </c>
      <c r="CA8" s="14">
        <f>'Revenue'!CA12</f>
      </c>
      <c r="CB8" s="14">
        <f>'Revenue'!CB12</f>
      </c>
      <c r="CC8" s="14">
        <f>'Revenue'!CC12</f>
      </c>
      <c r="CD8" s="14">
        <f>'Revenue'!CD12</f>
      </c>
      <c r="CE8" s="14">
        <f>'Revenue'!CE12</f>
      </c>
      <c r="CF8" s="14">
        <f>'Revenue'!CF12</f>
      </c>
      <c r="CG8" s="14">
        <f>'Revenue'!CG12</f>
      </c>
      <c r="CH8" s="14">
        <f>'Revenue'!CH12</f>
      </c>
      <c r="CI8" s="14">
        <f>'Revenue'!CI12</f>
      </c>
      <c r="CJ8" s="14">
        <f>'Revenue'!CJ12</f>
      </c>
      <c r="CK8" s="14">
        <f>'Revenue'!CK12</f>
      </c>
      <c r="CL8" s="14">
        <f>'Revenue'!CL12</f>
      </c>
    </row>
    <row r="10" spans="2:2" x14ac:dyDescent="0.25">
      <c r="B10" s="42" t="s">
        <v>268</v>
      </c>
    </row>
    <row r="11" spans="2:90" x14ac:dyDescent="0.25">
      <c r="B11" s="28" t="s">
        <v>250</v>
      </c>
      <c r="C11" s="29" t="s">
        <v>205</v>
      </c>
      <c r="D11" s="32">
        <f>SUM(E11:CL11)</f>
      </c>
      <c r="E11" s="32">
        <f>'Opex'!E9</f>
      </c>
      <c r="F11" s="32">
        <f>'Opex'!F9</f>
      </c>
      <c r="G11" s="32">
        <f>'Opex'!G9</f>
      </c>
      <c r="H11" s="32">
        <f>'Opex'!H9</f>
      </c>
      <c r="I11" s="32">
        <f>'Opex'!I9</f>
      </c>
      <c r="J11" s="32">
        <f>'Opex'!J9</f>
      </c>
      <c r="K11" s="32">
        <f>'Opex'!K9</f>
      </c>
      <c r="L11" s="32">
        <f>'Opex'!L9</f>
      </c>
      <c r="M11" s="32">
        <f>'Opex'!M9</f>
      </c>
      <c r="N11" s="32">
        <f>'Opex'!N9</f>
      </c>
      <c r="O11" s="32">
        <f>'Opex'!O9</f>
      </c>
      <c r="P11" s="32">
        <f>'Opex'!P9</f>
      </c>
      <c r="Q11" s="32">
        <f>'Opex'!Q9</f>
      </c>
      <c r="R11" s="32">
        <f>'Opex'!R9</f>
      </c>
      <c r="S11" s="32">
        <f>'Opex'!S9</f>
      </c>
      <c r="T11" s="32">
        <f>'Opex'!T9</f>
      </c>
      <c r="U11" s="32">
        <f>'Opex'!U9</f>
      </c>
      <c r="V11" s="32">
        <f>'Opex'!V9</f>
      </c>
      <c r="W11" s="32">
        <f>'Opex'!W9</f>
      </c>
      <c r="X11" s="32">
        <f>'Opex'!X9</f>
      </c>
      <c r="Y11" s="32">
        <f>'Opex'!Y9</f>
      </c>
      <c r="Z11" s="32">
        <f>'Opex'!Z9</f>
      </c>
      <c r="AA11" s="32">
        <f>'Opex'!AA9</f>
      </c>
      <c r="AB11" s="32">
        <f>'Opex'!AB9</f>
      </c>
      <c r="AC11" s="32">
        <f>'Opex'!AC9</f>
      </c>
      <c r="AD11" s="32">
        <f>'Opex'!AD9</f>
      </c>
      <c r="AE11" s="32">
        <f>'Opex'!AE9</f>
      </c>
      <c r="AF11" s="32">
        <f>'Opex'!AF9</f>
      </c>
      <c r="AG11" s="32">
        <f>'Opex'!AG9</f>
      </c>
      <c r="AH11" s="32">
        <f>'Opex'!AH9</f>
      </c>
      <c r="AI11" s="32">
        <f>'Opex'!AI9</f>
      </c>
      <c r="AJ11" s="32">
        <f>'Opex'!AJ9</f>
      </c>
      <c r="AK11" s="32">
        <f>'Opex'!AK9</f>
      </c>
      <c r="AL11" s="32">
        <f>'Opex'!AL9</f>
      </c>
      <c r="AM11" s="32">
        <f>'Opex'!AM9</f>
      </c>
      <c r="AN11" s="32">
        <f>'Opex'!AN9</f>
      </c>
      <c r="AO11" s="32">
        <f>'Opex'!AO9</f>
      </c>
      <c r="AP11" s="32">
        <f>'Opex'!AP9</f>
      </c>
      <c r="AQ11" s="32">
        <f>'Opex'!AQ9</f>
      </c>
      <c r="AR11" s="32">
        <f>'Opex'!AR9</f>
      </c>
      <c r="AS11" s="32">
        <f>'Opex'!AS9</f>
      </c>
      <c r="AT11" s="32">
        <f>'Opex'!AT9</f>
      </c>
      <c r="AU11" s="32">
        <f>'Opex'!AU9</f>
      </c>
      <c r="AV11" s="32">
        <f>'Opex'!AV9</f>
      </c>
      <c r="AW11" s="32">
        <f>'Opex'!AW9</f>
      </c>
      <c r="AX11" s="32">
        <f>'Opex'!AX9</f>
      </c>
      <c r="AY11" s="32">
        <f>'Opex'!AY9</f>
      </c>
      <c r="AZ11" s="32">
        <f>'Opex'!AZ9</f>
      </c>
      <c r="BA11" s="32">
        <f>'Opex'!BA9</f>
      </c>
      <c r="BB11" s="32">
        <f>'Opex'!BB9</f>
      </c>
      <c r="BC11" s="32">
        <f>'Opex'!BC9</f>
      </c>
      <c r="BD11" s="32">
        <f>'Opex'!BD9</f>
      </c>
      <c r="BE11" s="32">
        <f>'Opex'!BE9</f>
      </c>
      <c r="BF11" s="32">
        <f>'Opex'!BF9</f>
      </c>
      <c r="BG11" s="32">
        <f>'Opex'!BG9</f>
      </c>
      <c r="BH11" s="32">
        <f>'Opex'!BH9</f>
      </c>
      <c r="BI11" s="32">
        <f>'Opex'!BI9</f>
      </c>
      <c r="BJ11" s="32">
        <f>'Opex'!BJ9</f>
      </c>
      <c r="BK11" s="32">
        <f>'Opex'!BK9</f>
      </c>
      <c r="BL11" s="32">
        <f>'Opex'!BL9</f>
      </c>
      <c r="BM11" s="32">
        <f>'Opex'!BM9</f>
      </c>
      <c r="BN11" s="32">
        <f>'Opex'!BN9</f>
      </c>
      <c r="BO11" s="32">
        <f>'Opex'!BO9</f>
      </c>
      <c r="BP11" s="32">
        <f>'Opex'!BP9</f>
      </c>
      <c r="BQ11" s="32">
        <f>'Opex'!BQ9</f>
      </c>
      <c r="BR11" s="32">
        <f>'Opex'!BR9</f>
      </c>
      <c r="BS11" s="32">
        <f>'Opex'!BS9</f>
      </c>
      <c r="BT11" s="32">
        <f>'Opex'!BT9</f>
      </c>
      <c r="BU11" s="32">
        <f>'Opex'!BU9</f>
      </c>
      <c r="BV11" s="32">
        <f>'Opex'!BV9</f>
      </c>
      <c r="BW11" s="32">
        <f>'Opex'!BW9</f>
      </c>
      <c r="BX11" s="32">
        <f>'Opex'!BX9</f>
      </c>
      <c r="BY11" s="32">
        <f>'Opex'!BY9</f>
      </c>
      <c r="BZ11" s="32">
        <f>'Opex'!BZ9</f>
      </c>
      <c r="CA11" s="32">
        <f>'Opex'!CA9</f>
      </c>
      <c r="CB11" s="32">
        <f>'Opex'!CB9</f>
      </c>
      <c r="CC11" s="32">
        <f>'Opex'!CC9</f>
      </c>
      <c r="CD11" s="32">
        <f>'Opex'!CD9</f>
      </c>
      <c r="CE11" s="32">
        <f>'Opex'!CE9</f>
      </c>
      <c r="CF11" s="32">
        <f>'Opex'!CF9</f>
      </c>
      <c r="CG11" s="32">
        <f>'Opex'!CG9</f>
      </c>
      <c r="CH11" s="32">
        <f>'Opex'!CH9</f>
      </c>
      <c r="CI11" s="32">
        <f>'Opex'!CI9</f>
      </c>
      <c r="CJ11" s="32">
        <f>'Opex'!CJ9</f>
      </c>
      <c r="CK11" s="32">
        <f>'Opex'!CK9</f>
      </c>
      <c r="CL11" s="32">
        <f>'Opex'!CL9</f>
      </c>
    </row>
    <row r="12" spans="2:90" x14ac:dyDescent="0.25">
      <c r="B12" s="28" t="s">
        <v>251</v>
      </c>
      <c r="C12" s="29" t="s">
        <v>205</v>
      </c>
      <c r="D12" s="32">
        <f>SUM(E12:CL12)</f>
      </c>
      <c r="E12" s="32">
        <f>'Opex'!E10</f>
      </c>
      <c r="F12" s="32">
        <f>'Opex'!F10</f>
      </c>
      <c r="G12" s="32">
        <f>'Opex'!G10</f>
      </c>
      <c r="H12" s="32">
        <f>'Opex'!H10</f>
      </c>
      <c r="I12" s="32">
        <f>'Opex'!I10</f>
      </c>
      <c r="J12" s="32">
        <f>'Opex'!J10</f>
      </c>
      <c r="K12" s="32">
        <f>'Opex'!K10</f>
      </c>
      <c r="L12" s="32">
        <f>'Opex'!L10</f>
      </c>
      <c r="M12" s="32">
        <f>'Opex'!M10</f>
      </c>
      <c r="N12" s="32">
        <f>'Opex'!N10</f>
      </c>
      <c r="O12" s="32">
        <f>'Opex'!O10</f>
      </c>
      <c r="P12" s="32">
        <f>'Opex'!P10</f>
      </c>
      <c r="Q12" s="32">
        <f>'Opex'!Q10</f>
      </c>
      <c r="R12" s="32">
        <f>'Opex'!R10</f>
      </c>
      <c r="S12" s="32">
        <f>'Opex'!S10</f>
      </c>
      <c r="T12" s="32">
        <f>'Opex'!T10</f>
      </c>
      <c r="U12" s="32">
        <f>'Opex'!U10</f>
      </c>
      <c r="V12" s="32">
        <f>'Opex'!V10</f>
      </c>
      <c r="W12" s="32">
        <f>'Opex'!W10</f>
      </c>
      <c r="X12" s="32">
        <f>'Opex'!X10</f>
      </c>
      <c r="Y12" s="32">
        <f>'Opex'!Y10</f>
      </c>
      <c r="Z12" s="32">
        <f>'Opex'!Z10</f>
      </c>
      <c r="AA12" s="32">
        <f>'Opex'!AA10</f>
      </c>
      <c r="AB12" s="32">
        <f>'Opex'!AB10</f>
      </c>
      <c r="AC12" s="32">
        <f>'Opex'!AC10</f>
      </c>
      <c r="AD12" s="32">
        <f>'Opex'!AD10</f>
      </c>
      <c r="AE12" s="32">
        <f>'Opex'!AE10</f>
      </c>
      <c r="AF12" s="32">
        <f>'Opex'!AF10</f>
      </c>
      <c r="AG12" s="32">
        <f>'Opex'!AG10</f>
      </c>
      <c r="AH12" s="32">
        <f>'Opex'!AH10</f>
      </c>
      <c r="AI12" s="32">
        <f>'Opex'!AI10</f>
      </c>
      <c r="AJ12" s="32">
        <f>'Opex'!AJ10</f>
      </c>
      <c r="AK12" s="32">
        <f>'Opex'!AK10</f>
      </c>
      <c r="AL12" s="32">
        <f>'Opex'!AL10</f>
      </c>
      <c r="AM12" s="32">
        <f>'Opex'!AM10</f>
      </c>
      <c r="AN12" s="32">
        <f>'Opex'!AN10</f>
      </c>
      <c r="AO12" s="32">
        <f>'Opex'!AO10</f>
      </c>
      <c r="AP12" s="32">
        <f>'Opex'!AP10</f>
      </c>
      <c r="AQ12" s="32">
        <f>'Opex'!AQ10</f>
      </c>
      <c r="AR12" s="32">
        <f>'Opex'!AR10</f>
      </c>
      <c r="AS12" s="32">
        <f>'Opex'!AS10</f>
      </c>
      <c r="AT12" s="32">
        <f>'Opex'!AT10</f>
      </c>
      <c r="AU12" s="32">
        <f>'Opex'!AU10</f>
      </c>
      <c r="AV12" s="32">
        <f>'Opex'!AV10</f>
      </c>
      <c r="AW12" s="32">
        <f>'Opex'!AW10</f>
      </c>
      <c r="AX12" s="32">
        <f>'Opex'!AX10</f>
      </c>
      <c r="AY12" s="32">
        <f>'Opex'!AY10</f>
      </c>
      <c r="AZ12" s="32">
        <f>'Opex'!AZ10</f>
      </c>
      <c r="BA12" s="32">
        <f>'Opex'!BA10</f>
      </c>
      <c r="BB12" s="32">
        <f>'Opex'!BB10</f>
      </c>
      <c r="BC12" s="32">
        <f>'Opex'!BC10</f>
      </c>
      <c r="BD12" s="32">
        <f>'Opex'!BD10</f>
      </c>
      <c r="BE12" s="32">
        <f>'Opex'!BE10</f>
      </c>
      <c r="BF12" s="32">
        <f>'Opex'!BF10</f>
      </c>
      <c r="BG12" s="32">
        <f>'Opex'!BG10</f>
      </c>
      <c r="BH12" s="32">
        <f>'Opex'!BH10</f>
      </c>
      <c r="BI12" s="32">
        <f>'Opex'!BI10</f>
      </c>
      <c r="BJ12" s="32">
        <f>'Opex'!BJ10</f>
      </c>
      <c r="BK12" s="32">
        <f>'Opex'!BK10</f>
      </c>
      <c r="BL12" s="32">
        <f>'Opex'!BL10</f>
      </c>
      <c r="BM12" s="32">
        <f>'Opex'!BM10</f>
      </c>
      <c r="BN12" s="32">
        <f>'Opex'!BN10</f>
      </c>
      <c r="BO12" s="32">
        <f>'Opex'!BO10</f>
      </c>
      <c r="BP12" s="32">
        <f>'Opex'!BP10</f>
      </c>
      <c r="BQ12" s="32">
        <f>'Opex'!BQ10</f>
      </c>
      <c r="BR12" s="32">
        <f>'Opex'!BR10</f>
      </c>
      <c r="BS12" s="32">
        <f>'Opex'!BS10</f>
      </c>
      <c r="BT12" s="32">
        <f>'Opex'!BT10</f>
      </c>
      <c r="BU12" s="32">
        <f>'Opex'!BU10</f>
      </c>
      <c r="BV12" s="32">
        <f>'Opex'!BV10</f>
      </c>
      <c r="BW12" s="32">
        <f>'Opex'!BW10</f>
      </c>
      <c r="BX12" s="32">
        <f>'Opex'!BX10</f>
      </c>
      <c r="BY12" s="32">
        <f>'Opex'!BY10</f>
      </c>
      <c r="BZ12" s="32">
        <f>'Opex'!BZ10</f>
      </c>
      <c r="CA12" s="32">
        <f>'Opex'!CA10</f>
      </c>
      <c r="CB12" s="32">
        <f>'Opex'!CB10</f>
      </c>
      <c r="CC12" s="32">
        <f>'Opex'!CC10</f>
      </c>
      <c r="CD12" s="32">
        <f>'Opex'!CD10</f>
      </c>
      <c r="CE12" s="32">
        <f>'Opex'!CE10</f>
      </c>
      <c r="CF12" s="32">
        <f>'Opex'!CF10</f>
      </c>
      <c r="CG12" s="32">
        <f>'Opex'!CG10</f>
      </c>
      <c r="CH12" s="32">
        <f>'Opex'!CH10</f>
      </c>
      <c r="CI12" s="32">
        <f>'Opex'!CI10</f>
      </c>
      <c r="CJ12" s="32">
        <f>'Opex'!CJ10</f>
      </c>
      <c r="CK12" s="32">
        <f>'Opex'!CK10</f>
      </c>
      <c r="CL12" s="32">
        <f>'Opex'!CL10</f>
      </c>
    </row>
    <row r="13" spans="2:90" x14ac:dyDescent="0.25">
      <c r="B13" s="28" t="s">
        <v>252</v>
      </c>
      <c r="C13" s="29" t="s">
        <v>205</v>
      </c>
      <c r="D13" s="32">
        <f>SUM(E13:CL13)</f>
      </c>
      <c r="E13" s="32">
        <f>'Opex'!E11</f>
      </c>
      <c r="F13" s="32">
        <f>'Opex'!F11</f>
      </c>
      <c r="G13" s="32">
        <f>'Opex'!G11</f>
      </c>
      <c r="H13" s="32">
        <f>'Opex'!H11</f>
      </c>
      <c r="I13" s="32">
        <f>'Opex'!I11</f>
      </c>
      <c r="J13" s="32">
        <f>'Opex'!J11</f>
      </c>
      <c r="K13" s="32">
        <f>'Opex'!K11</f>
      </c>
      <c r="L13" s="32">
        <f>'Opex'!L11</f>
      </c>
      <c r="M13" s="32">
        <f>'Opex'!M11</f>
      </c>
      <c r="N13" s="32">
        <f>'Opex'!N11</f>
      </c>
      <c r="O13" s="32">
        <f>'Opex'!O11</f>
      </c>
      <c r="P13" s="32">
        <f>'Opex'!P11</f>
      </c>
      <c r="Q13" s="32">
        <f>'Opex'!Q11</f>
      </c>
      <c r="R13" s="32">
        <f>'Opex'!R11</f>
      </c>
      <c r="S13" s="32">
        <f>'Opex'!S11</f>
      </c>
      <c r="T13" s="32">
        <f>'Opex'!T11</f>
      </c>
      <c r="U13" s="32">
        <f>'Opex'!U11</f>
      </c>
      <c r="V13" s="32">
        <f>'Opex'!V11</f>
      </c>
      <c r="W13" s="32">
        <f>'Opex'!W11</f>
      </c>
      <c r="X13" s="32">
        <f>'Opex'!X11</f>
      </c>
      <c r="Y13" s="32">
        <f>'Opex'!Y11</f>
      </c>
      <c r="Z13" s="32">
        <f>'Opex'!Z11</f>
      </c>
      <c r="AA13" s="32">
        <f>'Opex'!AA11</f>
      </c>
      <c r="AB13" s="32">
        <f>'Opex'!AB11</f>
      </c>
      <c r="AC13" s="32">
        <f>'Opex'!AC11</f>
      </c>
      <c r="AD13" s="32">
        <f>'Opex'!AD11</f>
      </c>
      <c r="AE13" s="32">
        <f>'Opex'!AE11</f>
      </c>
      <c r="AF13" s="32">
        <f>'Opex'!AF11</f>
      </c>
      <c r="AG13" s="32">
        <f>'Opex'!AG11</f>
      </c>
      <c r="AH13" s="32">
        <f>'Opex'!AH11</f>
      </c>
      <c r="AI13" s="32">
        <f>'Opex'!AI11</f>
      </c>
      <c r="AJ13" s="32">
        <f>'Opex'!AJ11</f>
      </c>
      <c r="AK13" s="32">
        <f>'Opex'!AK11</f>
      </c>
      <c r="AL13" s="32">
        <f>'Opex'!AL11</f>
      </c>
      <c r="AM13" s="32">
        <f>'Opex'!AM11</f>
      </c>
      <c r="AN13" s="32">
        <f>'Opex'!AN11</f>
      </c>
      <c r="AO13" s="32">
        <f>'Opex'!AO11</f>
      </c>
      <c r="AP13" s="32">
        <f>'Opex'!AP11</f>
      </c>
      <c r="AQ13" s="32">
        <f>'Opex'!AQ11</f>
      </c>
      <c r="AR13" s="32">
        <f>'Opex'!AR11</f>
      </c>
      <c r="AS13" s="32">
        <f>'Opex'!AS11</f>
      </c>
      <c r="AT13" s="32">
        <f>'Opex'!AT11</f>
      </c>
      <c r="AU13" s="32">
        <f>'Opex'!AU11</f>
      </c>
      <c r="AV13" s="32">
        <f>'Opex'!AV11</f>
      </c>
      <c r="AW13" s="32">
        <f>'Opex'!AW11</f>
      </c>
      <c r="AX13" s="32">
        <f>'Opex'!AX11</f>
      </c>
      <c r="AY13" s="32">
        <f>'Opex'!AY11</f>
      </c>
      <c r="AZ13" s="32">
        <f>'Opex'!AZ11</f>
      </c>
      <c r="BA13" s="32">
        <f>'Opex'!BA11</f>
      </c>
      <c r="BB13" s="32">
        <f>'Opex'!BB11</f>
      </c>
      <c r="BC13" s="32">
        <f>'Opex'!BC11</f>
      </c>
      <c r="BD13" s="32">
        <f>'Opex'!BD11</f>
      </c>
      <c r="BE13" s="32">
        <f>'Opex'!BE11</f>
      </c>
      <c r="BF13" s="32">
        <f>'Opex'!BF11</f>
      </c>
      <c r="BG13" s="32">
        <f>'Opex'!BG11</f>
      </c>
      <c r="BH13" s="32">
        <f>'Opex'!BH11</f>
      </c>
      <c r="BI13" s="32">
        <f>'Opex'!BI11</f>
      </c>
      <c r="BJ13" s="32">
        <f>'Opex'!BJ11</f>
      </c>
      <c r="BK13" s="32">
        <f>'Opex'!BK11</f>
      </c>
      <c r="BL13" s="32">
        <f>'Opex'!BL11</f>
      </c>
      <c r="BM13" s="32">
        <f>'Opex'!BM11</f>
      </c>
      <c r="BN13" s="32">
        <f>'Opex'!BN11</f>
      </c>
      <c r="BO13" s="32">
        <f>'Opex'!BO11</f>
      </c>
      <c r="BP13" s="32">
        <f>'Opex'!BP11</f>
      </c>
      <c r="BQ13" s="32">
        <f>'Opex'!BQ11</f>
      </c>
      <c r="BR13" s="32">
        <f>'Opex'!BR11</f>
      </c>
      <c r="BS13" s="32">
        <f>'Opex'!BS11</f>
      </c>
      <c r="BT13" s="32">
        <f>'Opex'!BT11</f>
      </c>
      <c r="BU13" s="32">
        <f>'Opex'!BU11</f>
      </c>
      <c r="BV13" s="32">
        <f>'Opex'!BV11</f>
      </c>
      <c r="BW13" s="32">
        <f>'Opex'!BW11</f>
      </c>
      <c r="BX13" s="32">
        <f>'Opex'!BX11</f>
      </c>
      <c r="BY13" s="32">
        <f>'Opex'!BY11</f>
      </c>
      <c r="BZ13" s="32">
        <f>'Opex'!BZ11</f>
      </c>
      <c r="CA13" s="32">
        <f>'Opex'!CA11</f>
      </c>
      <c r="CB13" s="32">
        <f>'Opex'!CB11</f>
      </c>
      <c r="CC13" s="32">
        <f>'Opex'!CC11</f>
      </c>
      <c r="CD13" s="32">
        <f>'Opex'!CD11</f>
      </c>
      <c r="CE13" s="32">
        <f>'Opex'!CE11</f>
      </c>
      <c r="CF13" s="32">
        <f>'Opex'!CF11</f>
      </c>
      <c r="CG13" s="32">
        <f>'Opex'!CG11</f>
      </c>
      <c r="CH13" s="32">
        <f>'Opex'!CH11</f>
      </c>
      <c r="CI13" s="32">
        <f>'Opex'!CI11</f>
      </c>
      <c r="CJ13" s="32">
        <f>'Opex'!CJ11</f>
      </c>
      <c r="CK13" s="32">
        <f>'Opex'!CK11</f>
      </c>
      <c r="CL13" s="32">
        <f>'Opex'!CL11</f>
      </c>
    </row>
    <row r="14" spans="2:90" x14ac:dyDescent="0.25">
      <c r="B14" s="28" t="s">
        <v>253</v>
      </c>
      <c r="C14" s="29" t="s">
        <v>205</v>
      </c>
      <c r="D14" s="32">
        <f>SUM(E14:CL14)</f>
      </c>
      <c r="E14" s="32">
        <f>'Opex'!E12</f>
      </c>
      <c r="F14" s="32">
        <f>'Opex'!F12</f>
      </c>
      <c r="G14" s="32">
        <f>'Opex'!G12</f>
      </c>
      <c r="H14" s="32">
        <f>'Opex'!H12</f>
      </c>
      <c r="I14" s="32">
        <f>'Opex'!I12</f>
      </c>
      <c r="J14" s="32">
        <f>'Opex'!J12</f>
      </c>
      <c r="K14" s="32">
        <f>'Opex'!K12</f>
      </c>
      <c r="L14" s="32">
        <f>'Opex'!L12</f>
      </c>
      <c r="M14" s="32">
        <f>'Opex'!M12</f>
      </c>
      <c r="N14" s="32">
        <f>'Opex'!N12</f>
      </c>
      <c r="O14" s="32">
        <f>'Opex'!O12</f>
      </c>
      <c r="P14" s="32">
        <f>'Opex'!P12</f>
      </c>
      <c r="Q14" s="32">
        <f>'Opex'!Q12</f>
      </c>
      <c r="R14" s="32">
        <f>'Opex'!R12</f>
      </c>
      <c r="S14" s="32">
        <f>'Opex'!S12</f>
      </c>
      <c r="T14" s="32">
        <f>'Opex'!T12</f>
      </c>
      <c r="U14" s="32">
        <f>'Opex'!U12</f>
      </c>
      <c r="V14" s="32">
        <f>'Opex'!V12</f>
      </c>
      <c r="W14" s="32">
        <f>'Opex'!W12</f>
      </c>
      <c r="X14" s="32">
        <f>'Opex'!X12</f>
      </c>
      <c r="Y14" s="32">
        <f>'Opex'!Y12</f>
      </c>
      <c r="Z14" s="32">
        <f>'Opex'!Z12</f>
      </c>
      <c r="AA14" s="32">
        <f>'Opex'!AA12</f>
      </c>
      <c r="AB14" s="32">
        <f>'Opex'!AB12</f>
      </c>
      <c r="AC14" s="32">
        <f>'Opex'!AC12</f>
      </c>
      <c r="AD14" s="32">
        <f>'Opex'!AD12</f>
      </c>
      <c r="AE14" s="32">
        <f>'Opex'!AE12</f>
      </c>
      <c r="AF14" s="32">
        <f>'Opex'!AF12</f>
      </c>
      <c r="AG14" s="32">
        <f>'Opex'!AG12</f>
      </c>
      <c r="AH14" s="32">
        <f>'Opex'!AH12</f>
      </c>
      <c r="AI14" s="32">
        <f>'Opex'!AI12</f>
      </c>
      <c r="AJ14" s="32">
        <f>'Opex'!AJ12</f>
      </c>
      <c r="AK14" s="32">
        <f>'Opex'!AK12</f>
      </c>
      <c r="AL14" s="32">
        <f>'Opex'!AL12</f>
      </c>
      <c r="AM14" s="32">
        <f>'Opex'!AM12</f>
      </c>
      <c r="AN14" s="32">
        <f>'Opex'!AN12</f>
      </c>
      <c r="AO14" s="32">
        <f>'Opex'!AO12</f>
      </c>
      <c r="AP14" s="32">
        <f>'Opex'!AP12</f>
      </c>
      <c r="AQ14" s="32">
        <f>'Opex'!AQ12</f>
      </c>
      <c r="AR14" s="32">
        <f>'Opex'!AR12</f>
      </c>
      <c r="AS14" s="32">
        <f>'Opex'!AS12</f>
      </c>
      <c r="AT14" s="32">
        <f>'Opex'!AT12</f>
      </c>
      <c r="AU14" s="32">
        <f>'Opex'!AU12</f>
      </c>
      <c r="AV14" s="32">
        <f>'Opex'!AV12</f>
      </c>
      <c r="AW14" s="32">
        <f>'Opex'!AW12</f>
      </c>
      <c r="AX14" s="32">
        <f>'Opex'!AX12</f>
      </c>
      <c r="AY14" s="32">
        <f>'Opex'!AY12</f>
      </c>
      <c r="AZ14" s="32">
        <f>'Opex'!AZ12</f>
      </c>
      <c r="BA14" s="32">
        <f>'Opex'!BA12</f>
      </c>
      <c r="BB14" s="32">
        <f>'Opex'!BB12</f>
      </c>
      <c r="BC14" s="32">
        <f>'Opex'!BC12</f>
      </c>
      <c r="BD14" s="32">
        <f>'Opex'!BD12</f>
      </c>
      <c r="BE14" s="32">
        <f>'Opex'!BE12</f>
      </c>
      <c r="BF14" s="32">
        <f>'Opex'!BF12</f>
      </c>
      <c r="BG14" s="32">
        <f>'Opex'!BG12</f>
      </c>
      <c r="BH14" s="32">
        <f>'Opex'!BH12</f>
      </c>
      <c r="BI14" s="32">
        <f>'Opex'!BI12</f>
      </c>
      <c r="BJ14" s="32">
        <f>'Opex'!BJ12</f>
      </c>
      <c r="BK14" s="32">
        <f>'Opex'!BK12</f>
      </c>
      <c r="BL14" s="32">
        <f>'Opex'!BL12</f>
      </c>
      <c r="BM14" s="32">
        <f>'Opex'!BM12</f>
      </c>
      <c r="BN14" s="32">
        <f>'Opex'!BN12</f>
      </c>
      <c r="BO14" s="32">
        <f>'Opex'!BO12</f>
      </c>
      <c r="BP14" s="32">
        <f>'Opex'!BP12</f>
      </c>
      <c r="BQ14" s="32">
        <f>'Opex'!BQ12</f>
      </c>
      <c r="BR14" s="32">
        <f>'Opex'!BR12</f>
      </c>
      <c r="BS14" s="32">
        <f>'Opex'!BS12</f>
      </c>
      <c r="BT14" s="32">
        <f>'Opex'!BT12</f>
      </c>
      <c r="BU14" s="32">
        <f>'Opex'!BU12</f>
      </c>
      <c r="BV14" s="32">
        <f>'Opex'!BV12</f>
      </c>
      <c r="BW14" s="32">
        <f>'Opex'!BW12</f>
      </c>
      <c r="BX14" s="32">
        <f>'Opex'!BX12</f>
      </c>
      <c r="BY14" s="32">
        <f>'Opex'!BY12</f>
      </c>
      <c r="BZ14" s="32">
        <f>'Opex'!BZ12</f>
      </c>
      <c r="CA14" s="32">
        <f>'Opex'!CA12</f>
      </c>
      <c r="CB14" s="32">
        <f>'Opex'!CB12</f>
      </c>
      <c r="CC14" s="32">
        <f>'Opex'!CC12</f>
      </c>
      <c r="CD14" s="32">
        <f>'Opex'!CD12</f>
      </c>
      <c r="CE14" s="32">
        <f>'Opex'!CE12</f>
      </c>
      <c r="CF14" s="32">
        <f>'Opex'!CF12</f>
      </c>
      <c r="CG14" s="32">
        <f>'Opex'!CG12</f>
      </c>
      <c r="CH14" s="32">
        <f>'Opex'!CH12</f>
      </c>
      <c r="CI14" s="32">
        <f>'Opex'!CI12</f>
      </c>
      <c r="CJ14" s="32">
        <f>'Opex'!CJ12</f>
      </c>
      <c r="CK14" s="32">
        <f>'Opex'!CK12</f>
      </c>
      <c r="CL14" s="32">
        <f>'Opex'!CL12</f>
      </c>
    </row>
    <row r="15" spans="2:90" x14ac:dyDescent="0.25">
      <c r="B15" s="28" t="s">
        <v>254</v>
      </c>
      <c r="C15" s="29" t="s">
        <v>205</v>
      </c>
      <c r="D15" s="32">
        <f>SUM(E15:CL15)</f>
      </c>
      <c r="E15" s="32">
        <f>'Opex'!E13</f>
      </c>
      <c r="F15" s="32">
        <f>'Opex'!F13</f>
      </c>
      <c r="G15" s="32">
        <f>'Opex'!G13</f>
      </c>
      <c r="H15" s="32">
        <f>'Opex'!H13</f>
      </c>
      <c r="I15" s="32">
        <f>'Opex'!I13</f>
      </c>
      <c r="J15" s="32">
        <f>'Opex'!J13</f>
      </c>
      <c r="K15" s="32">
        <f>'Opex'!K13</f>
      </c>
      <c r="L15" s="32">
        <f>'Opex'!L13</f>
      </c>
      <c r="M15" s="32">
        <f>'Opex'!M13</f>
      </c>
      <c r="N15" s="32">
        <f>'Opex'!N13</f>
      </c>
      <c r="O15" s="32">
        <f>'Opex'!O13</f>
      </c>
      <c r="P15" s="32">
        <f>'Opex'!P13</f>
      </c>
      <c r="Q15" s="32">
        <f>'Opex'!Q13</f>
      </c>
      <c r="R15" s="32">
        <f>'Opex'!R13</f>
      </c>
      <c r="S15" s="32">
        <f>'Opex'!S13</f>
      </c>
      <c r="T15" s="32">
        <f>'Opex'!T13</f>
      </c>
      <c r="U15" s="32">
        <f>'Opex'!U13</f>
      </c>
      <c r="V15" s="32">
        <f>'Opex'!V13</f>
      </c>
      <c r="W15" s="32">
        <f>'Opex'!W13</f>
      </c>
      <c r="X15" s="32">
        <f>'Opex'!X13</f>
      </c>
      <c r="Y15" s="32">
        <f>'Opex'!Y13</f>
      </c>
      <c r="Z15" s="32">
        <f>'Opex'!Z13</f>
      </c>
      <c r="AA15" s="32">
        <f>'Opex'!AA13</f>
      </c>
      <c r="AB15" s="32">
        <f>'Opex'!AB13</f>
      </c>
      <c r="AC15" s="32">
        <f>'Opex'!AC13</f>
      </c>
      <c r="AD15" s="32">
        <f>'Opex'!AD13</f>
      </c>
      <c r="AE15" s="32">
        <f>'Opex'!AE13</f>
      </c>
      <c r="AF15" s="32">
        <f>'Opex'!AF13</f>
      </c>
      <c r="AG15" s="32">
        <f>'Opex'!AG13</f>
      </c>
      <c r="AH15" s="32">
        <f>'Opex'!AH13</f>
      </c>
      <c r="AI15" s="32">
        <f>'Opex'!AI13</f>
      </c>
      <c r="AJ15" s="32">
        <f>'Opex'!AJ13</f>
      </c>
      <c r="AK15" s="32">
        <f>'Opex'!AK13</f>
      </c>
      <c r="AL15" s="32">
        <f>'Opex'!AL13</f>
      </c>
      <c r="AM15" s="32">
        <f>'Opex'!AM13</f>
      </c>
      <c r="AN15" s="32">
        <f>'Opex'!AN13</f>
      </c>
      <c r="AO15" s="32">
        <f>'Opex'!AO13</f>
      </c>
      <c r="AP15" s="32">
        <f>'Opex'!AP13</f>
      </c>
      <c r="AQ15" s="32">
        <f>'Opex'!AQ13</f>
      </c>
      <c r="AR15" s="32">
        <f>'Opex'!AR13</f>
      </c>
      <c r="AS15" s="32">
        <f>'Opex'!AS13</f>
      </c>
      <c r="AT15" s="32">
        <f>'Opex'!AT13</f>
      </c>
      <c r="AU15" s="32">
        <f>'Opex'!AU13</f>
      </c>
      <c r="AV15" s="32">
        <f>'Opex'!AV13</f>
      </c>
      <c r="AW15" s="32">
        <f>'Opex'!AW13</f>
      </c>
      <c r="AX15" s="32">
        <f>'Opex'!AX13</f>
      </c>
      <c r="AY15" s="32">
        <f>'Opex'!AY13</f>
      </c>
      <c r="AZ15" s="32">
        <f>'Opex'!AZ13</f>
      </c>
      <c r="BA15" s="32">
        <f>'Opex'!BA13</f>
      </c>
      <c r="BB15" s="32">
        <f>'Opex'!BB13</f>
      </c>
      <c r="BC15" s="32">
        <f>'Opex'!BC13</f>
      </c>
      <c r="BD15" s="32">
        <f>'Opex'!BD13</f>
      </c>
      <c r="BE15" s="32">
        <f>'Opex'!BE13</f>
      </c>
      <c r="BF15" s="32">
        <f>'Opex'!BF13</f>
      </c>
      <c r="BG15" s="32">
        <f>'Opex'!BG13</f>
      </c>
      <c r="BH15" s="32">
        <f>'Opex'!BH13</f>
      </c>
      <c r="BI15" s="32">
        <f>'Opex'!BI13</f>
      </c>
      <c r="BJ15" s="32">
        <f>'Opex'!BJ13</f>
      </c>
      <c r="BK15" s="32">
        <f>'Opex'!BK13</f>
      </c>
      <c r="BL15" s="32">
        <f>'Opex'!BL13</f>
      </c>
      <c r="BM15" s="32">
        <f>'Opex'!BM13</f>
      </c>
      <c r="BN15" s="32">
        <f>'Opex'!BN13</f>
      </c>
      <c r="BO15" s="32">
        <f>'Opex'!BO13</f>
      </c>
      <c r="BP15" s="32">
        <f>'Opex'!BP13</f>
      </c>
      <c r="BQ15" s="32">
        <f>'Opex'!BQ13</f>
      </c>
      <c r="BR15" s="32">
        <f>'Opex'!BR13</f>
      </c>
      <c r="BS15" s="32">
        <f>'Opex'!BS13</f>
      </c>
      <c r="BT15" s="32">
        <f>'Opex'!BT13</f>
      </c>
      <c r="BU15" s="32">
        <f>'Opex'!BU13</f>
      </c>
      <c r="BV15" s="32">
        <f>'Opex'!BV13</f>
      </c>
      <c r="BW15" s="32">
        <f>'Opex'!BW13</f>
      </c>
      <c r="BX15" s="32">
        <f>'Opex'!BX13</f>
      </c>
      <c r="BY15" s="32">
        <f>'Opex'!BY13</f>
      </c>
      <c r="BZ15" s="32">
        <f>'Opex'!BZ13</f>
      </c>
      <c r="CA15" s="32">
        <f>'Opex'!CA13</f>
      </c>
      <c r="CB15" s="32">
        <f>'Opex'!CB13</f>
      </c>
      <c r="CC15" s="32">
        <f>'Opex'!CC13</f>
      </c>
      <c r="CD15" s="32">
        <f>'Opex'!CD13</f>
      </c>
      <c r="CE15" s="32">
        <f>'Opex'!CE13</f>
      </c>
      <c r="CF15" s="32">
        <f>'Opex'!CF13</f>
      </c>
      <c r="CG15" s="32">
        <f>'Opex'!CG13</f>
      </c>
      <c r="CH15" s="32">
        <f>'Opex'!CH13</f>
      </c>
      <c r="CI15" s="32">
        <f>'Opex'!CI13</f>
      </c>
      <c r="CJ15" s="32">
        <f>'Opex'!CJ13</f>
      </c>
      <c r="CK15" s="32">
        <f>'Opex'!CK13</f>
      </c>
      <c r="CL15" s="32">
        <f>'Opex'!CL13</f>
      </c>
    </row>
    <row r="16" spans="2:90" x14ac:dyDescent="0.25">
      <c r="B16" s="28" t="s">
        <v>255</v>
      </c>
      <c r="C16" s="29" t="s">
        <v>205</v>
      </c>
      <c r="D16" s="32">
        <f>SUM(E16:CL16)</f>
      </c>
      <c r="E16" s="32">
        <f>'Opex'!E14</f>
      </c>
      <c r="F16" s="32">
        <f>'Opex'!F14</f>
      </c>
      <c r="G16" s="32">
        <f>'Opex'!G14</f>
      </c>
      <c r="H16" s="32">
        <f>'Opex'!H14</f>
      </c>
      <c r="I16" s="32">
        <f>'Opex'!I14</f>
      </c>
      <c r="J16" s="32">
        <f>'Opex'!J14</f>
      </c>
      <c r="K16" s="32">
        <f>'Opex'!K14</f>
      </c>
      <c r="L16" s="32">
        <f>'Opex'!L14</f>
      </c>
      <c r="M16" s="32">
        <f>'Opex'!M14</f>
      </c>
      <c r="N16" s="32">
        <f>'Opex'!N14</f>
      </c>
      <c r="O16" s="32">
        <f>'Opex'!O14</f>
      </c>
      <c r="P16" s="32">
        <f>'Opex'!P14</f>
      </c>
      <c r="Q16" s="32">
        <f>'Opex'!Q14</f>
      </c>
      <c r="R16" s="32">
        <f>'Opex'!R14</f>
      </c>
      <c r="S16" s="32">
        <f>'Opex'!S14</f>
      </c>
      <c r="T16" s="32">
        <f>'Opex'!T14</f>
      </c>
      <c r="U16" s="32">
        <f>'Opex'!U14</f>
      </c>
      <c r="V16" s="32">
        <f>'Opex'!V14</f>
      </c>
      <c r="W16" s="32">
        <f>'Opex'!W14</f>
      </c>
      <c r="X16" s="32">
        <f>'Opex'!X14</f>
      </c>
      <c r="Y16" s="32">
        <f>'Opex'!Y14</f>
      </c>
      <c r="Z16" s="32">
        <f>'Opex'!Z14</f>
      </c>
      <c r="AA16" s="32">
        <f>'Opex'!AA14</f>
      </c>
      <c r="AB16" s="32">
        <f>'Opex'!AB14</f>
      </c>
      <c r="AC16" s="32">
        <f>'Opex'!AC14</f>
      </c>
      <c r="AD16" s="32">
        <f>'Opex'!AD14</f>
      </c>
      <c r="AE16" s="32">
        <f>'Opex'!AE14</f>
      </c>
      <c r="AF16" s="32">
        <f>'Opex'!AF14</f>
      </c>
      <c r="AG16" s="32">
        <f>'Opex'!AG14</f>
      </c>
      <c r="AH16" s="32">
        <f>'Opex'!AH14</f>
      </c>
      <c r="AI16" s="32">
        <f>'Opex'!AI14</f>
      </c>
      <c r="AJ16" s="32">
        <f>'Opex'!AJ14</f>
      </c>
      <c r="AK16" s="32">
        <f>'Opex'!AK14</f>
      </c>
      <c r="AL16" s="32">
        <f>'Opex'!AL14</f>
      </c>
      <c r="AM16" s="32">
        <f>'Opex'!AM14</f>
      </c>
      <c r="AN16" s="32">
        <f>'Opex'!AN14</f>
      </c>
      <c r="AO16" s="32">
        <f>'Opex'!AO14</f>
      </c>
      <c r="AP16" s="32">
        <f>'Opex'!AP14</f>
      </c>
      <c r="AQ16" s="32">
        <f>'Opex'!AQ14</f>
      </c>
      <c r="AR16" s="32">
        <f>'Opex'!AR14</f>
      </c>
      <c r="AS16" s="32">
        <f>'Opex'!AS14</f>
      </c>
      <c r="AT16" s="32">
        <f>'Opex'!AT14</f>
      </c>
      <c r="AU16" s="32">
        <f>'Opex'!AU14</f>
      </c>
      <c r="AV16" s="32">
        <f>'Opex'!AV14</f>
      </c>
      <c r="AW16" s="32">
        <f>'Opex'!AW14</f>
      </c>
      <c r="AX16" s="32">
        <f>'Opex'!AX14</f>
      </c>
      <c r="AY16" s="32">
        <f>'Opex'!AY14</f>
      </c>
      <c r="AZ16" s="32">
        <f>'Opex'!AZ14</f>
      </c>
      <c r="BA16" s="32">
        <f>'Opex'!BA14</f>
      </c>
      <c r="BB16" s="32">
        <f>'Opex'!BB14</f>
      </c>
      <c r="BC16" s="32">
        <f>'Opex'!BC14</f>
      </c>
      <c r="BD16" s="32">
        <f>'Opex'!BD14</f>
      </c>
      <c r="BE16" s="32">
        <f>'Opex'!BE14</f>
      </c>
      <c r="BF16" s="32">
        <f>'Opex'!BF14</f>
      </c>
      <c r="BG16" s="32">
        <f>'Opex'!BG14</f>
      </c>
      <c r="BH16" s="32">
        <f>'Opex'!BH14</f>
      </c>
      <c r="BI16" s="32">
        <f>'Opex'!BI14</f>
      </c>
      <c r="BJ16" s="32">
        <f>'Opex'!BJ14</f>
      </c>
      <c r="BK16" s="32">
        <f>'Opex'!BK14</f>
      </c>
      <c r="BL16" s="32">
        <f>'Opex'!BL14</f>
      </c>
      <c r="BM16" s="32">
        <f>'Opex'!BM14</f>
      </c>
      <c r="BN16" s="32">
        <f>'Opex'!BN14</f>
      </c>
      <c r="BO16" s="32">
        <f>'Opex'!BO14</f>
      </c>
      <c r="BP16" s="32">
        <f>'Opex'!BP14</f>
      </c>
      <c r="BQ16" s="32">
        <f>'Opex'!BQ14</f>
      </c>
      <c r="BR16" s="32">
        <f>'Opex'!BR14</f>
      </c>
      <c r="BS16" s="32">
        <f>'Opex'!BS14</f>
      </c>
      <c r="BT16" s="32">
        <f>'Opex'!BT14</f>
      </c>
      <c r="BU16" s="32">
        <f>'Opex'!BU14</f>
      </c>
      <c r="BV16" s="32">
        <f>'Opex'!BV14</f>
      </c>
      <c r="BW16" s="32">
        <f>'Opex'!BW14</f>
      </c>
      <c r="BX16" s="32">
        <f>'Opex'!BX14</f>
      </c>
      <c r="BY16" s="32">
        <f>'Opex'!BY14</f>
      </c>
      <c r="BZ16" s="32">
        <f>'Opex'!BZ14</f>
      </c>
      <c r="CA16" s="32">
        <f>'Opex'!CA14</f>
      </c>
      <c r="CB16" s="32">
        <f>'Opex'!CB14</f>
      </c>
      <c r="CC16" s="32">
        <f>'Opex'!CC14</f>
      </c>
      <c r="CD16" s="32">
        <f>'Opex'!CD14</f>
      </c>
      <c r="CE16" s="32">
        <f>'Opex'!CE14</f>
      </c>
      <c r="CF16" s="32">
        <f>'Opex'!CF14</f>
      </c>
      <c r="CG16" s="32">
        <f>'Opex'!CG14</f>
      </c>
      <c r="CH16" s="32">
        <f>'Opex'!CH14</f>
      </c>
      <c r="CI16" s="32">
        <f>'Opex'!CI14</f>
      </c>
      <c r="CJ16" s="32">
        <f>'Opex'!CJ14</f>
      </c>
      <c r="CK16" s="32">
        <f>'Opex'!CK14</f>
      </c>
      <c r="CL16" s="32">
        <f>'Opex'!CL14</f>
      </c>
    </row>
    <row r="17" spans="2:90" x14ac:dyDescent="0.25">
      <c r="B17" s="28" t="s">
        <v>256</v>
      </c>
      <c r="C17" s="29" t="s">
        <v>205</v>
      </c>
      <c r="D17" s="32">
        <f>SUM(E17:CL17)</f>
      </c>
      <c r="E17" s="32">
        <f>'Opex'!E15</f>
      </c>
      <c r="F17" s="32">
        <f>'Opex'!F15</f>
      </c>
      <c r="G17" s="32">
        <f>'Opex'!G15</f>
      </c>
      <c r="H17" s="32">
        <f>'Opex'!H15</f>
      </c>
      <c r="I17" s="32">
        <f>'Opex'!I15</f>
      </c>
      <c r="J17" s="32">
        <f>'Opex'!J15</f>
      </c>
      <c r="K17" s="32">
        <f>'Opex'!K15</f>
      </c>
      <c r="L17" s="32">
        <f>'Opex'!L15</f>
      </c>
      <c r="M17" s="32">
        <f>'Opex'!M15</f>
      </c>
      <c r="N17" s="32">
        <f>'Opex'!N15</f>
      </c>
      <c r="O17" s="32">
        <f>'Opex'!O15</f>
      </c>
      <c r="P17" s="32">
        <f>'Opex'!P15</f>
      </c>
      <c r="Q17" s="32">
        <f>'Opex'!Q15</f>
      </c>
      <c r="R17" s="32">
        <f>'Opex'!R15</f>
      </c>
      <c r="S17" s="32">
        <f>'Opex'!S15</f>
      </c>
      <c r="T17" s="32">
        <f>'Opex'!T15</f>
      </c>
      <c r="U17" s="32">
        <f>'Opex'!U15</f>
      </c>
      <c r="V17" s="32">
        <f>'Opex'!V15</f>
      </c>
      <c r="W17" s="32">
        <f>'Opex'!W15</f>
      </c>
      <c r="X17" s="32">
        <f>'Opex'!X15</f>
      </c>
      <c r="Y17" s="32">
        <f>'Opex'!Y15</f>
      </c>
      <c r="Z17" s="32">
        <f>'Opex'!Z15</f>
      </c>
      <c r="AA17" s="32">
        <f>'Opex'!AA15</f>
      </c>
      <c r="AB17" s="32">
        <f>'Opex'!AB15</f>
      </c>
      <c r="AC17" s="32">
        <f>'Opex'!AC15</f>
      </c>
      <c r="AD17" s="32">
        <f>'Opex'!AD15</f>
      </c>
      <c r="AE17" s="32">
        <f>'Opex'!AE15</f>
      </c>
      <c r="AF17" s="32">
        <f>'Opex'!AF15</f>
      </c>
      <c r="AG17" s="32">
        <f>'Opex'!AG15</f>
      </c>
      <c r="AH17" s="32">
        <f>'Opex'!AH15</f>
      </c>
      <c r="AI17" s="32">
        <f>'Opex'!AI15</f>
      </c>
      <c r="AJ17" s="32">
        <f>'Opex'!AJ15</f>
      </c>
      <c r="AK17" s="32">
        <f>'Opex'!AK15</f>
      </c>
      <c r="AL17" s="32">
        <f>'Opex'!AL15</f>
      </c>
      <c r="AM17" s="32">
        <f>'Opex'!AM15</f>
      </c>
      <c r="AN17" s="32">
        <f>'Opex'!AN15</f>
      </c>
      <c r="AO17" s="32">
        <f>'Opex'!AO15</f>
      </c>
      <c r="AP17" s="32">
        <f>'Opex'!AP15</f>
      </c>
      <c r="AQ17" s="32">
        <f>'Opex'!AQ15</f>
      </c>
      <c r="AR17" s="32">
        <f>'Opex'!AR15</f>
      </c>
      <c r="AS17" s="32">
        <f>'Opex'!AS15</f>
      </c>
      <c r="AT17" s="32">
        <f>'Opex'!AT15</f>
      </c>
      <c r="AU17" s="32">
        <f>'Opex'!AU15</f>
      </c>
      <c r="AV17" s="32">
        <f>'Opex'!AV15</f>
      </c>
      <c r="AW17" s="32">
        <f>'Opex'!AW15</f>
      </c>
      <c r="AX17" s="32">
        <f>'Opex'!AX15</f>
      </c>
      <c r="AY17" s="32">
        <f>'Opex'!AY15</f>
      </c>
      <c r="AZ17" s="32">
        <f>'Opex'!AZ15</f>
      </c>
      <c r="BA17" s="32">
        <f>'Opex'!BA15</f>
      </c>
      <c r="BB17" s="32">
        <f>'Opex'!BB15</f>
      </c>
      <c r="BC17" s="32">
        <f>'Opex'!BC15</f>
      </c>
      <c r="BD17" s="32">
        <f>'Opex'!BD15</f>
      </c>
      <c r="BE17" s="32">
        <f>'Opex'!BE15</f>
      </c>
      <c r="BF17" s="32">
        <f>'Opex'!BF15</f>
      </c>
      <c r="BG17" s="32">
        <f>'Opex'!BG15</f>
      </c>
      <c r="BH17" s="32">
        <f>'Opex'!BH15</f>
      </c>
      <c r="BI17" s="32">
        <f>'Opex'!BI15</f>
      </c>
      <c r="BJ17" s="32">
        <f>'Opex'!BJ15</f>
      </c>
      <c r="BK17" s="32">
        <f>'Opex'!BK15</f>
      </c>
      <c r="BL17" s="32">
        <f>'Opex'!BL15</f>
      </c>
      <c r="BM17" s="32">
        <f>'Opex'!BM15</f>
      </c>
      <c r="BN17" s="32">
        <f>'Opex'!BN15</f>
      </c>
      <c r="BO17" s="32">
        <f>'Opex'!BO15</f>
      </c>
      <c r="BP17" s="32">
        <f>'Opex'!BP15</f>
      </c>
      <c r="BQ17" s="32">
        <f>'Opex'!BQ15</f>
      </c>
      <c r="BR17" s="32">
        <f>'Opex'!BR15</f>
      </c>
      <c r="BS17" s="32">
        <f>'Opex'!BS15</f>
      </c>
      <c r="BT17" s="32">
        <f>'Opex'!BT15</f>
      </c>
      <c r="BU17" s="32">
        <f>'Opex'!BU15</f>
      </c>
      <c r="BV17" s="32">
        <f>'Opex'!BV15</f>
      </c>
      <c r="BW17" s="32">
        <f>'Opex'!BW15</f>
      </c>
      <c r="BX17" s="32">
        <f>'Opex'!BX15</f>
      </c>
      <c r="BY17" s="32">
        <f>'Opex'!BY15</f>
      </c>
      <c r="BZ17" s="32">
        <f>'Opex'!BZ15</f>
      </c>
      <c r="CA17" s="32">
        <f>'Opex'!CA15</f>
      </c>
      <c r="CB17" s="32">
        <f>'Opex'!CB15</f>
      </c>
      <c r="CC17" s="32">
        <f>'Opex'!CC15</f>
      </c>
      <c r="CD17" s="32">
        <f>'Opex'!CD15</f>
      </c>
      <c r="CE17" s="32">
        <f>'Opex'!CE15</f>
      </c>
      <c r="CF17" s="32">
        <f>'Opex'!CF15</f>
      </c>
      <c r="CG17" s="32">
        <f>'Opex'!CG15</f>
      </c>
      <c r="CH17" s="32">
        <f>'Opex'!CH15</f>
      </c>
      <c r="CI17" s="32">
        <f>'Opex'!CI15</f>
      </c>
      <c r="CJ17" s="32">
        <f>'Opex'!CJ15</f>
      </c>
      <c r="CK17" s="32">
        <f>'Opex'!CK15</f>
      </c>
      <c r="CL17" s="32">
        <f>'Opex'!CL15</f>
      </c>
    </row>
    <row r="18" spans="2:90" x14ac:dyDescent="0.25">
      <c r="B18" s="28" t="s">
        <v>257</v>
      </c>
      <c r="C18" s="29" t="s">
        <v>205</v>
      </c>
      <c r="D18" s="32">
        <f>SUM(E18:CL18)</f>
      </c>
      <c r="E18" s="32">
        <f>'Opex'!E16</f>
      </c>
      <c r="F18" s="32">
        <f>'Opex'!F16</f>
      </c>
      <c r="G18" s="32">
        <f>'Opex'!G16</f>
      </c>
      <c r="H18" s="32">
        <f>'Opex'!H16</f>
      </c>
      <c r="I18" s="32">
        <f>'Opex'!I16</f>
      </c>
      <c r="J18" s="32">
        <f>'Opex'!J16</f>
      </c>
      <c r="K18" s="32">
        <f>'Opex'!K16</f>
      </c>
      <c r="L18" s="32">
        <f>'Opex'!L16</f>
      </c>
      <c r="M18" s="32">
        <f>'Opex'!M16</f>
      </c>
      <c r="N18" s="32">
        <f>'Opex'!N16</f>
      </c>
      <c r="O18" s="32">
        <f>'Opex'!O16</f>
      </c>
      <c r="P18" s="32">
        <f>'Opex'!P16</f>
      </c>
      <c r="Q18" s="32">
        <f>'Opex'!Q16</f>
      </c>
      <c r="R18" s="32">
        <f>'Opex'!R16</f>
      </c>
      <c r="S18" s="32">
        <f>'Opex'!S16</f>
      </c>
      <c r="T18" s="32">
        <f>'Opex'!T16</f>
      </c>
      <c r="U18" s="32">
        <f>'Opex'!U16</f>
      </c>
      <c r="V18" s="32">
        <f>'Opex'!V16</f>
      </c>
      <c r="W18" s="32">
        <f>'Opex'!W16</f>
      </c>
      <c r="X18" s="32">
        <f>'Opex'!X16</f>
      </c>
      <c r="Y18" s="32">
        <f>'Opex'!Y16</f>
      </c>
      <c r="Z18" s="32">
        <f>'Opex'!Z16</f>
      </c>
      <c r="AA18" s="32">
        <f>'Opex'!AA16</f>
      </c>
      <c r="AB18" s="32">
        <f>'Opex'!AB16</f>
      </c>
      <c r="AC18" s="32">
        <f>'Opex'!AC16</f>
      </c>
      <c r="AD18" s="32">
        <f>'Opex'!AD16</f>
      </c>
      <c r="AE18" s="32">
        <f>'Opex'!AE16</f>
      </c>
      <c r="AF18" s="32">
        <f>'Opex'!AF16</f>
      </c>
      <c r="AG18" s="32">
        <f>'Opex'!AG16</f>
      </c>
      <c r="AH18" s="32">
        <f>'Opex'!AH16</f>
      </c>
      <c r="AI18" s="32">
        <f>'Opex'!AI16</f>
      </c>
      <c r="AJ18" s="32">
        <f>'Opex'!AJ16</f>
      </c>
      <c r="AK18" s="32">
        <f>'Opex'!AK16</f>
      </c>
      <c r="AL18" s="32">
        <f>'Opex'!AL16</f>
      </c>
      <c r="AM18" s="32">
        <f>'Opex'!AM16</f>
      </c>
      <c r="AN18" s="32">
        <f>'Opex'!AN16</f>
      </c>
      <c r="AO18" s="32">
        <f>'Opex'!AO16</f>
      </c>
      <c r="AP18" s="32">
        <f>'Opex'!AP16</f>
      </c>
      <c r="AQ18" s="32">
        <f>'Opex'!AQ16</f>
      </c>
      <c r="AR18" s="32">
        <f>'Opex'!AR16</f>
      </c>
      <c r="AS18" s="32">
        <f>'Opex'!AS16</f>
      </c>
      <c r="AT18" s="32">
        <f>'Opex'!AT16</f>
      </c>
      <c r="AU18" s="32">
        <f>'Opex'!AU16</f>
      </c>
      <c r="AV18" s="32">
        <f>'Opex'!AV16</f>
      </c>
      <c r="AW18" s="32">
        <f>'Opex'!AW16</f>
      </c>
      <c r="AX18" s="32">
        <f>'Opex'!AX16</f>
      </c>
      <c r="AY18" s="32">
        <f>'Opex'!AY16</f>
      </c>
      <c r="AZ18" s="32">
        <f>'Opex'!AZ16</f>
      </c>
      <c r="BA18" s="32">
        <f>'Opex'!BA16</f>
      </c>
      <c r="BB18" s="32">
        <f>'Opex'!BB16</f>
      </c>
      <c r="BC18" s="32">
        <f>'Opex'!BC16</f>
      </c>
      <c r="BD18" s="32">
        <f>'Opex'!BD16</f>
      </c>
      <c r="BE18" s="32">
        <f>'Opex'!BE16</f>
      </c>
      <c r="BF18" s="32">
        <f>'Opex'!BF16</f>
      </c>
      <c r="BG18" s="32">
        <f>'Opex'!BG16</f>
      </c>
      <c r="BH18" s="32">
        <f>'Opex'!BH16</f>
      </c>
      <c r="BI18" s="32">
        <f>'Opex'!BI16</f>
      </c>
      <c r="BJ18" s="32">
        <f>'Opex'!BJ16</f>
      </c>
      <c r="BK18" s="32">
        <f>'Opex'!BK16</f>
      </c>
      <c r="BL18" s="32">
        <f>'Opex'!BL16</f>
      </c>
      <c r="BM18" s="32">
        <f>'Opex'!BM16</f>
      </c>
      <c r="BN18" s="32">
        <f>'Opex'!BN16</f>
      </c>
      <c r="BO18" s="32">
        <f>'Opex'!BO16</f>
      </c>
      <c r="BP18" s="32">
        <f>'Opex'!BP16</f>
      </c>
      <c r="BQ18" s="32">
        <f>'Opex'!BQ16</f>
      </c>
      <c r="BR18" s="32">
        <f>'Opex'!BR16</f>
      </c>
      <c r="BS18" s="32">
        <f>'Opex'!BS16</f>
      </c>
      <c r="BT18" s="32">
        <f>'Opex'!BT16</f>
      </c>
      <c r="BU18" s="32">
        <f>'Opex'!BU16</f>
      </c>
      <c r="BV18" s="32">
        <f>'Opex'!BV16</f>
      </c>
      <c r="BW18" s="32">
        <f>'Opex'!BW16</f>
      </c>
      <c r="BX18" s="32">
        <f>'Opex'!BX16</f>
      </c>
      <c r="BY18" s="32">
        <f>'Opex'!BY16</f>
      </c>
      <c r="BZ18" s="32">
        <f>'Opex'!BZ16</f>
      </c>
      <c r="CA18" s="32">
        <f>'Opex'!CA16</f>
      </c>
      <c r="CB18" s="32">
        <f>'Opex'!CB16</f>
      </c>
      <c r="CC18" s="32">
        <f>'Opex'!CC16</f>
      </c>
      <c r="CD18" s="32">
        <f>'Opex'!CD16</f>
      </c>
      <c r="CE18" s="32">
        <f>'Opex'!CE16</f>
      </c>
      <c r="CF18" s="32">
        <f>'Opex'!CF16</f>
      </c>
      <c r="CG18" s="32">
        <f>'Opex'!CG16</f>
      </c>
      <c r="CH18" s="32">
        <f>'Opex'!CH16</f>
      </c>
      <c r="CI18" s="32">
        <f>'Opex'!CI16</f>
      </c>
      <c r="CJ18" s="32">
        <f>'Opex'!CJ16</f>
      </c>
      <c r="CK18" s="32">
        <f>'Opex'!CK16</f>
      </c>
      <c r="CL18" s="32">
        <f>'Opex'!CL16</f>
      </c>
    </row>
    <row r="19" spans="2:90" x14ac:dyDescent="0.25">
      <c r="B19" s="28" t="s">
        <v>258</v>
      </c>
      <c r="C19" s="29" t="s">
        <v>205</v>
      </c>
      <c r="D19" s="32">
        <f>SUM(E19:CL19)</f>
      </c>
      <c r="E19" s="32">
        <f>'Opex'!E17</f>
      </c>
      <c r="F19" s="32">
        <f>'Opex'!F17</f>
      </c>
      <c r="G19" s="32">
        <f>'Opex'!G17</f>
      </c>
      <c r="H19" s="32">
        <f>'Opex'!H17</f>
      </c>
      <c r="I19" s="32">
        <f>'Opex'!I17</f>
      </c>
      <c r="J19" s="32">
        <f>'Opex'!J17</f>
      </c>
      <c r="K19" s="32">
        <f>'Opex'!K17</f>
      </c>
      <c r="L19" s="32">
        <f>'Opex'!L17</f>
      </c>
      <c r="M19" s="32">
        <f>'Opex'!M17</f>
      </c>
      <c r="N19" s="32">
        <f>'Opex'!N17</f>
      </c>
      <c r="O19" s="32">
        <f>'Opex'!O17</f>
      </c>
      <c r="P19" s="32">
        <f>'Opex'!P17</f>
      </c>
      <c r="Q19" s="32">
        <f>'Opex'!Q17</f>
      </c>
      <c r="R19" s="32">
        <f>'Opex'!R17</f>
      </c>
      <c r="S19" s="32">
        <f>'Opex'!S17</f>
      </c>
      <c r="T19" s="32">
        <f>'Opex'!T17</f>
      </c>
      <c r="U19" s="32">
        <f>'Opex'!U17</f>
      </c>
      <c r="V19" s="32">
        <f>'Opex'!V17</f>
      </c>
      <c r="W19" s="32">
        <f>'Opex'!W17</f>
      </c>
      <c r="X19" s="32">
        <f>'Opex'!X17</f>
      </c>
      <c r="Y19" s="32">
        <f>'Opex'!Y17</f>
      </c>
      <c r="Z19" s="32">
        <f>'Opex'!Z17</f>
      </c>
      <c r="AA19" s="32">
        <f>'Opex'!AA17</f>
      </c>
      <c r="AB19" s="32">
        <f>'Opex'!AB17</f>
      </c>
      <c r="AC19" s="32">
        <f>'Opex'!AC17</f>
      </c>
      <c r="AD19" s="32">
        <f>'Opex'!AD17</f>
      </c>
      <c r="AE19" s="32">
        <f>'Opex'!AE17</f>
      </c>
      <c r="AF19" s="32">
        <f>'Opex'!AF17</f>
      </c>
      <c r="AG19" s="32">
        <f>'Opex'!AG17</f>
      </c>
      <c r="AH19" s="32">
        <f>'Opex'!AH17</f>
      </c>
      <c r="AI19" s="32">
        <f>'Opex'!AI17</f>
      </c>
      <c r="AJ19" s="32">
        <f>'Opex'!AJ17</f>
      </c>
      <c r="AK19" s="32">
        <f>'Opex'!AK17</f>
      </c>
      <c r="AL19" s="32">
        <f>'Opex'!AL17</f>
      </c>
      <c r="AM19" s="32">
        <f>'Opex'!AM17</f>
      </c>
      <c r="AN19" s="32">
        <f>'Opex'!AN17</f>
      </c>
      <c r="AO19" s="32">
        <f>'Opex'!AO17</f>
      </c>
      <c r="AP19" s="32">
        <f>'Opex'!AP17</f>
      </c>
      <c r="AQ19" s="32">
        <f>'Opex'!AQ17</f>
      </c>
      <c r="AR19" s="32">
        <f>'Opex'!AR17</f>
      </c>
      <c r="AS19" s="32">
        <f>'Opex'!AS17</f>
      </c>
      <c r="AT19" s="32">
        <f>'Opex'!AT17</f>
      </c>
      <c r="AU19" s="32">
        <f>'Opex'!AU17</f>
      </c>
      <c r="AV19" s="32">
        <f>'Opex'!AV17</f>
      </c>
      <c r="AW19" s="32">
        <f>'Opex'!AW17</f>
      </c>
      <c r="AX19" s="32">
        <f>'Opex'!AX17</f>
      </c>
      <c r="AY19" s="32">
        <f>'Opex'!AY17</f>
      </c>
      <c r="AZ19" s="32">
        <f>'Opex'!AZ17</f>
      </c>
      <c r="BA19" s="32">
        <f>'Opex'!BA17</f>
      </c>
      <c r="BB19" s="32">
        <f>'Opex'!BB17</f>
      </c>
      <c r="BC19" s="32">
        <f>'Opex'!BC17</f>
      </c>
      <c r="BD19" s="32">
        <f>'Opex'!BD17</f>
      </c>
      <c r="BE19" s="32">
        <f>'Opex'!BE17</f>
      </c>
      <c r="BF19" s="32">
        <f>'Opex'!BF17</f>
      </c>
      <c r="BG19" s="32">
        <f>'Opex'!BG17</f>
      </c>
      <c r="BH19" s="32">
        <f>'Opex'!BH17</f>
      </c>
      <c r="BI19" s="32">
        <f>'Opex'!BI17</f>
      </c>
      <c r="BJ19" s="32">
        <f>'Opex'!BJ17</f>
      </c>
      <c r="BK19" s="32">
        <f>'Opex'!BK17</f>
      </c>
      <c r="BL19" s="32">
        <f>'Opex'!BL17</f>
      </c>
      <c r="BM19" s="32">
        <f>'Opex'!BM17</f>
      </c>
      <c r="BN19" s="32">
        <f>'Opex'!BN17</f>
      </c>
      <c r="BO19" s="32">
        <f>'Opex'!BO17</f>
      </c>
      <c r="BP19" s="32">
        <f>'Opex'!BP17</f>
      </c>
      <c r="BQ19" s="32">
        <f>'Opex'!BQ17</f>
      </c>
      <c r="BR19" s="32">
        <f>'Opex'!BR17</f>
      </c>
      <c r="BS19" s="32">
        <f>'Opex'!BS17</f>
      </c>
      <c r="BT19" s="32">
        <f>'Opex'!BT17</f>
      </c>
      <c r="BU19" s="32">
        <f>'Opex'!BU17</f>
      </c>
      <c r="BV19" s="32">
        <f>'Opex'!BV17</f>
      </c>
      <c r="BW19" s="32">
        <f>'Opex'!BW17</f>
      </c>
      <c r="BX19" s="32">
        <f>'Opex'!BX17</f>
      </c>
      <c r="BY19" s="32">
        <f>'Opex'!BY17</f>
      </c>
      <c r="BZ19" s="32">
        <f>'Opex'!BZ17</f>
      </c>
      <c r="CA19" s="32">
        <f>'Opex'!CA17</f>
      </c>
      <c r="CB19" s="32">
        <f>'Opex'!CB17</f>
      </c>
      <c r="CC19" s="32">
        <f>'Opex'!CC17</f>
      </c>
      <c r="CD19" s="32">
        <f>'Opex'!CD17</f>
      </c>
      <c r="CE19" s="32">
        <f>'Opex'!CE17</f>
      </c>
      <c r="CF19" s="32">
        <f>'Opex'!CF17</f>
      </c>
      <c r="CG19" s="32">
        <f>'Opex'!CG17</f>
      </c>
      <c r="CH19" s="32">
        <f>'Opex'!CH17</f>
      </c>
      <c r="CI19" s="32">
        <f>'Opex'!CI17</f>
      </c>
      <c r="CJ19" s="32">
        <f>'Opex'!CJ17</f>
      </c>
      <c r="CK19" s="32">
        <f>'Opex'!CK17</f>
      </c>
      <c r="CL19" s="32">
        <f>'Opex'!CL17</f>
      </c>
    </row>
    <row r="20" spans="2:90" x14ac:dyDescent="0.25">
      <c r="B20" s="28" t="s">
        <v>259</v>
      </c>
      <c r="C20" s="29" t="s">
        <v>205</v>
      </c>
      <c r="D20" s="32">
        <f>SUM(E20:CL20)</f>
      </c>
      <c r="E20" s="32">
        <f>'Opex'!E18</f>
      </c>
      <c r="F20" s="32">
        <f>'Opex'!F18</f>
      </c>
      <c r="G20" s="32">
        <f>'Opex'!G18</f>
      </c>
      <c r="H20" s="32">
        <f>'Opex'!H18</f>
      </c>
      <c r="I20" s="32">
        <f>'Opex'!I18</f>
      </c>
      <c r="J20" s="32">
        <f>'Opex'!J18</f>
      </c>
      <c r="K20" s="32">
        <f>'Opex'!K18</f>
      </c>
      <c r="L20" s="32">
        <f>'Opex'!L18</f>
      </c>
      <c r="M20" s="32">
        <f>'Opex'!M18</f>
      </c>
      <c r="N20" s="32">
        <f>'Opex'!N18</f>
      </c>
      <c r="O20" s="32">
        <f>'Opex'!O18</f>
      </c>
      <c r="P20" s="32">
        <f>'Opex'!P18</f>
      </c>
      <c r="Q20" s="32">
        <f>'Opex'!Q18</f>
      </c>
      <c r="R20" s="32">
        <f>'Opex'!R18</f>
      </c>
      <c r="S20" s="32">
        <f>'Opex'!S18</f>
      </c>
      <c r="T20" s="32">
        <f>'Opex'!T18</f>
      </c>
      <c r="U20" s="32">
        <f>'Opex'!U18</f>
      </c>
      <c r="V20" s="32">
        <f>'Opex'!V18</f>
      </c>
      <c r="W20" s="32">
        <f>'Opex'!W18</f>
      </c>
      <c r="X20" s="32">
        <f>'Opex'!X18</f>
      </c>
      <c r="Y20" s="32">
        <f>'Opex'!Y18</f>
      </c>
      <c r="Z20" s="32">
        <f>'Opex'!Z18</f>
      </c>
      <c r="AA20" s="32">
        <f>'Opex'!AA18</f>
      </c>
      <c r="AB20" s="32">
        <f>'Opex'!AB18</f>
      </c>
      <c r="AC20" s="32">
        <f>'Opex'!AC18</f>
      </c>
      <c r="AD20" s="32">
        <f>'Opex'!AD18</f>
      </c>
      <c r="AE20" s="32">
        <f>'Opex'!AE18</f>
      </c>
      <c r="AF20" s="32">
        <f>'Opex'!AF18</f>
      </c>
      <c r="AG20" s="32">
        <f>'Opex'!AG18</f>
      </c>
      <c r="AH20" s="32">
        <f>'Opex'!AH18</f>
      </c>
      <c r="AI20" s="32">
        <f>'Opex'!AI18</f>
      </c>
      <c r="AJ20" s="32">
        <f>'Opex'!AJ18</f>
      </c>
      <c r="AK20" s="32">
        <f>'Opex'!AK18</f>
      </c>
      <c r="AL20" s="32">
        <f>'Opex'!AL18</f>
      </c>
      <c r="AM20" s="32">
        <f>'Opex'!AM18</f>
      </c>
      <c r="AN20" s="32">
        <f>'Opex'!AN18</f>
      </c>
      <c r="AO20" s="32">
        <f>'Opex'!AO18</f>
      </c>
      <c r="AP20" s="32">
        <f>'Opex'!AP18</f>
      </c>
      <c r="AQ20" s="32">
        <f>'Opex'!AQ18</f>
      </c>
      <c r="AR20" s="32">
        <f>'Opex'!AR18</f>
      </c>
      <c r="AS20" s="32">
        <f>'Opex'!AS18</f>
      </c>
      <c r="AT20" s="32">
        <f>'Opex'!AT18</f>
      </c>
      <c r="AU20" s="32">
        <f>'Opex'!AU18</f>
      </c>
      <c r="AV20" s="32">
        <f>'Opex'!AV18</f>
      </c>
      <c r="AW20" s="32">
        <f>'Opex'!AW18</f>
      </c>
      <c r="AX20" s="32">
        <f>'Opex'!AX18</f>
      </c>
      <c r="AY20" s="32">
        <f>'Opex'!AY18</f>
      </c>
      <c r="AZ20" s="32">
        <f>'Opex'!AZ18</f>
      </c>
      <c r="BA20" s="32">
        <f>'Opex'!BA18</f>
      </c>
      <c r="BB20" s="32">
        <f>'Opex'!BB18</f>
      </c>
      <c r="BC20" s="32">
        <f>'Opex'!BC18</f>
      </c>
      <c r="BD20" s="32">
        <f>'Opex'!BD18</f>
      </c>
      <c r="BE20" s="32">
        <f>'Opex'!BE18</f>
      </c>
      <c r="BF20" s="32">
        <f>'Opex'!BF18</f>
      </c>
      <c r="BG20" s="32">
        <f>'Opex'!BG18</f>
      </c>
      <c r="BH20" s="32">
        <f>'Opex'!BH18</f>
      </c>
      <c r="BI20" s="32">
        <f>'Opex'!BI18</f>
      </c>
      <c r="BJ20" s="32">
        <f>'Opex'!BJ18</f>
      </c>
      <c r="BK20" s="32">
        <f>'Opex'!BK18</f>
      </c>
      <c r="BL20" s="32">
        <f>'Opex'!BL18</f>
      </c>
      <c r="BM20" s="32">
        <f>'Opex'!BM18</f>
      </c>
      <c r="BN20" s="32">
        <f>'Opex'!BN18</f>
      </c>
      <c r="BO20" s="32">
        <f>'Opex'!BO18</f>
      </c>
      <c r="BP20" s="32">
        <f>'Opex'!BP18</f>
      </c>
      <c r="BQ20" s="32">
        <f>'Opex'!BQ18</f>
      </c>
      <c r="BR20" s="32">
        <f>'Opex'!BR18</f>
      </c>
      <c r="BS20" s="32">
        <f>'Opex'!BS18</f>
      </c>
      <c r="BT20" s="32">
        <f>'Opex'!BT18</f>
      </c>
      <c r="BU20" s="32">
        <f>'Opex'!BU18</f>
      </c>
      <c r="BV20" s="32">
        <f>'Opex'!BV18</f>
      </c>
      <c r="BW20" s="32">
        <f>'Opex'!BW18</f>
      </c>
      <c r="BX20" s="32">
        <f>'Opex'!BX18</f>
      </c>
      <c r="BY20" s="32">
        <f>'Opex'!BY18</f>
      </c>
      <c r="BZ20" s="32">
        <f>'Opex'!BZ18</f>
      </c>
      <c r="CA20" s="32">
        <f>'Opex'!CA18</f>
      </c>
      <c r="CB20" s="32">
        <f>'Opex'!CB18</f>
      </c>
      <c r="CC20" s="32">
        <f>'Opex'!CC18</f>
      </c>
      <c r="CD20" s="32">
        <f>'Opex'!CD18</f>
      </c>
      <c r="CE20" s="32">
        <f>'Opex'!CE18</f>
      </c>
      <c r="CF20" s="32">
        <f>'Opex'!CF18</f>
      </c>
      <c r="CG20" s="32">
        <f>'Opex'!CG18</f>
      </c>
      <c r="CH20" s="32">
        <f>'Opex'!CH18</f>
      </c>
      <c r="CI20" s="32">
        <f>'Opex'!CI18</f>
      </c>
      <c r="CJ20" s="32">
        <f>'Opex'!CJ18</f>
      </c>
      <c r="CK20" s="32">
        <f>'Opex'!CK18</f>
      </c>
      <c r="CL20" s="32">
        <f>'Opex'!CL18</f>
      </c>
    </row>
    <row r="21" spans="2:90" x14ac:dyDescent="0.25">
      <c r="B21" s="28" t="s">
        <v>260</v>
      </c>
      <c r="C21" s="29" t="s">
        <v>205</v>
      </c>
      <c r="D21" s="32">
        <f>SUM(E21:CL21)</f>
      </c>
      <c r="E21" s="32">
        <f>'Opex'!E19</f>
      </c>
      <c r="F21" s="32">
        <f>'Opex'!F19</f>
      </c>
      <c r="G21" s="32">
        <f>'Opex'!G19</f>
      </c>
      <c r="H21" s="32">
        <f>'Opex'!H19</f>
      </c>
      <c r="I21" s="32">
        <f>'Opex'!I19</f>
      </c>
      <c r="J21" s="32">
        <f>'Opex'!J19</f>
      </c>
      <c r="K21" s="32">
        <f>'Opex'!K19</f>
      </c>
      <c r="L21" s="32">
        <f>'Opex'!L19</f>
      </c>
      <c r="M21" s="32">
        <f>'Opex'!M19</f>
      </c>
      <c r="N21" s="32">
        <f>'Opex'!N19</f>
      </c>
      <c r="O21" s="32">
        <f>'Opex'!O19</f>
      </c>
      <c r="P21" s="32">
        <f>'Opex'!P19</f>
      </c>
      <c r="Q21" s="32">
        <f>'Opex'!Q19</f>
      </c>
      <c r="R21" s="32">
        <f>'Opex'!R19</f>
      </c>
      <c r="S21" s="32">
        <f>'Opex'!S19</f>
      </c>
      <c r="T21" s="32">
        <f>'Opex'!T19</f>
      </c>
      <c r="U21" s="32">
        <f>'Opex'!U19</f>
      </c>
      <c r="V21" s="32">
        <f>'Opex'!V19</f>
      </c>
      <c r="W21" s="32">
        <f>'Opex'!W19</f>
      </c>
      <c r="X21" s="32">
        <f>'Opex'!X19</f>
      </c>
      <c r="Y21" s="32">
        <f>'Opex'!Y19</f>
      </c>
      <c r="Z21" s="32">
        <f>'Opex'!Z19</f>
      </c>
      <c r="AA21" s="32">
        <f>'Opex'!AA19</f>
      </c>
      <c r="AB21" s="32">
        <f>'Opex'!AB19</f>
      </c>
      <c r="AC21" s="32">
        <f>'Opex'!AC19</f>
      </c>
      <c r="AD21" s="32">
        <f>'Opex'!AD19</f>
      </c>
      <c r="AE21" s="32">
        <f>'Opex'!AE19</f>
      </c>
      <c r="AF21" s="32">
        <f>'Opex'!AF19</f>
      </c>
      <c r="AG21" s="32">
        <f>'Opex'!AG19</f>
      </c>
      <c r="AH21" s="32">
        <f>'Opex'!AH19</f>
      </c>
      <c r="AI21" s="32">
        <f>'Opex'!AI19</f>
      </c>
      <c r="AJ21" s="32">
        <f>'Opex'!AJ19</f>
      </c>
      <c r="AK21" s="32">
        <f>'Opex'!AK19</f>
      </c>
      <c r="AL21" s="32">
        <f>'Opex'!AL19</f>
      </c>
      <c r="AM21" s="32">
        <f>'Opex'!AM19</f>
      </c>
      <c r="AN21" s="32">
        <f>'Opex'!AN19</f>
      </c>
      <c r="AO21" s="32">
        <f>'Opex'!AO19</f>
      </c>
      <c r="AP21" s="32">
        <f>'Opex'!AP19</f>
      </c>
      <c r="AQ21" s="32">
        <f>'Opex'!AQ19</f>
      </c>
      <c r="AR21" s="32">
        <f>'Opex'!AR19</f>
      </c>
      <c r="AS21" s="32">
        <f>'Opex'!AS19</f>
      </c>
      <c r="AT21" s="32">
        <f>'Opex'!AT19</f>
      </c>
      <c r="AU21" s="32">
        <f>'Opex'!AU19</f>
      </c>
      <c r="AV21" s="32">
        <f>'Opex'!AV19</f>
      </c>
      <c r="AW21" s="32">
        <f>'Opex'!AW19</f>
      </c>
      <c r="AX21" s="32">
        <f>'Opex'!AX19</f>
      </c>
      <c r="AY21" s="32">
        <f>'Opex'!AY19</f>
      </c>
      <c r="AZ21" s="32">
        <f>'Opex'!AZ19</f>
      </c>
      <c r="BA21" s="32">
        <f>'Opex'!BA19</f>
      </c>
      <c r="BB21" s="32">
        <f>'Opex'!BB19</f>
      </c>
      <c r="BC21" s="32">
        <f>'Opex'!BC19</f>
      </c>
      <c r="BD21" s="32">
        <f>'Opex'!BD19</f>
      </c>
      <c r="BE21" s="32">
        <f>'Opex'!BE19</f>
      </c>
      <c r="BF21" s="32">
        <f>'Opex'!BF19</f>
      </c>
      <c r="BG21" s="32">
        <f>'Opex'!BG19</f>
      </c>
      <c r="BH21" s="32">
        <f>'Opex'!BH19</f>
      </c>
      <c r="BI21" s="32">
        <f>'Opex'!BI19</f>
      </c>
      <c r="BJ21" s="32">
        <f>'Opex'!BJ19</f>
      </c>
      <c r="BK21" s="32">
        <f>'Opex'!BK19</f>
      </c>
      <c r="BL21" s="32">
        <f>'Opex'!BL19</f>
      </c>
      <c r="BM21" s="32">
        <f>'Opex'!BM19</f>
      </c>
      <c r="BN21" s="32">
        <f>'Opex'!BN19</f>
      </c>
      <c r="BO21" s="32">
        <f>'Opex'!BO19</f>
      </c>
      <c r="BP21" s="32">
        <f>'Opex'!BP19</f>
      </c>
      <c r="BQ21" s="32">
        <f>'Opex'!BQ19</f>
      </c>
      <c r="BR21" s="32">
        <f>'Opex'!BR19</f>
      </c>
      <c r="BS21" s="32">
        <f>'Opex'!BS19</f>
      </c>
      <c r="BT21" s="32">
        <f>'Opex'!BT19</f>
      </c>
      <c r="BU21" s="32">
        <f>'Opex'!BU19</f>
      </c>
      <c r="BV21" s="32">
        <f>'Opex'!BV19</f>
      </c>
      <c r="BW21" s="32">
        <f>'Opex'!BW19</f>
      </c>
      <c r="BX21" s="32">
        <f>'Opex'!BX19</f>
      </c>
      <c r="BY21" s="32">
        <f>'Opex'!BY19</f>
      </c>
      <c r="BZ21" s="32">
        <f>'Opex'!BZ19</f>
      </c>
      <c r="CA21" s="32">
        <f>'Opex'!CA19</f>
      </c>
      <c r="CB21" s="32">
        <f>'Opex'!CB19</f>
      </c>
      <c r="CC21" s="32">
        <f>'Opex'!CC19</f>
      </c>
      <c r="CD21" s="32">
        <f>'Opex'!CD19</f>
      </c>
      <c r="CE21" s="32">
        <f>'Opex'!CE19</f>
      </c>
      <c r="CF21" s="32">
        <f>'Opex'!CF19</f>
      </c>
      <c r="CG21" s="32">
        <f>'Opex'!CG19</f>
      </c>
      <c r="CH21" s="32">
        <f>'Opex'!CH19</f>
      </c>
      <c r="CI21" s="32">
        <f>'Opex'!CI19</f>
      </c>
      <c r="CJ21" s="32">
        <f>'Opex'!CJ19</f>
      </c>
      <c r="CK21" s="32">
        <f>'Opex'!CK19</f>
      </c>
      <c r="CL21" s="32">
        <f>'Opex'!CL19</f>
      </c>
    </row>
    <row r="22" spans="2:90" x14ac:dyDescent="0.25">
      <c r="B22" s="28" t="s">
        <v>261</v>
      </c>
      <c r="C22" s="29" t="s">
        <v>205</v>
      </c>
      <c r="D22" s="32">
        <f>SUM(E22:CL22)</f>
      </c>
      <c r="E22" s="32">
        <f>'Opex'!E20</f>
      </c>
      <c r="F22" s="32">
        <f>'Opex'!F20</f>
      </c>
      <c r="G22" s="32">
        <f>'Opex'!G20</f>
      </c>
      <c r="H22" s="32">
        <f>'Opex'!H20</f>
      </c>
      <c r="I22" s="32">
        <f>'Opex'!I20</f>
      </c>
      <c r="J22" s="32">
        <f>'Opex'!J20</f>
      </c>
      <c r="K22" s="32">
        <f>'Opex'!K20</f>
      </c>
      <c r="L22" s="32">
        <f>'Opex'!L20</f>
      </c>
      <c r="M22" s="32">
        <f>'Opex'!M20</f>
      </c>
      <c r="N22" s="32">
        <f>'Opex'!N20</f>
      </c>
      <c r="O22" s="32">
        <f>'Opex'!O20</f>
      </c>
      <c r="P22" s="32">
        <f>'Opex'!P20</f>
      </c>
      <c r="Q22" s="32">
        <f>'Opex'!Q20</f>
      </c>
      <c r="R22" s="32">
        <f>'Opex'!R20</f>
      </c>
      <c r="S22" s="32">
        <f>'Opex'!S20</f>
      </c>
      <c r="T22" s="32">
        <f>'Opex'!T20</f>
      </c>
      <c r="U22" s="32">
        <f>'Opex'!U20</f>
      </c>
      <c r="V22" s="32">
        <f>'Opex'!V20</f>
      </c>
      <c r="W22" s="32">
        <f>'Opex'!W20</f>
      </c>
      <c r="X22" s="32">
        <f>'Opex'!X20</f>
      </c>
      <c r="Y22" s="32">
        <f>'Opex'!Y20</f>
      </c>
      <c r="Z22" s="32">
        <f>'Opex'!Z20</f>
      </c>
      <c r="AA22" s="32">
        <f>'Opex'!AA20</f>
      </c>
      <c r="AB22" s="32">
        <f>'Opex'!AB20</f>
      </c>
      <c r="AC22" s="32">
        <f>'Opex'!AC20</f>
      </c>
      <c r="AD22" s="32">
        <f>'Opex'!AD20</f>
      </c>
      <c r="AE22" s="32">
        <f>'Opex'!AE20</f>
      </c>
      <c r="AF22" s="32">
        <f>'Opex'!AF20</f>
      </c>
      <c r="AG22" s="32">
        <f>'Opex'!AG20</f>
      </c>
      <c r="AH22" s="32">
        <f>'Opex'!AH20</f>
      </c>
      <c r="AI22" s="32">
        <f>'Opex'!AI20</f>
      </c>
      <c r="AJ22" s="32">
        <f>'Opex'!AJ20</f>
      </c>
      <c r="AK22" s="32">
        <f>'Opex'!AK20</f>
      </c>
      <c r="AL22" s="32">
        <f>'Opex'!AL20</f>
      </c>
      <c r="AM22" s="32">
        <f>'Opex'!AM20</f>
      </c>
      <c r="AN22" s="32">
        <f>'Opex'!AN20</f>
      </c>
      <c r="AO22" s="32">
        <f>'Opex'!AO20</f>
      </c>
      <c r="AP22" s="32">
        <f>'Opex'!AP20</f>
      </c>
      <c r="AQ22" s="32">
        <f>'Opex'!AQ20</f>
      </c>
      <c r="AR22" s="32">
        <f>'Opex'!AR20</f>
      </c>
      <c r="AS22" s="32">
        <f>'Opex'!AS20</f>
      </c>
      <c r="AT22" s="32">
        <f>'Opex'!AT20</f>
      </c>
      <c r="AU22" s="32">
        <f>'Opex'!AU20</f>
      </c>
      <c r="AV22" s="32">
        <f>'Opex'!AV20</f>
      </c>
      <c r="AW22" s="32">
        <f>'Opex'!AW20</f>
      </c>
      <c r="AX22" s="32">
        <f>'Opex'!AX20</f>
      </c>
      <c r="AY22" s="32">
        <f>'Opex'!AY20</f>
      </c>
      <c r="AZ22" s="32">
        <f>'Opex'!AZ20</f>
      </c>
      <c r="BA22" s="32">
        <f>'Opex'!BA20</f>
      </c>
      <c r="BB22" s="32">
        <f>'Opex'!BB20</f>
      </c>
      <c r="BC22" s="32">
        <f>'Opex'!BC20</f>
      </c>
      <c r="BD22" s="32">
        <f>'Opex'!BD20</f>
      </c>
      <c r="BE22" s="32">
        <f>'Opex'!BE20</f>
      </c>
      <c r="BF22" s="32">
        <f>'Opex'!BF20</f>
      </c>
      <c r="BG22" s="32">
        <f>'Opex'!BG20</f>
      </c>
      <c r="BH22" s="32">
        <f>'Opex'!BH20</f>
      </c>
      <c r="BI22" s="32">
        <f>'Opex'!BI20</f>
      </c>
      <c r="BJ22" s="32">
        <f>'Opex'!BJ20</f>
      </c>
      <c r="BK22" s="32">
        <f>'Opex'!BK20</f>
      </c>
      <c r="BL22" s="32">
        <f>'Opex'!BL20</f>
      </c>
      <c r="BM22" s="32">
        <f>'Opex'!BM20</f>
      </c>
      <c r="BN22" s="32">
        <f>'Opex'!BN20</f>
      </c>
      <c r="BO22" s="32">
        <f>'Opex'!BO20</f>
      </c>
      <c r="BP22" s="32">
        <f>'Opex'!BP20</f>
      </c>
      <c r="BQ22" s="32">
        <f>'Opex'!BQ20</f>
      </c>
      <c r="BR22" s="32">
        <f>'Opex'!BR20</f>
      </c>
      <c r="BS22" s="32">
        <f>'Opex'!BS20</f>
      </c>
      <c r="BT22" s="32">
        <f>'Opex'!BT20</f>
      </c>
      <c r="BU22" s="32">
        <f>'Opex'!BU20</f>
      </c>
      <c r="BV22" s="32">
        <f>'Opex'!BV20</f>
      </c>
      <c r="BW22" s="32">
        <f>'Opex'!BW20</f>
      </c>
      <c r="BX22" s="32">
        <f>'Opex'!BX20</f>
      </c>
      <c r="BY22" s="32">
        <f>'Opex'!BY20</f>
      </c>
      <c r="BZ22" s="32">
        <f>'Opex'!BZ20</f>
      </c>
      <c r="CA22" s="32">
        <f>'Opex'!CA20</f>
      </c>
      <c r="CB22" s="32">
        <f>'Opex'!CB20</f>
      </c>
      <c r="CC22" s="32">
        <f>'Opex'!CC20</f>
      </c>
      <c r="CD22" s="32">
        <f>'Opex'!CD20</f>
      </c>
      <c r="CE22" s="32">
        <f>'Opex'!CE20</f>
      </c>
      <c r="CF22" s="32">
        <f>'Opex'!CF20</f>
      </c>
      <c r="CG22" s="32">
        <f>'Opex'!CG20</f>
      </c>
      <c r="CH22" s="32">
        <f>'Opex'!CH20</f>
      </c>
      <c r="CI22" s="32">
        <f>'Opex'!CI20</f>
      </c>
      <c r="CJ22" s="32">
        <f>'Opex'!CJ20</f>
      </c>
      <c r="CK22" s="32">
        <f>'Opex'!CK20</f>
      </c>
      <c r="CL22" s="32">
        <f>'Opex'!CL20</f>
      </c>
    </row>
    <row r="23" spans="2:90" x14ac:dyDescent="0.25">
      <c r="B23" s="42" t="s">
        <v>264</v>
      </c>
      <c r="C23" s="29" t="s">
        <v>205</v>
      </c>
      <c r="D23" s="14">
        <f>SUM(E23:CL23)</f>
      </c>
      <c r="E23" s="14">
        <f>-'Opex'!E24</f>
      </c>
      <c r="F23" s="14">
        <f>-'Opex'!F24</f>
      </c>
      <c r="G23" s="14">
        <f>-'Opex'!G24</f>
      </c>
      <c r="H23" s="14">
        <f>-'Opex'!H24</f>
      </c>
      <c r="I23" s="14">
        <f>-'Opex'!I24</f>
      </c>
      <c r="J23" s="14">
        <f>-'Opex'!J24</f>
      </c>
      <c r="K23" s="14">
        <f>-'Opex'!K24</f>
      </c>
      <c r="L23" s="14">
        <f>-'Opex'!L24</f>
      </c>
      <c r="M23" s="14">
        <f>-'Opex'!M24</f>
      </c>
      <c r="N23" s="14">
        <f>-'Opex'!N24</f>
      </c>
      <c r="O23" s="14">
        <f>-'Opex'!O24</f>
      </c>
      <c r="P23" s="14">
        <f>-'Opex'!P24</f>
      </c>
      <c r="Q23" s="14">
        <f>-'Opex'!Q24</f>
      </c>
      <c r="R23" s="14">
        <f>-'Opex'!R24</f>
      </c>
      <c r="S23" s="14">
        <f>-'Opex'!S24</f>
      </c>
      <c r="T23" s="14">
        <f>-'Opex'!T24</f>
      </c>
      <c r="U23" s="14">
        <f>-'Opex'!U24</f>
      </c>
      <c r="V23" s="14">
        <f>-'Opex'!V24</f>
      </c>
      <c r="W23" s="14">
        <f>-'Opex'!W24</f>
      </c>
      <c r="X23" s="14">
        <f>-'Opex'!X24</f>
      </c>
      <c r="Y23" s="14">
        <f>-'Opex'!Y24</f>
      </c>
      <c r="Z23" s="14">
        <f>-'Opex'!Z24</f>
      </c>
      <c r="AA23" s="14">
        <f>-'Opex'!AA24</f>
      </c>
      <c r="AB23" s="14">
        <f>-'Opex'!AB24</f>
      </c>
      <c r="AC23" s="14">
        <f>-'Opex'!AC24</f>
      </c>
      <c r="AD23" s="14">
        <f>-'Opex'!AD24</f>
      </c>
      <c r="AE23" s="14">
        <f>-'Opex'!AE24</f>
      </c>
      <c r="AF23" s="14">
        <f>-'Opex'!AF24</f>
      </c>
      <c r="AG23" s="14">
        <f>-'Opex'!AG24</f>
      </c>
      <c r="AH23" s="14">
        <f>-'Opex'!AH24</f>
      </c>
      <c r="AI23" s="14">
        <f>-'Opex'!AI24</f>
      </c>
      <c r="AJ23" s="14">
        <f>-'Opex'!AJ24</f>
      </c>
      <c r="AK23" s="14">
        <f>-'Opex'!AK24</f>
      </c>
      <c r="AL23" s="14">
        <f>-'Opex'!AL24</f>
      </c>
      <c r="AM23" s="14">
        <f>-'Opex'!AM24</f>
      </c>
      <c r="AN23" s="14">
        <f>-'Opex'!AN24</f>
      </c>
      <c r="AO23" s="14">
        <f>-'Opex'!AO24</f>
      </c>
      <c r="AP23" s="14">
        <f>-'Opex'!AP24</f>
      </c>
      <c r="AQ23" s="14">
        <f>-'Opex'!AQ24</f>
      </c>
      <c r="AR23" s="14">
        <f>-'Opex'!AR24</f>
      </c>
      <c r="AS23" s="14">
        <f>-'Opex'!AS24</f>
      </c>
      <c r="AT23" s="14">
        <f>-'Opex'!AT24</f>
      </c>
      <c r="AU23" s="14">
        <f>-'Opex'!AU24</f>
      </c>
      <c r="AV23" s="14">
        <f>-'Opex'!AV24</f>
      </c>
      <c r="AW23" s="14">
        <f>-'Opex'!AW24</f>
      </c>
      <c r="AX23" s="14">
        <f>-'Opex'!AX24</f>
      </c>
      <c r="AY23" s="14">
        <f>-'Opex'!AY24</f>
      </c>
      <c r="AZ23" s="14">
        <f>-'Opex'!AZ24</f>
      </c>
      <c r="BA23" s="14">
        <f>-'Opex'!BA24</f>
      </c>
      <c r="BB23" s="14">
        <f>-'Opex'!BB24</f>
      </c>
      <c r="BC23" s="14">
        <f>-'Opex'!BC24</f>
      </c>
      <c r="BD23" s="14">
        <f>-'Opex'!BD24</f>
      </c>
      <c r="BE23" s="14">
        <f>-'Opex'!BE24</f>
      </c>
      <c r="BF23" s="14">
        <f>-'Opex'!BF24</f>
      </c>
      <c r="BG23" s="14">
        <f>-'Opex'!BG24</f>
      </c>
      <c r="BH23" s="14">
        <f>-'Opex'!BH24</f>
      </c>
      <c r="BI23" s="14">
        <f>-'Opex'!BI24</f>
      </c>
      <c r="BJ23" s="14">
        <f>-'Opex'!BJ24</f>
      </c>
      <c r="BK23" s="14">
        <f>-'Opex'!BK24</f>
      </c>
      <c r="BL23" s="14">
        <f>-'Opex'!BL24</f>
      </c>
      <c r="BM23" s="14">
        <f>-'Opex'!BM24</f>
      </c>
      <c r="BN23" s="14">
        <f>-'Opex'!BN24</f>
      </c>
      <c r="BO23" s="14">
        <f>-'Opex'!BO24</f>
      </c>
      <c r="BP23" s="14">
        <f>-'Opex'!BP24</f>
      </c>
      <c r="BQ23" s="14">
        <f>-'Opex'!BQ24</f>
      </c>
      <c r="BR23" s="14">
        <f>-'Opex'!BR24</f>
      </c>
      <c r="BS23" s="14">
        <f>-'Opex'!BS24</f>
      </c>
      <c r="BT23" s="14">
        <f>-'Opex'!BT24</f>
      </c>
      <c r="BU23" s="14">
        <f>-'Opex'!BU24</f>
      </c>
      <c r="BV23" s="14">
        <f>-'Opex'!BV24</f>
      </c>
      <c r="BW23" s="14">
        <f>-'Opex'!BW24</f>
      </c>
      <c r="BX23" s="14">
        <f>-'Opex'!BX24</f>
      </c>
      <c r="BY23" s="14">
        <f>-'Opex'!BY24</f>
      </c>
      <c r="BZ23" s="14">
        <f>-'Opex'!BZ24</f>
      </c>
      <c r="CA23" s="14">
        <f>-'Opex'!CA24</f>
      </c>
      <c r="CB23" s="14">
        <f>-'Opex'!CB24</f>
      </c>
      <c r="CC23" s="14">
        <f>-'Opex'!CC24</f>
      </c>
      <c r="CD23" s="14">
        <f>-'Opex'!CD24</f>
      </c>
      <c r="CE23" s="14">
        <f>-'Opex'!CE24</f>
      </c>
      <c r="CF23" s="14">
        <f>-'Opex'!CF24</f>
      </c>
      <c r="CG23" s="14">
        <f>-'Opex'!CG24</f>
      </c>
      <c r="CH23" s="14">
        <f>-'Opex'!CH24</f>
      </c>
      <c r="CI23" s="14">
        <f>-'Opex'!CI24</f>
      </c>
      <c r="CJ23" s="14">
        <f>-'Opex'!CJ24</f>
      </c>
      <c r="CK23" s="14">
        <f>-'Opex'!CK24</f>
      </c>
      <c r="CL23" s="14">
        <f>-'Opex'!CL24</f>
      </c>
    </row>
    <row r="25" spans="2:91" x14ac:dyDescent="0.25">
      <c r="B25" s="40" t="s">
        <v>269</v>
      </c>
      <c r="C25" s="44" t="s">
        <v>205</v>
      </c>
      <c r="D25" s="39">
        <f>SUM(E25:CL25)</f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3999.0322816631174</v>
      </c>
      <c r="L25" s="39">
        <v>4105.424107007454</v>
      </c>
      <c r="M25" s="39">
        <v>4529.796201552685</v>
      </c>
      <c r="N25" s="39">
        <v>3684.1124786438836</v>
      </c>
      <c r="O25" s="39">
        <v>3965.687120254802</v>
      </c>
      <c r="P25" s="39">
        <v>4071.5469864724155</v>
      </c>
      <c r="Q25" s="39">
        <v>4488.897220544921</v>
      </c>
      <c r="R25" s="39">
        <v>3652.3419162506657</v>
      </c>
      <c r="S25" s="39">
        <v>3932.202583846486</v>
      </c>
      <c r="T25" s="39">
        <v>4037.5304909373776</v>
      </c>
      <c r="U25" s="39">
        <v>4447.858864537158</v>
      </c>
      <c r="V25" s="39">
        <v>3620.4319788574453</v>
      </c>
      <c r="W25" s="39">
        <v>3906.076306813171</v>
      </c>
      <c r="X25" s="39">
        <v>4010.8722547773414</v>
      </c>
      <c r="Y25" s="39">
        <v>4414.178767904395</v>
      </c>
      <c r="Z25" s="39">
        <v>3595.880300839226</v>
      </c>
      <c r="AA25" s="39">
        <v>3872.305882545482</v>
      </c>
      <c r="AB25" s="39">
        <v>3976.569871382929</v>
      </c>
      <c r="AC25" s="39">
        <v>4372.854524037257</v>
      </c>
      <c r="AD25" s="39">
        <v>3563.6844755866327</v>
      </c>
      <c r="AE25" s="39">
        <v>3843.3888627249003</v>
      </c>
      <c r="AF25" s="39">
        <v>3947.120892435627</v>
      </c>
      <c r="AG25" s="39">
        <v>4336.383684617229</v>
      </c>
      <c r="AH25" s="39">
        <v>3536.3420547811475</v>
      </c>
      <c r="AI25" s="39">
        <v>3809.3227565859347</v>
      </c>
      <c r="AJ25" s="39">
        <v>3912.5228271699393</v>
      </c>
      <c r="AK25" s="39">
        <v>4294.763758878815</v>
      </c>
      <c r="AL25" s="39">
        <v>3503.850547657278</v>
      </c>
      <c r="AM25" s="39">
        <v>3775.105030164965</v>
      </c>
      <c r="AN25" s="39">
        <v>3877.77314162225</v>
      </c>
      <c r="AO25" s="39">
        <v>4252.9922128583985</v>
      </c>
      <c r="AP25" s="39">
        <v>3471.2074202514063</v>
      </c>
      <c r="AQ25" s="39">
        <v>3740.7331055355407</v>
      </c>
      <c r="AR25" s="39">
        <v>3842.8692578661035</v>
      </c>
      <c r="AS25" s="39">
        <v>4211.066468629527</v>
      </c>
      <c r="AT25" s="39">
        <v>3438.4100946370763</v>
      </c>
      <c r="AU25" s="39">
        <v>3706.204360029872</v>
      </c>
      <c r="AV25" s="39">
        <v>3807.8085532337127</v>
      </c>
      <c r="AW25" s="39">
        <v>4168.983903524408</v>
      </c>
      <c r="AX25" s="39">
        <v>3405.4559481465044</v>
      </c>
      <c r="AY25" s="39">
        <v>3671.516125446252</v>
      </c>
      <c r="AZ25" s="39">
        <v>3772.5883595233704</v>
      </c>
      <c r="BA25" s="39">
        <v>4126.741849341342</v>
      </c>
      <c r="BB25" s="39">
        <v>3372.3423125779805</v>
      </c>
      <c r="BC25" s="39">
        <v>3636.665687242184</v>
      </c>
      <c r="BD25" s="39">
        <v>3737.205962192581</v>
      </c>
      <c r="BE25" s="39">
        <v>4084.3375915378256</v>
      </c>
      <c r="BF25" s="39">
        <v>3339.066473389009</v>
      </c>
      <c r="BG25" s="39">
        <v>3601.6502837129055</v>
      </c>
      <c r="BH25" s="39">
        <v>3701.6585995365813</v>
      </c>
      <c r="BI25" s="39">
        <v>4041.768368409099</v>
      </c>
      <c r="BJ25" s="39">
        <v>3305.625668874826</v>
      </c>
      <c r="BK25" s="39">
        <v>3566.4671051550727</v>
      </c>
      <c r="BL25" s="39">
        <v>3665.9434618520263</v>
      </c>
      <c r="BM25" s="39">
        <v>3999.0313702518197</v>
      </c>
      <c r="BN25" s="39">
        <v>3272.017089332089</v>
      </c>
      <c r="BO25" s="39">
        <v>3531.11329301532</v>
      </c>
      <c r="BP25" s="39">
        <v>3630.057690585553</v>
      </c>
      <c r="BQ25" s="39">
        <v>3956.123738512618</v>
      </c>
      <c r="BR25" s="39">
        <v>3238.237876207433</v>
      </c>
      <c r="BS25" s="39">
        <v>3495.585939023428</v>
      </c>
      <c r="BT25" s="39">
        <v>3593.998377466939</v>
      </c>
      <c r="BU25" s="39">
        <v>3913.042564921278</v>
      </c>
      <c r="BV25" s="39">
        <v>3204.285121230637</v>
      </c>
      <c r="BW25" s="39">
        <v>3459.88208430979</v>
      </c>
      <c r="BX25" s="39">
        <v>3557.7625636265784</v>
      </c>
      <c r="BY25" s="39">
        <v>3869.7848906081927</v>
      </c>
      <c r="BZ25" s="39">
        <v>3170.155865532096</v>
      </c>
      <c r="CA25" s="39">
        <v>3423.9987185069203</v>
      </c>
      <c r="CB25" s="39">
        <v>3521.347238696989</v>
      </c>
      <c r="CC25" s="39">
        <v>3826.3477052058756</v>
      </c>
      <c r="CD25" s="39">
        <v>3135.8470987443216</v>
      </c>
      <c r="CE25" s="39">
        <v>3387.932778834688</v>
      </c>
      <c r="CF25" s="39">
        <v>3484.749339898033</v>
      </c>
      <c r="CG25" s="39">
        <v>3782.727945934195</v>
      </c>
      <c r="CH25" s="39">
        <v>3101.3557580871857</v>
      </c>
      <c r="CI25" s="39">
        <v>3351.681149168984</v>
      </c>
      <c r="CJ25" s="39">
        <v>3447.965751105607</v>
      </c>
      <c r="CK25" s="39">
        <v>4228.922496669042</v>
      </c>
      <c r="CL25" s="39">
        <v>3066.678727436577</v>
      </c>
      <c r="CM25" s="41"/>
    </row>
    <row r="26" spans="2:90" x14ac:dyDescent="0.25">
      <c r="B26" s="28" t="s">
        <v>270</v>
      </c>
      <c r="C26" s="29" t="s">
        <v>271</v>
      </c>
      <c r="E26" s="35"/>
      <c r="F26" s="35"/>
      <c r="G26" s="35"/>
      <c r="H26" s="35"/>
      <c r="I26" s="35"/>
      <c r="J26" s="35"/>
      <c r="K26" s="35">
        <v>0.7999169466409959</v>
      </c>
      <c r="L26" s="35">
        <v>0.8040685422003435</v>
      </c>
      <c r="M26" s="35">
        <v>0.6956428117809025</v>
      </c>
      <c r="N26" s="35">
        <v>0.7865217357792232</v>
      </c>
      <c r="O26" s="35">
        <v>0.7972331588514079</v>
      </c>
      <c r="P26" s="35">
        <v>0.801440736634151</v>
      </c>
      <c r="Q26" s="35">
        <v>0.6928260674648677</v>
      </c>
      <c r="R26" s="35">
        <v>0.7836573201620505</v>
      </c>
      <c r="S26" s="35">
        <v>0.7944941016388662</v>
      </c>
      <c r="T26" s="35">
        <v>0.7987588145324258</v>
      </c>
      <c r="U26" s="35">
        <v>0.6899592511046639</v>
      </c>
      <c r="V26" s="35">
        <v>0.7807339153062817</v>
      </c>
      <c r="W26" s="35">
        <v>0.7932215059554072</v>
      </c>
      <c r="X26" s="35">
        <v>0.797512764441029</v>
      </c>
      <c r="Y26" s="35">
        <v>0.6882105494573922</v>
      </c>
      <c r="Z26" s="35">
        <v>0.7793756697087019</v>
      </c>
      <c r="AA26" s="35">
        <v>0.7903756790414872</v>
      </c>
      <c r="AB26" s="35">
        <v>0.7947262997906449</v>
      </c>
      <c r="AC26" s="35">
        <v>0.685246131383919</v>
      </c>
      <c r="AD26" s="35">
        <v>0.7763383091962096</v>
      </c>
      <c r="AE26" s="35">
        <v>0.7884963718365546</v>
      </c>
      <c r="AF26" s="35">
        <v>0.7928861938206924</v>
      </c>
      <c r="AG26" s="35">
        <v>0.6830157597646477</v>
      </c>
      <c r="AH26" s="35">
        <v>0.7743325183776664</v>
      </c>
      <c r="AI26" s="35">
        <v>0.7855358763829849</v>
      </c>
      <c r="AJ26" s="35">
        <v>0.7899874525484653</v>
      </c>
      <c r="AK26" s="35">
        <v>0.6799471910465202</v>
      </c>
      <c r="AL26" s="35">
        <v>0.7711727717521419</v>
      </c>
      <c r="AM26" s="35">
        <v>0.7825132739863138</v>
      </c>
      <c r="AN26" s="35">
        <v>0.7870278998471775</v>
      </c>
      <c r="AO26" s="35">
        <v>0.6768226947831731</v>
      </c>
      <c r="AP26" s="35">
        <v>0.7679467381800696</v>
      </c>
      <c r="AQ26" s="35">
        <v>0.7794270570833507</v>
      </c>
      <c r="AR26" s="35">
        <v>0.7840060596005131</v>
      </c>
      <c r="AS26" s="35">
        <v>0.6736409847178494</v>
      </c>
      <c r="AT26" s="35">
        <v>0.7646528086342512</v>
      </c>
      <c r="AU26" s="35">
        <v>0.7762756771676924</v>
      </c>
      <c r="AV26" s="35">
        <v>0.7809204156029954</v>
      </c>
      <c r="AW26" s="35">
        <v>0.6704007404617679</v>
      </c>
      <c r="AX26" s="35">
        <v>0.7612893303886625</v>
      </c>
      <c r="AY26" s="35">
        <v>0.77305754354539</v>
      </c>
      <c r="AZ26" s="35">
        <v>0.7777694103416087</v>
      </c>
      <c r="BA26" s="35">
        <v>0.6671006064677921</v>
      </c>
      <c r="BB26" s="35">
        <v>0.7578546056903706</v>
      </c>
      <c r="BC26" s="35">
        <v>0.7697710220480836</v>
      </c>
      <c r="BD26" s="35">
        <v>0.7745514437357771</v>
      </c>
      <c r="BE26" s="35">
        <v>0.663739190969187</v>
      </c>
      <c r="BF26" s="35">
        <v>0.7543468903860604</v>
      </c>
      <c r="BG26" s="35">
        <v>0.7664144337019627</v>
      </c>
      <c r="BH26" s="35">
        <v>0.7712648718340894</v>
      </c>
      <c r="BI26" s="35">
        <v>0.6603150648821287</v>
      </c>
      <c r="BJ26" s="35">
        <v>0.7507643925014102</v>
      </c>
      <c r="BK26" s="35">
        <v>0.762986053350845</v>
      </c>
      <c r="BL26" s="35">
        <v>0.7679080054660989</v>
      </c>
      <c r="BM26" s="35">
        <v>0.6568267606705579</v>
      </c>
      <c r="BN26" s="35">
        <v>0.7471052707714997</v>
      </c>
      <c r="BO26" s="35">
        <v>0.7594841082315823</v>
      </c>
      <c r="BP26" s="35">
        <v>0.7644791088474466</v>
      </c>
      <c r="BQ26" s="35">
        <v>0.6532727711719197</v>
      </c>
      <c r="BR26" s="35">
        <v>0.7433676331203357</v>
      </c>
      <c r="BS26" s="35">
        <v>0.7559067764999371</v>
      </c>
      <c r="BT26" s="35">
        <v>0.7609763981364865</v>
      </c>
      <c r="BU26" s="35">
        <v>0.6496515483822646</v>
      </c>
      <c r="BV26" s="35">
        <v>0.7395495350875156</v>
      </c>
      <c r="BW26" s="35">
        <v>0.7522521857049765</v>
      </c>
      <c r="BX26" s="35">
        <v>0.7573980399405029</v>
      </c>
      <c r="BY26" s="35">
        <v>0.645961502199111</v>
      </c>
      <c r="BZ26" s="35">
        <v>0.7356489781999429</v>
      </c>
      <c r="CA26" s="35">
        <v>0.748518411209956</v>
      </c>
      <c r="CB26" s="35">
        <v>0.753742149769534</v>
      </c>
      <c r="CC26" s="35">
        <v>0.6422009991204123</v>
      </c>
      <c r="CD26" s="35">
        <v>0.7316639082864308</v>
      </c>
      <c r="CE26" s="35">
        <v>0.7447034745575686</v>
      </c>
      <c r="CF26" s="35">
        <v>0.7500067904357193</v>
      </c>
      <c r="CG26" s="35">
        <v>0.6383683608978866</v>
      </c>
      <c r="CH26" s="35">
        <v>0.7275922137329277</v>
      </c>
      <c r="CI26" s="35">
        <v>0.7408053417773405</v>
      </c>
      <c r="CJ26" s="35">
        <v>0.7461899703960049</v>
      </c>
      <c r="CK26" s="35">
        <v>0.7176105010772146</v>
      </c>
      <c r="CL26" s="35">
        <v>0.7234317236759947</v>
      </c>
    </row>
    <row r="28" spans="2:90" x14ac:dyDescent="0.25">
      <c r="B28" s="28" t="s">
        <v>272</v>
      </c>
      <c r="C28" s="29" t="s">
        <v>205</v>
      </c>
      <c r="D28" s="32">
        <f>SUM(E28:CL28)</f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f>-(('입력값'!C15)/'입력값'!C16*(3/12))</f>
      </c>
      <c r="L28" s="32">
        <f>-(('입력값'!C15)/'입력값'!C16*(3/12))</f>
      </c>
      <c r="M28" s="32">
        <f>-(('입력값'!C15)/'입력값'!C16*(3/12))</f>
      </c>
      <c r="N28" s="32">
        <f>-(('입력값'!C15)/'입력값'!C16*(3/12))</f>
      </c>
      <c r="O28" s="32">
        <f>-(('입력값'!C15)/'입력값'!C16*(3/12))</f>
      </c>
      <c r="P28" s="32">
        <f>-(('입력값'!C15)/'입력값'!C16*(3/12))</f>
      </c>
      <c r="Q28" s="32">
        <f>-(('입력값'!C15)/'입력값'!C16*(3/12))</f>
      </c>
      <c r="R28" s="32">
        <f>-(('입력값'!C15)/'입력값'!C16*(3/12))</f>
      </c>
      <c r="S28" s="32">
        <f>-(('입력값'!C15)/'입력값'!C16*(3/12))</f>
      </c>
      <c r="T28" s="32">
        <f>-(('입력값'!C15)/'입력값'!C16*(3/12))</f>
      </c>
      <c r="U28" s="32">
        <f>-(('입력값'!C15)/'입력값'!C16*(3/12))</f>
      </c>
      <c r="V28" s="32">
        <f>-(('입력값'!C15)/'입력값'!C16*(3/12))</f>
      </c>
      <c r="W28" s="32">
        <f>-(('입력값'!C15)/'입력값'!C16*(3/12))</f>
      </c>
      <c r="X28" s="32">
        <f>-(('입력값'!C15)/'입력값'!C16*(3/12))</f>
      </c>
      <c r="Y28" s="32">
        <f>-(('입력값'!C15)/'입력값'!C16*(3/12))</f>
      </c>
      <c r="Z28" s="32">
        <f>-(('입력값'!C15)/'입력값'!C16*(3/12))</f>
      </c>
      <c r="AA28" s="32">
        <f>-(('입력값'!C15)/'입력값'!C16*(3/12))</f>
      </c>
      <c r="AB28" s="32">
        <f>-(('입력값'!C15)/'입력값'!C16*(3/12))</f>
      </c>
      <c r="AC28" s="32">
        <f>-(('입력값'!C15)/'입력값'!C16*(3/12))</f>
      </c>
      <c r="AD28" s="32">
        <f>-(('입력값'!C15)/'입력값'!C16*(3/12))</f>
      </c>
      <c r="AE28" s="32">
        <f>-(('입력값'!C15)/'입력값'!C16*(3/12))</f>
      </c>
      <c r="AF28" s="32">
        <f>-(('입력값'!C15)/'입력값'!C16*(3/12))</f>
      </c>
      <c r="AG28" s="32">
        <f>-(('입력값'!C15)/'입력값'!C16*(3/12))</f>
      </c>
      <c r="AH28" s="32">
        <f>-(('입력값'!C15)/'입력값'!C16*(3/12))</f>
      </c>
      <c r="AI28" s="32">
        <f>-(('입력값'!C15)/'입력값'!C16*(3/12))</f>
      </c>
      <c r="AJ28" s="32">
        <f>-(('입력값'!C15)/'입력값'!C16*(3/12))</f>
      </c>
      <c r="AK28" s="32">
        <f>-(('입력값'!C15)/'입력값'!C16*(3/12))</f>
      </c>
      <c r="AL28" s="32">
        <f>-(('입력값'!C15)/'입력값'!C16*(3/12))</f>
      </c>
      <c r="AM28" s="32">
        <f>-(('입력값'!C15)/'입력값'!C16*(3/12))</f>
      </c>
      <c r="AN28" s="32">
        <f>-(('입력값'!C15)/'입력값'!C16*(3/12))</f>
      </c>
      <c r="AO28" s="32">
        <f>-(('입력값'!C15)/'입력값'!C16*(3/12))</f>
      </c>
      <c r="AP28" s="32">
        <f>-(('입력값'!C15)/'입력값'!C16*(3/12))</f>
      </c>
      <c r="AQ28" s="32">
        <f>-(('입력값'!C15)/'입력값'!C16*(3/12))</f>
      </c>
      <c r="AR28" s="32">
        <f>-(('입력값'!C15)/'입력값'!C16*(3/12))</f>
      </c>
      <c r="AS28" s="32">
        <f>-(('입력값'!C15)/'입력값'!C16*(3/12))</f>
      </c>
      <c r="AT28" s="32">
        <f>-(('입력값'!C15)/'입력값'!C16*(3/12))</f>
      </c>
      <c r="AU28" s="32">
        <f>-(('입력값'!C15)/'입력값'!C16*(3/12))</f>
      </c>
      <c r="AV28" s="32">
        <f>-(('입력값'!C15)/'입력값'!C16*(3/12))</f>
      </c>
      <c r="AW28" s="32">
        <f>-(('입력값'!C15)/'입력값'!C16*(3/12))</f>
      </c>
      <c r="AX28" s="32">
        <f>-(('입력값'!C15)/'입력값'!C16*(3/12))</f>
      </c>
      <c r="AY28" s="32">
        <f>-(('입력값'!C15)/'입력값'!C16*(3/12))</f>
      </c>
      <c r="AZ28" s="32">
        <f>-(('입력값'!C15)/'입력값'!C16*(3/12))</f>
      </c>
      <c r="BA28" s="32">
        <f>-(('입력값'!C15)/'입력값'!C16*(3/12))</f>
      </c>
      <c r="BB28" s="32">
        <f>-(('입력값'!C15)/'입력값'!C16*(3/12))</f>
      </c>
      <c r="BC28" s="32">
        <f>-(('입력값'!C15)/'입력값'!C16*(3/12))</f>
      </c>
      <c r="BD28" s="32">
        <f>-(('입력값'!C15)/'입력값'!C16*(3/12))</f>
      </c>
      <c r="BE28" s="32">
        <f>-(('입력값'!C15)/'입력값'!C16*(3/12))</f>
      </c>
      <c r="BF28" s="32">
        <f>-(('입력값'!C15)/'입력값'!C16*(3/12))</f>
      </c>
      <c r="BG28" s="32">
        <f>-(('입력값'!C15)/'입력값'!C16*(3/12))</f>
      </c>
      <c r="BH28" s="32">
        <f>-(('입력값'!C15)/'입력값'!C16*(3/12))</f>
      </c>
      <c r="BI28" s="32">
        <f>-(('입력값'!C15)/'입력값'!C16*(3/12))</f>
      </c>
      <c r="BJ28" s="32">
        <f>-(('입력값'!C15)/'입력값'!C16*(3/12))</f>
      </c>
      <c r="BK28" s="32">
        <f>-(('입력값'!C15)/'입력값'!C16*(3/12))</f>
      </c>
      <c r="BL28" s="32">
        <f>-(('입력값'!C15)/'입력값'!C16*(3/12))</f>
      </c>
      <c r="BM28" s="32">
        <f>-(('입력값'!C15)/'입력값'!C16*(3/12))</f>
      </c>
      <c r="BN28" s="32">
        <f>-(('입력값'!C15)/'입력값'!C16*(3/12))</f>
      </c>
      <c r="BO28" s="32">
        <f>-(('입력값'!C15)/'입력값'!C16*(3/12))</f>
      </c>
      <c r="BP28" s="32">
        <f>-(('입력값'!C15)/'입력값'!C16*(3/12))</f>
      </c>
      <c r="BQ28" s="32">
        <f>-(('입력값'!C15)/'입력값'!C16*(3/12))</f>
      </c>
      <c r="BR28" s="32">
        <f>-(('입력값'!C15)/'입력값'!C16*(3/12))</f>
      </c>
      <c r="BS28" s="32">
        <f>-(('입력값'!C15)/'입력값'!C16*(3/12))</f>
      </c>
      <c r="BT28" s="32">
        <f>-(('입력값'!C15)/'입력값'!C16*(3/12))</f>
      </c>
      <c r="BU28" s="32">
        <f>-(('입력값'!C15)/'입력값'!C16*(3/12))</f>
      </c>
      <c r="BV28" s="32">
        <f>-(('입력값'!C15)/'입력값'!C16*(3/12))</f>
      </c>
      <c r="BW28" s="32">
        <f>-(('입력값'!C15)/'입력값'!C16*(3/12))</f>
      </c>
      <c r="BX28" s="32">
        <f>-(('입력값'!C15)/'입력값'!C16*(3/12))</f>
      </c>
      <c r="BY28" s="32">
        <f>-(('입력값'!C15)/'입력값'!C16*(3/12))</f>
      </c>
      <c r="BZ28" s="32">
        <f>-(('입력값'!C15)/'입력값'!C16*(3/12))</f>
      </c>
      <c r="CA28" s="32">
        <f>-(('입력값'!C15)/'입력값'!C16*(3/12))</f>
      </c>
      <c r="CB28" s="32">
        <f>-(('입력값'!C15)/'입력값'!C16*(3/12))</f>
      </c>
      <c r="CC28" s="32">
        <f>-(('입력값'!C15)/'입력값'!C16*(3/12))</f>
      </c>
      <c r="CD28" s="32">
        <f>-(('입력값'!C15)/'입력값'!C16*(3/12))</f>
      </c>
      <c r="CE28" s="32">
        <f>-(('입력값'!C15)/'입력값'!C16*(3/12))</f>
      </c>
      <c r="CF28" s="32">
        <f>-(('입력값'!C15)/'입력값'!C16*(3/12))</f>
      </c>
      <c r="CG28" s="32">
        <f>-(('입력값'!C15)/'입력값'!C16*(3/12))</f>
      </c>
      <c r="CH28" s="32">
        <f>-(('입력값'!C15)/'입력값'!C16*(3/12))</f>
      </c>
      <c r="CI28" s="32">
        <f>-(('입력값'!C15)/'입력값'!C16*(3/12))</f>
      </c>
      <c r="CJ28" s="32">
        <f>-(('입력값'!C15)/'입력값'!C16*(3/12))</f>
      </c>
      <c r="CK28" s="32">
        <f>-(('입력값'!C15)/'입력값'!C16*(3/12))</f>
      </c>
      <c r="CL28" s="32">
        <f>-(('입력값'!C15)/'입력값'!C16*(3/12))</f>
      </c>
    </row>
    <row r="29" spans="2:90" x14ac:dyDescent="0.25">
      <c r="B29" s="28" t="s">
        <v>273</v>
      </c>
      <c r="C29" s="29" t="s">
        <v>205</v>
      </c>
      <c r="D29" s="32">
        <f>SUM(E29:CL29)</f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-25</v>
      </c>
      <c r="L29" s="32">
        <v>-25</v>
      </c>
      <c r="M29" s="32">
        <v>-25</v>
      </c>
      <c r="N29" s="32">
        <v>-25</v>
      </c>
      <c r="O29" s="32">
        <v>-25</v>
      </c>
      <c r="P29" s="32">
        <v>-25</v>
      </c>
      <c r="Q29" s="32">
        <v>-25</v>
      </c>
      <c r="R29" s="32">
        <v>-25</v>
      </c>
      <c r="S29" s="32">
        <v>-25</v>
      </c>
      <c r="T29" s="32">
        <v>-25</v>
      </c>
      <c r="U29" s="32">
        <v>-25</v>
      </c>
      <c r="V29" s="32">
        <v>-25</v>
      </c>
      <c r="W29" s="32">
        <v>-25</v>
      </c>
      <c r="X29" s="32">
        <v>-25</v>
      </c>
      <c r="Y29" s="32">
        <v>-25</v>
      </c>
      <c r="Z29" s="32">
        <v>-25</v>
      </c>
      <c r="AA29" s="32">
        <v>-25</v>
      </c>
      <c r="AB29" s="32">
        <v>-25</v>
      </c>
      <c r="AC29" s="32">
        <v>-25</v>
      </c>
      <c r="AD29" s="32">
        <v>-25</v>
      </c>
      <c r="AE29" s="32">
        <v>-25</v>
      </c>
      <c r="AF29" s="32">
        <v>-25</v>
      </c>
      <c r="AG29" s="32">
        <v>-25</v>
      </c>
      <c r="AH29" s="32">
        <v>-25</v>
      </c>
      <c r="AI29" s="32">
        <v>-25</v>
      </c>
      <c r="AJ29" s="32">
        <v>-25</v>
      </c>
      <c r="AK29" s="32">
        <v>-25</v>
      </c>
      <c r="AL29" s="32">
        <v>-25</v>
      </c>
      <c r="AM29" s="32">
        <v>-25</v>
      </c>
      <c r="AN29" s="32">
        <v>-25</v>
      </c>
      <c r="AO29" s="32">
        <v>-25</v>
      </c>
      <c r="AP29" s="32">
        <v>-25</v>
      </c>
      <c r="AQ29" s="32">
        <v>-25</v>
      </c>
      <c r="AR29" s="32">
        <v>-25</v>
      </c>
      <c r="AS29" s="32">
        <v>-25</v>
      </c>
      <c r="AT29" s="32">
        <v>-25</v>
      </c>
      <c r="AU29" s="32">
        <v>-25</v>
      </c>
      <c r="AV29" s="32">
        <v>-25</v>
      </c>
      <c r="AW29" s="32">
        <v>-25</v>
      </c>
      <c r="AX29" s="32">
        <v>-25</v>
      </c>
      <c r="AY29" s="32">
        <v>-25</v>
      </c>
      <c r="AZ29" s="32">
        <v>-25</v>
      </c>
      <c r="BA29" s="32">
        <v>-25</v>
      </c>
      <c r="BB29" s="32">
        <v>-25</v>
      </c>
      <c r="BC29" s="32">
        <v>-25</v>
      </c>
      <c r="BD29" s="32">
        <v>-25</v>
      </c>
      <c r="BE29" s="32">
        <v>-25</v>
      </c>
      <c r="BF29" s="32">
        <v>-25</v>
      </c>
      <c r="BG29" s="32">
        <v>-25</v>
      </c>
      <c r="BH29" s="32">
        <v>-25</v>
      </c>
      <c r="BI29" s="32">
        <v>-25</v>
      </c>
      <c r="BJ29" s="32">
        <v>-25</v>
      </c>
      <c r="BK29" s="32">
        <v>-25</v>
      </c>
      <c r="BL29" s="32">
        <v>-25</v>
      </c>
      <c r="BM29" s="32">
        <v>-25</v>
      </c>
      <c r="BN29" s="32">
        <v>-25</v>
      </c>
      <c r="BO29" s="32">
        <v>-25</v>
      </c>
      <c r="BP29" s="32">
        <v>-25</v>
      </c>
      <c r="BQ29" s="32">
        <v>-25</v>
      </c>
      <c r="BR29" s="32">
        <v>-25</v>
      </c>
      <c r="BS29" s="32">
        <v>-25</v>
      </c>
      <c r="BT29" s="32">
        <v>-25</v>
      </c>
      <c r="BU29" s="32">
        <v>-25</v>
      </c>
      <c r="BV29" s="32">
        <v>-25</v>
      </c>
      <c r="BW29" s="32">
        <v>-25</v>
      </c>
      <c r="BX29" s="32">
        <v>-25</v>
      </c>
      <c r="BY29" s="32">
        <v>-25</v>
      </c>
      <c r="BZ29" s="32">
        <v>-25</v>
      </c>
      <c r="CA29" s="32">
        <v>-25</v>
      </c>
      <c r="CB29" s="32">
        <v>-25</v>
      </c>
      <c r="CC29" s="32">
        <v>-25</v>
      </c>
      <c r="CD29" s="32">
        <v>-25</v>
      </c>
      <c r="CE29" s="32">
        <v>-25</v>
      </c>
      <c r="CF29" s="32">
        <v>-25</v>
      </c>
      <c r="CG29" s="32">
        <v>-25</v>
      </c>
      <c r="CH29" s="32">
        <v>-25</v>
      </c>
      <c r="CI29" s="32">
        <v>-25</v>
      </c>
      <c r="CJ29" s="32">
        <v>-25</v>
      </c>
      <c r="CK29" s="32">
        <v>-25</v>
      </c>
      <c r="CL29" s="32">
        <v>-25</v>
      </c>
    </row>
    <row r="30" spans="2:90" x14ac:dyDescent="0.25">
      <c r="B30" s="42" t="s">
        <v>274</v>
      </c>
      <c r="C30" s="29" t="s">
        <v>205</v>
      </c>
      <c r="D30" s="14">
        <f>SUM(E30:CL30)</f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1920.5736685154225</v>
      </c>
      <c r="L30" s="14">
        <v>2026.9654938597596</v>
      </c>
      <c r="M30" s="14">
        <v>3411.33758840499</v>
      </c>
      <c r="N30" s="14">
        <v>1605.6538654961892</v>
      </c>
      <c r="O30" s="14">
        <v>1887.2285071071076</v>
      </c>
      <c r="P30" s="14">
        <v>1993.0883733247213</v>
      </c>
      <c r="Q30" s="14">
        <v>3370.4386073972264</v>
      </c>
      <c r="R30" s="14">
        <v>1573.8833031029712</v>
      </c>
      <c r="S30" s="14">
        <v>1853.7439706987916</v>
      </c>
      <c r="T30" s="14">
        <v>1959.0718777896827</v>
      </c>
      <c r="U30" s="14">
        <v>3329.400251389464</v>
      </c>
      <c r="V30" s="14">
        <v>1541.9733657097509</v>
      </c>
      <c r="W30" s="14">
        <v>1827.6176936654765</v>
      </c>
      <c r="X30" s="14">
        <v>1932.413641629647</v>
      </c>
      <c r="Y30" s="14">
        <v>3295.7201547567</v>
      </c>
      <c r="Z30" s="14">
        <v>1517.4216876915314</v>
      </c>
      <c r="AA30" s="14">
        <v>1793.8472693977874</v>
      </c>
      <c r="AB30" s="14">
        <v>1898.1112582352343</v>
      </c>
      <c r="AC30" s="14">
        <v>3254.3959108895624</v>
      </c>
      <c r="AD30" s="14">
        <v>1485.225862438938</v>
      </c>
      <c r="AE30" s="14">
        <v>1764.9302495772054</v>
      </c>
      <c r="AF30" s="14">
        <v>1868.6622792879325</v>
      </c>
      <c r="AG30" s="14">
        <v>3217.9250714695345</v>
      </c>
      <c r="AH30" s="14">
        <v>1457.8834416334528</v>
      </c>
      <c r="AI30" s="14">
        <v>1730.8641434382398</v>
      </c>
      <c r="AJ30" s="14">
        <v>1834.0642140222444</v>
      </c>
      <c r="AK30" s="14">
        <v>3176.3051457311203</v>
      </c>
      <c r="AL30" s="14">
        <v>1425.3919345095835</v>
      </c>
      <c r="AM30" s="14">
        <v>1696.6464170172703</v>
      </c>
      <c r="AN30" s="14">
        <v>1799.3145284745551</v>
      </c>
      <c r="AO30" s="14">
        <v>3134.533599710704</v>
      </c>
      <c r="AP30" s="14">
        <v>1392.7488071037117</v>
      </c>
      <c r="AQ30" s="14">
        <v>1662.2744923878463</v>
      </c>
      <c r="AR30" s="14">
        <v>1764.4106447184088</v>
      </c>
      <c r="AS30" s="14">
        <v>3092.6078554818323</v>
      </c>
      <c r="AT30" s="14">
        <v>1359.9514814893819</v>
      </c>
      <c r="AU30" s="14">
        <v>1627.7457468821772</v>
      </c>
      <c r="AV30" s="14">
        <v>1729.349940086018</v>
      </c>
      <c r="AW30" s="14">
        <v>3050.525290376713</v>
      </c>
      <c r="AX30" s="14">
        <v>1326.9973349988095</v>
      </c>
      <c r="AY30" s="14">
        <v>1593.0575122985572</v>
      </c>
      <c r="AZ30" s="14">
        <v>1694.1297463756757</v>
      </c>
      <c r="BA30" s="14">
        <v>3008.283236193646</v>
      </c>
      <c r="BB30" s="14">
        <v>1293.8836994302858</v>
      </c>
      <c r="BC30" s="14">
        <v>1558.2070740944894</v>
      </c>
      <c r="BD30" s="14">
        <v>1658.7473490448863</v>
      </c>
      <c r="BE30" s="14">
        <v>2965.878978390131</v>
      </c>
      <c r="BF30" s="14">
        <v>1260.6078602413143</v>
      </c>
      <c r="BG30" s="14">
        <v>1523.191670565211</v>
      </c>
      <c r="BH30" s="14">
        <v>1623.1999863888868</v>
      </c>
      <c r="BI30" s="14">
        <v>2923.3097552614045</v>
      </c>
      <c r="BJ30" s="14">
        <v>1227.1670557271314</v>
      </c>
      <c r="BK30" s="14">
        <v>1488.008492007378</v>
      </c>
      <c r="BL30" s="14">
        <v>1587.4848487043316</v>
      </c>
      <c r="BM30" s="14">
        <v>2880.572757104125</v>
      </c>
      <c r="BN30" s="14">
        <v>1193.5584761843945</v>
      </c>
      <c r="BO30" s="14">
        <v>1452.6546798676254</v>
      </c>
      <c r="BP30" s="14">
        <v>1551.5990774378583</v>
      </c>
      <c r="BQ30" s="14">
        <v>2837.665125364924</v>
      </c>
      <c r="BR30" s="14">
        <v>1159.7792630597387</v>
      </c>
      <c r="BS30" s="14">
        <v>1417.1273258757337</v>
      </c>
      <c r="BT30" s="14">
        <v>1515.5397643192446</v>
      </c>
      <c r="BU30" s="14">
        <v>2794.583951773583</v>
      </c>
      <c r="BV30" s="14">
        <v>1125.8265080829424</v>
      </c>
      <c r="BW30" s="14">
        <v>1381.4234711620957</v>
      </c>
      <c r="BX30" s="14">
        <v>1479.303950478884</v>
      </c>
      <c r="BY30" s="14">
        <v>2771.326277460498</v>
      </c>
      <c r="BZ30" s="14">
        <v>1091.6972523844015</v>
      </c>
      <c r="CA30" s="14">
        <v>1345.5401053592257</v>
      </c>
      <c r="CB30" s="14">
        <v>1442.8886255492941</v>
      </c>
      <c r="CC30" s="14">
        <v>2727.8890920581807</v>
      </c>
      <c r="CD30" s="14">
        <v>1057.3884855966269</v>
      </c>
      <c r="CE30" s="14">
        <v>1309.4741656869937</v>
      </c>
      <c r="CF30" s="14">
        <v>1406.2907267503388</v>
      </c>
      <c r="CG30" s="14">
        <v>2712.187398524971</v>
      </c>
      <c r="CH30" s="14">
        <v>1106.6513421549032</v>
      </c>
      <c r="CI30" s="14">
        <v>1356.9767332367016</v>
      </c>
      <c r="CJ30" s="14">
        <v>1453.2613351733246</v>
      </c>
      <c r="CK30" s="14">
        <v>2724.2180807367595</v>
      </c>
      <c r="CL30" s="14">
        <v>1071.9743115042945</v>
      </c>
    </row>
    <row r="31" spans="2:90" x14ac:dyDescent="0.25">
      <c r="B31" s="28" t="s">
        <v>275</v>
      </c>
      <c r="C31" s="29" t="s">
        <v>271</v>
      </c>
      <c r="E31" s="35"/>
      <c r="F31" s="35"/>
      <c r="G31" s="35"/>
      <c r="H31" s="35"/>
      <c r="I31" s="35"/>
      <c r="J31" s="35"/>
      <c r="K31" s="35">
        <v>0.3841677977350652</v>
      </c>
      <c r="L31" s="35">
        <v>0.3969916742478117</v>
      </c>
      <c r="M31" s="35">
        <v>0.5238806264879</v>
      </c>
      <c r="N31" s="35">
        <v>0.3427912889933119</v>
      </c>
      <c r="O31" s="35">
        <v>0.3793948182424325</v>
      </c>
      <c r="P31" s="35">
        <v>0.3923182562798476</v>
      </c>
      <c r="Q31" s="35">
        <v>0.5202007556126039</v>
      </c>
      <c r="R31" s="35">
        <v>0.3376970721360091</v>
      </c>
      <c r="S31" s="35">
        <v>0.3745454663803504</v>
      </c>
      <c r="T31" s="35">
        <v>0.3875700590248176</v>
      </c>
      <c r="U31" s="35">
        <v>0.5164620942430452</v>
      </c>
      <c r="V31" s="35">
        <v>0.3325213427952602</v>
      </c>
      <c r="W31" s="35">
        <v>0.3711411517361884</v>
      </c>
      <c r="X31" s="35">
        <v>0.3842367563673925</v>
      </c>
      <c r="Y31" s="35">
        <v>0.5138326963680497</v>
      </c>
      <c r="Z31" s="35">
        <v>0.32888790647427407</v>
      </c>
      <c r="AA31" s="35">
        <v>0.3661418536272724</v>
      </c>
      <c r="AB31" s="35">
        <v>0.37934174065540827</v>
      </c>
      <c r="AC31" s="35">
        <v>0.5099785953706513</v>
      </c>
      <c r="AD31" s="35">
        <v>0.3235521390065042</v>
      </c>
      <c r="AE31" s="35">
        <v>0.36208698834329256</v>
      </c>
      <c r="AF31" s="35">
        <v>0.37537145745912115</v>
      </c>
      <c r="AG31" s="35">
        <v>0.5068494158743888</v>
      </c>
      <c r="AH31" s="35">
        <v>0.3192243678280138</v>
      </c>
      <c r="AI31" s="35">
        <v>0.3569285063768709</v>
      </c>
      <c r="AJ31" s="35">
        <v>0.37032057837059723</v>
      </c>
      <c r="AK31" s="35">
        <v>0.5028727732186826</v>
      </c>
      <c r="AL31" s="35">
        <v>0.313718702900687</v>
      </c>
      <c r="AM31" s="35">
        <v>0.3516851404050385</v>
      </c>
      <c r="AN31" s="35">
        <v>0.36518658590672987</v>
      </c>
      <c r="AO31" s="35">
        <v>0.49883079292513954</v>
      </c>
      <c r="AP31" s="35">
        <v>0.3081224409925969</v>
      </c>
      <c r="AQ31" s="35">
        <v>0.34635502697300624</v>
      </c>
      <c r="AR31" s="35">
        <v>0.35996765548329224</v>
      </c>
      <c r="AS31" s="35">
        <v>0.4947220417043052</v>
      </c>
      <c r="AT31" s="35">
        <v>0.30243359323226016</v>
      </c>
      <c r="AU31" s="35">
        <v>0.3409362542295452</v>
      </c>
      <c r="AV31" s="35">
        <v>0.35466191512914</v>
      </c>
      <c r="AW31" s="35">
        <v>0.4905450490554827</v>
      </c>
      <c r="AX31" s="35">
        <v>0.2966501190945145</v>
      </c>
      <c r="AY31" s="35">
        <v>0.33542686048651565</v>
      </c>
      <c r="AZ31" s="35">
        <v>0.3492674440757856</v>
      </c>
      <c r="BA31" s="35">
        <v>0.48629830615936837</v>
      </c>
      <c r="BB31" s="35">
        <v>0.29076992486309555</v>
      </c>
      <c r="BC31" s="35">
        <v>0.3298248327296384</v>
      </c>
      <c r="BD31" s="35">
        <v>0.34378227129923533</v>
      </c>
      <c r="BE31" s="35">
        <v>0.4819802647332056</v>
      </c>
      <c r="BF31" s="35">
        <v>0.28479086204118065</v>
      </c>
      <c r="BG31" s="35">
        <v>0.32412810507863243</v>
      </c>
      <c r="BH31" s="35">
        <v>0.33820437401224707</v>
      </c>
      <c r="BI31" s="35">
        <v>0.4775893358470197</v>
      </c>
      <c r="BJ31" s="35">
        <v>0.27871072570788763</v>
      </c>
      <c r="BK31" s="35">
        <v>0.31833455719476955</v>
      </c>
      <c r="BL31" s="35">
        <v>0.3325316761051022</v>
      </c>
      <c r="BM31" s="35">
        <v>0.4731238886994322</v>
      </c>
      <c r="BN31" s="35">
        <v>0.27252725281865336</v>
      </c>
      <c r="BO31" s="35">
        <v>0.3124420126338075</v>
      </c>
      <c r="BP31" s="35">
        <v>0.32676204653289626</v>
      </c>
      <c r="BQ31" s="35">
        <v>0.46858224935148707</v>
      </c>
      <c r="BR31" s="35">
        <v>0.2662381204473129</v>
      </c>
      <c r="BS31" s="35">
        <v>0.3064482371421744</v>
      </c>
      <c r="BT31" s="35">
        <v>0.32089329764726293</v>
      </c>
      <c r="BU31" s="35">
        <v>0.4639626994168565</v>
      </c>
      <c r="BV31" s="35">
        <v>0.25984094396761154</v>
      </c>
      <c r="BW31" s="35">
        <v>0.3003509368941824</v>
      </c>
      <c r="BX31" s="35">
        <v>0.3149231834703595</v>
      </c>
      <c r="BY31" s="35">
        <v>0.46260196260958125</v>
      </c>
      <c r="BZ31" s="35">
        <v>0.2533332751717785</v>
      </c>
      <c r="CA31" s="35">
        <v>0.29414775666795534</v>
      </c>
      <c r="CB31" s="35">
        <v>0.30884939790884336</v>
      </c>
      <c r="CC31" s="35">
        <v>0.4578394948336719</v>
      </c>
      <c r="CD31" s="35">
        <v>0.24671260032368608</v>
      </c>
      <c r="CE31" s="35">
        <v>0.2878362779576448</v>
      </c>
      <c r="CF31" s="35">
        <v>0.3026695729054644</v>
      </c>
      <c r="CG31" s="35">
        <v>0.4577052986073792</v>
      </c>
      <c r="CH31" s="35">
        <v>0.2596254550189421</v>
      </c>
      <c r="CI31" s="35">
        <v>0.2999257888533212</v>
      </c>
      <c r="CJ31" s="35">
        <v>0.3145069037657699</v>
      </c>
      <c r="CK31" s="35">
        <v>0.4622755568353249</v>
      </c>
      <c r="CL31" s="35">
        <v>0.2528795132564071</v>
      </c>
    </row>
    <row r="33" spans="2:2" x14ac:dyDescent="0.25">
      <c r="B33" s="42" t="s">
        <v>276</v>
      </c>
    </row>
    <row r="34" spans="2:90" x14ac:dyDescent="0.25">
      <c r="B34" s="28" t="s">
        <v>277</v>
      </c>
      <c r="C34" s="29" t="s">
        <v>205</v>
      </c>
      <c r="D34" s="32">
        <f>SUM(E34:CL34)</f>
      </c>
      <c r="E34" s="32">
        <f>-'Debt'!E12</f>
      </c>
      <c r="F34" s="32">
        <f>-'Debt'!F12</f>
      </c>
      <c r="G34" s="32">
        <f>-'Debt'!G12</f>
      </c>
      <c r="H34" s="32">
        <f>-'Debt'!H12</f>
      </c>
      <c r="I34" s="32">
        <f>-'Debt'!I12</f>
      </c>
      <c r="J34" s="32">
        <f>-'Debt'!J12</f>
      </c>
      <c r="K34" s="32">
        <f>-'Debt'!K12</f>
      </c>
      <c r="L34" s="32">
        <f>-'Debt'!L12</f>
      </c>
      <c r="M34" s="32">
        <f>-'Debt'!M12</f>
      </c>
      <c r="N34" s="32">
        <f>-'Debt'!N12</f>
      </c>
      <c r="O34" s="32">
        <f>-'Debt'!O12</f>
      </c>
      <c r="P34" s="32">
        <f>-'Debt'!P12</f>
      </c>
      <c r="Q34" s="32">
        <f>-'Debt'!Q12</f>
      </c>
      <c r="R34" s="32">
        <f>-'Debt'!R12</f>
      </c>
      <c r="S34" s="32">
        <f>-'Debt'!S12</f>
      </c>
      <c r="T34" s="32">
        <f>-'Debt'!T12</f>
      </c>
      <c r="U34" s="32">
        <f>-'Debt'!U12</f>
      </c>
      <c r="V34" s="32">
        <f>-'Debt'!V12</f>
      </c>
      <c r="W34" s="32">
        <f>-'Debt'!W12</f>
      </c>
      <c r="X34" s="32">
        <f>-'Debt'!X12</f>
      </c>
      <c r="Y34" s="32">
        <f>-'Debt'!Y12</f>
      </c>
      <c r="Z34" s="32">
        <f>-'Debt'!Z12</f>
      </c>
      <c r="AA34" s="32">
        <f>-'Debt'!AA12</f>
      </c>
      <c r="AB34" s="32">
        <f>-'Debt'!AB12</f>
      </c>
      <c r="AC34" s="32">
        <f>-'Debt'!AC12</f>
      </c>
      <c r="AD34" s="32">
        <f>-'Debt'!AD12</f>
      </c>
      <c r="AE34" s="32">
        <f>-'Debt'!AE12</f>
      </c>
      <c r="AF34" s="32">
        <f>-'Debt'!AF12</f>
      </c>
      <c r="AG34" s="32">
        <f>-'Debt'!AG12</f>
      </c>
      <c r="AH34" s="32">
        <f>-'Debt'!AH12</f>
      </c>
      <c r="AI34" s="32">
        <f>-'Debt'!AI12</f>
      </c>
      <c r="AJ34" s="32">
        <f>-'Debt'!AJ12</f>
      </c>
      <c r="AK34" s="32">
        <f>-'Debt'!AK12</f>
      </c>
      <c r="AL34" s="32">
        <f>-'Debt'!AL12</f>
      </c>
      <c r="AM34" s="32">
        <f>-'Debt'!AM12</f>
      </c>
      <c r="AN34" s="32">
        <f>-'Debt'!AN12</f>
      </c>
      <c r="AO34" s="32">
        <f>-'Debt'!AO12</f>
      </c>
      <c r="AP34" s="32">
        <f>-'Debt'!AP12</f>
      </c>
      <c r="AQ34" s="32">
        <f>-'Debt'!AQ12</f>
      </c>
      <c r="AR34" s="32">
        <f>-'Debt'!AR12</f>
      </c>
      <c r="AS34" s="32">
        <f>-'Debt'!AS12</f>
      </c>
      <c r="AT34" s="32">
        <f>-'Debt'!AT12</f>
      </c>
      <c r="AU34" s="32">
        <f>-'Debt'!AU12</f>
      </c>
      <c r="AV34" s="32">
        <f>-'Debt'!AV12</f>
      </c>
      <c r="AW34" s="32">
        <f>-'Debt'!AW12</f>
      </c>
      <c r="AX34" s="32">
        <f>-'Debt'!AX12</f>
      </c>
      <c r="AY34" s="32">
        <f>-'Debt'!AY12</f>
      </c>
      <c r="AZ34" s="32">
        <f>-'Debt'!AZ12</f>
      </c>
      <c r="BA34" s="32">
        <f>-'Debt'!BA12</f>
      </c>
      <c r="BB34" s="32">
        <f>-'Debt'!BB12</f>
      </c>
      <c r="BC34" s="32">
        <f>-'Debt'!BC12</f>
      </c>
      <c r="BD34" s="32">
        <f>-'Debt'!BD12</f>
      </c>
      <c r="BE34" s="32">
        <f>-'Debt'!BE12</f>
      </c>
      <c r="BF34" s="32">
        <f>-'Debt'!BF12</f>
      </c>
      <c r="BG34" s="32">
        <f>-'Debt'!BG12</f>
      </c>
      <c r="BH34" s="32">
        <f>-'Debt'!BH12</f>
      </c>
      <c r="BI34" s="32">
        <f>-'Debt'!BI12</f>
      </c>
      <c r="BJ34" s="32">
        <f>-'Debt'!BJ12</f>
      </c>
      <c r="BK34" s="32">
        <f>-'Debt'!BK12</f>
      </c>
      <c r="BL34" s="32">
        <f>-'Debt'!BL12</f>
      </c>
      <c r="BM34" s="32">
        <f>-'Debt'!BM12</f>
      </c>
      <c r="BN34" s="32">
        <f>-'Debt'!BN12</f>
      </c>
      <c r="BO34" s="32">
        <f>-'Debt'!BO12</f>
      </c>
      <c r="BP34" s="32">
        <f>-'Debt'!BP12</f>
      </c>
      <c r="BQ34" s="32">
        <f>-'Debt'!BQ12</f>
      </c>
      <c r="BR34" s="32">
        <f>-'Debt'!BR12</f>
      </c>
      <c r="BS34" s="32">
        <f>-'Debt'!BS12</f>
      </c>
      <c r="BT34" s="32">
        <f>-'Debt'!BT12</f>
      </c>
      <c r="BU34" s="32">
        <f>-'Debt'!BU12</f>
      </c>
      <c r="BV34" s="32">
        <f>-'Debt'!BV12</f>
      </c>
      <c r="BW34" s="32">
        <f>-'Debt'!BW12</f>
      </c>
      <c r="BX34" s="32">
        <f>-'Debt'!BX12</f>
      </c>
      <c r="BY34" s="32">
        <f>-'Debt'!BY12</f>
      </c>
      <c r="BZ34" s="32">
        <f>-'Debt'!BZ12</f>
      </c>
      <c r="CA34" s="32">
        <f>-'Debt'!CA12</f>
      </c>
      <c r="CB34" s="32">
        <f>-'Debt'!CB12</f>
      </c>
      <c r="CC34" s="32">
        <f>-'Debt'!CC12</f>
      </c>
      <c r="CD34" s="32">
        <f>-'Debt'!CD12</f>
      </c>
      <c r="CE34" s="32">
        <f>-'Debt'!CE12</f>
      </c>
      <c r="CF34" s="32">
        <f>-'Debt'!CF12</f>
      </c>
      <c r="CG34" s="32">
        <f>-'Debt'!CG12</f>
      </c>
      <c r="CH34" s="32">
        <f>-'Debt'!CH12</f>
      </c>
      <c r="CI34" s="32">
        <f>-'Debt'!CI12</f>
      </c>
      <c r="CJ34" s="32">
        <f>-'Debt'!CJ12</f>
      </c>
      <c r="CK34" s="32">
        <f>-'Debt'!CK12</f>
      </c>
      <c r="CL34" s="32">
        <f>-'Debt'!CL12</f>
      </c>
    </row>
    <row r="35" spans="2:90" x14ac:dyDescent="0.25">
      <c r="B35" s="28" t="s">
        <v>278</v>
      </c>
      <c r="C35" s="29" t="s">
        <v>205</v>
      </c>
      <c r="D35" s="32">
        <f>SUM(E35:CL35)</f>
      </c>
      <c r="E35" s="32">
        <f>-'Debt'!E21</f>
      </c>
      <c r="F35" s="32">
        <f>-'Debt'!F21</f>
      </c>
      <c r="G35" s="32">
        <f>-'Debt'!G21</f>
      </c>
      <c r="H35" s="32">
        <f>-'Debt'!H21</f>
      </c>
      <c r="I35" s="32">
        <f>-'Debt'!I21</f>
      </c>
      <c r="J35" s="32">
        <f>-'Debt'!J21</f>
      </c>
      <c r="K35" s="32">
        <f>-'Debt'!K21</f>
      </c>
      <c r="L35" s="32">
        <f>-'Debt'!L21</f>
      </c>
      <c r="M35" s="32">
        <f>-'Debt'!M21</f>
      </c>
      <c r="N35" s="32">
        <f>-'Debt'!N21</f>
      </c>
      <c r="O35" s="32">
        <f>-'Debt'!O21</f>
      </c>
      <c r="P35" s="32">
        <f>-'Debt'!P21</f>
      </c>
      <c r="Q35" s="32">
        <f>-'Debt'!Q21</f>
      </c>
      <c r="R35" s="32">
        <f>-'Debt'!R21</f>
      </c>
      <c r="S35" s="32">
        <f>-'Debt'!S21</f>
      </c>
      <c r="T35" s="32">
        <f>-'Debt'!T21</f>
      </c>
      <c r="U35" s="32">
        <f>-'Debt'!U21</f>
      </c>
      <c r="V35" s="32">
        <f>-'Debt'!V21</f>
      </c>
      <c r="W35" s="32">
        <f>-'Debt'!W21</f>
      </c>
      <c r="X35" s="32">
        <f>-'Debt'!X21</f>
      </c>
      <c r="Y35" s="32">
        <f>-'Debt'!Y21</f>
      </c>
      <c r="Z35" s="32">
        <f>-'Debt'!Z21</f>
      </c>
      <c r="AA35" s="32">
        <f>-'Debt'!AA21</f>
      </c>
      <c r="AB35" s="32">
        <f>-'Debt'!AB21</f>
      </c>
      <c r="AC35" s="32">
        <f>-'Debt'!AC21</f>
      </c>
      <c r="AD35" s="32">
        <f>-'Debt'!AD21</f>
      </c>
      <c r="AE35" s="32">
        <f>-'Debt'!AE21</f>
      </c>
      <c r="AF35" s="32">
        <f>-'Debt'!AF21</f>
      </c>
      <c r="AG35" s="32">
        <f>-'Debt'!AG21</f>
      </c>
      <c r="AH35" s="32">
        <f>-'Debt'!AH21</f>
      </c>
      <c r="AI35" s="32">
        <f>-'Debt'!AI21</f>
      </c>
      <c r="AJ35" s="32">
        <f>-'Debt'!AJ21</f>
      </c>
      <c r="AK35" s="32">
        <f>-'Debt'!AK21</f>
      </c>
      <c r="AL35" s="32">
        <f>-'Debt'!AL21</f>
      </c>
      <c r="AM35" s="32">
        <f>-'Debt'!AM21</f>
      </c>
      <c r="AN35" s="32">
        <f>-'Debt'!AN21</f>
      </c>
      <c r="AO35" s="32">
        <f>-'Debt'!AO21</f>
      </c>
      <c r="AP35" s="32">
        <f>-'Debt'!AP21</f>
      </c>
      <c r="AQ35" s="32">
        <f>-'Debt'!AQ21</f>
      </c>
      <c r="AR35" s="32">
        <f>-'Debt'!AR21</f>
      </c>
      <c r="AS35" s="32">
        <f>-'Debt'!AS21</f>
      </c>
      <c r="AT35" s="32">
        <f>-'Debt'!AT21</f>
      </c>
      <c r="AU35" s="32">
        <f>-'Debt'!AU21</f>
      </c>
      <c r="AV35" s="32">
        <f>-'Debt'!AV21</f>
      </c>
      <c r="AW35" s="32">
        <f>-'Debt'!AW21</f>
      </c>
      <c r="AX35" s="32">
        <f>-'Debt'!AX21</f>
      </c>
      <c r="AY35" s="32">
        <f>-'Debt'!AY21</f>
      </c>
      <c r="AZ35" s="32">
        <f>-'Debt'!AZ21</f>
      </c>
      <c r="BA35" s="32">
        <f>-'Debt'!BA21</f>
      </c>
      <c r="BB35" s="32">
        <f>-'Debt'!BB21</f>
      </c>
      <c r="BC35" s="32">
        <f>-'Debt'!BC21</f>
      </c>
      <c r="BD35" s="32">
        <f>-'Debt'!BD21</f>
      </c>
      <c r="BE35" s="32">
        <f>-'Debt'!BE21</f>
      </c>
      <c r="BF35" s="32">
        <f>-'Debt'!BF21</f>
      </c>
      <c r="BG35" s="32">
        <f>-'Debt'!BG21</f>
      </c>
      <c r="BH35" s="32">
        <f>-'Debt'!BH21</f>
      </c>
      <c r="BI35" s="32">
        <f>-'Debt'!BI21</f>
      </c>
      <c r="BJ35" s="32">
        <f>-'Debt'!BJ21</f>
      </c>
      <c r="BK35" s="32">
        <f>-'Debt'!BK21</f>
      </c>
      <c r="BL35" s="32">
        <f>-'Debt'!BL21</f>
      </c>
      <c r="BM35" s="32">
        <f>-'Debt'!BM21</f>
      </c>
      <c r="BN35" s="32">
        <f>-'Debt'!BN21</f>
      </c>
      <c r="BO35" s="32">
        <f>-'Debt'!BO21</f>
      </c>
      <c r="BP35" s="32">
        <f>-'Debt'!BP21</f>
      </c>
      <c r="BQ35" s="32">
        <f>-'Debt'!BQ21</f>
      </c>
      <c r="BR35" s="32">
        <f>-'Debt'!BR21</f>
      </c>
      <c r="BS35" s="32">
        <f>-'Debt'!BS21</f>
      </c>
      <c r="BT35" s="32">
        <f>-'Debt'!BT21</f>
      </c>
      <c r="BU35" s="32">
        <f>-'Debt'!BU21</f>
      </c>
      <c r="BV35" s="32">
        <f>-'Debt'!BV21</f>
      </c>
      <c r="BW35" s="32">
        <f>-'Debt'!BW21</f>
      </c>
      <c r="BX35" s="32">
        <f>-'Debt'!BX21</f>
      </c>
      <c r="BY35" s="32">
        <f>-'Debt'!BY21</f>
      </c>
      <c r="BZ35" s="32">
        <f>-'Debt'!BZ21</f>
      </c>
      <c r="CA35" s="32">
        <f>-'Debt'!CA21</f>
      </c>
      <c r="CB35" s="32">
        <f>-'Debt'!CB21</f>
      </c>
      <c r="CC35" s="32">
        <f>-'Debt'!CC21</f>
      </c>
      <c r="CD35" s="32">
        <f>-'Debt'!CD21</f>
      </c>
      <c r="CE35" s="32">
        <f>-'Debt'!CE21</f>
      </c>
      <c r="CF35" s="32">
        <f>-'Debt'!CF21</f>
      </c>
      <c r="CG35" s="32">
        <f>-'Debt'!CG21</f>
      </c>
      <c r="CH35" s="32">
        <f>-'Debt'!CH21</f>
      </c>
      <c r="CI35" s="32">
        <f>-'Debt'!CI21</f>
      </c>
      <c r="CJ35" s="32">
        <f>-'Debt'!CJ21</f>
      </c>
      <c r="CK35" s="32">
        <f>-'Debt'!CK21</f>
      </c>
      <c r="CL35" s="32">
        <f>-'Debt'!CL21</f>
      </c>
    </row>
    <row r="36" spans="2:90" x14ac:dyDescent="0.25">
      <c r="B36" s="28" t="s">
        <v>279</v>
      </c>
      <c r="C36" s="29" t="s">
        <v>205</v>
      </c>
      <c r="D36" s="32">
        <f>SUM(E36:CL36)</f>
      </c>
      <c r="E36" s="32">
        <f>-'Debt'!E30</f>
      </c>
      <c r="F36" s="32">
        <f>-'Debt'!F30</f>
      </c>
      <c r="G36" s="32">
        <f>-'Debt'!G30</f>
      </c>
      <c r="H36" s="32">
        <f>-'Debt'!H30</f>
      </c>
      <c r="I36" s="32">
        <f>-'Debt'!I30</f>
      </c>
      <c r="J36" s="32">
        <f>-'Debt'!J30</f>
      </c>
      <c r="K36" s="32">
        <f>-'Debt'!K30</f>
      </c>
      <c r="L36" s="32">
        <f>-'Debt'!L30</f>
      </c>
      <c r="M36" s="32">
        <f>-'Debt'!M30</f>
      </c>
      <c r="N36" s="32">
        <f>-'Debt'!N30</f>
      </c>
      <c r="O36" s="32">
        <f>-'Debt'!O30</f>
      </c>
      <c r="P36" s="32">
        <f>-'Debt'!P30</f>
      </c>
      <c r="Q36" s="32">
        <f>-'Debt'!Q30</f>
      </c>
      <c r="R36" s="32">
        <f>-'Debt'!R30</f>
      </c>
      <c r="S36" s="32">
        <f>-'Debt'!S30</f>
      </c>
      <c r="T36" s="32">
        <f>-'Debt'!T30</f>
      </c>
      <c r="U36" s="32">
        <f>-'Debt'!U30</f>
      </c>
      <c r="V36" s="32">
        <f>-'Debt'!V30</f>
      </c>
      <c r="W36" s="32">
        <f>-'Debt'!W30</f>
      </c>
      <c r="X36" s="32">
        <f>-'Debt'!X30</f>
      </c>
      <c r="Y36" s="32">
        <f>-'Debt'!Y30</f>
      </c>
      <c r="Z36" s="32">
        <f>-'Debt'!Z30</f>
      </c>
      <c r="AA36" s="32">
        <f>-'Debt'!AA30</f>
      </c>
      <c r="AB36" s="32">
        <f>-'Debt'!AB30</f>
      </c>
      <c r="AC36" s="32">
        <f>-'Debt'!AC30</f>
      </c>
      <c r="AD36" s="32">
        <f>-'Debt'!AD30</f>
      </c>
      <c r="AE36" s="32">
        <f>-'Debt'!AE30</f>
      </c>
      <c r="AF36" s="32">
        <f>-'Debt'!AF30</f>
      </c>
      <c r="AG36" s="32">
        <f>-'Debt'!AG30</f>
      </c>
      <c r="AH36" s="32">
        <f>-'Debt'!AH30</f>
      </c>
      <c r="AI36" s="32">
        <f>-'Debt'!AI30</f>
      </c>
      <c r="AJ36" s="32">
        <f>-'Debt'!AJ30</f>
      </c>
      <c r="AK36" s="32">
        <f>-'Debt'!AK30</f>
      </c>
      <c r="AL36" s="32">
        <f>-'Debt'!AL30</f>
      </c>
      <c r="AM36" s="32">
        <f>-'Debt'!AM30</f>
      </c>
      <c r="AN36" s="32">
        <f>-'Debt'!AN30</f>
      </c>
      <c r="AO36" s="32">
        <f>-'Debt'!AO30</f>
      </c>
      <c r="AP36" s="32">
        <f>-'Debt'!AP30</f>
      </c>
      <c r="AQ36" s="32">
        <f>-'Debt'!AQ30</f>
      </c>
      <c r="AR36" s="32">
        <f>-'Debt'!AR30</f>
      </c>
      <c r="AS36" s="32">
        <f>-'Debt'!AS30</f>
      </c>
      <c r="AT36" s="32">
        <f>-'Debt'!AT30</f>
      </c>
      <c r="AU36" s="32">
        <f>-'Debt'!AU30</f>
      </c>
      <c r="AV36" s="32">
        <f>-'Debt'!AV30</f>
      </c>
      <c r="AW36" s="32">
        <f>-'Debt'!AW30</f>
      </c>
      <c r="AX36" s="32">
        <f>-'Debt'!AX30</f>
      </c>
      <c r="AY36" s="32">
        <f>-'Debt'!AY30</f>
      </c>
      <c r="AZ36" s="32">
        <f>-'Debt'!AZ30</f>
      </c>
      <c r="BA36" s="32">
        <f>-'Debt'!BA30</f>
      </c>
      <c r="BB36" s="32">
        <f>-'Debt'!BB30</f>
      </c>
      <c r="BC36" s="32">
        <f>-'Debt'!BC30</f>
      </c>
      <c r="BD36" s="32">
        <f>-'Debt'!BD30</f>
      </c>
      <c r="BE36" s="32">
        <f>-'Debt'!BE30</f>
      </c>
      <c r="BF36" s="32">
        <f>-'Debt'!BF30</f>
      </c>
      <c r="BG36" s="32">
        <f>-'Debt'!BG30</f>
      </c>
      <c r="BH36" s="32">
        <f>-'Debt'!BH30</f>
      </c>
      <c r="BI36" s="32">
        <f>-'Debt'!BI30</f>
      </c>
      <c r="BJ36" s="32">
        <f>-'Debt'!BJ30</f>
      </c>
      <c r="BK36" s="32">
        <f>-'Debt'!BK30</f>
      </c>
      <c r="BL36" s="32">
        <f>-'Debt'!BL30</f>
      </c>
      <c r="BM36" s="32">
        <f>-'Debt'!BM30</f>
      </c>
      <c r="BN36" s="32">
        <f>-'Debt'!BN30</f>
      </c>
      <c r="BO36" s="32">
        <f>-'Debt'!BO30</f>
      </c>
      <c r="BP36" s="32">
        <f>-'Debt'!BP30</f>
      </c>
      <c r="BQ36" s="32">
        <f>-'Debt'!BQ30</f>
      </c>
      <c r="BR36" s="32">
        <f>-'Debt'!BR30</f>
      </c>
      <c r="BS36" s="32">
        <f>-'Debt'!BS30</f>
      </c>
      <c r="BT36" s="32">
        <f>-'Debt'!BT30</f>
      </c>
      <c r="BU36" s="32">
        <f>-'Debt'!BU30</f>
      </c>
      <c r="BV36" s="32">
        <f>-'Debt'!BV30</f>
      </c>
      <c r="BW36" s="32">
        <f>-'Debt'!BW30</f>
      </c>
      <c r="BX36" s="32">
        <f>-'Debt'!BX30</f>
      </c>
      <c r="BY36" s="32">
        <f>-'Debt'!BY30</f>
      </c>
      <c r="BZ36" s="32">
        <f>-'Debt'!BZ30</f>
      </c>
      <c r="CA36" s="32">
        <f>-'Debt'!CA30</f>
      </c>
      <c r="CB36" s="32">
        <f>-'Debt'!CB30</f>
      </c>
      <c r="CC36" s="32">
        <f>-'Debt'!CC30</f>
      </c>
      <c r="CD36" s="32">
        <f>-'Debt'!CD30</f>
      </c>
      <c r="CE36" s="32">
        <f>-'Debt'!CE30</f>
      </c>
      <c r="CF36" s="32">
        <f>-'Debt'!CF30</f>
      </c>
      <c r="CG36" s="32">
        <f>-'Debt'!CG30</f>
      </c>
      <c r="CH36" s="32">
        <f>-'Debt'!CH30</f>
      </c>
      <c r="CI36" s="32">
        <f>-'Debt'!CI30</f>
      </c>
      <c r="CJ36" s="32">
        <f>-'Debt'!CJ30</f>
      </c>
      <c r="CK36" s="32">
        <f>-'Debt'!CK30</f>
      </c>
      <c r="CL36" s="32">
        <f>-'Debt'!CL30</f>
      </c>
    </row>
    <row r="37" spans="2:90" x14ac:dyDescent="0.25">
      <c r="B37" s="28" t="s">
        <v>280</v>
      </c>
      <c r="C37" s="29" t="s">
        <v>205</v>
      </c>
      <c r="D37" s="32">
        <f>SUM(E37:CL37)</f>
      </c>
      <c r="E37" s="32">
        <f>-'Debt'!E39</f>
      </c>
      <c r="F37" s="32">
        <f>-'Debt'!F39</f>
      </c>
      <c r="G37" s="32">
        <f>-'Debt'!G39</f>
      </c>
      <c r="H37" s="32">
        <f>-'Debt'!H39</f>
      </c>
      <c r="I37" s="32">
        <f>-'Debt'!I39</f>
      </c>
      <c r="J37" s="32">
        <f>-'Debt'!J39</f>
      </c>
      <c r="K37" s="32">
        <f>-'Debt'!K39</f>
      </c>
      <c r="L37" s="32">
        <f>-'Debt'!L39</f>
      </c>
      <c r="M37" s="32">
        <f>-'Debt'!M39</f>
      </c>
      <c r="N37" s="32">
        <f>-'Debt'!N39</f>
      </c>
      <c r="O37" s="32">
        <f>-'Debt'!O39</f>
      </c>
      <c r="P37" s="32">
        <f>-'Debt'!P39</f>
      </c>
      <c r="Q37" s="32">
        <f>-'Debt'!Q39</f>
      </c>
      <c r="R37" s="32">
        <f>-'Debt'!R39</f>
      </c>
      <c r="S37" s="32">
        <f>-'Debt'!S39</f>
      </c>
      <c r="T37" s="32">
        <f>-'Debt'!T39</f>
      </c>
      <c r="U37" s="32">
        <f>-'Debt'!U39</f>
      </c>
      <c r="V37" s="32">
        <f>-'Debt'!V39</f>
      </c>
      <c r="W37" s="32">
        <f>-'Debt'!W39</f>
      </c>
      <c r="X37" s="32">
        <f>-'Debt'!X39</f>
      </c>
      <c r="Y37" s="32">
        <f>-'Debt'!Y39</f>
      </c>
      <c r="Z37" s="32">
        <f>-'Debt'!Z39</f>
      </c>
      <c r="AA37" s="32">
        <f>-'Debt'!AA39</f>
      </c>
      <c r="AB37" s="32">
        <f>-'Debt'!AB39</f>
      </c>
      <c r="AC37" s="32">
        <f>-'Debt'!AC39</f>
      </c>
      <c r="AD37" s="32">
        <f>-'Debt'!AD39</f>
      </c>
      <c r="AE37" s="32">
        <f>-'Debt'!AE39</f>
      </c>
      <c r="AF37" s="32">
        <f>-'Debt'!AF39</f>
      </c>
      <c r="AG37" s="32">
        <f>-'Debt'!AG39</f>
      </c>
      <c r="AH37" s="32">
        <f>-'Debt'!AH39</f>
      </c>
      <c r="AI37" s="32">
        <f>-'Debt'!AI39</f>
      </c>
      <c r="AJ37" s="32">
        <f>-'Debt'!AJ39</f>
      </c>
      <c r="AK37" s="32">
        <f>-'Debt'!AK39</f>
      </c>
      <c r="AL37" s="32">
        <f>-'Debt'!AL39</f>
      </c>
      <c r="AM37" s="32">
        <f>-'Debt'!AM39</f>
      </c>
      <c r="AN37" s="32">
        <f>-'Debt'!AN39</f>
      </c>
      <c r="AO37" s="32">
        <f>-'Debt'!AO39</f>
      </c>
      <c r="AP37" s="32">
        <f>-'Debt'!AP39</f>
      </c>
      <c r="AQ37" s="32">
        <f>-'Debt'!AQ39</f>
      </c>
      <c r="AR37" s="32">
        <f>-'Debt'!AR39</f>
      </c>
      <c r="AS37" s="32">
        <f>-'Debt'!AS39</f>
      </c>
      <c r="AT37" s="32">
        <f>-'Debt'!AT39</f>
      </c>
      <c r="AU37" s="32">
        <f>-'Debt'!AU39</f>
      </c>
      <c r="AV37" s="32">
        <f>-'Debt'!AV39</f>
      </c>
      <c r="AW37" s="32">
        <f>-'Debt'!AW39</f>
      </c>
      <c r="AX37" s="32">
        <f>-'Debt'!AX39</f>
      </c>
      <c r="AY37" s="32">
        <f>-'Debt'!AY39</f>
      </c>
      <c r="AZ37" s="32">
        <f>-'Debt'!AZ39</f>
      </c>
      <c r="BA37" s="32">
        <f>-'Debt'!BA39</f>
      </c>
      <c r="BB37" s="32">
        <f>-'Debt'!BB39</f>
      </c>
      <c r="BC37" s="32">
        <f>-'Debt'!BC39</f>
      </c>
      <c r="BD37" s="32">
        <f>-'Debt'!BD39</f>
      </c>
      <c r="BE37" s="32">
        <f>-'Debt'!BE39</f>
      </c>
      <c r="BF37" s="32">
        <f>-'Debt'!BF39</f>
      </c>
      <c r="BG37" s="32">
        <f>-'Debt'!BG39</f>
      </c>
      <c r="BH37" s="32">
        <f>-'Debt'!BH39</f>
      </c>
      <c r="BI37" s="32">
        <f>-'Debt'!BI39</f>
      </c>
      <c r="BJ37" s="32">
        <f>-'Debt'!BJ39</f>
      </c>
      <c r="BK37" s="32">
        <f>-'Debt'!BK39</f>
      </c>
      <c r="BL37" s="32">
        <f>-'Debt'!BL39</f>
      </c>
      <c r="BM37" s="32">
        <f>-'Debt'!BM39</f>
      </c>
      <c r="BN37" s="32">
        <f>-'Debt'!BN39</f>
      </c>
      <c r="BO37" s="32">
        <f>-'Debt'!BO39</f>
      </c>
      <c r="BP37" s="32">
        <f>-'Debt'!BP39</f>
      </c>
      <c r="BQ37" s="32">
        <f>-'Debt'!BQ39</f>
      </c>
      <c r="BR37" s="32">
        <f>-'Debt'!BR39</f>
      </c>
      <c r="BS37" s="32">
        <f>-'Debt'!BS39</f>
      </c>
      <c r="BT37" s="32">
        <f>-'Debt'!BT39</f>
      </c>
      <c r="BU37" s="32">
        <f>-'Debt'!BU39</f>
      </c>
      <c r="BV37" s="32">
        <f>-'Debt'!BV39</f>
      </c>
      <c r="BW37" s="32">
        <f>-'Debt'!BW39</f>
      </c>
      <c r="BX37" s="32">
        <f>-'Debt'!BX39</f>
      </c>
      <c r="BY37" s="32">
        <f>-'Debt'!BY39</f>
      </c>
      <c r="BZ37" s="32">
        <f>-'Debt'!BZ39</f>
      </c>
      <c r="CA37" s="32">
        <f>-'Debt'!CA39</f>
      </c>
      <c r="CB37" s="32">
        <f>-'Debt'!CB39</f>
      </c>
      <c r="CC37" s="32">
        <f>-'Debt'!CC39</f>
      </c>
      <c r="CD37" s="32">
        <f>-'Debt'!CD39</f>
      </c>
      <c r="CE37" s="32">
        <f>-'Debt'!CE39</f>
      </c>
      <c r="CF37" s="32">
        <f>-'Debt'!CF39</f>
      </c>
      <c r="CG37" s="32">
        <f>-'Debt'!CG39</f>
      </c>
      <c r="CH37" s="32">
        <f>-'Debt'!CH39</f>
      </c>
      <c r="CI37" s="32">
        <f>-'Debt'!CI39</f>
      </c>
      <c r="CJ37" s="32">
        <f>-'Debt'!CJ39</f>
      </c>
      <c r="CK37" s="32">
        <f>-'Debt'!CK39</f>
      </c>
      <c r="CL37" s="32">
        <f>-'Debt'!CL39</f>
      </c>
    </row>
    <row r="38" spans="2:90" x14ac:dyDescent="0.25">
      <c r="B38" s="28" t="s">
        <v>281</v>
      </c>
      <c r="C38" s="29" t="s">
        <v>205</v>
      </c>
      <c r="D38" s="32">
        <f>SUM(E38:CL38)</f>
      </c>
      <c r="E38" s="32">
        <f>-'Debt'!E48</f>
      </c>
      <c r="F38" s="32">
        <f>-'Debt'!F48</f>
      </c>
      <c r="G38" s="32">
        <f>-'Debt'!G48</f>
      </c>
      <c r="H38" s="32">
        <f>-'Debt'!H48</f>
      </c>
      <c r="I38" s="32">
        <f>-'Debt'!I48</f>
      </c>
      <c r="J38" s="32">
        <f>-'Debt'!J48</f>
      </c>
      <c r="K38" s="32">
        <f>-'Debt'!K48</f>
      </c>
      <c r="L38" s="32">
        <f>-'Debt'!L48</f>
      </c>
      <c r="M38" s="32">
        <f>-'Debt'!M48</f>
      </c>
      <c r="N38" s="32">
        <f>-'Debt'!N48</f>
      </c>
      <c r="O38" s="32">
        <f>-'Debt'!O48</f>
      </c>
      <c r="P38" s="32">
        <f>-'Debt'!P48</f>
      </c>
      <c r="Q38" s="32">
        <f>-'Debt'!Q48</f>
      </c>
      <c r="R38" s="32">
        <f>-'Debt'!R48</f>
      </c>
      <c r="S38" s="32">
        <f>-'Debt'!S48</f>
      </c>
      <c r="T38" s="32">
        <f>-'Debt'!T48</f>
      </c>
      <c r="U38" s="32">
        <f>-'Debt'!U48</f>
      </c>
      <c r="V38" s="32">
        <f>-'Debt'!V48</f>
      </c>
      <c r="W38" s="32">
        <f>-'Debt'!W48</f>
      </c>
      <c r="X38" s="32">
        <f>-'Debt'!X48</f>
      </c>
      <c r="Y38" s="32">
        <f>-'Debt'!Y48</f>
      </c>
      <c r="Z38" s="32">
        <f>-'Debt'!Z48</f>
      </c>
      <c r="AA38" s="32">
        <f>-'Debt'!AA48</f>
      </c>
      <c r="AB38" s="32">
        <f>-'Debt'!AB48</f>
      </c>
      <c r="AC38" s="32">
        <f>-'Debt'!AC48</f>
      </c>
      <c r="AD38" s="32">
        <f>-'Debt'!AD48</f>
      </c>
      <c r="AE38" s="32">
        <f>-'Debt'!AE48</f>
      </c>
      <c r="AF38" s="32">
        <f>-'Debt'!AF48</f>
      </c>
      <c r="AG38" s="32">
        <f>-'Debt'!AG48</f>
      </c>
      <c r="AH38" s="32">
        <f>-'Debt'!AH48</f>
      </c>
      <c r="AI38" s="32">
        <f>-'Debt'!AI48</f>
      </c>
      <c r="AJ38" s="32">
        <f>-'Debt'!AJ48</f>
      </c>
      <c r="AK38" s="32">
        <f>-'Debt'!AK48</f>
      </c>
      <c r="AL38" s="32">
        <f>-'Debt'!AL48</f>
      </c>
      <c r="AM38" s="32">
        <f>-'Debt'!AM48</f>
      </c>
      <c r="AN38" s="32">
        <f>-'Debt'!AN48</f>
      </c>
      <c r="AO38" s="32">
        <f>-'Debt'!AO48</f>
      </c>
      <c r="AP38" s="32">
        <f>-'Debt'!AP48</f>
      </c>
      <c r="AQ38" s="32">
        <f>-'Debt'!AQ48</f>
      </c>
      <c r="AR38" s="32">
        <f>-'Debt'!AR48</f>
      </c>
      <c r="AS38" s="32">
        <f>-'Debt'!AS48</f>
      </c>
      <c r="AT38" s="32">
        <f>-'Debt'!AT48</f>
      </c>
      <c r="AU38" s="32">
        <f>-'Debt'!AU48</f>
      </c>
      <c r="AV38" s="32">
        <f>-'Debt'!AV48</f>
      </c>
      <c r="AW38" s="32">
        <f>-'Debt'!AW48</f>
      </c>
      <c r="AX38" s="32">
        <f>-'Debt'!AX48</f>
      </c>
      <c r="AY38" s="32">
        <f>-'Debt'!AY48</f>
      </c>
      <c r="AZ38" s="32">
        <f>-'Debt'!AZ48</f>
      </c>
      <c r="BA38" s="32">
        <f>-'Debt'!BA48</f>
      </c>
      <c r="BB38" s="32">
        <f>-'Debt'!BB48</f>
      </c>
      <c r="BC38" s="32">
        <f>-'Debt'!BC48</f>
      </c>
      <c r="BD38" s="32">
        <f>-'Debt'!BD48</f>
      </c>
      <c r="BE38" s="32">
        <f>-'Debt'!BE48</f>
      </c>
      <c r="BF38" s="32">
        <f>-'Debt'!BF48</f>
      </c>
      <c r="BG38" s="32">
        <f>-'Debt'!BG48</f>
      </c>
      <c r="BH38" s="32">
        <f>-'Debt'!BH48</f>
      </c>
      <c r="BI38" s="32">
        <f>-'Debt'!BI48</f>
      </c>
      <c r="BJ38" s="32">
        <f>-'Debt'!BJ48</f>
      </c>
      <c r="BK38" s="32">
        <f>-'Debt'!BK48</f>
      </c>
      <c r="BL38" s="32">
        <f>-'Debt'!BL48</f>
      </c>
      <c r="BM38" s="32">
        <f>-'Debt'!BM48</f>
      </c>
      <c r="BN38" s="32">
        <f>-'Debt'!BN48</f>
      </c>
      <c r="BO38" s="32">
        <f>-'Debt'!BO48</f>
      </c>
      <c r="BP38" s="32">
        <f>-'Debt'!BP48</f>
      </c>
      <c r="BQ38" s="32">
        <f>-'Debt'!BQ48</f>
      </c>
      <c r="BR38" s="32">
        <f>-'Debt'!BR48</f>
      </c>
      <c r="BS38" s="32">
        <f>-'Debt'!BS48</f>
      </c>
      <c r="BT38" s="32">
        <f>-'Debt'!BT48</f>
      </c>
      <c r="BU38" s="32">
        <f>-'Debt'!BU48</f>
      </c>
      <c r="BV38" s="32">
        <f>-'Debt'!BV48</f>
      </c>
      <c r="BW38" s="32">
        <f>-'Debt'!BW48</f>
      </c>
      <c r="BX38" s="32">
        <f>-'Debt'!BX48</f>
      </c>
      <c r="BY38" s="32">
        <f>-'Debt'!BY48</f>
      </c>
      <c r="BZ38" s="32">
        <f>-'Debt'!BZ48</f>
      </c>
      <c r="CA38" s="32">
        <f>-'Debt'!CA48</f>
      </c>
      <c r="CB38" s="32">
        <f>-'Debt'!CB48</f>
      </c>
      <c r="CC38" s="32">
        <f>-'Debt'!CC48</f>
      </c>
      <c r="CD38" s="32">
        <f>-'Debt'!CD48</f>
      </c>
      <c r="CE38" s="32">
        <f>-'Debt'!CE48</f>
      </c>
      <c r="CF38" s="32">
        <f>-'Debt'!CF48</f>
      </c>
      <c r="CG38" s="32">
        <f>-'Debt'!CG48</f>
      </c>
      <c r="CH38" s="32">
        <f>-'Debt'!CH48</f>
      </c>
      <c r="CI38" s="32">
        <f>-'Debt'!CI48</f>
      </c>
      <c r="CJ38" s="32">
        <f>-'Debt'!CJ48</f>
      </c>
      <c r="CK38" s="32">
        <f>-'Debt'!CK48</f>
      </c>
      <c r="CL38" s="32">
        <f>-'Debt'!CL48</f>
      </c>
    </row>
    <row r="39" spans="2:90" x14ac:dyDescent="0.25">
      <c r="B39" s="42" t="s">
        <v>282</v>
      </c>
      <c r="C39" s="29" t="s">
        <v>205</v>
      </c>
      <c r="D39" s="14">
        <f>SUM(E39:CL39)</f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-1868.7499931823168</v>
      </c>
      <c r="L39" s="14">
        <v>-1868.7499931823168</v>
      </c>
      <c r="M39" s="14">
        <v>-1868.7499931823168</v>
      </c>
      <c r="N39" s="14">
        <v>-1868.7499931823168</v>
      </c>
      <c r="O39" s="14">
        <v>-1811.5195246411083</v>
      </c>
      <c r="P39" s="14">
        <v>-1772.2757747842797</v>
      </c>
      <c r="Q39" s="14">
        <v>-1747.9820248729097</v>
      </c>
      <c r="R39" s="14">
        <v>-1723.6882749615397</v>
      </c>
      <c r="S39" s="14">
        <v>-1697.5257750569872</v>
      </c>
      <c r="T39" s="14">
        <v>-1671.3632751524347</v>
      </c>
      <c r="U39" s="14">
        <v>-1645.2007752478821</v>
      </c>
      <c r="V39" s="14">
        <v>-1619.0382753433298</v>
      </c>
      <c r="W39" s="14">
        <v>-1592.8757754387775</v>
      </c>
      <c r="X39" s="14">
        <v>-1566.7132755342252</v>
      </c>
      <c r="Y39" s="14">
        <v>-1540.5507756296724</v>
      </c>
      <c r="Z39" s="14">
        <v>-1512.5195257319378</v>
      </c>
      <c r="AA39" s="14">
        <v>-1484.488275834203</v>
      </c>
      <c r="AB39" s="14">
        <v>-1456.4570259364682</v>
      </c>
      <c r="AC39" s="14">
        <v>-1428.4257760387336</v>
      </c>
      <c r="AD39" s="14">
        <v>-1400.3945261409988</v>
      </c>
      <c r="AE39" s="14">
        <v>-1372.3632762432642</v>
      </c>
      <c r="AF39" s="14">
        <v>-1343.1640575997903</v>
      </c>
      <c r="AG39" s="14">
        <v>-1313.9648389563167</v>
      </c>
      <c r="AH39" s="14">
        <v>-1284.7656203128429</v>
      </c>
      <c r="AI39" s="14">
        <v>-1255.5664016693693</v>
      </c>
      <c r="AJ39" s="14">
        <v>-1226.3671830258954</v>
      </c>
      <c r="AK39" s="14">
        <v>-1197.1679643824218</v>
      </c>
      <c r="AL39" s="14">
        <v>-1167.9687457389482</v>
      </c>
      <c r="AM39" s="14">
        <v>-1138.7695270954744</v>
      </c>
      <c r="AN39" s="14">
        <v>-1109.5703084520007</v>
      </c>
      <c r="AO39" s="14">
        <v>-1080.371089808527</v>
      </c>
      <c r="AP39" s="14">
        <v>-1051.1718711650533</v>
      </c>
      <c r="AQ39" s="14">
        <v>-1021.9726525215796</v>
      </c>
      <c r="AR39" s="14">
        <v>-992.7734338781058</v>
      </c>
      <c r="AS39" s="14">
        <v>-963.5742152346322</v>
      </c>
      <c r="AT39" s="14">
        <v>-934.3749965911585</v>
      </c>
      <c r="AU39" s="14">
        <v>-905.1757779476848</v>
      </c>
      <c r="AV39" s="14">
        <v>-875.976559304211</v>
      </c>
      <c r="AW39" s="14">
        <v>-846.7773406607373</v>
      </c>
      <c r="AX39" s="14">
        <v>-817.5781220172637</v>
      </c>
      <c r="AY39" s="14">
        <v>-788.37890337379</v>
      </c>
      <c r="AZ39" s="14">
        <v>-759.1796847303162</v>
      </c>
      <c r="BA39" s="14">
        <v>-729.9804660868425</v>
      </c>
      <c r="BB39" s="14">
        <v>-700.7812474433688</v>
      </c>
      <c r="BC39" s="14">
        <v>-671.5820287998952</v>
      </c>
      <c r="BD39" s="14">
        <v>-642.3828101564214</v>
      </c>
      <c r="BE39" s="14">
        <v>-613.1835915129477</v>
      </c>
      <c r="BF39" s="14">
        <v>-583.984372869474</v>
      </c>
      <c r="BG39" s="14">
        <v>-554.7851542260003</v>
      </c>
      <c r="BH39" s="14">
        <v>-525.5859355825266</v>
      </c>
      <c r="BI39" s="14">
        <v>-496.3867169390529</v>
      </c>
      <c r="BJ39" s="14">
        <v>-467.1874982955792</v>
      </c>
      <c r="BK39" s="14">
        <v>-437.98827965210546</v>
      </c>
      <c r="BL39" s="14">
        <v>-408.7890610086318</v>
      </c>
      <c r="BM39" s="14">
        <v>-379.58984236515806</v>
      </c>
      <c r="BN39" s="14">
        <v>-350.3906237216844</v>
      </c>
      <c r="BO39" s="14">
        <v>-321.19140507821066</v>
      </c>
      <c r="BP39" s="14">
        <v>-291.99218643473694</v>
      </c>
      <c r="BQ39" s="14">
        <v>-262.79296779126327</v>
      </c>
      <c r="BR39" s="14">
        <v>-233.59374914778954</v>
      </c>
      <c r="BS39" s="14">
        <v>-204.39453050431584</v>
      </c>
      <c r="BT39" s="14">
        <v>-175.19531186084214</v>
      </c>
      <c r="BU39" s="14">
        <v>-145.99609321736844</v>
      </c>
      <c r="BV39" s="14">
        <v>-116.79687457389474</v>
      </c>
      <c r="BW39" s="14">
        <v>-87.59765593042104</v>
      </c>
      <c r="BX39" s="14">
        <v>-58.39843728694735</v>
      </c>
      <c r="BY39" s="14">
        <v>-29.19921864347365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</row>
    <row r="40" spans="2:90" x14ac:dyDescent="0.25">
      <c r="B40" s="28" t="s">
        <v>283</v>
      </c>
      <c r="C40" s="29" t="s">
        <v>205</v>
      </c>
      <c r="D40" s="14">
        <f>SUM(E40:CL40)</f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-20</v>
      </c>
      <c r="N40" s="32">
        <v>0</v>
      </c>
      <c r="O40" s="32">
        <v>0</v>
      </c>
      <c r="P40" s="32">
        <v>0</v>
      </c>
      <c r="Q40" s="32">
        <v>-20</v>
      </c>
      <c r="R40" s="32">
        <v>0</v>
      </c>
      <c r="S40" s="32">
        <v>0</v>
      </c>
      <c r="T40" s="32">
        <v>0</v>
      </c>
      <c r="U40" s="32">
        <v>-20</v>
      </c>
      <c r="V40" s="32">
        <v>0</v>
      </c>
      <c r="W40" s="32">
        <v>0</v>
      </c>
      <c r="X40" s="32">
        <v>0</v>
      </c>
      <c r="Y40" s="32">
        <v>-20</v>
      </c>
      <c r="Z40" s="32">
        <v>0</v>
      </c>
      <c r="AA40" s="32">
        <v>0</v>
      </c>
      <c r="AB40" s="32">
        <v>0</v>
      </c>
      <c r="AC40" s="32">
        <v>-20</v>
      </c>
      <c r="AD40" s="32">
        <v>0</v>
      </c>
      <c r="AE40" s="32">
        <v>0</v>
      </c>
      <c r="AF40" s="32">
        <v>0</v>
      </c>
      <c r="AG40" s="32">
        <v>-20</v>
      </c>
      <c r="AH40" s="32">
        <v>0</v>
      </c>
      <c r="AI40" s="32">
        <v>0</v>
      </c>
      <c r="AJ40" s="32">
        <v>0</v>
      </c>
      <c r="AK40" s="32">
        <v>-20</v>
      </c>
      <c r="AL40" s="32">
        <v>0</v>
      </c>
      <c r="AM40" s="32">
        <v>0</v>
      </c>
      <c r="AN40" s="32">
        <v>0</v>
      </c>
      <c r="AO40" s="32">
        <v>-20</v>
      </c>
      <c r="AP40" s="32">
        <v>0</v>
      </c>
      <c r="AQ40" s="32">
        <v>0</v>
      </c>
      <c r="AR40" s="32">
        <v>0</v>
      </c>
      <c r="AS40" s="32">
        <v>-20</v>
      </c>
      <c r="AT40" s="32">
        <v>0</v>
      </c>
      <c r="AU40" s="32">
        <v>0</v>
      </c>
      <c r="AV40" s="32">
        <v>0</v>
      </c>
      <c r="AW40" s="32">
        <v>-20</v>
      </c>
      <c r="AX40" s="32">
        <v>0</v>
      </c>
      <c r="AY40" s="32">
        <v>0</v>
      </c>
      <c r="AZ40" s="32">
        <v>0</v>
      </c>
      <c r="BA40" s="32">
        <v>-20</v>
      </c>
      <c r="BB40" s="32">
        <v>0</v>
      </c>
      <c r="BC40" s="32">
        <v>0</v>
      </c>
      <c r="BD40" s="32">
        <v>0</v>
      </c>
      <c r="BE40" s="32">
        <v>-20</v>
      </c>
      <c r="BF40" s="32">
        <v>0</v>
      </c>
      <c r="BG40" s="32">
        <v>0</v>
      </c>
      <c r="BH40" s="32">
        <v>0</v>
      </c>
      <c r="BI40" s="32">
        <v>-20</v>
      </c>
      <c r="BJ40" s="32">
        <v>0</v>
      </c>
      <c r="BK40" s="32">
        <v>0</v>
      </c>
      <c r="BL40" s="32">
        <v>0</v>
      </c>
      <c r="BM40" s="32">
        <v>-20</v>
      </c>
      <c r="BN40" s="32">
        <v>0</v>
      </c>
      <c r="BO40" s="32">
        <v>0</v>
      </c>
      <c r="BP40" s="32">
        <v>0</v>
      </c>
      <c r="BQ40" s="32">
        <v>-20</v>
      </c>
      <c r="BR40" s="32">
        <v>0</v>
      </c>
      <c r="BS40" s="32">
        <v>0</v>
      </c>
      <c r="BT40" s="32">
        <v>0</v>
      </c>
      <c r="BU40" s="32">
        <v>-20</v>
      </c>
      <c r="BV40" s="32">
        <v>0</v>
      </c>
      <c r="BW40" s="32">
        <v>0</v>
      </c>
      <c r="BX40" s="32">
        <v>0</v>
      </c>
      <c r="BY40" s="32">
        <v>0</v>
      </c>
      <c r="BZ40" s="32">
        <v>0</v>
      </c>
      <c r="CA40" s="32">
        <v>0</v>
      </c>
      <c r="CB40" s="32">
        <v>0</v>
      </c>
      <c r="CC40" s="32">
        <v>0</v>
      </c>
      <c r="CD40" s="32">
        <v>0</v>
      </c>
      <c r="CE40" s="32">
        <v>0</v>
      </c>
      <c r="CF40" s="32">
        <v>0</v>
      </c>
      <c r="CG40" s="32">
        <v>0</v>
      </c>
      <c r="CH40" s="32">
        <v>0</v>
      </c>
      <c r="CI40" s="32">
        <v>0</v>
      </c>
      <c r="CJ40" s="32">
        <v>0</v>
      </c>
      <c r="CK40" s="32">
        <v>0</v>
      </c>
      <c r="CL40" s="32">
        <v>0</v>
      </c>
    </row>
    <row r="42" spans="2:90" x14ac:dyDescent="0.25">
      <c r="B42" s="42" t="s">
        <v>284</v>
      </c>
      <c r="C42" s="29" t="s">
        <v>205</v>
      </c>
      <c r="D42" s="14">
        <f>SUM(E42:CL42)</f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51.82367533310571</v>
      </c>
      <c r="L42" s="14">
        <v>158.21550067744283</v>
      </c>
      <c r="M42" s="14">
        <v>1542.5875952226734</v>
      </c>
      <c r="N42" s="14">
        <v>-263.0961276861276</v>
      </c>
      <c r="O42" s="14">
        <v>75.70898246599927</v>
      </c>
      <c r="P42" s="14">
        <v>220.8125985404415</v>
      </c>
      <c r="Q42" s="14">
        <v>1622.4565825243167</v>
      </c>
      <c r="R42" s="14">
        <v>-149.80497185856848</v>
      </c>
      <c r="S42" s="14">
        <v>156.2181956418044</v>
      </c>
      <c r="T42" s="14">
        <v>287.7086026372481</v>
      </c>
      <c r="U42" s="14">
        <v>1684.1994761415817</v>
      </c>
      <c r="V42" s="14">
        <v>-77.06490963357896</v>
      </c>
      <c r="W42" s="14">
        <v>234.741918226699</v>
      </c>
      <c r="X42" s="14">
        <v>365.7003660954217</v>
      </c>
      <c r="Y42" s="14">
        <v>1755.1693791270277</v>
      </c>
      <c r="Z42" s="14">
        <v>4.9021619595935135</v>
      </c>
      <c r="AA42" s="14">
        <v>309.35899356358436</v>
      </c>
      <c r="AB42" s="14">
        <v>441.65423229876615</v>
      </c>
      <c r="AC42" s="14">
        <v>1825.9701348508288</v>
      </c>
      <c r="AD42" s="14">
        <v>84.83133629793929</v>
      </c>
      <c r="AE42" s="14">
        <v>392.5669733339412</v>
      </c>
      <c r="AF42" s="14">
        <v>525.4982216881422</v>
      </c>
      <c r="AG42" s="14">
        <v>1903.9602325132178</v>
      </c>
      <c r="AH42" s="14">
        <v>173.1178213206099</v>
      </c>
      <c r="AI42" s="14">
        <v>475.29774176887054</v>
      </c>
      <c r="AJ42" s="14">
        <v>607.697030996349</v>
      </c>
      <c r="AK42" s="14">
        <v>1979.1371813486985</v>
      </c>
      <c r="AL42" s="14">
        <v>257.4231887706353</v>
      </c>
      <c r="AM42" s="14">
        <v>557.876889921796</v>
      </c>
      <c r="AN42" s="14">
        <v>689.7442200225544</v>
      </c>
      <c r="AO42" s="14">
        <v>2054.162509902177</v>
      </c>
      <c r="AP42" s="14">
        <v>341.5769359386584</v>
      </c>
      <c r="AQ42" s="14">
        <v>640.3018398662667</v>
      </c>
      <c r="AR42" s="14">
        <v>771.6372108403029</v>
      </c>
      <c r="AS42" s="14">
        <v>2129.0336402472003</v>
      </c>
      <c r="AT42" s="14">
        <v>425.5764848982234</v>
      </c>
      <c r="AU42" s="14">
        <v>722.5699689344924</v>
      </c>
      <c r="AV42" s="14">
        <v>853.373380781807</v>
      </c>
      <c r="AW42" s="14">
        <v>2203.7479497159757</v>
      </c>
      <c r="AX42" s="14">
        <v>509.4192129815458</v>
      </c>
      <c r="AY42" s="14">
        <v>804.6786089247672</v>
      </c>
      <c r="AZ42" s="14">
        <v>934.9500616453595</v>
      </c>
      <c r="BA42" s="14">
        <v>2278.3027701068036</v>
      </c>
      <c r="BB42" s="14">
        <v>593.102451986917</v>
      </c>
      <c r="BC42" s="14">
        <v>886.6250452945942</v>
      </c>
      <c r="BD42" s="14">
        <v>1016.3645388884648</v>
      </c>
      <c r="BE42" s="14">
        <v>2352.6953868771834</v>
      </c>
      <c r="BF42" s="14">
        <v>676.6234873718403</v>
      </c>
      <c r="BG42" s="14">
        <v>968.4065163392108</v>
      </c>
      <c r="BH42" s="14">
        <v>1097.6140508063602</v>
      </c>
      <c r="BI42" s="14">
        <v>2426.9230383223517</v>
      </c>
      <c r="BJ42" s="14">
        <v>759.9795574315522</v>
      </c>
      <c r="BK42" s="14">
        <v>1050.0202123552726</v>
      </c>
      <c r="BL42" s="14">
        <v>1178.6957876957</v>
      </c>
      <c r="BM42" s="14">
        <v>2500.982914738967</v>
      </c>
      <c r="BN42" s="14">
        <v>843.1678524627101</v>
      </c>
      <c r="BO42" s="14">
        <v>1131.4632747894148</v>
      </c>
      <c r="BP42" s="14">
        <v>1259.6068910031213</v>
      </c>
      <c r="BQ42" s="14">
        <v>2574.8721575736604</v>
      </c>
      <c r="BR42" s="14">
        <v>926.1855139119491</v>
      </c>
      <c r="BS42" s="14">
        <v>1212.732795371418</v>
      </c>
      <c r="BT42" s="14">
        <v>1340.3444524584024</v>
      </c>
      <c r="BU42" s="14">
        <v>2648.5878585562145</v>
      </c>
      <c r="BV42" s="14">
        <v>1009.0296335090477</v>
      </c>
      <c r="BW42" s="14">
        <v>1293.8258152316746</v>
      </c>
      <c r="BX42" s="14">
        <v>1420.9055131919365</v>
      </c>
      <c r="BY42" s="14">
        <v>2742.1270588170246</v>
      </c>
      <c r="BZ42" s="14">
        <v>1091.6972523844015</v>
      </c>
      <c r="CA42" s="14">
        <v>1345.5401053592257</v>
      </c>
      <c r="CB42" s="14">
        <v>1442.8886255492941</v>
      </c>
      <c r="CC42" s="14">
        <v>2727.8890920581807</v>
      </c>
      <c r="CD42" s="14">
        <v>1057.3884855966269</v>
      </c>
      <c r="CE42" s="14">
        <v>1309.4741656869937</v>
      </c>
      <c r="CF42" s="14">
        <v>1406.2907267503388</v>
      </c>
      <c r="CG42" s="14">
        <v>2712.187398524971</v>
      </c>
      <c r="CH42" s="14">
        <v>1106.6513421549032</v>
      </c>
      <c r="CI42" s="14">
        <v>1356.9767332367016</v>
      </c>
      <c r="CJ42" s="14">
        <v>1453.2613351733246</v>
      </c>
      <c r="CK42" s="14">
        <v>2724.2180807367595</v>
      </c>
      <c r="CL42" s="14">
        <v>1071.9743115042945</v>
      </c>
    </row>
    <row r="43" spans="2:90" x14ac:dyDescent="0.25">
      <c r="B43" s="28" t="s">
        <v>285</v>
      </c>
      <c r="C43" s="29" t="s">
        <v>205</v>
      </c>
      <c r="D43" s="14">
        <f>SUM(E43:CL43)</f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-15.719974384634222</v>
      </c>
      <c r="M43" s="32">
        <v>-153.26840530241566</v>
      </c>
      <c r="N43" s="32">
        <v>0</v>
      </c>
      <c r="O43" s="32">
        <v>-7.522292442626082</v>
      </c>
      <c r="P43" s="32">
        <v>-27.11824956727785</v>
      </c>
      <c r="Q43" s="32">
        <v>-199.25576170831098</v>
      </c>
      <c r="R43" s="32">
        <v>0</v>
      </c>
      <c r="S43" s="32">
        <v>-19.185336544954453</v>
      </c>
      <c r="T43" s="32">
        <v>-36.68793391463833</v>
      </c>
      <c r="U43" s="32">
        <v>-214.76521213951094</v>
      </c>
      <c r="V43" s="32">
        <v>0</v>
      </c>
      <c r="W43" s="32">
        <v>-29.93374512946035</v>
      </c>
      <c r="X43" s="32">
        <v>-48.13120342239072</v>
      </c>
      <c r="Y43" s="32">
        <v>-231.00445681662603</v>
      </c>
      <c r="Z43" s="32">
        <v>-0.6451920106230782</v>
      </c>
      <c r="AA43" s="32">
        <v>-40.7159030458005</v>
      </c>
      <c r="AB43" s="32">
        <v>-57.94759788621606</v>
      </c>
      <c r="AC43" s="32">
        <v>-239.57787651177262</v>
      </c>
      <c r="AD43" s="32">
        <v>-11.13036353881915</v>
      </c>
      <c r="AE43" s="32">
        <v>-51.50706469122107</v>
      </c>
      <c r="AF43" s="32">
        <v>-78.48959634084117</v>
      </c>
      <c r="AG43" s="32">
        <v>-284.37978271154384</v>
      </c>
      <c r="AH43" s="32">
        <v>-25.85726716868764</v>
      </c>
      <c r="AI43" s="32">
        <v>-70.9915397492844</v>
      </c>
      <c r="AJ43" s="32">
        <v>-126.81219495501956</v>
      </c>
      <c r="AK43" s="32">
        <v>-412.99976350456603</v>
      </c>
      <c r="AL43" s="32">
        <v>-53.718214727497546</v>
      </c>
      <c r="AM43" s="32">
        <v>-116.41589363974992</v>
      </c>
      <c r="AN43" s="32">
        <v>-143.95290207016217</v>
      </c>
      <c r="AO43" s="32">
        <v>-428.71349413334303</v>
      </c>
      <c r="AP43" s="32">
        <v>-71.28873252028973</v>
      </c>
      <c r="AQ43" s="32">
        <v>-133.6340419737034</v>
      </c>
      <c r="AR43" s="32">
        <v>-161.06253536830772</v>
      </c>
      <c r="AS43" s="32">
        <v>-444.3896058475585</v>
      </c>
      <c r="AT43" s="32">
        <v>-88.82986290435137</v>
      </c>
      <c r="AU43" s="32">
        <v>-150.82081260810833</v>
      </c>
      <c r="AV43" s="32">
        <v>-178.14028854946673</v>
      </c>
      <c r="AW43" s="32">
        <v>-460.02875704072926</v>
      </c>
      <c r="AX43" s="32">
        <v>-106.34042218429305</v>
      </c>
      <c r="AY43" s="32">
        <v>-167.97533507796697</v>
      </c>
      <c r="AZ43" s="32">
        <v>-195.18541748038308</v>
      </c>
      <c r="BA43" s="32">
        <v>-475.6312615750035</v>
      </c>
      <c r="BB43" s="32">
        <v>-123.81939362192013</v>
      </c>
      <c r="BC43" s="32">
        <v>-185.09681609073124</v>
      </c>
      <c r="BD43" s="32">
        <v>-212.1972167607099</v>
      </c>
      <c r="BE43" s="32">
        <v>-491.197197343271</v>
      </c>
      <c r="BF43" s="32">
        <v>-141.2658699921308</v>
      </c>
      <c r="BG43" s="32">
        <v>-202.18451116451848</v>
      </c>
      <c r="BH43" s="32">
        <v>-229.1750047948267</v>
      </c>
      <c r="BI43" s="32">
        <v>-506.72647506251974</v>
      </c>
      <c r="BJ43" s="32">
        <v>-158.67901708291163</v>
      </c>
      <c r="BK43" s="32">
        <v>-219.23770657308916</v>
      </c>
      <c r="BL43" s="32">
        <v>-246.1181139473334</v>
      </c>
      <c r="BM43" s="32">
        <v>-522.2188832908346</v>
      </c>
      <c r="BN43" s="32">
        <v>-176.05804971513155</v>
      </c>
      <c r="BO43" s="32">
        <v>-236.25570745124003</v>
      </c>
      <c r="BP43" s="32">
        <v>-263.02588384757536</v>
      </c>
      <c r="BQ43" s="32">
        <v>-537.6741187093484</v>
      </c>
      <c r="BR43" s="32">
        <v>-193.40221551940334</v>
      </c>
      <c r="BS43" s="32">
        <v>-253.2378297164441</v>
      </c>
      <c r="BT43" s="32">
        <v>-279.89765670608534</v>
      </c>
      <c r="BU43" s="32">
        <v>-553.0918069831607</v>
      </c>
      <c r="BV43" s="32">
        <v>-210.71078367069796</v>
      </c>
      <c r="BW43" s="32">
        <v>-270.18339442892216</v>
      </c>
      <c r="BX43" s="32">
        <v>-296.73244435665816</v>
      </c>
      <c r="BY43" s="32">
        <v>-572.6475528069807</v>
      </c>
      <c r="BZ43" s="32">
        <v>-227.9827836474253</v>
      </c>
      <c r="CA43" s="32">
        <v>-280.9936345072267</v>
      </c>
      <c r="CB43" s="32">
        <v>-301.32094745720104</v>
      </c>
      <c r="CC43" s="32">
        <v>-569.6698353722337</v>
      </c>
      <c r="CD43" s="32">
        <v>-220.816281082691</v>
      </c>
      <c r="CE43" s="32">
        <v>-273.45977318611335</v>
      </c>
      <c r="CF43" s="32">
        <v>-293.6797429239028</v>
      </c>
      <c r="CG43" s="32">
        <v>-566.3939061881254</v>
      </c>
      <c r="CH43" s="32">
        <v>-231.10518720510765</v>
      </c>
      <c r="CI43" s="32">
        <v>-283.3813596222492</v>
      </c>
      <c r="CJ43" s="32">
        <v>-186.261278694276</v>
      </c>
      <c r="CK43" s="32">
        <v>-349.1569829039577</v>
      </c>
      <c r="CL43" s="32">
        <v>-137.39256743137153</v>
      </c>
    </row>
    <row r="44" spans="2:91" x14ac:dyDescent="0.25">
      <c r="B44" s="40" t="s">
        <v>286</v>
      </c>
      <c r="C44" s="44" t="s">
        <v>205</v>
      </c>
      <c r="D44" s="39">
        <f>SUM(E44:CL44)</f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  <c r="J44" s="39">
        <v>0</v>
      </c>
      <c r="K44" s="39">
        <v>51.82367533310571</v>
      </c>
      <c r="L44" s="39">
        <v>142.49552629280862</v>
      </c>
      <c r="M44" s="39">
        <v>1389.3191899202577</v>
      </c>
      <c r="N44" s="39">
        <v>-263.0961276861276</v>
      </c>
      <c r="O44" s="39">
        <v>68.18669002337319</v>
      </c>
      <c r="P44" s="39">
        <v>193.69434897316367</v>
      </c>
      <c r="Q44" s="39">
        <v>1423.2008208160057</v>
      </c>
      <c r="R44" s="39">
        <v>-149.80497185856848</v>
      </c>
      <c r="S44" s="39">
        <v>137.03285909684996</v>
      </c>
      <c r="T44" s="39">
        <v>251.02066872260974</v>
      </c>
      <c r="U44" s="39">
        <v>1469.434264002071</v>
      </c>
      <c r="V44" s="39">
        <v>-77.06490963357896</v>
      </c>
      <c r="W44" s="39">
        <v>204.80817309723864</v>
      </c>
      <c r="X44" s="39">
        <v>317.569162673031</v>
      </c>
      <c r="Y44" s="39">
        <v>1524.1649223104016</v>
      </c>
      <c r="Z44" s="39">
        <v>4.256969948970435</v>
      </c>
      <c r="AA44" s="39">
        <v>268.6430905177839</v>
      </c>
      <c r="AB44" s="39">
        <v>383.7066344125501</v>
      </c>
      <c r="AC44" s="39">
        <v>1586.3922583390563</v>
      </c>
      <c r="AD44" s="39">
        <v>73.70097275912013</v>
      </c>
      <c r="AE44" s="39">
        <v>341.05990864272013</v>
      </c>
      <c r="AF44" s="39">
        <v>447.008625347301</v>
      </c>
      <c r="AG44" s="39">
        <v>1619.580449801674</v>
      </c>
      <c r="AH44" s="39">
        <v>147.26055415192226</v>
      </c>
      <c r="AI44" s="39">
        <v>404.3062020195861</v>
      </c>
      <c r="AJ44" s="39">
        <v>480.88483604132944</v>
      </c>
      <c r="AK44" s="39">
        <v>1566.1374178441324</v>
      </c>
      <c r="AL44" s="39">
        <v>203.70497404313775</v>
      </c>
      <c r="AM44" s="39">
        <v>441.46099628204604</v>
      </c>
      <c r="AN44" s="39">
        <v>545.7913179523922</v>
      </c>
      <c r="AO44" s="39">
        <v>1625.4490157688342</v>
      </c>
      <c r="AP44" s="39">
        <v>270.28820341836865</v>
      </c>
      <c r="AQ44" s="39">
        <v>506.6677978925633</v>
      </c>
      <c r="AR44" s="39">
        <v>610.5746754719952</v>
      </c>
      <c r="AS44" s="39">
        <v>1684.644034399642</v>
      </c>
      <c r="AT44" s="39">
        <v>336.746621993872</v>
      </c>
      <c r="AU44" s="39">
        <v>571.7491563263841</v>
      </c>
      <c r="AV44" s="39">
        <v>675.2330922323403</v>
      </c>
      <c r="AW44" s="39">
        <v>1743.7191926752464</v>
      </c>
      <c r="AX44" s="39">
        <v>403.07879079725274</v>
      </c>
      <c r="AY44" s="39">
        <v>636.7032738468002</v>
      </c>
      <c r="AZ44" s="39">
        <v>739.7646441649764</v>
      </c>
      <c r="BA44" s="39">
        <v>1802.6715085318</v>
      </c>
      <c r="BB44" s="39">
        <v>469.28305836499686</v>
      </c>
      <c r="BC44" s="39">
        <v>701.528229203863</v>
      </c>
      <c r="BD44" s="39">
        <v>804.1673221277549</v>
      </c>
      <c r="BE44" s="39">
        <v>1861.4981895339124</v>
      </c>
      <c r="BF44" s="39">
        <v>535.3576173797095</v>
      </c>
      <c r="BG44" s="39">
        <v>766.2220051746924</v>
      </c>
      <c r="BH44" s="39">
        <v>868.4390460115335</v>
      </c>
      <c r="BI44" s="39">
        <v>1920.196563259832</v>
      </c>
      <c r="BJ44" s="39">
        <v>601.3005403486405</v>
      </c>
      <c r="BK44" s="39">
        <v>830.7825057821835</v>
      </c>
      <c r="BL44" s="39">
        <v>932.5776737483665</v>
      </c>
      <c r="BM44" s="39">
        <v>1978.7640314481323</v>
      </c>
      <c r="BN44" s="39">
        <v>667.1098027475786</v>
      </c>
      <c r="BO44" s="39">
        <v>895.2075673381747</v>
      </c>
      <c r="BP44" s="39">
        <v>996.5810071555459</v>
      </c>
      <c r="BQ44" s="39">
        <v>2037.198038864312</v>
      </c>
      <c r="BR44" s="39">
        <v>732.7832983925457</v>
      </c>
      <c r="BS44" s="39">
        <v>959.4949656549738</v>
      </c>
      <c r="BT44" s="39">
        <v>1060.446795752317</v>
      </c>
      <c r="BU44" s="39">
        <v>2095.4960515730536</v>
      </c>
      <c r="BV44" s="39">
        <v>798.3188498383497</v>
      </c>
      <c r="BW44" s="39">
        <v>1023.6424208027524</v>
      </c>
      <c r="BX44" s="39">
        <v>1124.1730688352784</v>
      </c>
      <c r="BY44" s="39">
        <v>2169.479506010044</v>
      </c>
      <c r="BZ44" s="39">
        <v>863.7144687369762</v>
      </c>
      <c r="CA44" s="39">
        <v>1064.546470851999</v>
      </c>
      <c r="CB44" s="39">
        <v>1141.567678092093</v>
      </c>
      <c r="CC44" s="39">
        <v>2158.219256685947</v>
      </c>
      <c r="CD44" s="39">
        <v>836.5722045139358</v>
      </c>
      <c r="CE44" s="39">
        <v>1036.0143925008804</v>
      </c>
      <c r="CF44" s="39">
        <v>1112.610983826436</v>
      </c>
      <c r="CG44" s="39">
        <v>2145.7934923368457</v>
      </c>
      <c r="CH44" s="39">
        <v>875.5461549497956</v>
      </c>
      <c r="CI44" s="39">
        <v>1073.5953736144525</v>
      </c>
      <c r="CJ44" s="39">
        <v>1267.0000564790487</v>
      </c>
      <c r="CK44" s="39">
        <v>2375.061097832802</v>
      </c>
      <c r="CL44" s="39">
        <v>934.581744072923</v>
      </c>
      <c r="CM44" s="41"/>
    </row>
    <row r="46" spans="2:2" x14ac:dyDescent="0.25">
      <c r="B46" s="33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288</v>
      </c>
    </row>
    <row r="4" spans="2:91" x14ac:dyDescent="0.25">
      <c r="B4" s="9" t="s">
        <v>289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81</v>
      </c>
      <c r="C6" s="24" t="s">
        <v>82</v>
      </c>
      <c r="D6" s="24" t="s">
        <v>83</v>
      </c>
      <c r="E6" s="27" t="s">
        <v>84</v>
      </c>
      <c r="F6" s="27" t="s">
        <v>85</v>
      </c>
      <c r="G6" s="27" t="s">
        <v>86</v>
      </c>
      <c r="H6" s="27" t="s">
        <v>87</v>
      </c>
      <c r="I6" s="27" t="s">
        <v>88</v>
      </c>
      <c r="J6" s="27" t="s">
        <v>89</v>
      </c>
      <c r="K6" s="27" t="s">
        <v>90</v>
      </c>
      <c r="L6" s="27" t="s">
        <v>91</v>
      </c>
      <c r="M6" s="27" t="s">
        <v>92</v>
      </c>
      <c r="N6" s="27" t="s">
        <v>93</v>
      </c>
      <c r="O6" s="27" t="s">
        <v>94</v>
      </c>
      <c r="P6" s="27" t="s">
        <v>95</v>
      </c>
      <c r="Q6" s="27" t="s">
        <v>96</v>
      </c>
      <c r="R6" s="27" t="s">
        <v>97</v>
      </c>
      <c r="S6" s="27" t="s">
        <v>98</v>
      </c>
      <c r="T6" s="27" t="s">
        <v>99</v>
      </c>
      <c r="U6" s="27" t="s">
        <v>100</v>
      </c>
      <c r="V6" s="27" t="s">
        <v>101</v>
      </c>
      <c r="W6" s="27" t="s">
        <v>102</v>
      </c>
      <c r="X6" s="27" t="s">
        <v>103</v>
      </c>
      <c r="Y6" s="27" t="s">
        <v>104</v>
      </c>
      <c r="Z6" s="27" t="s">
        <v>105</v>
      </c>
      <c r="AA6" s="27" t="s">
        <v>106</v>
      </c>
      <c r="AB6" s="27" t="s">
        <v>107</v>
      </c>
      <c r="AC6" s="27" t="s">
        <v>108</v>
      </c>
      <c r="AD6" s="27" t="s">
        <v>109</v>
      </c>
      <c r="AE6" s="27" t="s">
        <v>110</v>
      </c>
      <c r="AF6" s="27" t="s">
        <v>111</v>
      </c>
      <c r="AG6" s="27" t="s">
        <v>112</v>
      </c>
      <c r="AH6" s="27" t="s">
        <v>113</v>
      </c>
      <c r="AI6" s="27" t="s">
        <v>114</v>
      </c>
      <c r="AJ6" s="27" t="s">
        <v>115</v>
      </c>
      <c r="AK6" s="27" t="s">
        <v>116</v>
      </c>
      <c r="AL6" s="27" t="s">
        <v>117</v>
      </c>
      <c r="AM6" s="27" t="s">
        <v>118</v>
      </c>
      <c r="AN6" s="27" t="s">
        <v>119</v>
      </c>
      <c r="AO6" s="27" t="s">
        <v>120</v>
      </c>
      <c r="AP6" s="27" t="s">
        <v>121</v>
      </c>
      <c r="AQ6" s="27" t="s">
        <v>122</v>
      </c>
      <c r="AR6" s="27" t="s">
        <v>123</v>
      </c>
      <c r="AS6" s="27" t="s">
        <v>124</v>
      </c>
      <c r="AT6" s="27" t="s">
        <v>125</v>
      </c>
      <c r="AU6" s="27" t="s">
        <v>126</v>
      </c>
      <c r="AV6" s="27" t="s">
        <v>127</v>
      </c>
      <c r="AW6" s="27" t="s">
        <v>128</v>
      </c>
      <c r="AX6" s="27" t="s">
        <v>129</v>
      </c>
      <c r="AY6" s="27" t="s">
        <v>130</v>
      </c>
      <c r="AZ6" s="27" t="s">
        <v>131</v>
      </c>
      <c r="BA6" s="27" t="s">
        <v>132</v>
      </c>
      <c r="BB6" s="27" t="s">
        <v>133</v>
      </c>
      <c r="BC6" s="27" t="s">
        <v>134</v>
      </c>
      <c r="BD6" s="27" t="s">
        <v>135</v>
      </c>
      <c r="BE6" s="27" t="s">
        <v>136</v>
      </c>
      <c r="BF6" s="27" t="s">
        <v>137</v>
      </c>
      <c r="BG6" s="27" t="s">
        <v>138</v>
      </c>
      <c r="BH6" s="27" t="s">
        <v>139</v>
      </c>
      <c r="BI6" s="27" t="s">
        <v>140</v>
      </c>
      <c r="BJ6" s="27" t="s">
        <v>141</v>
      </c>
      <c r="BK6" s="27" t="s">
        <v>142</v>
      </c>
      <c r="BL6" s="27" t="s">
        <v>143</v>
      </c>
      <c r="BM6" s="27" t="s">
        <v>144</v>
      </c>
      <c r="BN6" s="27" t="s">
        <v>145</v>
      </c>
      <c r="BO6" s="27" t="s">
        <v>146</v>
      </c>
      <c r="BP6" s="27" t="s">
        <v>147</v>
      </c>
      <c r="BQ6" s="27" t="s">
        <v>148</v>
      </c>
      <c r="BR6" s="27" t="s">
        <v>149</v>
      </c>
      <c r="BS6" s="27" t="s">
        <v>150</v>
      </c>
      <c r="BT6" s="27" t="s">
        <v>151</v>
      </c>
      <c r="BU6" s="27" t="s">
        <v>152</v>
      </c>
      <c r="BV6" s="27" t="s">
        <v>153</v>
      </c>
      <c r="BW6" s="27" t="s">
        <v>154</v>
      </c>
      <c r="BX6" s="27" t="s">
        <v>155</v>
      </c>
      <c r="BY6" s="27" t="s">
        <v>156</v>
      </c>
      <c r="BZ6" s="27" t="s">
        <v>157</v>
      </c>
      <c r="CA6" s="27" t="s">
        <v>158</v>
      </c>
      <c r="CB6" s="27" t="s">
        <v>159</v>
      </c>
      <c r="CC6" s="27" t="s">
        <v>160</v>
      </c>
      <c r="CD6" s="27" t="s">
        <v>161</v>
      </c>
      <c r="CE6" s="27" t="s">
        <v>162</v>
      </c>
      <c r="CF6" s="27" t="s">
        <v>163</v>
      </c>
      <c r="CG6" s="27" t="s">
        <v>164</v>
      </c>
      <c r="CH6" s="27" t="s">
        <v>165</v>
      </c>
      <c r="CI6" s="27" t="s">
        <v>166</v>
      </c>
      <c r="CJ6" s="27" t="s">
        <v>167</v>
      </c>
      <c r="CK6" s="27" t="s">
        <v>168</v>
      </c>
      <c r="CL6" s="27" t="s">
        <v>169</v>
      </c>
    </row>
    <row r="9" spans="2:91" x14ac:dyDescent="0.25">
      <c r="B9" s="40" t="s">
        <v>290</v>
      </c>
      <c r="C9" s="44" t="s">
        <v>205</v>
      </c>
      <c r="D9" s="39">
        <f>SUM(E9:CL9)</f>
      </c>
      <c r="E9" s="39">
        <v>0</v>
      </c>
      <c r="F9" s="39">
        <v>0</v>
      </c>
      <c r="G9" s="39">
        <v>0</v>
      </c>
      <c r="H9" s="39">
        <v>0</v>
      </c>
      <c r="I9" s="39">
        <v>0</v>
      </c>
      <c r="J9" s="39">
        <v>0</v>
      </c>
      <c r="K9" s="39">
        <v>2707.595827038748</v>
      </c>
      <c r="L9" s="39">
        <v>4429.202716887319</v>
      </c>
      <c r="M9" s="39">
        <v>4262.9091085416685</v>
      </c>
      <c r="N9" s="39">
        <v>4668.3167726650645</v>
      </c>
      <c r="O9" s="39">
        <v>4242.037819508218</v>
      </c>
      <c r="P9" s="39">
        <v>4389.729828248316</v>
      </c>
      <c r="Q9" s="39">
        <v>4183.990864566553</v>
      </c>
      <c r="R9" s="39">
        <v>4639.12518880174</v>
      </c>
      <c r="S9" s="39">
        <v>4203.125034950459</v>
      </c>
      <c r="T9" s="39">
        <v>4352.030530444595</v>
      </c>
      <c r="U9" s="39">
        <v>4135.495526566132</v>
      </c>
      <c r="V9" s="39">
        <v>4609.878604938413</v>
      </c>
      <c r="W9" s="39">
        <v>4172.570785910522</v>
      </c>
      <c r="X9" s="39">
        <v>4319.901547480483</v>
      </c>
      <c r="Y9" s="39">
        <v>4093.714294319797</v>
      </c>
      <c r="Z9" s="39">
        <v>4587.430729064465</v>
      </c>
      <c r="AA9" s="39">
        <v>4134.425565538753</v>
      </c>
      <c r="AB9" s="39">
        <v>4281.842217560298</v>
      </c>
      <c r="AC9" s="39">
        <v>4052.04166505543</v>
      </c>
      <c r="AD9" s="39">
        <v>4547.585651672945</v>
      </c>
      <c r="AE9" s="39">
        <v>4101.212974997904</v>
      </c>
      <c r="AF9" s="39">
        <v>4237.998917209314</v>
      </c>
      <c r="AG9" s="39">
        <v>3979.0821828464395</v>
      </c>
      <c r="AH9" s="39">
        <v>4508.4404757397515</v>
      </c>
      <c r="AI9" s="39">
        <v>4054.24753727561</v>
      </c>
      <c r="AJ9" s="39">
        <v>4161.315482929975</v>
      </c>
      <c r="AK9" s="39">
        <v>3817.245092275396</v>
      </c>
      <c r="AL9" s="39">
        <v>4451.101722108815</v>
      </c>
      <c r="AM9" s="39">
        <v>3981.281496276737</v>
      </c>
      <c r="AN9" s="39">
        <v>4115.753215705497</v>
      </c>
      <c r="AO9" s="39">
        <v>3768.2535274244237</v>
      </c>
      <c r="AP9" s="39">
        <v>4403.992673799723</v>
      </c>
      <c r="AQ9" s="39">
        <v>3936.4597219013167</v>
      </c>
      <c r="AR9" s="39">
        <v>4070.1600833649554</v>
      </c>
      <c r="AS9" s="39">
        <v>3719.237642554951</v>
      </c>
      <c r="AT9" s="39">
        <v>4356.851073966298</v>
      </c>
      <c r="AU9" s="39">
        <v>3891.606147513726</v>
      </c>
      <c r="AV9" s="39">
        <v>4024.535653429681</v>
      </c>
      <c r="AW9" s="39">
        <v>3670.195540494805</v>
      </c>
      <c r="AX9" s="39">
        <v>4309.676867525277</v>
      </c>
      <c r="AY9" s="39">
        <v>3846.7203800247266</v>
      </c>
      <c r="AZ9" s="39">
        <v>3978.8794064786935</v>
      </c>
      <c r="BA9" s="39">
        <v>3621.1256438275973</v>
      </c>
      <c r="BB9" s="39">
        <v>4262.469807660611</v>
      </c>
      <c r="BC9" s="39">
        <v>3801.801923901546</v>
      </c>
      <c r="BD9" s="39">
        <v>3933.1907590870205</v>
      </c>
      <c r="BE9" s="39">
        <v>3572.026585835124</v>
      </c>
      <c r="BF9" s="39">
        <v>4215.22951277209</v>
      </c>
      <c r="BG9" s="39">
        <v>3756.8502090242437</v>
      </c>
      <c r="BH9" s="39">
        <v>3887.46907824846</v>
      </c>
      <c r="BI9" s="39">
        <v>3522.8971411985704</v>
      </c>
      <c r="BJ9" s="39">
        <v>4167.955502469898</v>
      </c>
      <c r="BK9" s="39">
        <v>3711.8646082251958</v>
      </c>
      <c r="BL9" s="39">
        <v>3841.7136907045465</v>
      </c>
      <c r="BM9" s="39">
        <v>3473.73618046599</v>
      </c>
      <c r="BN9" s="39">
        <v>4120.647221039308</v>
      </c>
      <c r="BO9" s="39">
        <v>3666.8444486578655</v>
      </c>
      <c r="BP9" s="39">
        <v>3795.9238891141963</v>
      </c>
      <c r="BQ9" s="39">
        <v>3424.542639244506</v>
      </c>
      <c r="BR9" s="39">
        <v>4073.304053137962</v>
      </c>
      <c r="BS9" s="39">
        <v>3621.7890193388093</v>
      </c>
      <c r="BT9" s="39">
        <v>3750.098936200903</v>
      </c>
      <c r="BU9" s="39">
        <v>3375.3154968030503</v>
      </c>
      <c r="BV9" s="39">
        <v>4025.9253345249185</v>
      </c>
      <c r="BW9" s="39">
        <v>3576.697576240509</v>
      </c>
      <c r="BX9" s="39">
        <v>3704.23839716358</v>
      </c>
      <c r="BY9" s="39">
        <v>3341.8777254796178</v>
      </c>
      <c r="BZ9" s="39">
        <v>3978.510612754475</v>
      </c>
      <c r="CA9" s="39">
        <v>3537.6674350177755</v>
      </c>
      <c r="CB9" s="39">
        <v>3670.5501199176774</v>
      </c>
      <c r="CC9" s="39">
        <v>3310.8993946561463</v>
      </c>
      <c r="CD9" s="39">
        <v>3955.460370766884</v>
      </c>
      <c r="CE9" s="39">
        <v>3516.9058919806785</v>
      </c>
      <c r="CF9" s="39">
        <v>3649.016047091837</v>
      </c>
      <c r="CG9" s="39">
        <v>3280.1437723682548</v>
      </c>
      <c r="CH9" s="39">
        <v>3914.8792168783625</v>
      </c>
      <c r="CI9" s="39">
        <v>3478.6118879082796</v>
      </c>
      <c r="CJ9" s="39">
        <v>3727.1822206842703</v>
      </c>
      <c r="CK9" s="39">
        <v>3953.2721309023673</v>
      </c>
      <c r="CL9" s="39">
        <v>5391.246374570737</v>
      </c>
      <c r="CM9" s="41"/>
    </row>
    <row r="10" spans="2:90" x14ac:dyDescent="0.25">
      <c r="B10" s="28" t="s">
        <v>238</v>
      </c>
      <c r="C10" s="29" t="s">
        <v>205</v>
      </c>
      <c r="D10" s="32">
        <f>SUM(E10:CL10)</f>
      </c>
      <c r="E10" s="32">
        <f>'Debt'!E57</f>
      </c>
      <c r="F10" s="32">
        <f>'Debt'!F57</f>
      </c>
      <c r="G10" s="32">
        <f>'Debt'!G57</f>
      </c>
      <c r="H10" s="32">
        <f>'Debt'!H57</f>
      </c>
      <c r="I10" s="32">
        <f>'Debt'!I57</f>
      </c>
      <c r="J10" s="32">
        <f>'Debt'!J57</f>
      </c>
      <c r="K10" s="32">
        <f>'Debt'!K57</f>
      </c>
      <c r="L10" s="32">
        <f>'Debt'!L57</f>
      </c>
      <c r="M10" s="32">
        <f>'Debt'!M57</f>
      </c>
      <c r="N10" s="32">
        <f>'Debt'!N57</f>
      </c>
      <c r="O10" s="32">
        <f>'Debt'!O57</f>
      </c>
      <c r="P10" s="32">
        <f>'Debt'!P57</f>
      </c>
      <c r="Q10" s="32">
        <f>'Debt'!Q57</f>
      </c>
      <c r="R10" s="32">
        <f>'Debt'!R57</f>
      </c>
      <c r="S10" s="32">
        <f>'Debt'!S57</f>
      </c>
      <c r="T10" s="32">
        <f>'Debt'!T57</f>
      </c>
      <c r="U10" s="32">
        <f>'Debt'!U57</f>
      </c>
      <c r="V10" s="32">
        <f>'Debt'!V57</f>
      </c>
      <c r="W10" s="32">
        <f>'Debt'!W57</f>
      </c>
      <c r="X10" s="32">
        <f>'Debt'!X57</f>
      </c>
      <c r="Y10" s="32">
        <f>'Debt'!Y57</f>
      </c>
      <c r="Z10" s="32">
        <f>'Debt'!Z57</f>
      </c>
      <c r="AA10" s="32">
        <f>'Debt'!AA57</f>
      </c>
      <c r="AB10" s="32">
        <f>'Debt'!AB57</f>
      </c>
      <c r="AC10" s="32">
        <f>'Debt'!AC57</f>
      </c>
      <c r="AD10" s="32">
        <f>'Debt'!AD57</f>
      </c>
      <c r="AE10" s="32">
        <f>'Debt'!AE57</f>
      </c>
      <c r="AF10" s="32">
        <f>'Debt'!AF57</f>
      </c>
      <c r="AG10" s="32">
        <f>'Debt'!AG57</f>
      </c>
      <c r="AH10" s="32">
        <f>'Debt'!AH57</f>
      </c>
      <c r="AI10" s="32">
        <f>'Debt'!AI57</f>
      </c>
      <c r="AJ10" s="32">
        <f>'Debt'!AJ57</f>
      </c>
      <c r="AK10" s="32">
        <f>'Debt'!AK57</f>
      </c>
      <c r="AL10" s="32">
        <f>'Debt'!AL57</f>
      </c>
      <c r="AM10" s="32">
        <f>'Debt'!AM57</f>
      </c>
      <c r="AN10" s="32">
        <f>'Debt'!AN57</f>
      </c>
      <c r="AO10" s="32">
        <f>'Debt'!AO57</f>
      </c>
      <c r="AP10" s="32">
        <f>'Debt'!AP57</f>
      </c>
      <c r="AQ10" s="32">
        <f>'Debt'!AQ57</f>
      </c>
      <c r="AR10" s="32">
        <f>'Debt'!AR57</f>
      </c>
      <c r="AS10" s="32">
        <f>'Debt'!AS57</f>
      </c>
      <c r="AT10" s="32">
        <f>'Debt'!AT57</f>
      </c>
      <c r="AU10" s="32">
        <f>'Debt'!AU57</f>
      </c>
      <c r="AV10" s="32">
        <f>'Debt'!AV57</f>
      </c>
      <c r="AW10" s="32">
        <f>'Debt'!AW57</f>
      </c>
      <c r="AX10" s="32">
        <f>'Debt'!AX57</f>
      </c>
      <c r="AY10" s="32">
        <f>'Debt'!AY57</f>
      </c>
      <c r="AZ10" s="32">
        <f>'Debt'!AZ57</f>
      </c>
      <c r="BA10" s="32">
        <f>'Debt'!BA57</f>
      </c>
      <c r="BB10" s="32">
        <f>'Debt'!BB57</f>
      </c>
      <c r="BC10" s="32">
        <f>'Debt'!BC57</f>
      </c>
      <c r="BD10" s="32">
        <f>'Debt'!BD57</f>
      </c>
      <c r="BE10" s="32">
        <f>'Debt'!BE57</f>
      </c>
      <c r="BF10" s="32">
        <f>'Debt'!BF57</f>
      </c>
      <c r="BG10" s="32">
        <f>'Debt'!BG57</f>
      </c>
      <c r="BH10" s="32">
        <f>'Debt'!BH57</f>
      </c>
      <c r="BI10" s="32">
        <f>'Debt'!BI57</f>
      </c>
      <c r="BJ10" s="32">
        <f>'Debt'!BJ57</f>
      </c>
      <c r="BK10" s="32">
        <f>'Debt'!BK57</f>
      </c>
      <c r="BL10" s="32">
        <f>'Debt'!BL57</f>
      </c>
      <c r="BM10" s="32">
        <f>'Debt'!BM57</f>
      </c>
      <c r="BN10" s="32">
        <f>'Debt'!BN57</f>
      </c>
      <c r="BO10" s="32">
        <f>'Debt'!BO57</f>
      </c>
      <c r="BP10" s="32">
        <f>'Debt'!BP57</f>
      </c>
      <c r="BQ10" s="32">
        <f>'Debt'!BQ57</f>
      </c>
      <c r="BR10" s="32">
        <f>'Debt'!BR57</f>
      </c>
      <c r="BS10" s="32">
        <f>'Debt'!BS57</f>
      </c>
      <c r="BT10" s="32">
        <f>'Debt'!BT57</f>
      </c>
      <c r="BU10" s="32">
        <f>'Debt'!BU57</f>
      </c>
      <c r="BV10" s="32">
        <f>'Debt'!BV57</f>
      </c>
      <c r="BW10" s="32">
        <f>'Debt'!BW57</f>
      </c>
      <c r="BX10" s="32">
        <f>'Debt'!BX57</f>
      </c>
      <c r="BY10" s="32">
        <f>'Debt'!BY57</f>
      </c>
      <c r="BZ10" s="32">
        <f>'Debt'!BZ57</f>
      </c>
      <c r="CA10" s="32">
        <f>'Debt'!CA57</f>
      </c>
      <c r="CB10" s="32">
        <f>'Debt'!CB57</f>
      </c>
      <c r="CC10" s="32">
        <f>'Debt'!CC57</f>
      </c>
      <c r="CD10" s="32">
        <f>'Debt'!CD57</f>
      </c>
      <c r="CE10" s="32">
        <f>'Debt'!CE57</f>
      </c>
      <c r="CF10" s="32">
        <f>'Debt'!CF57</f>
      </c>
      <c r="CG10" s="32">
        <f>'Debt'!CG57</f>
      </c>
      <c r="CH10" s="32">
        <f>'Debt'!CH57</f>
      </c>
      <c r="CI10" s="32">
        <f>'Debt'!CI57</f>
      </c>
      <c r="CJ10" s="32">
        <f>'Debt'!CJ57</f>
      </c>
      <c r="CK10" s="32">
        <f>'Debt'!CK57</f>
      </c>
      <c r="CL10" s="32">
        <f>'Debt'!CL57</f>
      </c>
    </row>
    <row r="11" spans="2:90" x14ac:dyDescent="0.25">
      <c r="B11" s="42" t="s">
        <v>291</v>
      </c>
      <c r="C11" s="29" t="s">
        <v>292</v>
      </c>
      <c r="E11" s="16"/>
      <c r="F11" s="16"/>
      <c r="G11" s="16"/>
      <c r="H11" s="16"/>
      <c r="I11" s="16"/>
      <c r="J11" s="16"/>
      <c r="K11" s="16">
        <f>K9/K10</f>
      </c>
      <c r="L11" s="16">
        <f>L9/L10</f>
      </c>
      <c r="M11" s="16">
        <f>M9/M10</f>
      </c>
      <c r="N11" s="16">
        <f>N9/N10</f>
      </c>
      <c r="O11" s="16">
        <f>O9/O10</f>
      </c>
      <c r="P11" s="16">
        <f>P9/P10</f>
      </c>
      <c r="Q11" s="16">
        <f>Q9/Q10</f>
      </c>
      <c r="R11" s="16">
        <f>R9/R10</f>
      </c>
      <c r="S11" s="16">
        <f>S9/S10</f>
      </c>
      <c r="T11" s="16">
        <f>T9/T10</f>
      </c>
      <c r="U11" s="16">
        <f>U9/U10</f>
      </c>
      <c r="V11" s="16">
        <f>V9/V10</f>
      </c>
      <c r="W11" s="16">
        <f>W9/W10</f>
      </c>
      <c r="X11" s="16">
        <f>X9/X10</f>
      </c>
      <c r="Y11" s="16">
        <f>Y9/Y10</f>
      </c>
      <c r="Z11" s="16">
        <f>Z9/Z10</f>
      </c>
      <c r="AA11" s="16">
        <f>AA9/AA10</f>
      </c>
      <c r="AB11" s="16">
        <f>AB9/AB10</f>
      </c>
      <c r="AC11" s="16">
        <f>AC9/AC10</f>
      </c>
      <c r="AD11" s="16">
        <f>AD9/AD10</f>
      </c>
      <c r="AE11" s="16">
        <f>AE9/AE10</f>
      </c>
      <c r="AF11" s="16">
        <f>AF9/AF10</f>
      </c>
      <c r="AG11" s="16">
        <f>AG9/AG10</f>
      </c>
      <c r="AH11" s="16">
        <f>AH9/AH10</f>
      </c>
      <c r="AI11" s="16">
        <f>AI9/AI10</f>
      </c>
      <c r="AJ11" s="16">
        <f>AJ9/AJ10</f>
      </c>
      <c r="AK11" s="16">
        <f>AK9/AK10</f>
      </c>
      <c r="AL11" s="16">
        <f>AL9/AL10</f>
      </c>
      <c r="AM11" s="16">
        <f>AM9/AM10</f>
      </c>
      <c r="AN11" s="16">
        <f>AN9/AN10</f>
      </c>
      <c r="AO11" s="16">
        <f>AO9/AO10</f>
      </c>
      <c r="AP11" s="16">
        <f>AP9/AP10</f>
      </c>
      <c r="AQ11" s="16">
        <f>AQ9/AQ10</f>
      </c>
      <c r="AR11" s="16">
        <f>AR9/AR10</f>
      </c>
      <c r="AS11" s="16">
        <f>AS9/AS10</f>
      </c>
      <c r="AT11" s="16">
        <f>AT9/AT10</f>
      </c>
      <c r="AU11" s="16">
        <f>AU9/AU10</f>
      </c>
      <c r="AV11" s="16">
        <f>AV9/AV10</f>
      </c>
      <c r="AW11" s="16">
        <f>AW9/AW10</f>
      </c>
      <c r="AX11" s="16">
        <f>AX9/AX10</f>
      </c>
      <c r="AY11" s="16">
        <f>AY9/AY10</f>
      </c>
      <c r="AZ11" s="16">
        <f>AZ9/AZ10</f>
      </c>
      <c r="BA11" s="16">
        <f>BA9/BA10</f>
      </c>
      <c r="BB11" s="16">
        <f>BB9/BB10</f>
      </c>
      <c r="BC11" s="16">
        <f>BC9/BC10</f>
      </c>
      <c r="BD11" s="16">
        <f>BD9/BD10</f>
      </c>
      <c r="BE11" s="16">
        <f>BE9/BE10</f>
      </c>
      <c r="BF11" s="16">
        <f>BF9/BF10</f>
      </c>
      <c r="BG11" s="16">
        <f>BG9/BG10</f>
      </c>
      <c r="BH11" s="16">
        <f>BH9/BH10</f>
      </c>
      <c r="BI11" s="16">
        <f>BI9/BI10</f>
      </c>
      <c r="BJ11" s="16">
        <f>BJ9/BJ10</f>
      </c>
      <c r="BK11" s="16">
        <f>BK9/BK10</f>
      </c>
      <c r="BL11" s="16">
        <f>BL9/BL10</f>
      </c>
      <c r="BM11" s="16">
        <f>BM9/BM10</f>
      </c>
      <c r="BN11" s="16">
        <f>BN9/BN10</f>
      </c>
      <c r="BO11" s="16">
        <f>BO9/BO10</f>
      </c>
      <c r="BP11" s="16">
        <f>BP9/BP10</f>
      </c>
      <c r="BQ11" s="16">
        <f>BQ9/BQ10</f>
      </c>
      <c r="BR11" s="16">
        <f>BR9/BR10</f>
      </c>
      <c r="BS11" s="16">
        <f>BS9/BS10</f>
      </c>
      <c r="BT11" s="16">
        <f>BT9/BT10</f>
      </c>
      <c r="BU11" s="16">
        <f>BU9/BU10</f>
      </c>
      <c r="BV11" s="16">
        <f>BV9/BV10</f>
      </c>
      <c r="BW11" s="16">
        <f>BW9/BW10</f>
      </c>
      <c r="BX11" s="16">
        <f>BX9/BX10</f>
      </c>
      <c r="BY11" s="16">
        <f>BY9/BY10</f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2" t="s">
        <v>293</v>
      </c>
      <c r="C13" s="29" t="s">
        <v>205</v>
      </c>
      <c r="D13" s="14">
        <f>SUM(E13:CL13)</f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463.845833856406</v>
      </c>
      <c r="L13" s="14">
        <v>201.17269808963664</v>
      </c>
      <c r="M13" s="14">
        <v>2172.4275206617676</v>
      </c>
      <c r="N13" s="14">
        <v>-1709.8082053324124</v>
      </c>
      <c r="O13" s="14">
        <v>-777.584402277803</v>
      </c>
      <c r="P13" s="14">
        <v>215.7663291840403</v>
      </c>
      <c r="Q13" s="14">
        <v>415.0958578477628</v>
      </c>
      <c r="R13" s="14">
        <v>697.1369207818416</v>
      </c>
      <c r="S13" s="14">
        <v>300.7752283800671</v>
      </c>
      <c r="T13" s="14">
        <v>247.7864765694036</v>
      </c>
      <c r="U13" s="14">
        <v>481.0505953994026</v>
      </c>
      <c r="V13" s="14">
        <v>766.8309615367239</v>
      </c>
      <c r="W13" s="14">
        <v>244.82437191784754</v>
      </c>
      <c r="X13" s="14">
        <v>156.99695355033035</v>
      </c>
      <c r="Y13" s="14">
        <v>423.10109231922314</v>
      </c>
      <c r="Z13" s="14">
        <v>714.4895121556226</v>
      </c>
      <c r="AA13" s="14">
        <v>323.7043687034486</v>
      </c>
      <c r="AB13" s="14">
        <v>195.8872130182594</v>
      </c>
      <c r="AC13" s="14">
        <v>411.869941481567</v>
      </c>
      <c r="AD13" s="14">
        <v>708.1656337738627</v>
      </c>
      <c r="AE13" s="14">
        <v>325.3987072365872</v>
      </c>
      <c r="AF13" s="14">
        <v>158.20349975505047</v>
      </c>
      <c r="AG13" s="14">
        <v>494.5390703923929</v>
      </c>
      <c r="AH13" s="14">
        <v>794.5740663863222</v>
      </c>
      <c r="AI13" s="14">
        <v>408.65489662440126</v>
      </c>
      <c r="AJ13" s="14">
        <v>141.02454432110113</v>
      </c>
      <c r="AK13" s="14">
        <v>572.0591126664169</v>
      </c>
      <c r="AL13" s="14">
        <v>875.8334123662406</v>
      </c>
      <c r="AM13" s="14">
        <v>491.75946573021236</v>
      </c>
      <c r="AN13" s="14">
        <v>-26.97865098720729</v>
      </c>
      <c r="AO13" s="14">
        <v>649.4275346584392</v>
      </c>
      <c r="AP13" s="14">
        <v>956.9411380641588</v>
      </c>
      <c r="AQ13" s="14">
        <v>574.7098366275673</v>
      </c>
      <c r="AR13" s="14">
        <v>-12.551257317670775</v>
      </c>
      <c r="AS13" s="14">
        <v>726.6417584420047</v>
      </c>
      <c r="AT13" s="14">
        <v>1037.8946655536186</v>
      </c>
      <c r="AU13" s="14">
        <v>657.5033866486789</v>
      </c>
      <c r="AV13" s="14">
        <v>1.84877331545988</v>
      </c>
      <c r="AW13" s="14">
        <v>803.6991613493262</v>
      </c>
      <c r="AX13" s="14">
        <v>1118.6913721668361</v>
      </c>
      <c r="AY13" s="14">
        <v>740.1374475918403</v>
      </c>
      <c r="AZ13" s="14">
        <v>16.220974777335982</v>
      </c>
      <c r="BA13" s="14">
        <v>880.5970751786951</v>
      </c>
      <c r="BB13" s="14">
        <v>1199.328589702099</v>
      </c>
      <c r="BC13" s="14">
        <v>822.6093049145525</v>
      </c>
      <c r="BD13" s="14">
        <v>30.564872827313366</v>
      </c>
      <c r="BE13" s="14">
        <v>957.3327853876172</v>
      </c>
      <c r="BF13" s="14">
        <v>1279.803603616917</v>
      </c>
      <c r="BG13" s="14">
        <v>904.9161969120546</v>
      </c>
      <c r="BH13" s="14">
        <v>44.879984975070556</v>
      </c>
      <c r="BI13" s="14">
        <v>1033.9035302713296</v>
      </c>
      <c r="BJ13" s="14">
        <v>1360.113652206523</v>
      </c>
      <c r="BK13" s="14">
        <v>987.0553138810005</v>
      </c>
      <c r="BL13" s="14">
        <v>59.16582033414602</v>
      </c>
      <c r="BM13" s="14">
        <v>1110.3065001264883</v>
      </c>
      <c r="BN13" s="14">
        <v>1440.2559257675762</v>
      </c>
      <c r="BO13" s="14">
        <v>1069.023797268028</v>
      </c>
      <c r="BP13" s="14">
        <v>73.42187947282787</v>
      </c>
      <c r="BQ13" s="14">
        <v>1186.5388363997236</v>
      </c>
      <c r="BR13" s="14">
        <v>1520.2275657467092</v>
      </c>
      <c r="BS13" s="14">
        <v>1150.8187388029173</v>
      </c>
      <c r="BT13" s="14">
        <v>87.64765426233134</v>
      </c>
      <c r="BU13" s="14">
        <v>1262.5976308208221</v>
      </c>
      <c r="BV13" s="14">
        <v>1600.0256638737012</v>
      </c>
      <c r="BW13" s="14">
        <v>1232.437179616059</v>
      </c>
      <c r="BX13" s="14">
        <v>2211.217627722225</v>
      </c>
      <c r="BY13" s="14">
        <v>3438.6557057701775</v>
      </c>
      <c r="BZ13" s="14">
        <v>3730.6238160315816</v>
      </c>
      <c r="CA13" s="14">
        <v>3335.6534454491293</v>
      </c>
      <c r="CB13" s="14">
        <v>2110.507028047506</v>
      </c>
      <c r="CC13" s="14">
        <v>3397.561605952507</v>
      </c>
      <c r="CD13" s="14">
        <v>3693.269027773702</v>
      </c>
      <c r="CE13" s="14">
        <v>3300.112926729781</v>
      </c>
      <c r="CF13" s="14">
        <v>2087.1762144804907</v>
      </c>
      <c r="CG13" s="14">
        <v>3356.284940119369</v>
      </c>
      <c r="CH13" s="14">
        <v>3655.731665646459</v>
      </c>
      <c r="CI13" s="14">
        <v>3264.3867180169627</v>
      </c>
      <c r="CJ13" s="14">
        <v>2041.2767739255946</v>
      </c>
      <c r="CK13" s="14">
        <v>3804.822584292758</v>
      </c>
      <c r="CL13" s="14">
        <v>2358.2215834589415</v>
      </c>
    </row>
    <row r="14" spans="2:90" x14ac:dyDescent="0.25">
      <c r="B14" s="28" t="s">
        <v>294</v>
      </c>
      <c r="C14" s="29" t="s">
        <v>205</v>
      </c>
      <c r="D14" s="14">
        <f>SUM(E14:CL14)</f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-1262.5000136353665</v>
      </c>
      <c r="L14" s="32">
        <v>4134.37498481516</v>
      </c>
      <c r="M14" s="32">
        <v>2777.76952104633</v>
      </c>
      <c r="N14" s="32">
        <v>-2475.849209659007</v>
      </c>
      <c r="O14" s="32">
        <v>-1143.5374958015464</v>
      </c>
      <c r="P14" s="32">
        <v>86.41249968142893</v>
      </c>
      <c r="Q14" s="32">
        <v>84.54374968824595</v>
      </c>
      <c r="R14" s="32">
        <v>-52.324999809105066</v>
      </c>
      <c r="S14" s="32">
        <v>-52.324999809105066</v>
      </c>
      <c r="T14" s="32">
        <v>-52.324999809105066</v>
      </c>
      <c r="U14" s="32">
        <v>-52.324999809105066</v>
      </c>
      <c r="V14" s="32">
        <v>-52.324999809105066</v>
      </c>
      <c r="W14" s="32">
        <v>82.67499969506389</v>
      </c>
      <c r="X14" s="32">
        <v>80.80624970188182</v>
      </c>
      <c r="Y14" s="32">
        <v>-56.06249979546919</v>
      </c>
      <c r="Z14" s="32">
        <v>-56.06249979547101</v>
      </c>
      <c r="AA14" s="32">
        <v>-56.06249979546919</v>
      </c>
      <c r="AB14" s="32">
        <v>-56.06249979546919</v>
      </c>
      <c r="AC14" s="32">
        <v>28.31249989463595</v>
      </c>
      <c r="AD14" s="32">
        <v>27.14453114889693</v>
      </c>
      <c r="AE14" s="32">
        <v>-58.39843728694723</v>
      </c>
      <c r="AF14" s="32">
        <v>-58.39843728694723</v>
      </c>
      <c r="AG14" s="32">
        <v>-58.39843728694723</v>
      </c>
      <c r="AH14" s="32">
        <v>-58.39843728694814</v>
      </c>
      <c r="AI14" s="32">
        <v>-58.39843728694723</v>
      </c>
      <c r="AJ14" s="32">
        <v>-58.39843728694723</v>
      </c>
      <c r="AK14" s="32">
        <v>-58.39843728694723</v>
      </c>
      <c r="AL14" s="32">
        <v>-58.39843728694814</v>
      </c>
      <c r="AM14" s="32">
        <v>-58.39843728694723</v>
      </c>
      <c r="AN14" s="32">
        <v>-58.39843728694723</v>
      </c>
      <c r="AO14" s="32">
        <v>-58.39843728694723</v>
      </c>
      <c r="AP14" s="32">
        <v>-58.39843728694723</v>
      </c>
      <c r="AQ14" s="32">
        <v>-58.39843728694723</v>
      </c>
      <c r="AR14" s="32">
        <v>-58.39843728694814</v>
      </c>
      <c r="AS14" s="32">
        <v>-58.39843728694723</v>
      </c>
      <c r="AT14" s="32">
        <v>-58.39843728694723</v>
      </c>
      <c r="AU14" s="32">
        <v>-58.39843728694723</v>
      </c>
      <c r="AV14" s="32">
        <v>-58.39843728694814</v>
      </c>
      <c r="AW14" s="32">
        <v>-58.39843728694723</v>
      </c>
      <c r="AX14" s="32">
        <v>-58.39843728694723</v>
      </c>
      <c r="AY14" s="32">
        <v>-58.39843728694723</v>
      </c>
      <c r="AZ14" s="32">
        <v>-58.39843728694723</v>
      </c>
      <c r="BA14" s="32">
        <v>-58.39843728694723</v>
      </c>
      <c r="BB14" s="32">
        <v>-58.39843728694814</v>
      </c>
      <c r="BC14" s="32">
        <v>-58.39843728694723</v>
      </c>
      <c r="BD14" s="32">
        <v>-58.39843728694723</v>
      </c>
      <c r="BE14" s="32">
        <v>-58.39843728694723</v>
      </c>
      <c r="BF14" s="32">
        <v>-58.39843728694814</v>
      </c>
      <c r="BG14" s="32">
        <v>-58.39843728694723</v>
      </c>
      <c r="BH14" s="32">
        <v>-58.39843728694723</v>
      </c>
      <c r="BI14" s="32">
        <v>-58.39843728694723</v>
      </c>
      <c r="BJ14" s="32">
        <v>-58.39843728694723</v>
      </c>
      <c r="BK14" s="32">
        <v>-58.39843728694814</v>
      </c>
      <c r="BL14" s="32">
        <v>-58.39843728694723</v>
      </c>
      <c r="BM14" s="32">
        <v>-58.39843728694723</v>
      </c>
      <c r="BN14" s="32">
        <v>-58.39843728694723</v>
      </c>
      <c r="BO14" s="32">
        <v>-58.39843728694723</v>
      </c>
      <c r="BP14" s="32">
        <v>-58.39843728694723</v>
      </c>
      <c r="BQ14" s="32">
        <v>-58.39843728694814</v>
      </c>
      <c r="BR14" s="32">
        <v>-58.39843728694723</v>
      </c>
      <c r="BS14" s="32">
        <v>-58.39843728694723</v>
      </c>
      <c r="BT14" s="32">
        <v>-58.39843728694723</v>
      </c>
      <c r="BU14" s="32">
        <v>-58.39843728694814</v>
      </c>
      <c r="BV14" s="32">
        <v>-58.39843728694723</v>
      </c>
      <c r="BW14" s="32">
        <v>-58.398437286950866</v>
      </c>
      <c r="BX14" s="32">
        <v>-2167.77342953958</v>
      </c>
      <c r="BY14" s="32">
        <v>-2138.5742108961026</v>
      </c>
      <c r="BZ14" s="32">
        <v>0</v>
      </c>
      <c r="CA14" s="32">
        <v>0</v>
      </c>
      <c r="CB14" s="32">
        <v>0</v>
      </c>
      <c r="CC14" s="32">
        <v>0</v>
      </c>
      <c r="CD14" s="32">
        <v>0</v>
      </c>
      <c r="CE14" s="32">
        <v>0</v>
      </c>
      <c r="CF14" s="32">
        <v>0</v>
      </c>
      <c r="CG14" s="32">
        <v>0</v>
      </c>
      <c r="CH14" s="32">
        <v>0</v>
      </c>
      <c r="CI14" s="32">
        <v>0</v>
      </c>
      <c r="CJ14" s="32">
        <v>0</v>
      </c>
      <c r="CK14" s="32">
        <v>0</v>
      </c>
      <c r="CL14" s="32">
        <v>0</v>
      </c>
    </row>
    <row r="15" spans="2:90" x14ac:dyDescent="0.25">
      <c r="B15" s="28" t="s">
        <v>295</v>
      </c>
      <c r="C15" s="29" t="s">
        <v>205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463.845833856406</v>
      </c>
      <c r="M15" s="32">
        <v>665.0185319460427</v>
      </c>
      <c r="N15" s="32">
        <v>2837.44605260781</v>
      </c>
      <c r="O15" s="32">
        <v>1127.6378472753977</v>
      </c>
      <c r="P15" s="32">
        <v>350.05344499759474</v>
      </c>
      <c r="Q15" s="32">
        <v>565.819774181635</v>
      </c>
      <c r="R15" s="32">
        <v>980.9156320293978</v>
      </c>
      <c r="S15" s="32">
        <v>1678.0525528112394</v>
      </c>
      <c r="T15" s="32">
        <v>1978.8277811913065</v>
      </c>
      <c r="U15" s="32">
        <v>1247.7864765694037</v>
      </c>
      <c r="V15" s="32">
        <v>1728.8370719688064</v>
      </c>
      <c r="W15" s="32">
        <v>2495.6680335055303</v>
      </c>
      <c r="X15" s="32">
        <v>2740.492405423378</v>
      </c>
      <c r="Y15" s="32">
        <v>1156.9969535503305</v>
      </c>
      <c r="Z15" s="32">
        <v>1580.0980458695537</v>
      </c>
      <c r="AA15" s="32">
        <v>2294.5875580251763</v>
      </c>
      <c r="AB15" s="32">
        <v>2618.291926728625</v>
      </c>
      <c r="AC15" s="32">
        <v>1195.8872130182594</v>
      </c>
      <c r="AD15" s="32">
        <v>1607.7571544998264</v>
      </c>
      <c r="AE15" s="32">
        <v>2315.922788273689</v>
      </c>
      <c r="AF15" s="32">
        <v>2641.3214955102762</v>
      </c>
      <c r="AG15" s="32">
        <v>1158.2034997550504</v>
      </c>
      <c r="AH15" s="32">
        <v>1652.7425701474433</v>
      </c>
      <c r="AI15" s="32">
        <v>2447.3166365337656</v>
      </c>
      <c r="AJ15" s="32">
        <v>2855.971533158167</v>
      </c>
      <c r="AK15" s="32">
        <v>1141.024544321101</v>
      </c>
      <c r="AL15" s="32">
        <v>1713.083656987518</v>
      </c>
      <c r="AM15" s="32">
        <v>2588.9170693537585</v>
      </c>
      <c r="AN15" s="32">
        <v>3080.676535083971</v>
      </c>
      <c r="AO15" s="32">
        <v>973.0213490127926</v>
      </c>
      <c r="AP15" s="32">
        <v>1622.4488836712317</v>
      </c>
      <c r="AQ15" s="32">
        <v>2579.3900217353903</v>
      </c>
      <c r="AR15" s="32">
        <v>3154.0998583629575</v>
      </c>
      <c r="AS15" s="32">
        <v>987.4487426823293</v>
      </c>
      <c r="AT15" s="32">
        <v>1714.090501124334</v>
      </c>
      <c r="AU15" s="32">
        <v>2751.9851666779523</v>
      </c>
      <c r="AV15" s="32">
        <v>3409.488553326631</v>
      </c>
      <c r="AW15" s="32">
        <v>1001.8487733154598</v>
      </c>
      <c r="AX15" s="32">
        <v>1805.547934664786</v>
      </c>
      <c r="AY15" s="32">
        <v>2924.2393068316223</v>
      </c>
      <c r="AZ15" s="32">
        <v>3664.3767544234624</v>
      </c>
      <c r="BA15" s="32">
        <v>1016.2209747773359</v>
      </c>
      <c r="BB15" s="32">
        <v>1896.818049956031</v>
      </c>
      <c r="BC15" s="32">
        <v>3096.14663965813</v>
      </c>
      <c r="BD15" s="32">
        <v>3918.7559445726824</v>
      </c>
      <c r="BE15" s="32">
        <v>1030.5648728273131</v>
      </c>
      <c r="BF15" s="32">
        <v>1987.8976582149303</v>
      </c>
      <c r="BG15" s="32">
        <v>3267.701261831847</v>
      </c>
      <c r="BH15" s="32">
        <v>4172.617458743902</v>
      </c>
      <c r="BI15" s="32">
        <v>1044.8799849750703</v>
      </c>
      <c r="BJ15" s="32">
        <v>2078.7835152464</v>
      </c>
      <c r="BK15" s="32">
        <v>3438.897167452923</v>
      </c>
      <c r="BL15" s="32">
        <v>4425.952481333923</v>
      </c>
      <c r="BM15" s="32">
        <v>1059.1658203341458</v>
      </c>
      <c r="BN15" s="32">
        <v>2169.4723204606344</v>
      </c>
      <c r="BO15" s="32">
        <v>3609.7282462282105</v>
      </c>
      <c r="BP15" s="32">
        <v>4678.752043496239</v>
      </c>
      <c r="BQ15" s="32">
        <v>1073.4218794728276</v>
      </c>
      <c r="BR15" s="32">
        <v>2259.960715872551</v>
      </c>
      <c r="BS15" s="32">
        <v>3780.18828161926</v>
      </c>
      <c r="BT15" s="32">
        <v>4931.007020422177</v>
      </c>
      <c r="BU15" s="32">
        <v>1087.6476542623313</v>
      </c>
      <c r="BV15" s="32">
        <v>2350.2452850831532</v>
      </c>
      <c r="BW15" s="32">
        <v>3950.270948956854</v>
      </c>
      <c r="BX15" s="32">
        <v>5182.708128572913</v>
      </c>
      <c r="BY15" s="32">
        <v>3211.217627722225</v>
      </c>
      <c r="BZ15" s="32">
        <v>6649.873333492403</v>
      </c>
      <c r="CA15" s="32">
        <v>10380.497149523984</v>
      </c>
      <c r="CB15" s="32">
        <v>13716.150594973114</v>
      </c>
      <c r="CC15" s="32">
        <v>13177.344931102933</v>
      </c>
      <c r="CD15" s="32">
        <v>16574.906537055438</v>
      </c>
      <c r="CE15" s="32">
        <v>20268.17556482914</v>
      </c>
      <c r="CF15" s="32">
        <v>23568.28849155892</v>
      </c>
      <c r="CG15" s="32">
        <v>14588.626802983985</v>
      </c>
      <c r="CH15" s="32">
        <v>17944.911743103352</v>
      </c>
      <c r="CI15" s="32">
        <v>21600.643408749813</v>
      </c>
      <c r="CJ15" s="32">
        <v>24865.030126766775</v>
      </c>
      <c r="CK15" s="32">
        <v>19128.344562230326</v>
      </c>
      <c r="CL15" s="32">
        <v>22933.167146523083</v>
      </c>
    </row>
    <row r="16" spans="2:91" x14ac:dyDescent="0.25">
      <c r="B16" s="40" t="s">
        <v>296</v>
      </c>
      <c r="C16" s="44" t="s">
        <v>205</v>
      </c>
      <c r="D16" s="39">
        <f>SUM(E16:CL16)</f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39">
        <v>978.8277811913065</v>
      </c>
      <c r="U16" s="39">
        <v>0</v>
      </c>
      <c r="V16" s="39">
        <v>0</v>
      </c>
      <c r="W16" s="39">
        <v>0</v>
      </c>
      <c r="X16" s="39">
        <v>1740.492405423378</v>
      </c>
      <c r="Y16" s="39">
        <v>0</v>
      </c>
      <c r="Z16" s="39">
        <v>0</v>
      </c>
      <c r="AA16" s="39">
        <v>0</v>
      </c>
      <c r="AB16" s="39">
        <v>1618.2919267286252</v>
      </c>
      <c r="AC16" s="39">
        <v>0</v>
      </c>
      <c r="AD16" s="39">
        <v>0</v>
      </c>
      <c r="AE16" s="39">
        <v>0</v>
      </c>
      <c r="AF16" s="39">
        <v>1641.3214955102762</v>
      </c>
      <c r="AG16" s="39">
        <v>0</v>
      </c>
      <c r="AH16" s="39">
        <v>0</v>
      </c>
      <c r="AI16" s="39">
        <v>0</v>
      </c>
      <c r="AJ16" s="39">
        <v>1855.971533158167</v>
      </c>
      <c r="AK16" s="39">
        <v>0</v>
      </c>
      <c r="AL16" s="39">
        <v>0</v>
      </c>
      <c r="AM16" s="39">
        <v>0</v>
      </c>
      <c r="AN16" s="39">
        <v>2080.676535083971</v>
      </c>
      <c r="AO16" s="39">
        <v>0</v>
      </c>
      <c r="AP16" s="39">
        <v>0</v>
      </c>
      <c r="AQ16" s="39">
        <v>0</v>
      </c>
      <c r="AR16" s="39">
        <v>2154.0998583629575</v>
      </c>
      <c r="AS16" s="39">
        <v>0</v>
      </c>
      <c r="AT16" s="39">
        <v>0</v>
      </c>
      <c r="AU16" s="39">
        <v>0</v>
      </c>
      <c r="AV16" s="39">
        <v>2409.488553326631</v>
      </c>
      <c r="AW16" s="39">
        <v>0</v>
      </c>
      <c r="AX16" s="39">
        <v>0</v>
      </c>
      <c r="AY16" s="39">
        <v>0</v>
      </c>
      <c r="AZ16" s="39">
        <v>2664.3767544234624</v>
      </c>
      <c r="BA16" s="39">
        <v>0</v>
      </c>
      <c r="BB16" s="39">
        <v>0</v>
      </c>
      <c r="BC16" s="39">
        <v>0</v>
      </c>
      <c r="BD16" s="39">
        <v>2918.7559445726824</v>
      </c>
      <c r="BE16" s="39">
        <v>0</v>
      </c>
      <c r="BF16" s="39">
        <v>0</v>
      </c>
      <c r="BG16" s="39">
        <v>0</v>
      </c>
      <c r="BH16" s="39">
        <v>3172.617458743902</v>
      </c>
      <c r="BI16" s="39">
        <v>0</v>
      </c>
      <c r="BJ16" s="39">
        <v>0</v>
      </c>
      <c r="BK16" s="39">
        <v>0</v>
      </c>
      <c r="BL16" s="39">
        <v>3425.952481333923</v>
      </c>
      <c r="BM16" s="39">
        <v>0</v>
      </c>
      <c r="BN16" s="39">
        <v>0</v>
      </c>
      <c r="BO16" s="39">
        <v>0</v>
      </c>
      <c r="BP16" s="39">
        <v>3678.752043496239</v>
      </c>
      <c r="BQ16" s="39">
        <v>0</v>
      </c>
      <c r="BR16" s="39">
        <v>0</v>
      </c>
      <c r="BS16" s="39">
        <v>0</v>
      </c>
      <c r="BT16" s="39">
        <v>3931.0070204221774</v>
      </c>
      <c r="BU16" s="39">
        <v>0</v>
      </c>
      <c r="BV16" s="39">
        <v>0</v>
      </c>
      <c r="BW16" s="39">
        <v>0</v>
      </c>
      <c r="BX16" s="39">
        <v>4182.708128572913</v>
      </c>
      <c r="BY16" s="39">
        <v>0</v>
      </c>
      <c r="BZ16" s="39">
        <v>0</v>
      </c>
      <c r="CA16" s="39">
        <v>0</v>
      </c>
      <c r="CB16" s="39">
        <v>2649.3126919176875</v>
      </c>
      <c r="CC16" s="39">
        <v>0</v>
      </c>
      <c r="CD16" s="39">
        <v>0</v>
      </c>
      <c r="CE16" s="39">
        <v>0</v>
      </c>
      <c r="CF16" s="39">
        <v>11066.837903055428</v>
      </c>
      <c r="CG16" s="39">
        <v>0</v>
      </c>
      <c r="CH16" s="39">
        <v>0</v>
      </c>
      <c r="CI16" s="39">
        <v>0</v>
      </c>
      <c r="CJ16" s="39">
        <v>7777.962338462044</v>
      </c>
      <c r="CK16" s="39">
        <v>0</v>
      </c>
      <c r="CL16" s="39">
        <v>25291.388729982024</v>
      </c>
      <c r="CM16" s="41"/>
    </row>
    <row r="17" spans="2:90" x14ac:dyDescent="0.25">
      <c r="B17" s="28" t="s">
        <v>297</v>
      </c>
      <c r="C17" s="29" t="s">
        <v>205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463.845833856406</v>
      </c>
      <c r="L17" s="32">
        <v>665.0185319460427</v>
      </c>
      <c r="M17" s="32">
        <v>2837.44605260781</v>
      </c>
      <c r="N17" s="32">
        <v>1127.6378472753977</v>
      </c>
      <c r="O17" s="32">
        <v>350.05344499759474</v>
      </c>
      <c r="P17" s="32">
        <v>565.819774181635</v>
      </c>
      <c r="Q17" s="32">
        <v>980.9156320293978</v>
      </c>
      <c r="R17" s="32">
        <v>1678.0525528112394</v>
      </c>
      <c r="S17" s="32">
        <v>1978.8277811913065</v>
      </c>
      <c r="T17" s="32">
        <v>1247.7864765694037</v>
      </c>
      <c r="U17" s="32">
        <v>1728.8370719688064</v>
      </c>
      <c r="V17" s="32">
        <v>2495.6680335055303</v>
      </c>
      <c r="W17" s="32">
        <v>2740.492405423378</v>
      </c>
      <c r="X17" s="32">
        <v>1156.9969535503305</v>
      </c>
      <c r="Y17" s="32">
        <v>1580.0980458695537</v>
      </c>
      <c r="Z17" s="32">
        <v>2294.5875580251763</v>
      </c>
      <c r="AA17" s="32">
        <v>2618.291926728625</v>
      </c>
      <c r="AB17" s="32">
        <v>1195.8872130182594</v>
      </c>
      <c r="AC17" s="32">
        <v>1607.7571544998264</v>
      </c>
      <c r="AD17" s="32">
        <v>2315.922788273689</v>
      </c>
      <c r="AE17" s="32">
        <v>2641.3214955102762</v>
      </c>
      <c r="AF17" s="32">
        <v>1158.2034997550504</v>
      </c>
      <c r="AG17" s="32">
        <v>1652.7425701474433</v>
      </c>
      <c r="AH17" s="32">
        <v>2447.3166365337656</v>
      </c>
      <c r="AI17" s="32">
        <v>2855.971533158167</v>
      </c>
      <c r="AJ17" s="32">
        <v>1141.024544321101</v>
      </c>
      <c r="AK17" s="32">
        <v>1713.083656987518</v>
      </c>
      <c r="AL17" s="32">
        <v>2588.9170693537585</v>
      </c>
      <c r="AM17" s="32">
        <v>3080.676535083971</v>
      </c>
      <c r="AN17" s="32">
        <v>973.0213490127926</v>
      </c>
      <c r="AO17" s="32">
        <v>1622.4488836712317</v>
      </c>
      <c r="AP17" s="32">
        <v>2579.3900217353903</v>
      </c>
      <c r="AQ17" s="32">
        <v>3154.0998583629575</v>
      </c>
      <c r="AR17" s="32">
        <v>987.4487426823293</v>
      </c>
      <c r="AS17" s="32">
        <v>1714.090501124334</v>
      </c>
      <c r="AT17" s="32">
        <v>2751.9851666779523</v>
      </c>
      <c r="AU17" s="32">
        <v>3409.488553326631</v>
      </c>
      <c r="AV17" s="32">
        <v>1001.8487733154598</v>
      </c>
      <c r="AW17" s="32">
        <v>1805.547934664786</v>
      </c>
      <c r="AX17" s="32">
        <v>2924.2393068316223</v>
      </c>
      <c r="AY17" s="32">
        <v>3664.3767544234624</v>
      </c>
      <c r="AZ17" s="32">
        <v>1016.2209747773359</v>
      </c>
      <c r="BA17" s="32">
        <v>1896.818049956031</v>
      </c>
      <c r="BB17" s="32">
        <v>3096.14663965813</v>
      </c>
      <c r="BC17" s="32">
        <v>3918.7559445726824</v>
      </c>
      <c r="BD17" s="32">
        <v>1030.5648728273131</v>
      </c>
      <c r="BE17" s="32">
        <v>1987.8976582149303</v>
      </c>
      <c r="BF17" s="32">
        <v>3267.701261831847</v>
      </c>
      <c r="BG17" s="32">
        <v>4172.617458743902</v>
      </c>
      <c r="BH17" s="32">
        <v>1044.8799849750703</v>
      </c>
      <c r="BI17" s="32">
        <v>2078.7835152464</v>
      </c>
      <c r="BJ17" s="32">
        <v>3438.897167452923</v>
      </c>
      <c r="BK17" s="32">
        <v>4425.952481333923</v>
      </c>
      <c r="BL17" s="32">
        <v>1059.1658203341458</v>
      </c>
      <c r="BM17" s="32">
        <v>2169.4723204606344</v>
      </c>
      <c r="BN17" s="32">
        <v>3609.7282462282105</v>
      </c>
      <c r="BO17" s="32">
        <v>4678.752043496239</v>
      </c>
      <c r="BP17" s="32">
        <v>1073.4218794728276</v>
      </c>
      <c r="BQ17" s="32">
        <v>2259.960715872551</v>
      </c>
      <c r="BR17" s="32">
        <v>3780.18828161926</v>
      </c>
      <c r="BS17" s="32">
        <v>4931.007020422177</v>
      </c>
      <c r="BT17" s="32">
        <v>1087.6476542623313</v>
      </c>
      <c r="BU17" s="32">
        <v>2350.2452850831532</v>
      </c>
      <c r="BV17" s="32">
        <v>3950.270948956854</v>
      </c>
      <c r="BW17" s="32">
        <v>5182.708128572913</v>
      </c>
      <c r="BX17" s="32">
        <v>3211.217627722225</v>
      </c>
      <c r="BY17" s="32">
        <v>6649.873333492403</v>
      </c>
      <c r="BZ17" s="32">
        <v>10380.497149523984</v>
      </c>
      <c r="CA17" s="32">
        <v>13716.150594973114</v>
      </c>
      <c r="CB17" s="32">
        <v>13177.344931102933</v>
      </c>
      <c r="CC17" s="32">
        <v>16574.906537055438</v>
      </c>
      <c r="CD17" s="32">
        <v>20268.17556482914</v>
      </c>
      <c r="CE17" s="32">
        <v>23568.28849155892</v>
      </c>
      <c r="CF17" s="32">
        <v>14588.626802983985</v>
      </c>
      <c r="CG17" s="32">
        <v>17944.911743103352</v>
      </c>
      <c r="CH17" s="32">
        <v>21600.643408749813</v>
      </c>
      <c r="CI17" s="32">
        <v>24865.030126766775</v>
      </c>
      <c r="CJ17" s="32">
        <v>19128.344562230326</v>
      </c>
      <c r="CK17" s="32">
        <v>22933.167146523083</v>
      </c>
      <c r="CL17" s="32">
        <v>0</v>
      </c>
    </row>
    <row r="20" spans="2:91" x14ac:dyDescent="0.25">
      <c r="B20" s="9" t="s">
        <v>298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</row>
    <row r="22" spans="2:4" x14ac:dyDescent="0.25">
      <c r="B22" s="42" t="s">
        <v>299</v>
      </c>
      <c r="C22" s="29" t="s">
        <v>292</v>
      </c>
      <c r="D22" s="16">
        <v>1.2179359636659561</v>
      </c>
    </row>
    <row r="23" spans="2:4" x14ac:dyDescent="0.25">
      <c r="B23" s="42" t="s">
        <v>300</v>
      </c>
      <c r="C23" s="29" t="s">
        <v>292</v>
      </c>
      <c r="D23" s="16">
        <v>1.4488807154069607</v>
      </c>
    </row>
    <row r="24" spans="2:4" x14ac:dyDescent="0.25">
      <c r="B24" s="42" t="s">
        <v>301</v>
      </c>
      <c r="C24" s="29" t="s">
        <v>205</v>
      </c>
      <c r="D24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>
        <f>'입력값'!C6</f>
      </c>
    </row>
    <row r="7" spans="2:4" x14ac:dyDescent="0.25">
      <c r="B7" s="5" t="s">
        <v>24</v>
      </c>
      <c r="D7" s="12">
        <f>'입력값'!C7</f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</c>
    </row>
    <row r="14" spans="2:4" x14ac:dyDescent="0.25">
      <c r="B14" s="5" t="s">
        <v>30</v>
      </c>
      <c r="D14" s="14">
        <f>'Funding'!C17</f>
      </c>
    </row>
    <row r="15" spans="2:4" x14ac:dyDescent="0.25">
      <c r="B15" s="5" t="s">
        <v>31</v>
      </c>
      <c r="D15" s="14">
        <f>'Funding'!C7</f>
      </c>
    </row>
    <row r="16" spans="2:4" x14ac:dyDescent="0.25">
      <c r="B16" s="5" t="s">
        <v>32</v>
      </c>
      <c r="D16" s="14">
        <f>'Funding'!C13</f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v>0.0846680866965579</v>
      </c>
    </row>
    <row r="21" spans="2:4" x14ac:dyDescent="0.25">
      <c r="B21" s="5" t="s">
        <v>35</v>
      </c>
      <c r="D21" s="15">
        <v>0.07860654632388986</v>
      </c>
    </row>
    <row r="22" spans="2:4" x14ac:dyDescent="0.25">
      <c r="B22" s="5" t="s">
        <v>36</v>
      </c>
      <c r="D22" s="15">
        <v>0.1333365461845557</v>
      </c>
    </row>
    <row r="23" spans="2:4" x14ac:dyDescent="0.25">
      <c r="B23" s="5" t="s">
        <v>37</v>
      </c>
      <c r="D23" s="15">
        <v>0.121194522123244</v>
      </c>
    </row>
    <row r="24" spans="2:4" x14ac:dyDescent="0.25">
      <c r="B24" s="5" t="s">
        <v>38</v>
      </c>
      <c r="D24" s="15">
        <v>0.07285372879684027</v>
      </c>
    </row>
    <row r="25" spans="2:4" x14ac:dyDescent="0.25">
      <c r="B25" s="5" t="s">
        <v>39</v>
      </c>
      <c r="D25" s="16">
        <v>1.2179359636659561</v>
      </c>
    </row>
    <row r="26" spans="2:4" x14ac:dyDescent="0.25">
      <c r="B26" s="5" t="s">
        <v>40</v>
      </c>
      <c r="D26" s="16">
        <v>1.4488807154069607</v>
      </c>
    </row>
    <row r="27" spans="2:4" x14ac:dyDescent="0.25">
      <c r="B27" s="5" t="s">
        <v>41</v>
      </c>
      <c r="D27" s="14">
        <v>405781.18185676506</v>
      </c>
    </row>
    <row r="28" spans="2:4" x14ac:dyDescent="0.25">
      <c r="B28" s="5" t="s">
        <v>42</v>
      </c>
      <c r="D28" s="14">
        <v>105377.38133925629</v>
      </c>
    </row>
    <row r="29" spans="2:4" x14ac:dyDescent="0.25">
      <c r="B29" s="5" t="s">
        <v>43</v>
      </c>
      <c r="D29" s="14">
        <v>66082.73725891308</v>
      </c>
    </row>
    <row r="30" spans="2:4" x14ac:dyDescent="0.25">
      <c r="B30" s="5" t="s">
        <v>44</v>
      </c>
      <c r="D30" s="14">
        <v>16762.222221046482</v>
      </c>
    </row>
    <row r="31" spans="2:4" x14ac:dyDescent="0.25">
      <c r="B31" s="5" t="s">
        <v>45</v>
      </c>
      <c r="D31" s="14">
        <v>85238.84158376779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2026-08-26T10:27:01Z</dcterms:created>
  <dcterms:modified xsi:type="dcterms:W3CDTF">2026-08-26T10:27:01Z</dcterms:modified>
</cp:coreProperties>
</file>