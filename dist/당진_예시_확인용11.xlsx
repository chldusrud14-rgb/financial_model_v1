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<sst xmlns="http://schemas.openxmlformats.org/spreadsheetml/2006/main" count="1257" uniqueCount="382">
  <si>
    <t>당진 태양광발전</t>
  </si>
  <si>
    <t>재무모델 v2 (분기·5트랜치) — 재생E AI Agent 자동생성 · 2026-08-27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</si>
  <si>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</si>
  <si>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</si>
  <si>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</si>
  <si>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</si>
  <si>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</si>
  <si>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</si>
  <si>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</si>
  <si>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</si>
  <si>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</si>
  <si>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</si>
  <si>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</si>
  <si>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</si>
  <si>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</si>
  <si>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</si>
  <si>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</si>
  <si>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</si>
  <si>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</si>
  <si>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</si>
  <si>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</si>
  <si>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</si>
  <si>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</si>
  <si>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</si>
  <si>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</si>
  <si>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</si>
  <si>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</si>
  <si>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</si>
  <si>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</si>
  <si>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</si>
  <si>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</si>
  <si>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</si>
  <si>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</si>
  <si>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</si>
  <si>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</si>
  <si>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</si>
  <si>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</si>
  <si>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</si>
  <si>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</si>
  <si>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</si>
  <si>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</si>
  <si>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</si>
  <si>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</si>
  <si>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</si>
  <si>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</si>
  <si>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</si>
  <si>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</si>
  <si>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</si>
  <si>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</si>
  <si>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</si>
  <si>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</si>
  <si>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</si>
  <si>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</si>
  <si>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</si>
  <si>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</si>
  <si>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</si>
  <si>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</si>
  <si>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</si>
  <si>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</si>
  <si>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</si>
  <si>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</si>
  <si>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</si>
  <si>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</si>
  <si>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</si>
  <si>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</si>
  <si>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</si>
  <si>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배당 지급월</t>
  </si>
  <si>
    <t>최초 배당 가능 연도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</si>
  <si>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</si>
  <si>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</si>
  <si>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</si>
  <si>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</si>
  <si>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</si>
  <si>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</si>
  <si>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건설기간 손실(연도별)</t>
  </si>
  <si>
    <t>연도</t>
  </si>
  <si>
    <t>금액[KRWm]</t>
  </si>
  <si>
    <t>통합투자세액공제 기준액(연도별)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</si>
  <si>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</si>
  <si>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</si>
  <si>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</si>
  <si>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</si>
  <si>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</si>
  <si>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</si>
  <si>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</si>
  <si>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</si>
  <si>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</si>
  <si>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</si>
  <si>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</si>
  <si>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</si>
  <si>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</si>
  <si>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</si>
  <si>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</si>
  <si>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</si>
  <si>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</si>
  <si>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</si>
  <si>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</si>
  <si>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</si>
  <si>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</si>
  <si>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방식3 상환비율 ("예시 불러오기" 전용 — 원본 상환 스케줄)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</si>
  <si>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</si>
  <si>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</si>
  <si>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</si>
  <si>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</si>
  <si>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</si>
  <si>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</si>
  <si>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</si>
  <si>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</si>
  <si>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</si>
  <si>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</si>
  <si>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</si>
  <si>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</si>
  <si>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</si>
  <si>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</si>
  <si>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</si>
  <si>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</si>
  <si>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</si>
  <si>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</si>
  <si>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</si>
  <si>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</si>
  <si>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</si>
  <si>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</si>
  <si>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</si>
  <si>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</si>
  <si>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</si>
  <si>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</si>
  <si>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</si>
  <si>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</si>
  <si>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</si>
  <si>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</si>
  <si>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</si>
  <si>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</si>
  <si>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</si>
  <si>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</si>
  <si>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</si>
  <si>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</si>
  <si>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</si>
  <si>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</si>
  <si>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</si>
  <si>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</si>
  <si>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</si>
  <si>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</si>
  <si>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</si>
  <si>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</si>
  <si>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</si>
  <si>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</si>
  <si>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</si>
  <si>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</si>
  <si>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</si>
  <si>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</si>
  <si>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</si>
  <si>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</si>
  <si>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</si>
  <si>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</si>
  <si>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</si>
  <si>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</si>
  <si>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</si>
  <si>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</si>
  <si>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</si>
  <si>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</si>
  <si>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</si>
  <si>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</si>
  <si>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</si>
  <si>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</si>
  <si>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</si>
  <si>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</si>
  <si>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</si>
  <si>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</si>
  <si>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</si>
  <si>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</si>
  <si>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</si>
  <si>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</si>
  <si>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</si>
  <si>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</si>
  <si>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</si>
  <si>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</si>
  <si>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</si>
  <si>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</si>
  <si>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</si>
  <si>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</si>
  <si>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</si>
  <si>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</si>
  <si>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</si>
  <si>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</si>
  <si>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</si>
  <si>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</si>
  <si>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</si>
  <si>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</si>
  <si>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</si>
  <si>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선순위A 상환비율</t>
  </si>
  <si>
    <t>[비율]</t>
  </si>
  <si>
    <t>선순위B 상환비율</t>
  </si>
  <si>
    <t>선순위C 상환비율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</si>
  <si>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</si>
  <si>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</si>
  <si>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</si>
  <si>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</si>
  <si>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</si>
  <si>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</si>
  <si>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</si>
  <si>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</si>
  <si>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</si>
  <si>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</si>
  <si>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</si>
  <si>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</si>
  <si>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</si>
  <si>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</si>
  <si>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</si>
  <si>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</si>
  <si>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</si>
  <si>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</si>
  <si>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</si>
  <si>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</si>
  <si>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</si>
  <si>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</si>
  <si>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</si>
  <si>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</si>
  <si>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</si>
  <si>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</si>
  <si>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</si>
  <si>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</si>
  <si>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</si>
  <si>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</si>
  <si>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</si>
  <si>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</si>
  <si>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</si>
  <si>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</si>
  <si>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대리은행수수료(실측)</t>
  </si>
  <si>
    <t>기타 비현금 세무손금(실측)</t>
  </si>
  <si>
    <t>현금기준 법인세(실측)</t>
  </si>
  <si>
    <t>DSRA FCFE 조정(실측)</t>
  </si>
  <si>
    <t>운전자본 증감(실측)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</si>
  <si>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</si>
  <si>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</si>
  <si>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투입순서</t>
  </si>
  <si>
    <t>건설금리</t>
  </si>
  <si>
    <t>운영금리</t>
  </si>
  <si>
    <t>상환개시</t>
  </si>
  <si>
    <t>자본금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</si>
  <si>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</si>
  <si>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</si>
  <si>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</si>
  <si>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</si>
  <si>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</si>
  <si>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</si>
  <si>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</si>
  <si>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</si>
  <si>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</si>
  <si>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</si>
  <si>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</si>
  <si>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</si>
  <si>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</si>
  <si>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</si>
  <si>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</si>
  <si>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</si>
  <si>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</si>
  <si>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방식 3(직접 키인) — 원금상환은 "입력값" 시트의 상환비율 표를 참조하는 수식</t>
  </si>
  <si>
    <t>※ 미사용 트랜치 — 값(baked) 기준</t>
  </si>
  <si>
    <t>전체 합계</t>
  </si>
  <si>
    <t>이자</t>
  </si>
  <si>
    <t>원리금(DS)</t>
  </si>
  <si>
    <t>DSRA 기초잔액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</si>
  <si>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</si>
  <si>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</si>
  <si>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</si>
  <si>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</si>
  <si>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</si>
  <si>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</si>
  <si>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</si>
  <si>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</si>
  <si>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</si>
  <si>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</si>
  <si>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</si>
  <si>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</si>
  <si>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</si>
  <si>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</si>
  <si>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</si>
  <si>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</si>
  <si>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</si>
  <si>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</si>
  <si>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</si>
  <si>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</si>
  <si>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</si>
  <si>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</si>
  <si>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</si>
  <si>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</si>
  <si>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</si>
  <si>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</si>
  <si>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</si>
  <si>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</si>
  <si>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</si>
  <si>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</si>
  <si>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</si>
  <si>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</si>
  <si>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</si>
  <si>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</si>
  <si>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</si>
  <si>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</si>
  <si>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</si>
  <si>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</si>
  <si>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</si>
  <si>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</si>
  <si>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</si>
  <si>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</si>
  <si>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</si>
  <si>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</si>
  <si>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</si>
  <si>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</si>
  <si>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</si>
  <si>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</si>
  <si>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</si>
  <si>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</si>
  <si>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</si>
  <si>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</si>
  <si>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</si>
  <si>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</si>
  <si>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</si>
  <si>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</si>
  <si>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</si>
  <si>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</si>
  <si>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</si>
  <si>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</si>
  <si>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</si>
  <si>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</si>
  <si>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</si>
  <si>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</si>
  <si>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</si>
  <si>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</si>
  <si>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</si>
  <si>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</si>
  <si>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</si>
  <si>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</si>
  <si>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</si>
  <si>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</si>
  <si>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</si>
  <si>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</si>
  <si>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</si>
  <si>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</si>
  <si>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</si>
  <si>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</si>
  <si>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(가용현금=기초현금+FCFE, 내부용)</t>
  </si>
  <si>
    <t>(세금 현금조정, 내부용)</t>
  </si>
  <si>
    <t>(DSRA 기초잔액, 내부용)</t>
  </si>
  <si>
    <t>(DSRA 기말잔액, 내부용)</t>
  </si>
  <si>
    <t>(배당가능이익 누적, 내부용)</t>
  </si>
  <si>
    <t>(이익준비금 누적, 내부용)</t>
  </si>
  <si>
    <t>연도별 DSCR · 배당 게이트</t>
  </si>
  <si>
    <t>원리금 합(연간)</t>
  </si>
  <si>
    <t>CFADS 합(연간)</t>
  </si>
  <si>
    <t>단순 DSCR(연 합산)</t>
  </si>
  <si>
    <t>누적 DSCR(연간)</t>
  </si>
  <si>
    <t>CFADS 합(현금기준, 연간)</t>
  </si>
  <si>
    <t>그 해 첫 운영분기 기초현금+DSRA</t>
  </si>
  <si>
    <t>그 해 첫 운영분기 기초현금</t>
  </si>
  <si>
    <t>그 해 지급월 기초현금-배당</t>
  </si>
  <si>
    <t>단순DSCR 게이트 통과</t>
  </si>
  <si>
    <t>[bool]</t>
  </si>
  <si>
    <t>누적DSCR 게이트 통과</t>
  </si>
  <si>
    <t>배당 결의 가능</t>
  </si>
  <si>
    <t>배당가능이익 한도</t>
  </si>
  <si>
    <t>현금 한도</t>
  </si>
  <si>
    <t>원리금상환재원 기준선</t>
  </si>
  <si>
    <t>원리금상환재원 한도</t>
  </si>
  <si>
    <t>결정 배당액</t>
  </si>
  <si>
    <t>이익준비금 적립액</t>
  </si>
  <si>
    <t>검증</t>
  </si>
  <si>
    <t>최소 단순DSCR(연 합산)</t>
  </si>
  <si>
    <t>최소 누적DSCR</t>
  </si>
  <si>
    <t>최종 기말현금(음수면 오류)</t>
  </si>
  <si>
    <t>IRR용 현금흐름 (참고)</t>
  </si>
  <si>
    <t>자본금 인출</t>
  </si>
  <si>
    <t>Project 현금흐름</t>
  </si>
  <si>
    <t>Project 현금흐름(세전)</t>
  </si>
  <si>
    <t>Equity 현금흐름(FCFE 기준)</t>
  </si>
  <si>
    <t>Equity 현금흐름(배당 기준)</t>
  </si>
  <si>
    <t>Investor 현금흐름</t>
  </si>
  <si>
    <t>Project IRR(세전)</t>
  </si>
  <si>
    <t>Project IRR(세후)</t>
  </si>
  <si>
    <t>Equity IRR(FCFE)</t>
  </si>
  <si>
    <t>Equity IRR(배당)</t>
  </si>
  <si>
    <t>Investor IRR</t>
  </si>
  <si>
    <t>※ IRR()의 두 번째 인자(초기 추정치)에 현재 계산된 값을 넣어 엉뚱한 근으로 수렴하는 걸 방지했습니다. 입력값을 크게 바꿔서 결과가 비정상적으로 크게(수백% 이상) 나오면, 그 근처의 추정치로 다시 만들어야 정확합니다 — 화면(HTML) 값과 대조해서 확인하세요.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</si>
</sst>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3" borderId="0" xfId="0" applyNumberFormat="1" applyFont="1" applyFill="1"/>
    <xf numFmtId="170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3" borderId="0" xfId="0" applyNumberFormat="1" applyFont="1" applyFill="1"/>
    <xf numFmtId="167" fontId="11" fillId="0" borderId="0" xfId="0" applyNumberFormat="1" applyFont="1"/>
    <xf numFmtId="165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0" fontId="10" fillId="0" borderId="0" xfId="0" applyFont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0" fontId="14" fillId="2" borderId="0" xfId="0" applyFont="1" applyFill="1" applyAlignment="1">
      <alignment horizontal="center"/>
    </xf>
    <xf numFmtId="165" fontId="11" fillId="2" borderId="0" xfId="0" applyNumberFormat="1" applyFont="1" applyFill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119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320</v>
      </c>
    </row>
    <row r="19" spans="2:3" x14ac:dyDescent="0.25">
      <c r="B19" s="5" t="s">
        <v>60</v>
      </c>
      <c r="C19" s="19">
        <v>6743.65</v>
      </c>
    </row>
    <row r="20" spans="2:3" x14ac:dyDescent="0.25">
      <c r="B20" s="5" t="s">
        <v>61</v>
      </c>
      <c r="C20" s="19">
        <v>50</v>
      </c>
    </row>
    <row r="21" spans="2:3" x14ac:dyDescent="0.25">
      <c r="B21" s="5" t="s">
        <v>62</v>
      </c>
      <c r="C21" s="24">
        <v>6</v>
      </c>
    </row>
    <row r="22" spans="2:3" x14ac:dyDescent="0.25">
      <c r="B22" s="5" t="s">
        <v>63</v>
      </c>
      <c r="C22" s="19">
        <v>10</v>
      </c>
    </row>
    <row r="23" spans="2:3" x14ac:dyDescent="0.25">
      <c r="B23" s="5" t="s">
        <v>64</v>
      </c>
      <c r="C23" s="25">
        <v>1.1</v>
      </c>
    </row>
    <row r="24" spans="2:3" x14ac:dyDescent="0.25">
      <c r="B24" s="5" t="s">
        <v>65</v>
      </c>
      <c r="C24" s="25">
        <v>1.15</v>
      </c>
    </row>
    <row r="25" spans="2:3" x14ac:dyDescent="0.25">
      <c r="B25" s="5" t="s">
        <v>66</v>
      </c>
      <c r="C25" s="24">
        <v>3</v>
      </c>
    </row>
    <row r="26" spans="2:3" x14ac:dyDescent="0.25">
      <c r="B26" s="5" t="s">
        <v>67</v>
      </c>
      <c r="C26" s="24">
        <v>2028</v>
      </c>
    </row>
    <row r="28" spans="2:91" x14ac:dyDescent="0.25">
      <c r="B28" s="9" t="s">
        <v>68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</row>
    <row r="30" spans="2:3" x14ac:dyDescent="0.25">
      <c r="B30" s="5" t="s">
        <v>69</v>
      </c>
      <c r="C30" s="21">
        <v>80</v>
      </c>
    </row>
    <row r="31" spans="2:3" x14ac:dyDescent="0.25">
      <c r="B31" s="5" t="s">
        <v>70</v>
      </c>
      <c r="C31" s="21">
        <v>10</v>
      </c>
    </row>
    <row r="32" spans="2:3" x14ac:dyDescent="0.25">
      <c r="B32" s="5" t="s">
        <v>71</v>
      </c>
      <c r="C32" s="21">
        <v>1</v>
      </c>
    </row>
    <row r="33" spans="2:3" x14ac:dyDescent="0.25">
      <c r="B33" s="5" t="s">
        <v>72</v>
      </c>
      <c r="C33" s="21">
        <v>10</v>
      </c>
    </row>
    <row r="34" spans="2:3" x14ac:dyDescent="0.25">
      <c r="B34" s="5" t="s">
        <v>73</v>
      </c>
      <c r="C34" s="21">
        <v>20</v>
      </c>
    </row>
    <row r="36" spans="2:91" x14ac:dyDescent="0.25">
      <c r="B36" s="9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</row>
    <row r="38" spans="2:3" x14ac:dyDescent="0.25">
      <c r="B38" s="26" t="s">
        <v>75</v>
      </c>
      <c r="C38" s="26" t="s">
        <v>76</v>
      </c>
    </row>
    <row r="39" spans="2:3" x14ac:dyDescent="0.25">
      <c r="B39" s="24">
        <v>2024</v>
      </c>
      <c r="C39" s="19">
        <v>140</v>
      </c>
    </row>
    <row r="40" spans="2:3" x14ac:dyDescent="0.25">
      <c r="B40" s="24">
        <v>2025</v>
      </c>
      <c r="C40" s="19">
        <v>140</v>
      </c>
    </row>
    <row r="42" spans="2:91" x14ac:dyDescent="0.25">
      <c r="B42" s="9" t="s">
        <v>77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</row>
    <row r="44" spans="2:3" x14ac:dyDescent="0.25">
      <c r="B44" s="26" t="s">
        <v>75</v>
      </c>
      <c r="C44" s="26" t="s">
        <v>76</v>
      </c>
    </row>
    <row r="45" spans="2:3" x14ac:dyDescent="0.25">
      <c r="B45" s="24">
        <v>2024</v>
      </c>
      <c r="C45" s="19">
        <v>43600</v>
      </c>
    </row>
    <row r="46" spans="2:3" x14ac:dyDescent="0.25">
      <c r="B46" s="24">
        <v>2025</v>
      </c>
      <c r="C46" s="19">
        <v>65400</v>
      </c>
    </row>
    <row r="48" spans="2:91" x14ac:dyDescent="0.25">
      <c r="B48" s="9" t="s">
        <v>78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5" x14ac:dyDescent="0.25">
      <c r="B50" s="26" t="s">
        <v>79</v>
      </c>
      <c r="C50" s="26" t="s">
        <v>80</v>
      </c>
      <c r="D50" s="26" t="s">
        <v>81</v>
      </c>
      <c r="E50" s="26" t="s">
        <v>82</v>
      </c>
    </row>
    <row r="51" spans="2:5" x14ac:dyDescent="0.25">
      <c r="B51" s="17" t="s">
        <v>83</v>
      </c>
      <c r="C51" s="21">
        <v>0</v>
      </c>
      <c r="D51" s="20">
        <v>0</v>
      </c>
      <c r="E51" s="21">
        <v>0</v>
      </c>
    </row>
    <row r="52" spans="2:5" x14ac:dyDescent="0.25">
      <c r="B52" s="17" t="s">
        <v>84</v>
      </c>
      <c r="C52" s="21">
        <v>60.001200024000475</v>
      </c>
      <c r="D52" s="20">
        <v>160</v>
      </c>
      <c r="E52" s="21">
        <v>0</v>
      </c>
    </row>
    <row r="53" spans="2:5" x14ac:dyDescent="0.25">
      <c r="B53" s="17" t="s">
        <v>85</v>
      </c>
      <c r="C53" s="21">
        <v>39.998799975999525</v>
      </c>
      <c r="D53" s="20">
        <v>147</v>
      </c>
      <c r="E53" s="21">
        <v>0</v>
      </c>
    </row>
    <row r="55" spans="2:91" x14ac:dyDescent="0.25">
      <c r="B55" s="9" t="s">
        <v>86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</row>
    <row r="57" spans="2:8" x14ac:dyDescent="0.25">
      <c r="B57" s="26" t="s">
        <v>87</v>
      </c>
      <c r="C57" s="26" t="s">
        <v>88</v>
      </c>
      <c r="D57" s="26" t="s">
        <v>89</v>
      </c>
      <c r="E57" s="26" t="s">
        <v>90</v>
      </c>
      <c r="F57" s="26" t="s">
        <v>91</v>
      </c>
      <c r="G57" s="26" t="s">
        <v>92</v>
      </c>
      <c r="H57" s="26" t="s">
        <v>93</v>
      </c>
    </row>
    <row r="58" spans="2:8" x14ac:dyDescent="0.25">
      <c r="B58" s="17" t="s">
        <v>94</v>
      </c>
      <c r="C58" s="19">
        <v>500</v>
      </c>
      <c r="D58" s="27">
        <v>0.05600000000000001</v>
      </c>
      <c r="E58" s="27">
        <v>0.05600000000000001</v>
      </c>
      <c r="F58" s="21">
        <v>2</v>
      </c>
      <c r="G58" s="21">
        <v>16</v>
      </c>
      <c r="H58" s="24">
        <v>3</v>
      </c>
    </row>
    <row r="59" spans="2:8" x14ac:dyDescent="0.25">
      <c r="B59" s="17" t="s">
        <v>95</v>
      </c>
      <c r="C59" s="19">
        <v>500</v>
      </c>
      <c r="D59" s="27">
        <v>0.055</v>
      </c>
      <c r="E59" s="27">
        <v>0.055</v>
      </c>
      <c r="F59" s="21">
        <v>2</v>
      </c>
      <c r="G59" s="21">
        <v>16</v>
      </c>
      <c r="H59" s="24">
        <v>3</v>
      </c>
    </row>
    <row r="60" spans="2:8" x14ac:dyDescent="0.25">
      <c r="B60" s="17" t="s">
        <v>96</v>
      </c>
      <c r="C60" s="19">
        <v>349.9999950416849</v>
      </c>
      <c r="D60" s="27">
        <v>0.055</v>
      </c>
      <c r="E60" s="27">
        <v>0.055</v>
      </c>
      <c r="F60" s="21">
        <v>1.25</v>
      </c>
      <c r="G60" s="21">
        <v>16</v>
      </c>
      <c r="H60" s="24">
        <v>3</v>
      </c>
    </row>
    <row r="61" spans="2:8" x14ac:dyDescent="0.25">
      <c r="B61" s="17" t="s">
        <v>97</v>
      </c>
      <c r="C61" s="19">
        <v>0</v>
      </c>
      <c r="D61" s="27">
        <v>0.0225</v>
      </c>
      <c r="E61" s="27">
        <v>0.0225</v>
      </c>
      <c r="F61" s="21">
        <v>5</v>
      </c>
      <c r="G61" s="21">
        <v>10</v>
      </c>
      <c r="H61" s="24">
        <v>3</v>
      </c>
    </row>
    <row r="62" spans="2:8" x14ac:dyDescent="0.25">
      <c r="B62" s="17" t="s">
        <v>98</v>
      </c>
      <c r="C62" s="19">
        <v>0</v>
      </c>
      <c r="D62" s="27">
        <v>0.0565</v>
      </c>
      <c r="E62" s="27">
        <v>0.0565</v>
      </c>
      <c r="F62" s="21">
        <v>15</v>
      </c>
      <c r="G62" s="21">
        <v>2.75</v>
      </c>
      <c r="H62" s="24">
        <v>3</v>
      </c>
    </row>
    <row r="64" spans="2:91" x14ac:dyDescent="0.25">
      <c r="B64" s="9" t="s">
        <v>99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</row>
    <row r="66" spans="2:90" x14ac:dyDescent="0.25">
      <c r="B66" s="26" t="s">
        <v>100</v>
      </c>
      <c r="C66" s="26" t="s">
        <v>101</v>
      </c>
      <c r="D66" s="26" t="s">
        <v>102</v>
      </c>
      <c r="E66" s="28" t="s">
        <v>103</v>
      </c>
      <c r="F66" s="28" t="s">
        <v>104</v>
      </c>
      <c r="G66" s="28" t="s">
        <v>105</v>
      </c>
      <c r="H66" s="28" t="s">
        <v>106</v>
      </c>
      <c r="I66" s="28" t="s">
        <v>107</v>
      </c>
      <c r="J66" s="28" t="s">
        <v>108</v>
      </c>
      <c r="K66" s="28" t="s">
        <v>109</v>
      </c>
      <c r="L66" s="28" t="s">
        <v>110</v>
      </c>
      <c r="M66" s="28" t="s">
        <v>111</v>
      </c>
      <c r="N66" s="28" t="s">
        <v>112</v>
      </c>
      <c r="O66" s="28" t="s">
        <v>113</v>
      </c>
      <c r="P66" s="28" t="s">
        <v>114</v>
      </c>
      <c r="Q66" s="28" t="s">
        <v>115</v>
      </c>
      <c r="R66" s="28" t="s">
        <v>116</v>
      </c>
      <c r="S66" s="28" t="s">
        <v>117</v>
      </c>
      <c r="T66" s="28" t="s">
        <v>118</v>
      </c>
      <c r="U66" s="28" t="s">
        <v>119</v>
      </c>
      <c r="V66" s="28" t="s">
        <v>120</v>
      </c>
      <c r="W66" s="28" t="s">
        <v>121</v>
      </c>
      <c r="X66" s="28" t="s">
        <v>122</v>
      </c>
      <c r="Y66" s="28" t="s">
        <v>123</v>
      </c>
      <c r="Z66" s="28" t="s">
        <v>124</v>
      </c>
      <c r="AA66" s="28" t="s">
        <v>125</v>
      </c>
      <c r="AB66" s="28" t="s">
        <v>126</v>
      </c>
      <c r="AC66" s="28" t="s">
        <v>127</v>
      </c>
      <c r="AD66" s="28" t="s">
        <v>128</v>
      </c>
      <c r="AE66" s="28" t="s">
        <v>129</v>
      </c>
      <c r="AF66" s="28" t="s">
        <v>130</v>
      </c>
      <c r="AG66" s="28" t="s">
        <v>131</v>
      </c>
      <c r="AH66" s="28" t="s">
        <v>132</v>
      </c>
      <c r="AI66" s="28" t="s">
        <v>133</v>
      </c>
      <c r="AJ66" s="28" t="s">
        <v>134</v>
      </c>
      <c r="AK66" s="28" t="s">
        <v>135</v>
      </c>
      <c r="AL66" s="28" t="s">
        <v>136</v>
      </c>
      <c r="AM66" s="28" t="s">
        <v>137</v>
      </c>
      <c r="AN66" s="28" t="s">
        <v>138</v>
      </c>
      <c r="AO66" s="28" t="s">
        <v>139</v>
      </c>
      <c r="AP66" s="28" t="s">
        <v>140</v>
      </c>
      <c r="AQ66" s="28" t="s">
        <v>141</v>
      </c>
      <c r="AR66" s="28" t="s">
        <v>142</v>
      </c>
      <c r="AS66" s="28" t="s">
        <v>143</v>
      </c>
      <c r="AT66" s="28" t="s">
        <v>144</v>
      </c>
      <c r="AU66" s="28" t="s">
        <v>145</v>
      </c>
      <c r="AV66" s="28" t="s">
        <v>146</v>
      </c>
      <c r="AW66" s="28" t="s">
        <v>147</v>
      </c>
      <c r="AX66" s="28" t="s">
        <v>148</v>
      </c>
      <c r="AY66" s="28" t="s">
        <v>149</v>
      </c>
      <c r="AZ66" s="28" t="s">
        <v>150</v>
      </c>
      <c r="BA66" s="28" t="s">
        <v>151</v>
      </c>
      <c r="BB66" s="28" t="s">
        <v>152</v>
      </c>
      <c r="BC66" s="28" t="s">
        <v>153</v>
      </c>
      <c r="BD66" s="28" t="s">
        <v>154</v>
      </c>
      <c r="BE66" s="28" t="s">
        <v>155</v>
      </c>
      <c r="BF66" s="28" t="s">
        <v>156</v>
      </c>
      <c r="BG66" s="28" t="s">
        <v>157</v>
      </c>
      <c r="BH66" s="28" t="s">
        <v>158</v>
      </c>
      <c r="BI66" s="28" t="s">
        <v>159</v>
      </c>
      <c r="BJ66" s="28" t="s">
        <v>160</v>
      </c>
      <c r="BK66" s="28" t="s">
        <v>161</v>
      </c>
      <c r="BL66" s="28" t="s">
        <v>162</v>
      </c>
      <c r="BM66" s="28" t="s">
        <v>163</v>
      </c>
      <c r="BN66" s="28" t="s">
        <v>164</v>
      </c>
      <c r="BO66" s="28" t="s">
        <v>165</v>
      </c>
      <c r="BP66" s="28" t="s">
        <v>166</v>
      </c>
      <c r="BQ66" s="28" t="s">
        <v>167</v>
      </c>
      <c r="BR66" s="28" t="s">
        <v>168</v>
      </c>
      <c r="BS66" s="28" t="s">
        <v>169</v>
      </c>
      <c r="BT66" s="28" t="s">
        <v>170</v>
      </c>
      <c r="BU66" s="28" t="s">
        <v>171</v>
      </c>
      <c r="BV66" s="28" t="s">
        <v>172</v>
      </c>
      <c r="BW66" s="28" t="s">
        <v>173</v>
      </c>
      <c r="BX66" s="28" t="s">
        <v>174</v>
      </c>
      <c r="BY66" s="28" t="s">
        <v>175</v>
      </c>
      <c r="BZ66" s="28" t="s">
        <v>176</v>
      </c>
      <c r="CA66" s="28" t="s">
        <v>177</v>
      </c>
      <c r="CB66" s="28" t="s">
        <v>178</v>
      </c>
      <c r="CC66" s="28" t="s">
        <v>179</v>
      </c>
      <c r="CD66" s="28" t="s">
        <v>180</v>
      </c>
      <c r="CE66" s="28" t="s">
        <v>181</v>
      </c>
      <c r="CF66" s="28" t="s">
        <v>182</v>
      </c>
      <c r="CG66" s="28" t="s">
        <v>183</v>
      </c>
      <c r="CH66" s="28" t="s">
        <v>184</v>
      </c>
      <c r="CI66" s="28" t="s">
        <v>185</v>
      </c>
      <c r="CJ66" s="28" t="s">
        <v>186</v>
      </c>
      <c r="CK66" s="28" t="s">
        <v>187</v>
      </c>
      <c r="CL66" s="28" t="s">
        <v>188</v>
      </c>
    </row>
    <row r="68" spans="2:77" x14ac:dyDescent="0.25">
      <c r="B68" s="29" t="s">
        <v>189</v>
      </c>
      <c r="C68" s="30" t="s">
        <v>190</v>
      </c>
      <c r="N68" s="31">
        <v>0.030625</v>
      </c>
      <c r="O68" s="31">
        <v>0.021</v>
      </c>
      <c r="P68" s="31">
        <v>0.013</v>
      </c>
      <c r="Q68" s="31">
        <v>0.013</v>
      </c>
      <c r="R68" s="31">
        <v>0.014</v>
      </c>
      <c r="S68" s="31">
        <v>0.014</v>
      </c>
      <c r="T68" s="31">
        <v>0.014</v>
      </c>
      <c r="U68" s="31">
        <v>0.014</v>
      </c>
      <c r="V68" s="31">
        <v>0.014</v>
      </c>
      <c r="W68" s="31">
        <v>0.014</v>
      </c>
      <c r="X68" s="31">
        <v>0.014</v>
      </c>
      <c r="Y68" s="31">
        <v>0.015</v>
      </c>
      <c r="Z68" s="31">
        <v>0.015</v>
      </c>
      <c r="AA68" s="31">
        <v>0.015</v>
      </c>
      <c r="AB68" s="31">
        <v>0.015</v>
      </c>
      <c r="AC68" s="31">
        <v>0.015</v>
      </c>
      <c r="AD68" s="31">
        <v>0.015</v>
      </c>
      <c r="AE68" s="31">
        <v>0.015625</v>
      </c>
      <c r="AF68" s="31">
        <v>0.015625</v>
      </c>
      <c r="AG68" s="31">
        <v>0.015625</v>
      </c>
      <c r="AH68" s="31">
        <v>0.015625</v>
      </c>
      <c r="AI68" s="31">
        <v>0.015625</v>
      </c>
      <c r="AJ68" s="31">
        <v>0.015625</v>
      </c>
      <c r="AK68" s="31">
        <v>0.015625</v>
      </c>
      <c r="AL68" s="31">
        <v>0.015625</v>
      </c>
      <c r="AM68" s="31">
        <v>0.015625</v>
      </c>
      <c r="AN68" s="31">
        <v>0.015625</v>
      </c>
      <c r="AO68" s="31">
        <v>0.015625</v>
      </c>
      <c r="AP68" s="31">
        <v>0.015625</v>
      </c>
      <c r="AQ68" s="31">
        <v>0.015625</v>
      </c>
      <c r="AR68" s="31">
        <v>0.015625</v>
      </c>
      <c r="AS68" s="31">
        <v>0.015625</v>
      </c>
      <c r="AT68" s="31">
        <v>0.015625</v>
      </c>
      <c r="AU68" s="31">
        <v>0.015625</v>
      </c>
      <c r="AV68" s="31">
        <v>0.015625</v>
      </c>
      <c r="AW68" s="31">
        <v>0.015625</v>
      </c>
      <c r="AX68" s="31">
        <v>0.015625</v>
      </c>
      <c r="AY68" s="31">
        <v>0.015625</v>
      </c>
      <c r="AZ68" s="31">
        <v>0.015625</v>
      </c>
      <c r="BA68" s="31">
        <v>0.015625</v>
      </c>
      <c r="BB68" s="31">
        <v>0.015625</v>
      </c>
      <c r="BC68" s="31">
        <v>0.015625</v>
      </c>
      <c r="BD68" s="31">
        <v>0.015625</v>
      </c>
      <c r="BE68" s="31">
        <v>0.015625</v>
      </c>
      <c r="BF68" s="31">
        <v>0.015625</v>
      </c>
      <c r="BG68" s="31">
        <v>0.015625</v>
      </c>
      <c r="BH68" s="31">
        <v>0.015625</v>
      </c>
      <c r="BI68" s="31">
        <v>0.015625</v>
      </c>
      <c r="BJ68" s="31">
        <v>0.015625</v>
      </c>
      <c r="BK68" s="31">
        <v>0.015625</v>
      </c>
      <c r="BL68" s="31">
        <v>0.015625</v>
      </c>
      <c r="BM68" s="31">
        <v>0.015625</v>
      </c>
      <c r="BN68" s="31">
        <v>0.015625</v>
      </c>
      <c r="BO68" s="31">
        <v>0.015625</v>
      </c>
      <c r="BP68" s="31">
        <v>0.015625</v>
      </c>
      <c r="BQ68" s="31">
        <v>0.015625</v>
      </c>
      <c r="BR68" s="31">
        <v>0.015625</v>
      </c>
      <c r="BS68" s="31">
        <v>0.015625</v>
      </c>
      <c r="BT68" s="31">
        <v>0.015625</v>
      </c>
      <c r="BU68" s="31">
        <v>0.015625</v>
      </c>
      <c r="BV68" s="31">
        <v>0.015625</v>
      </c>
      <c r="BW68" s="31">
        <v>0.015625</v>
      </c>
      <c r="BX68" s="31">
        <v>0.015625</v>
      </c>
      <c r="BY68" s="31">
        <v>0.015625</v>
      </c>
    </row>
    <row r="69" spans="2:77" x14ac:dyDescent="0.25">
      <c r="B69" s="29" t="s">
        <v>191</v>
      </c>
      <c r="C69" s="30" t="s">
        <v>190</v>
      </c>
      <c r="N69" s="31">
        <v>0.030625</v>
      </c>
      <c r="O69" s="31">
        <v>0.021</v>
      </c>
      <c r="P69" s="31">
        <v>0.013</v>
      </c>
      <c r="Q69" s="31">
        <v>0.013</v>
      </c>
      <c r="R69" s="31">
        <v>0.014</v>
      </c>
      <c r="S69" s="31">
        <v>0.014</v>
      </c>
      <c r="T69" s="31">
        <v>0.014</v>
      </c>
      <c r="U69" s="31">
        <v>0.014</v>
      </c>
      <c r="V69" s="31">
        <v>0.014</v>
      </c>
      <c r="W69" s="31">
        <v>0.014</v>
      </c>
      <c r="X69" s="31">
        <v>0.014</v>
      </c>
      <c r="Y69" s="31">
        <v>0.015</v>
      </c>
      <c r="Z69" s="31">
        <v>0.015</v>
      </c>
      <c r="AA69" s="31">
        <v>0.015</v>
      </c>
      <c r="AB69" s="31">
        <v>0.015</v>
      </c>
      <c r="AC69" s="31">
        <v>0.015</v>
      </c>
      <c r="AD69" s="31">
        <v>0.015</v>
      </c>
      <c r="AE69" s="31">
        <v>0.015625</v>
      </c>
      <c r="AF69" s="31">
        <v>0.015625</v>
      </c>
      <c r="AG69" s="31">
        <v>0.015625</v>
      </c>
      <c r="AH69" s="31">
        <v>0.015625</v>
      </c>
      <c r="AI69" s="31">
        <v>0.015625</v>
      </c>
      <c r="AJ69" s="31">
        <v>0.015625</v>
      </c>
      <c r="AK69" s="31">
        <v>0.015625</v>
      </c>
      <c r="AL69" s="31">
        <v>0.015625</v>
      </c>
      <c r="AM69" s="31">
        <v>0.015625</v>
      </c>
      <c r="AN69" s="31">
        <v>0.015625</v>
      </c>
      <c r="AO69" s="31">
        <v>0.015625</v>
      </c>
      <c r="AP69" s="31">
        <v>0.015625</v>
      </c>
      <c r="AQ69" s="31">
        <v>0.015625</v>
      </c>
      <c r="AR69" s="31">
        <v>0.015625</v>
      </c>
      <c r="AS69" s="31">
        <v>0.015625</v>
      </c>
      <c r="AT69" s="31">
        <v>0.015625</v>
      </c>
      <c r="AU69" s="31">
        <v>0.015625</v>
      </c>
      <c r="AV69" s="31">
        <v>0.015625</v>
      </c>
      <c r="AW69" s="31">
        <v>0.015625</v>
      </c>
      <c r="AX69" s="31">
        <v>0.015625</v>
      </c>
      <c r="AY69" s="31">
        <v>0.015625</v>
      </c>
      <c r="AZ69" s="31">
        <v>0.015625</v>
      </c>
      <c r="BA69" s="31">
        <v>0.015625</v>
      </c>
      <c r="BB69" s="31">
        <v>0.015625</v>
      </c>
      <c r="BC69" s="31">
        <v>0.015625</v>
      </c>
      <c r="BD69" s="31">
        <v>0.015625</v>
      </c>
      <c r="BE69" s="31">
        <v>0.015625</v>
      </c>
      <c r="BF69" s="31">
        <v>0.015625</v>
      </c>
      <c r="BG69" s="31">
        <v>0.015625</v>
      </c>
      <c r="BH69" s="31">
        <v>0.015625</v>
      </c>
      <c r="BI69" s="31">
        <v>0.015625</v>
      </c>
      <c r="BJ69" s="31">
        <v>0.015625</v>
      </c>
      <c r="BK69" s="31">
        <v>0.015625</v>
      </c>
      <c r="BL69" s="31">
        <v>0.015625</v>
      </c>
      <c r="BM69" s="31">
        <v>0.015625</v>
      </c>
      <c r="BN69" s="31">
        <v>0.015625</v>
      </c>
      <c r="BO69" s="31">
        <v>0.015625</v>
      </c>
      <c r="BP69" s="31">
        <v>0.015625</v>
      </c>
      <c r="BQ69" s="31">
        <v>0.015625</v>
      </c>
      <c r="BR69" s="31">
        <v>0.015625</v>
      </c>
      <c r="BS69" s="31">
        <v>0.015625</v>
      </c>
      <c r="BT69" s="31">
        <v>0.015625</v>
      </c>
      <c r="BU69" s="31">
        <v>0.015625</v>
      </c>
      <c r="BV69" s="31">
        <v>0.015625</v>
      </c>
      <c r="BW69" s="31">
        <v>0.015625</v>
      </c>
      <c r="BX69" s="31">
        <v>0.015625</v>
      </c>
      <c r="BY69" s="31">
        <v>0.015625</v>
      </c>
    </row>
    <row r="70" spans="2:77" x14ac:dyDescent="0.25">
      <c r="B70" s="29" t="s">
        <v>192</v>
      </c>
      <c r="C70" s="30" t="s">
        <v>190</v>
      </c>
      <c r="N70" s="31">
        <v>0.030625</v>
      </c>
      <c r="O70" s="31">
        <v>0.021</v>
      </c>
      <c r="P70" s="31">
        <v>0.013</v>
      </c>
      <c r="Q70" s="31">
        <v>0.013</v>
      </c>
      <c r="R70" s="31">
        <v>0.014</v>
      </c>
      <c r="S70" s="31">
        <v>0.014</v>
      </c>
      <c r="T70" s="31">
        <v>0.014</v>
      </c>
      <c r="U70" s="31">
        <v>0.014</v>
      </c>
      <c r="V70" s="31">
        <v>0.014</v>
      </c>
      <c r="W70" s="31">
        <v>0.014</v>
      </c>
      <c r="X70" s="31">
        <v>0.014</v>
      </c>
      <c r="Y70" s="31">
        <v>0.015</v>
      </c>
      <c r="Z70" s="31">
        <v>0.015</v>
      </c>
      <c r="AA70" s="31">
        <v>0.015</v>
      </c>
      <c r="AB70" s="31">
        <v>0.015</v>
      </c>
      <c r="AC70" s="31">
        <v>0.015</v>
      </c>
      <c r="AD70" s="31">
        <v>0.015</v>
      </c>
      <c r="AE70" s="31">
        <v>0.015625</v>
      </c>
      <c r="AF70" s="31">
        <v>0.015625</v>
      </c>
      <c r="AG70" s="31">
        <v>0.015625</v>
      </c>
      <c r="AH70" s="31">
        <v>0.015625</v>
      </c>
      <c r="AI70" s="31">
        <v>0.015625</v>
      </c>
      <c r="AJ70" s="31">
        <v>0.015625</v>
      </c>
      <c r="AK70" s="31">
        <v>0.015625</v>
      </c>
      <c r="AL70" s="31">
        <v>0.015625</v>
      </c>
      <c r="AM70" s="31">
        <v>0.015625</v>
      </c>
      <c r="AN70" s="31">
        <v>0.015625</v>
      </c>
      <c r="AO70" s="31">
        <v>0.015625</v>
      </c>
      <c r="AP70" s="31">
        <v>0.015625</v>
      </c>
      <c r="AQ70" s="31">
        <v>0.015625</v>
      </c>
      <c r="AR70" s="31">
        <v>0.015625</v>
      </c>
      <c r="AS70" s="31">
        <v>0.015625</v>
      </c>
      <c r="AT70" s="31">
        <v>0.015625</v>
      </c>
      <c r="AU70" s="31">
        <v>0.015625</v>
      </c>
      <c r="AV70" s="31">
        <v>0.015625</v>
      </c>
      <c r="AW70" s="31">
        <v>0.015625</v>
      </c>
      <c r="AX70" s="31">
        <v>0.015625</v>
      </c>
      <c r="AY70" s="31">
        <v>0.015625</v>
      </c>
      <c r="AZ70" s="31">
        <v>0.015625</v>
      </c>
      <c r="BA70" s="31">
        <v>0.015625</v>
      </c>
      <c r="BB70" s="31">
        <v>0.015625</v>
      </c>
      <c r="BC70" s="31">
        <v>0.015625</v>
      </c>
      <c r="BD70" s="31">
        <v>0.015625</v>
      </c>
      <c r="BE70" s="31">
        <v>0.015625</v>
      </c>
      <c r="BF70" s="31">
        <v>0.015625</v>
      </c>
      <c r="BG70" s="31">
        <v>0.015625</v>
      </c>
      <c r="BH70" s="31">
        <v>0.015625</v>
      </c>
      <c r="BI70" s="31">
        <v>0.015625</v>
      </c>
      <c r="BJ70" s="31">
        <v>0.015625</v>
      </c>
      <c r="BK70" s="31">
        <v>0.015625</v>
      </c>
      <c r="BL70" s="31">
        <v>0.015625</v>
      </c>
      <c r="BM70" s="31">
        <v>0.015625</v>
      </c>
      <c r="BN70" s="31">
        <v>0.015625</v>
      </c>
      <c r="BO70" s="31">
        <v>0.015625</v>
      </c>
      <c r="BP70" s="31">
        <v>0.015625</v>
      </c>
      <c r="BQ70" s="31">
        <v>0.015625</v>
      </c>
      <c r="BR70" s="31">
        <v>0.015625</v>
      </c>
      <c r="BS70" s="31">
        <v>0.015625</v>
      </c>
      <c r="BT70" s="31">
        <v>0.015625</v>
      </c>
      <c r="BU70" s="31">
        <v>0.015625</v>
      </c>
      <c r="BV70" s="31">
        <v>0.015625</v>
      </c>
      <c r="BW70" s="31">
        <v>0.015625</v>
      </c>
      <c r="BX70" s="31">
        <v>0.015625</v>
      </c>
      <c r="BY70" s="31">
        <v>0.015625</v>
      </c>
    </row>
    <row r="72" spans="2:91" x14ac:dyDescent="0.25">
      <c r="B72" s="9" t="s">
        <v>193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</row>
    <row r="74" spans="2:3" x14ac:dyDescent="0.25">
      <c r="B74" s="26" t="s">
        <v>194</v>
      </c>
      <c r="C74" s="26" t="s">
        <v>88</v>
      </c>
    </row>
    <row r="75" spans="2:3" x14ac:dyDescent="0.25">
      <c r="B75" s="17" t="s">
        <v>195</v>
      </c>
      <c r="C75" s="19"/>
    </row>
    <row r="76" spans="2:3" x14ac:dyDescent="0.25">
      <c r="B76" s="17" t="s">
        <v>196</v>
      </c>
      <c r="C76" s="19"/>
    </row>
    <row r="77" spans="2:3" x14ac:dyDescent="0.25">
      <c r="B77" s="17" t="s">
        <v>197</v>
      </c>
      <c r="C77" s="19"/>
    </row>
    <row r="78" spans="2:3" x14ac:dyDescent="0.25">
      <c r="B78" s="17" t="s">
        <v>198</v>
      </c>
      <c r="C78" s="19"/>
    </row>
    <row r="79" spans="2:3" x14ac:dyDescent="0.25">
      <c r="B79" s="17" t="s">
        <v>199</v>
      </c>
      <c r="C79" s="19"/>
    </row>
    <row r="80" spans="2:3" x14ac:dyDescent="0.25">
      <c r="B80" s="17" t="s">
        <v>200</v>
      </c>
      <c r="C80" s="19"/>
    </row>
    <row r="81" spans="2:3" x14ac:dyDescent="0.25">
      <c r="B81" s="17" t="s">
        <v>201</v>
      </c>
      <c r="C81" s="19"/>
    </row>
    <row r="82" spans="2:3" x14ac:dyDescent="0.25">
      <c r="B82" s="17" t="s">
        <v>202</v>
      </c>
      <c r="C82" s="19"/>
    </row>
    <row r="83" spans="2:3" x14ac:dyDescent="0.25">
      <c r="B83" s="17" t="s">
        <v>203</v>
      </c>
      <c r="C83" s="19"/>
    </row>
    <row r="84" spans="2:3" x14ac:dyDescent="0.25">
      <c r="B84" s="17" t="s">
        <v>204</v>
      </c>
      <c r="C84" s="19"/>
    </row>
    <row r="85" spans="2:3" x14ac:dyDescent="0.25">
      <c r="B85" s="17" t="s">
        <v>205</v>
      </c>
      <c r="C85" s="19"/>
    </row>
    <row r="86" spans="2:3" x14ac:dyDescent="0.25">
      <c r="B86" s="17" t="s">
        <v>206</v>
      </c>
      <c r="C86" s="19"/>
    </row>
    <row r="88" spans="2:91" x14ac:dyDescent="0.25">
      <c r="B88" s="9" t="s">
        <v>207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</row>
    <row r="90" spans="2:4" x14ac:dyDescent="0.25">
      <c r="B90" s="26" t="s">
        <v>194</v>
      </c>
      <c r="C90" s="26" t="s">
        <v>208</v>
      </c>
      <c r="D90" s="26" t="s">
        <v>82</v>
      </c>
    </row>
    <row r="91" spans="2:4" x14ac:dyDescent="0.25">
      <c r="B91" s="17" t="s">
        <v>209</v>
      </c>
      <c r="C91" s="19">
        <v>9.555</v>
      </c>
      <c r="D91" s="21">
        <v>0</v>
      </c>
    </row>
    <row r="92" spans="2:4" x14ac:dyDescent="0.25">
      <c r="B92" s="17" t="s">
        <v>210</v>
      </c>
      <c r="C92" s="19">
        <v>15</v>
      </c>
      <c r="D92" s="21">
        <v>1.5</v>
      </c>
    </row>
    <row r="93" spans="2:4" x14ac:dyDescent="0.25">
      <c r="B93" s="17" t="s">
        <v>211</v>
      </c>
      <c r="C93" s="19">
        <v>6.5</v>
      </c>
      <c r="D93" s="21">
        <v>0</v>
      </c>
    </row>
    <row r="94" spans="2:4" x14ac:dyDescent="0.25">
      <c r="B94" s="17" t="s">
        <v>212</v>
      </c>
      <c r="C94" s="19">
        <v>1.095</v>
      </c>
      <c r="D94" s="21">
        <v>0</v>
      </c>
    </row>
    <row r="95" spans="2:4" x14ac:dyDescent="0.25">
      <c r="B95" s="17" t="s">
        <v>213</v>
      </c>
      <c r="C95" s="19">
        <v>2</v>
      </c>
      <c r="D95" s="21">
        <v>2</v>
      </c>
    </row>
    <row r="96" spans="2:4" x14ac:dyDescent="0.25">
      <c r="B96" s="17" t="s">
        <v>214</v>
      </c>
      <c r="C96" s="19">
        <v>2</v>
      </c>
      <c r="D96" s="21">
        <v>2</v>
      </c>
    </row>
    <row r="97" spans="2:4" x14ac:dyDescent="0.25">
      <c r="B97" s="17" t="s">
        <v>203</v>
      </c>
      <c r="C97" s="19">
        <v>1.5</v>
      </c>
      <c r="D97" s="21">
        <v>2</v>
      </c>
    </row>
    <row r="98" spans="2:4" x14ac:dyDescent="0.25">
      <c r="B98" s="17" t="s">
        <v>215</v>
      </c>
      <c r="C98" s="19">
        <v>8</v>
      </c>
      <c r="D98" s="21">
        <v>0</v>
      </c>
    </row>
    <row r="99" spans="2:4" x14ac:dyDescent="0.25">
      <c r="B99" s="17" t="s">
        <v>216</v>
      </c>
      <c r="C99" s="19">
        <v>0.3</v>
      </c>
      <c r="D99" s="21">
        <v>0</v>
      </c>
    </row>
    <row r="100" spans="2:4" x14ac:dyDescent="0.25">
      <c r="B100" s="17" t="s">
        <v>217</v>
      </c>
      <c r="C100" s="19">
        <v>3</v>
      </c>
      <c r="D100" s="21">
        <v>0</v>
      </c>
    </row>
    <row r="101" spans="2:4" x14ac:dyDescent="0.25">
      <c r="B101" s="17" t="s">
        <v>218</v>
      </c>
      <c r="C101" s="19">
        <v>0.21416000000000002</v>
      </c>
      <c r="D101" s="21">
        <v>0</v>
      </c>
    </row>
    <row r="102" spans="2:4" x14ac:dyDescent="0.25">
      <c r="B102" s="17" t="s">
        <v>219</v>
      </c>
      <c r="C102" s="19">
        <v>0</v>
      </c>
      <c r="D102" s="21">
        <v>0</v>
      </c>
    </row>
    <row r="105" spans="2:91" x14ac:dyDescent="0.25">
      <c r="B105" s="9" t="s">
        <v>220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</row>
    <row r="107" spans="2:90" x14ac:dyDescent="0.25">
      <c r="B107" s="26" t="s">
        <v>100</v>
      </c>
      <c r="C107" s="26" t="s">
        <v>101</v>
      </c>
      <c r="D107" s="26" t="s">
        <v>102</v>
      </c>
      <c r="E107" s="28" t="s">
        <v>103</v>
      </c>
      <c r="F107" s="28" t="s">
        <v>104</v>
      </c>
      <c r="G107" s="28" t="s">
        <v>105</v>
      </c>
      <c r="H107" s="28" t="s">
        <v>106</v>
      </c>
      <c r="I107" s="28" t="s">
        <v>107</v>
      </c>
      <c r="J107" s="28" t="s">
        <v>108</v>
      </c>
      <c r="K107" s="28" t="s">
        <v>109</v>
      </c>
      <c r="L107" s="28" t="s">
        <v>110</v>
      </c>
      <c r="M107" s="28" t="s">
        <v>111</v>
      </c>
      <c r="N107" s="28" t="s">
        <v>112</v>
      </c>
      <c r="O107" s="28" t="s">
        <v>113</v>
      </c>
      <c r="P107" s="28" t="s">
        <v>114</v>
      </c>
      <c r="Q107" s="28" t="s">
        <v>115</v>
      </c>
      <c r="R107" s="28" t="s">
        <v>116</v>
      </c>
      <c r="S107" s="28" t="s">
        <v>117</v>
      </c>
      <c r="T107" s="28" t="s">
        <v>118</v>
      </c>
      <c r="U107" s="28" t="s">
        <v>119</v>
      </c>
      <c r="V107" s="28" t="s">
        <v>120</v>
      </c>
      <c r="W107" s="28" t="s">
        <v>121</v>
      </c>
      <c r="X107" s="28" t="s">
        <v>122</v>
      </c>
      <c r="Y107" s="28" t="s">
        <v>123</v>
      </c>
      <c r="Z107" s="28" t="s">
        <v>124</v>
      </c>
      <c r="AA107" s="28" t="s">
        <v>125</v>
      </c>
      <c r="AB107" s="28" t="s">
        <v>126</v>
      </c>
      <c r="AC107" s="28" t="s">
        <v>127</v>
      </c>
      <c r="AD107" s="28" t="s">
        <v>128</v>
      </c>
      <c r="AE107" s="28" t="s">
        <v>129</v>
      </c>
      <c r="AF107" s="28" t="s">
        <v>130</v>
      </c>
      <c r="AG107" s="28" t="s">
        <v>131</v>
      </c>
      <c r="AH107" s="28" t="s">
        <v>132</v>
      </c>
      <c r="AI107" s="28" t="s">
        <v>133</v>
      </c>
      <c r="AJ107" s="28" t="s">
        <v>134</v>
      </c>
      <c r="AK107" s="28" t="s">
        <v>135</v>
      </c>
      <c r="AL107" s="28" t="s">
        <v>136</v>
      </c>
      <c r="AM107" s="28" t="s">
        <v>137</v>
      </c>
      <c r="AN107" s="28" t="s">
        <v>138</v>
      </c>
      <c r="AO107" s="28" t="s">
        <v>139</v>
      </c>
      <c r="AP107" s="28" t="s">
        <v>140</v>
      </c>
      <c r="AQ107" s="28" t="s">
        <v>141</v>
      </c>
      <c r="AR107" s="28" t="s">
        <v>142</v>
      </c>
      <c r="AS107" s="28" t="s">
        <v>143</v>
      </c>
      <c r="AT107" s="28" t="s">
        <v>144</v>
      </c>
      <c r="AU107" s="28" t="s">
        <v>145</v>
      </c>
      <c r="AV107" s="28" t="s">
        <v>146</v>
      </c>
      <c r="AW107" s="28" t="s">
        <v>147</v>
      </c>
      <c r="AX107" s="28" t="s">
        <v>148</v>
      </c>
      <c r="AY107" s="28" t="s">
        <v>149</v>
      </c>
      <c r="AZ107" s="28" t="s">
        <v>150</v>
      </c>
      <c r="BA107" s="28" t="s">
        <v>151</v>
      </c>
      <c r="BB107" s="28" t="s">
        <v>152</v>
      </c>
      <c r="BC107" s="28" t="s">
        <v>153</v>
      </c>
      <c r="BD107" s="28" t="s">
        <v>154</v>
      </c>
      <c r="BE107" s="28" t="s">
        <v>155</v>
      </c>
      <c r="BF107" s="28" t="s">
        <v>156</v>
      </c>
      <c r="BG107" s="28" t="s">
        <v>157</v>
      </c>
      <c r="BH107" s="28" t="s">
        <v>158</v>
      </c>
      <c r="BI107" s="28" t="s">
        <v>159</v>
      </c>
      <c r="BJ107" s="28" t="s">
        <v>160</v>
      </c>
      <c r="BK107" s="28" t="s">
        <v>161</v>
      </c>
      <c r="BL107" s="28" t="s">
        <v>162</v>
      </c>
      <c r="BM107" s="28" t="s">
        <v>163</v>
      </c>
      <c r="BN107" s="28" t="s">
        <v>164</v>
      </c>
      <c r="BO107" s="28" t="s">
        <v>165</v>
      </c>
      <c r="BP107" s="28" t="s">
        <v>166</v>
      </c>
      <c r="BQ107" s="28" t="s">
        <v>167</v>
      </c>
      <c r="BR107" s="28" t="s">
        <v>168</v>
      </c>
      <c r="BS107" s="28" t="s">
        <v>169</v>
      </c>
      <c r="BT107" s="28" t="s">
        <v>170</v>
      </c>
      <c r="BU107" s="28" t="s">
        <v>171</v>
      </c>
      <c r="BV107" s="28" t="s">
        <v>172</v>
      </c>
      <c r="BW107" s="28" t="s">
        <v>173</v>
      </c>
      <c r="BX107" s="28" t="s">
        <v>174</v>
      </c>
      <c r="BY107" s="28" t="s">
        <v>175</v>
      </c>
      <c r="BZ107" s="28" t="s">
        <v>176</v>
      </c>
      <c r="CA107" s="28" t="s">
        <v>177</v>
      </c>
      <c r="CB107" s="28" t="s">
        <v>178</v>
      </c>
      <c r="CC107" s="28" t="s">
        <v>179</v>
      </c>
      <c r="CD107" s="28" t="s">
        <v>180</v>
      </c>
      <c r="CE107" s="28" t="s">
        <v>181</v>
      </c>
      <c r="CF107" s="28" t="s">
        <v>182</v>
      </c>
      <c r="CG107" s="28" t="s">
        <v>183</v>
      </c>
      <c r="CH107" s="28" t="s">
        <v>184</v>
      </c>
      <c r="CI107" s="28" t="s">
        <v>185</v>
      </c>
      <c r="CJ107" s="28" t="s">
        <v>186</v>
      </c>
      <c r="CK107" s="28" t="s">
        <v>187</v>
      </c>
      <c r="CL107" s="28" t="s">
        <v>188</v>
      </c>
    </row>
    <row r="109" spans="2:90" x14ac:dyDescent="0.25">
      <c r="B109" s="29" t="s">
        <v>221</v>
      </c>
      <c r="C109" s="30" t="s">
        <v>222</v>
      </c>
      <c r="E109" s="32"/>
      <c r="F109" s="32"/>
      <c r="G109" s="32"/>
      <c r="H109" s="32"/>
      <c r="I109" s="32"/>
      <c r="J109" s="32"/>
      <c r="K109" s="20">
        <v>154.8001560031201</v>
      </c>
      <c r="L109" s="20">
        <v>154.8001560031201</v>
      </c>
      <c r="M109" s="20">
        <v>154.80015600312007</v>
      </c>
      <c r="N109" s="20">
        <v>154.80015600312007</v>
      </c>
      <c r="O109" s="20">
        <v>154.80015600312007</v>
      </c>
      <c r="P109" s="20">
        <v>154.80015600312007</v>
      </c>
      <c r="Q109" s="20">
        <v>154.80015600312007</v>
      </c>
      <c r="R109" s="20">
        <v>154.8001560031201</v>
      </c>
      <c r="S109" s="20">
        <v>154.80015600312007</v>
      </c>
      <c r="T109" s="20">
        <v>154.80015600312007</v>
      </c>
      <c r="U109" s="20">
        <v>154.80015600312007</v>
      </c>
      <c r="V109" s="20">
        <v>154.8001560031201</v>
      </c>
      <c r="W109" s="20">
        <v>154.80015600312007</v>
      </c>
      <c r="X109" s="20">
        <v>154.80015600312007</v>
      </c>
      <c r="Y109" s="20">
        <v>154.80015600312007</v>
      </c>
      <c r="Z109" s="20">
        <v>154.80015600312007</v>
      </c>
      <c r="AA109" s="20">
        <v>154.80015600312015</v>
      </c>
      <c r="AB109" s="20">
        <v>154.8001560031201</v>
      </c>
      <c r="AC109" s="20">
        <v>154.8001560031201</v>
      </c>
      <c r="AD109" s="20">
        <v>154.80015600312012</v>
      </c>
      <c r="AE109" s="20">
        <v>154.80015600312012</v>
      </c>
      <c r="AF109" s="20">
        <v>154.8001560031201</v>
      </c>
      <c r="AG109" s="20">
        <v>154.8001560031201</v>
      </c>
      <c r="AH109" s="20">
        <v>154.80015600312012</v>
      </c>
      <c r="AI109" s="20">
        <v>154.8001560031201</v>
      </c>
      <c r="AJ109" s="20">
        <v>154.80015600312007</v>
      </c>
      <c r="AK109" s="20">
        <v>154.80015600312007</v>
      </c>
      <c r="AL109" s="20">
        <v>154.8001560031201</v>
      </c>
      <c r="AM109" s="20">
        <v>154.80015600312007</v>
      </c>
      <c r="AN109" s="20">
        <v>154.80015600312012</v>
      </c>
      <c r="AO109" s="20">
        <v>154.80015600312012</v>
      </c>
      <c r="AP109" s="20">
        <v>154.80015600312012</v>
      </c>
      <c r="AQ109" s="20">
        <v>154.80015600312007</v>
      </c>
      <c r="AR109" s="20">
        <v>154.80015600312007</v>
      </c>
      <c r="AS109" s="20">
        <v>154.80015600312007</v>
      </c>
      <c r="AT109" s="20">
        <v>154.80015600312004</v>
      </c>
      <c r="AU109" s="20">
        <v>154.80015600312012</v>
      </c>
      <c r="AV109" s="20">
        <v>154.80015600312012</v>
      </c>
      <c r="AW109" s="20">
        <v>154.8001560031201</v>
      </c>
      <c r="AX109" s="20">
        <v>154.80015600312012</v>
      </c>
      <c r="AY109" s="20">
        <v>154.8001560031201</v>
      </c>
      <c r="AZ109" s="20">
        <v>154.80015600312007</v>
      </c>
      <c r="BA109" s="20">
        <v>154.8001560031201</v>
      </c>
      <c r="BB109" s="20">
        <v>154.8001560031201</v>
      </c>
      <c r="BC109" s="20">
        <v>154.8001560031201</v>
      </c>
      <c r="BD109" s="20">
        <v>154.80015600312007</v>
      </c>
      <c r="BE109" s="20">
        <v>154.8001560031201</v>
      </c>
      <c r="BF109" s="20">
        <v>154.8001560031201</v>
      </c>
      <c r="BG109" s="20">
        <v>154.80015600312012</v>
      </c>
      <c r="BH109" s="20">
        <v>154.80015600312012</v>
      </c>
      <c r="BI109" s="20">
        <v>154.8001560031201</v>
      </c>
      <c r="BJ109" s="20">
        <v>154.8001560031201</v>
      </c>
      <c r="BK109" s="20">
        <v>154.80015600312012</v>
      </c>
      <c r="BL109" s="20">
        <v>154.8001560031201</v>
      </c>
      <c r="BM109" s="20">
        <v>154.80015600312012</v>
      </c>
      <c r="BN109" s="20">
        <v>154.8001560031201</v>
      </c>
      <c r="BO109" s="20">
        <v>154.80015600312007</v>
      </c>
      <c r="BP109" s="20">
        <v>154.8001560031201</v>
      </c>
      <c r="BQ109" s="20">
        <v>154.8001560031201</v>
      </c>
      <c r="BR109" s="20">
        <v>154.8001560031201</v>
      </c>
      <c r="BS109" s="20">
        <v>154.80015600312007</v>
      </c>
      <c r="BT109" s="20">
        <v>154.8001560031201</v>
      </c>
      <c r="BU109" s="20">
        <v>154.80015600312007</v>
      </c>
      <c r="BV109" s="20">
        <v>154.80015600312007</v>
      </c>
      <c r="BW109" s="20">
        <v>154.80015600312007</v>
      </c>
      <c r="BX109" s="20">
        <v>154.80015600312007</v>
      </c>
      <c r="BY109" s="20">
        <v>154.80015600312007</v>
      </c>
      <c r="BZ109" s="20">
        <v>154.8001560031201</v>
      </c>
      <c r="CA109" s="20">
        <v>154.80015600312007</v>
      </c>
      <c r="CB109" s="20">
        <v>154.8001560031201</v>
      </c>
      <c r="CC109" s="20">
        <v>154.80015600312007</v>
      </c>
      <c r="CD109" s="20">
        <v>154.80015600312007</v>
      </c>
      <c r="CE109" s="20">
        <v>154.8001560031201</v>
      </c>
      <c r="CF109" s="20">
        <v>154.80015600312007</v>
      </c>
      <c r="CG109" s="20">
        <v>154.8001560031201</v>
      </c>
      <c r="CH109" s="20">
        <v>154.80015600312007</v>
      </c>
      <c r="CI109" s="20">
        <v>154.80015600312012</v>
      </c>
      <c r="CJ109" s="20">
        <v>154.80015600312007</v>
      </c>
      <c r="CK109" s="20">
        <v>154.80015600312007</v>
      </c>
      <c r="CL109" s="20">
        <v>154.8001560031201</v>
      </c>
    </row>
    <row r="110" spans="2:90" x14ac:dyDescent="0.25">
      <c r="B110" s="29" t="s">
        <v>223</v>
      </c>
      <c r="C110" s="30" t="s">
        <v>224</v>
      </c>
      <c r="E110" s="33"/>
      <c r="F110" s="33"/>
      <c r="G110" s="33"/>
      <c r="H110" s="33"/>
      <c r="I110" s="33"/>
      <c r="J110" s="33"/>
      <c r="K110" s="19">
        <v>625.2770822099923</v>
      </c>
      <c r="L110" s="19">
        <v>625.3895040721566</v>
      </c>
      <c r="M110" s="19">
        <v>1606.8734726527252</v>
      </c>
      <c r="N110" s="19">
        <v>624.944313497986</v>
      </c>
      <c r="O110" s="19">
        <v>628.0006967989423</v>
      </c>
      <c r="P110" s="19">
        <v>628.1125565517957</v>
      </c>
      <c r="Q110" s="19">
        <v>1609.5891052894617</v>
      </c>
      <c r="R110" s="19">
        <v>627.669591930496</v>
      </c>
      <c r="S110" s="19">
        <v>630.7793113878922</v>
      </c>
      <c r="T110" s="19">
        <v>630.8906090314349</v>
      </c>
      <c r="U110" s="19">
        <v>1612.359737926198</v>
      </c>
      <c r="V110" s="19">
        <v>630.449870363006</v>
      </c>
      <c r="W110" s="19">
        <v>626.1140259768423</v>
      </c>
      <c r="X110" s="19">
        <v>626.2247615110741</v>
      </c>
      <c r="Y110" s="19">
        <v>1607.6864705629346</v>
      </c>
      <c r="Z110" s="19">
        <v>625.786248795516</v>
      </c>
      <c r="AA110" s="19">
        <v>629.0059625657924</v>
      </c>
      <c r="AB110" s="19">
        <v>629.1161359907135</v>
      </c>
      <c r="AC110" s="19">
        <v>1610.5704251996708</v>
      </c>
      <c r="AD110" s="19">
        <v>628.6798492280262</v>
      </c>
      <c r="AE110" s="19">
        <v>626.9562655947424</v>
      </c>
      <c r="AF110" s="19">
        <v>627.0658769103526</v>
      </c>
      <c r="AG110" s="19">
        <v>1608.5127462764071</v>
      </c>
      <c r="AH110" s="19">
        <v>626.6318161005363</v>
      </c>
      <c r="AI110" s="19">
        <v>629.9661023924924</v>
      </c>
      <c r="AJ110" s="19">
        <v>630.0751515987918</v>
      </c>
      <c r="AK110" s="19">
        <v>1611.5146011219438</v>
      </c>
      <c r="AL110" s="19">
        <v>629.6433167418462</v>
      </c>
      <c r="AM110" s="19">
        <v>633.0366636344186</v>
      </c>
      <c r="AN110" s="19">
        <v>633.1451507314072</v>
      </c>
      <c r="AO110" s="19">
        <v>1614.5771804116557</v>
      </c>
      <c r="AP110" s="19">
        <v>632.7155418273325</v>
      </c>
      <c r="AQ110" s="19">
        <v>636.1691638094042</v>
      </c>
      <c r="AR110" s="19">
        <v>636.2770887970818</v>
      </c>
      <c r="AS110" s="19">
        <v>1617.7016986344277</v>
      </c>
      <c r="AT110" s="19">
        <v>635.849705845878</v>
      </c>
      <c r="AU110" s="19">
        <v>639.3648416961104</v>
      </c>
      <c r="AV110" s="19">
        <v>639.4722045744772</v>
      </c>
      <c r="AW110" s="19">
        <v>1620.8893945689206</v>
      </c>
      <c r="AX110" s="19">
        <v>639.0470475761443</v>
      </c>
      <c r="AY110" s="19">
        <v>642.6249608487717</v>
      </c>
      <c r="AZ110" s="19">
        <v>642.7317616178278</v>
      </c>
      <c r="BA110" s="19">
        <v>1624.141531769368</v>
      </c>
      <c r="BB110" s="19">
        <v>642.3088305723658</v>
      </c>
      <c r="BC110" s="19">
        <v>645.9508100927075</v>
      </c>
      <c r="BD110" s="19">
        <v>646.0570487524527</v>
      </c>
      <c r="BE110" s="19">
        <v>1627.4593990610897</v>
      </c>
      <c r="BF110" s="19">
        <v>645.6363436598614</v>
      </c>
      <c r="BG110" s="19">
        <v>649.3437040297428</v>
      </c>
      <c r="BH110" s="19">
        <v>649.4493805801771</v>
      </c>
      <c r="BI110" s="19">
        <v>1630.8443110459118</v>
      </c>
      <c r="BJ110" s="19">
        <v>649.0309014404568</v>
      </c>
      <c r="BK110" s="19">
        <v>652.8049835537397</v>
      </c>
      <c r="BL110" s="19">
        <v>652.9100979948633</v>
      </c>
      <c r="BM110" s="19">
        <v>1634.2976086176952</v>
      </c>
      <c r="BN110" s="19">
        <v>652.4938448080138</v>
      </c>
      <c r="BO110" s="19">
        <v>656.3360163764378</v>
      </c>
      <c r="BP110" s="19">
        <v>656.4405687082506</v>
      </c>
      <c r="BQ110" s="19">
        <v>1637.8206594881792</v>
      </c>
      <c r="BR110" s="19">
        <v>656.0265414742719</v>
      </c>
      <c r="BS110" s="19">
        <v>659.9381975638107</v>
      </c>
      <c r="BT110" s="19">
        <v>660.0421877863126</v>
      </c>
      <c r="BU110" s="19">
        <v>1641.414858723339</v>
      </c>
      <c r="BV110" s="19">
        <v>659.6303865052049</v>
      </c>
      <c r="BW110" s="19">
        <v>663.612950083152</v>
      </c>
      <c r="BX110" s="19">
        <v>663.7163781963432</v>
      </c>
      <c r="BY110" s="19">
        <v>1645.0816292904665</v>
      </c>
      <c r="BZ110" s="19">
        <v>663.3068028681062</v>
      </c>
      <c r="CA110" s="19">
        <v>667.3617253611014</v>
      </c>
      <c r="CB110" s="19">
        <v>667.4645913649817</v>
      </c>
      <c r="CC110" s="19">
        <v>1648.8224226162022</v>
      </c>
      <c r="CD110" s="19">
        <v>667.0572419896156</v>
      </c>
      <c r="CE110" s="19">
        <v>671.1860038528306</v>
      </c>
      <c r="CF110" s="19">
        <v>671.2883077474002</v>
      </c>
      <c r="CG110" s="19">
        <v>1652.6387191557174</v>
      </c>
      <c r="CH110" s="19">
        <v>670.8831843249048</v>
      </c>
      <c r="CI110" s="19">
        <v>675.0872956226152</v>
      </c>
      <c r="CJ110" s="19">
        <v>675.1890374078739</v>
      </c>
      <c r="CK110" s="19">
        <v>1166.5320289732886</v>
      </c>
      <c r="CL110" s="19">
        <v>674.7861399382496</v>
      </c>
    </row>
    <row r="111" spans="2:90" x14ac:dyDescent="0.25">
      <c r="B111" s="29" t="s">
        <v>225</v>
      </c>
      <c r="C111" s="30" t="s">
        <v>224</v>
      </c>
      <c r="E111" s="33"/>
      <c r="F111" s="33"/>
      <c r="G111" s="33"/>
      <c r="H111" s="33"/>
      <c r="I111" s="33"/>
      <c r="J111" s="33"/>
      <c r="K111" s="19">
        <v>375</v>
      </c>
      <c r="L111" s="19">
        <v>375</v>
      </c>
      <c r="M111" s="19">
        <v>375</v>
      </c>
      <c r="N111" s="19">
        <v>375</v>
      </c>
      <c r="O111" s="19">
        <v>380.625</v>
      </c>
      <c r="P111" s="19">
        <v>380.625</v>
      </c>
      <c r="Q111" s="19">
        <v>380.625</v>
      </c>
      <c r="R111" s="19">
        <v>380.625</v>
      </c>
      <c r="S111" s="19">
        <v>386.3343749999999</v>
      </c>
      <c r="T111" s="19">
        <v>386.3343749999999</v>
      </c>
      <c r="U111" s="19">
        <v>386.3343749999999</v>
      </c>
      <c r="V111" s="19">
        <v>386.3343749999999</v>
      </c>
      <c r="W111" s="19">
        <v>392.1293906249998</v>
      </c>
      <c r="X111" s="19">
        <v>392.1293906249998</v>
      </c>
      <c r="Y111" s="19">
        <v>392.1293906249998</v>
      </c>
      <c r="Z111" s="19">
        <v>392.1293906249998</v>
      </c>
      <c r="AA111" s="19">
        <v>398.01133148437486</v>
      </c>
      <c r="AB111" s="19">
        <v>398.01133148437475</v>
      </c>
      <c r="AC111" s="19">
        <v>398.01133148437475</v>
      </c>
      <c r="AD111" s="19">
        <v>398.01133148437486</v>
      </c>
      <c r="AE111" s="19">
        <v>403.98150145664033</v>
      </c>
      <c r="AF111" s="19">
        <v>403.98150145664033</v>
      </c>
      <c r="AG111" s="19">
        <v>403.9815014566402</v>
      </c>
      <c r="AH111" s="19">
        <v>403.9815014566402</v>
      </c>
      <c r="AI111" s="19">
        <v>410.04122397848994</v>
      </c>
      <c r="AJ111" s="19">
        <v>410.04122397849005</v>
      </c>
      <c r="AK111" s="19">
        <v>410.0412239784898</v>
      </c>
      <c r="AL111" s="19">
        <v>410.04122397849017</v>
      </c>
      <c r="AM111" s="19">
        <v>416.1918423381669</v>
      </c>
      <c r="AN111" s="19">
        <v>416.1918423381668</v>
      </c>
      <c r="AO111" s="19">
        <v>416.19184233816713</v>
      </c>
      <c r="AP111" s="19">
        <v>416.191842338167</v>
      </c>
      <c r="AQ111" s="19">
        <v>422.4347199732397</v>
      </c>
      <c r="AR111" s="19">
        <v>422.4347199732398</v>
      </c>
      <c r="AS111" s="19">
        <v>422.4347199732397</v>
      </c>
      <c r="AT111" s="19">
        <v>422.4347199732398</v>
      </c>
      <c r="AU111" s="19">
        <v>428.7712407728378</v>
      </c>
      <c r="AV111" s="19">
        <v>428.7712407728379</v>
      </c>
      <c r="AW111" s="19">
        <v>428.77124077283815</v>
      </c>
      <c r="AX111" s="19">
        <v>428.7712407728378</v>
      </c>
      <c r="AY111" s="19">
        <v>435.2028093844308</v>
      </c>
      <c r="AZ111" s="19">
        <v>435.2028093844307</v>
      </c>
      <c r="BA111" s="19">
        <v>435.20280938443034</v>
      </c>
      <c r="BB111" s="19">
        <v>435.2028093844307</v>
      </c>
      <c r="BC111" s="19">
        <v>441.73085152519695</v>
      </c>
      <c r="BD111" s="19">
        <v>441.73085152519695</v>
      </c>
      <c r="BE111" s="19">
        <v>441.7308515251975</v>
      </c>
      <c r="BF111" s="19">
        <v>441.73085152519695</v>
      </c>
      <c r="BG111" s="19">
        <v>448.35681429807494</v>
      </c>
      <c r="BH111" s="19">
        <v>448.35681429807505</v>
      </c>
      <c r="BI111" s="19">
        <v>448.35681429807505</v>
      </c>
      <c r="BJ111" s="19">
        <v>448.35681429807505</v>
      </c>
      <c r="BK111" s="19">
        <v>455.0821665125461</v>
      </c>
      <c r="BL111" s="19">
        <v>455.0821665125462</v>
      </c>
      <c r="BM111" s="19">
        <v>455.08216651254565</v>
      </c>
      <c r="BN111" s="19">
        <v>455.0821665125461</v>
      </c>
      <c r="BO111" s="19">
        <v>461.90839901023423</v>
      </c>
      <c r="BP111" s="19">
        <v>461.90839901023423</v>
      </c>
      <c r="BQ111" s="19">
        <v>461.9083990102347</v>
      </c>
      <c r="BR111" s="19">
        <v>461.90839901023423</v>
      </c>
      <c r="BS111" s="19">
        <v>468.83702499538776</v>
      </c>
      <c r="BT111" s="19">
        <v>468.8370249953879</v>
      </c>
      <c r="BU111" s="19">
        <v>468.83702499538776</v>
      </c>
      <c r="BV111" s="19">
        <v>468.8370249953879</v>
      </c>
      <c r="BW111" s="19">
        <v>475.86958037031866</v>
      </c>
      <c r="BX111" s="19">
        <v>475.8695803703188</v>
      </c>
      <c r="BY111" s="19">
        <v>475.86958037031854</v>
      </c>
      <c r="BZ111" s="19">
        <v>475.8695803703188</v>
      </c>
      <c r="CA111" s="19">
        <v>483.0076240758731</v>
      </c>
      <c r="CB111" s="19">
        <v>483.0076240758731</v>
      </c>
      <c r="CC111" s="19">
        <v>483.00762407587285</v>
      </c>
      <c r="CD111" s="19">
        <v>483.0076240758732</v>
      </c>
      <c r="CE111" s="19">
        <v>490.2527384370111</v>
      </c>
      <c r="CF111" s="19">
        <v>490.2527384370111</v>
      </c>
      <c r="CG111" s="19">
        <v>490.25273843701143</v>
      </c>
      <c r="CH111" s="19">
        <v>490.2527384370111</v>
      </c>
      <c r="CI111" s="19">
        <v>497.6065295135662</v>
      </c>
      <c r="CJ111" s="19">
        <v>497.60652951356633</v>
      </c>
      <c r="CK111" s="19">
        <v>497.60652951356656</v>
      </c>
      <c r="CL111" s="19">
        <v>497.6065295135661</v>
      </c>
    </row>
    <row r="112" spans="2:90" x14ac:dyDescent="0.25">
      <c r="B112" s="29" t="s">
        <v>226</v>
      </c>
      <c r="C112" s="30" t="s">
        <v>224</v>
      </c>
      <c r="E112" s="33"/>
      <c r="F112" s="33"/>
      <c r="G112" s="33"/>
      <c r="H112" s="33"/>
      <c r="I112" s="33"/>
      <c r="J112" s="33"/>
      <c r="K112" s="19">
        <v>25</v>
      </c>
      <c r="L112" s="19">
        <v>25</v>
      </c>
      <c r="M112" s="19">
        <v>25</v>
      </c>
      <c r="N112" s="19">
        <v>25</v>
      </c>
      <c r="O112" s="19">
        <v>25</v>
      </c>
      <c r="P112" s="19">
        <v>25</v>
      </c>
      <c r="Q112" s="19">
        <v>25</v>
      </c>
      <c r="R112" s="19">
        <v>25</v>
      </c>
      <c r="S112" s="19">
        <v>25</v>
      </c>
      <c r="T112" s="19">
        <v>25</v>
      </c>
      <c r="U112" s="19">
        <v>25</v>
      </c>
      <c r="V112" s="19">
        <v>25</v>
      </c>
      <c r="W112" s="19">
        <v>25</v>
      </c>
      <c r="X112" s="19">
        <v>25</v>
      </c>
      <c r="Y112" s="19">
        <v>25</v>
      </c>
      <c r="Z112" s="19">
        <v>25</v>
      </c>
      <c r="AA112" s="19">
        <v>25</v>
      </c>
      <c r="AB112" s="19">
        <v>25</v>
      </c>
      <c r="AC112" s="19">
        <v>25</v>
      </c>
      <c r="AD112" s="19">
        <v>25</v>
      </c>
      <c r="AE112" s="19">
        <v>25</v>
      </c>
      <c r="AF112" s="19">
        <v>25</v>
      </c>
      <c r="AG112" s="19">
        <v>25</v>
      </c>
      <c r="AH112" s="19">
        <v>25</v>
      </c>
      <c r="AI112" s="19">
        <v>25</v>
      </c>
      <c r="AJ112" s="19">
        <v>25</v>
      </c>
      <c r="AK112" s="19">
        <v>25</v>
      </c>
      <c r="AL112" s="19">
        <v>25</v>
      </c>
      <c r="AM112" s="19">
        <v>25</v>
      </c>
      <c r="AN112" s="19">
        <v>25</v>
      </c>
      <c r="AO112" s="19">
        <v>25</v>
      </c>
      <c r="AP112" s="19">
        <v>25</v>
      </c>
      <c r="AQ112" s="19">
        <v>25</v>
      </c>
      <c r="AR112" s="19">
        <v>25</v>
      </c>
      <c r="AS112" s="19">
        <v>25</v>
      </c>
      <c r="AT112" s="19">
        <v>25</v>
      </c>
      <c r="AU112" s="19">
        <v>25</v>
      </c>
      <c r="AV112" s="19">
        <v>25</v>
      </c>
      <c r="AW112" s="19">
        <v>25</v>
      </c>
      <c r="AX112" s="19">
        <v>25</v>
      </c>
      <c r="AY112" s="19">
        <v>25</v>
      </c>
      <c r="AZ112" s="19">
        <v>25</v>
      </c>
      <c r="BA112" s="19">
        <v>25</v>
      </c>
      <c r="BB112" s="19">
        <v>25</v>
      </c>
      <c r="BC112" s="19">
        <v>25</v>
      </c>
      <c r="BD112" s="19">
        <v>25</v>
      </c>
      <c r="BE112" s="19">
        <v>25</v>
      </c>
      <c r="BF112" s="19">
        <v>25</v>
      </c>
      <c r="BG112" s="19">
        <v>25</v>
      </c>
      <c r="BH112" s="19">
        <v>25</v>
      </c>
      <c r="BI112" s="19">
        <v>25</v>
      </c>
      <c r="BJ112" s="19">
        <v>25</v>
      </c>
      <c r="BK112" s="19">
        <v>25</v>
      </c>
      <c r="BL112" s="19">
        <v>25</v>
      </c>
      <c r="BM112" s="19">
        <v>25</v>
      </c>
      <c r="BN112" s="19">
        <v>25</v>
      </c>
      <c r="BO112" s="19">
        <v>25</v>
      </c>
      <c r="BP112" s="19">
        <v>25</v>
      </c>
      <c r="BQ112" s="19">
        <v>25</v>
      </c>
      <c r="BR112" s="19">
        <v>25</v>
      </c>
      <c r="BS112" s="19">
        <v>25</v>
      </c>
      <c r="BT112" s="19">
        <v>25</v>
      </c>
      <c r="BU112" s="19">
        <v>25</v>
      </c>
      <c r="BV112" s="19">
        <v>25</v>
      </c>
      <c r="BW112" s="19">
        <v>25</v>
      </c>
      <c r="BX112" s="19">
        <v>25</v>
      </c>
      <c r="BY112" s="19">
        <v>25</v>
      </c>
      <c r="BZ112" s="19">
        <v>25</v>
      </c>
      <c r="CA112" s="19">
        <v>25</v>
      </c>
      <c r="CB112" s="19">
        <v>25</v>
      </c>
      <c r="CC112" s="19">
        <v>25</v>
      </c>
      <c r="CD112" s="19">
        <v>25</v>
      </c>
      <c r="CE112" s="19">
        <v>25</v>
      </c>
      <c r="CF112" s="19">
        <v>25</v>
      </c>
      <c r="CG112" s="19">
        <v>25</v>
      </c>
      <c r="CH112" s="19">
        <v>25</v>
      </c>
      <c r="CI112" s="19">
        <v>25</v>
      </c>
      <c r="CJ112" s="19">
        <v>25</v>
      </c>
      <c r="CK112" s="19">
        <v>25</v>
      </c>
      <c r="CL112" s="19">
        <v>25</v>
      </c>
    </row>
    <row r="113" spans="2:90" x14ac:dyDescent="0.25">
      <c r="B113" s="29" t="s">
        <v>227</v>
      </c>
      <c r="C113" s="30" t="s">
        <v>224</v>
      </c>
      <c r="E113" s="33"/>
      <c r="F113" s="33"/>
      <c r="G113" s="33"/>
      <c r="H113" s="33"/>
      <c r="I113" s="33"/>
      <c r="J113" s="33"/>
      <c r="K113" s="19">
        <v>0</v>
      </c>
      <c r="L113" s="19">
        <v>0</v>
      </c>
      <c r="M113" s="19">
        <v>20</v>
      </c>
      <c r="N113" s="19">
        <v>0</v>
      </c>
      <c r="O113" s="19">
        <v>0</v>
      </c>
      <c r="P113" s="19">
        <v>0</v>
      </c>
      <c r="Q113" s="19">
        <v>20</v>
      </c>
      <c r="R113" s="19">
        <v>0</v>
      </c>
      <c r="S113" s="19">
        <v>0</v>
      </c>
      <c r="T113" s="19">
        <v>0</v>
      </c>
      <c r="U113" s="19">
        <v>20</v>
      </c>
      <c r="V113" s="19">
        <v>0</v>
      </c>
      <c r="W113" s="19">
        <v>0</v>
      </c>
      <c r="X113" s="19">
        <v>0</v>
      </c>
      <c r="Y113" s="19">
        <v>20</v>
      </c>
      <c r="Z113" s="19">
        <v>0</v>
      </c>
      <c r="AA113" s="19">
        <v>0</v>
      </c>
      <c r="AB113" s="19">
        <v>0</v>
      </c>
      <c r="AC113" s="19">
        <v>20</v>
      </c>
      <c r="AD113" s="19">
        <v>0</v>
      </c>
      <c r="AE113" s="19">
        <v>0</v>
      </c>
      <c r="AF113" s="19">
        <v>0</v>
      </c>
      <c r="AG113" s="19">
        <v>20</v>
      </c>
      <c r="AH113" s="19">
        <v>0</v>
      </c>
      <c r="AI113" s="19">
        <v>0</v>
      </c>
      <c r="AJ113" s="19">
        <v>0</v>
      </c>
      <c r="AK113" s="19">
        <v>20</v>
      </c>
      <c r="AL113" s="19">
        <v>0</v>
      </c>
      <c r="AM113" s="19">
        <v>0</v>
      </c>
      <c r="AN113" s="19">
        <v>0</v>
      </c>
      <c r="AO113" s="19">
        <v>20</v>
      </c>
      <c r="AP113" s="19">
        <v>0</v>
      </c>
      <c r="AQ113" s="19">
        <v>0</v>
      </c>
      <c r="AR113" s="19">
        <v>0</v>
      </c>
      <c r="AS113" s="19">
        <v>20</v>
      </c>
      <c r="AT113" s="19">
        <v>0</v>
      </c>
      <c r="AU113" s="19">
        <v>0</v>
      </c>
      <c r="AV113" s="19">
        <v>0</v>
      </c>
      <c r="AW113" s="19">
        <v>20</v>
      </c>
      <c r="AX113" s="19">
        <v>0</v>
      </c>
      <c r="AY113" s="19">
        <v>0</v>
      </c>
      <c r="AZ113" s="19">
        <v>0</v>
      </c>
      <c r="BA113" s="19">
        <v>20</v>
      </c>
      <c r="BB113" s="19">
        <v>0</v>
      </c>
      <c r="BC113" s="19">
        <v>0</v>
      </c>
      <c r="BD113" s="19">
        <v>0</v>
      </c>
      <c r="BE113" s="19">
        <v>20</v>
      </c>
      <c r="BF113" s="19">
        <v>0</v>
      </c>
      <c r="BG113" s="19">
        <v>0</v>
      </c>
      <c r="BH113" s="19">
        <v>0</v>
      </c>
      <c r="BI113" s="19">
        <v>20</v>
      </c>
      <c r="BJ113" s="19">
        <v>0</v>
      </c>
      <c r="BK113" s="19">
        <v>0</v>
      </c>
      <c r="BL113" s="19">
        <v>0</v>
      </c>
      <c r="BM113" s="19">
        <v>20</v>
      </c>
      <c r="BN113" s="19">
        <v>0</v>
      </c>
      <c r="BO113" s="19">
        <v>0</v>
      </c>
      <c r="BP113" s="19">
        <v>0</v>
      </c>
      <c r="BQ113" s="19">
        <v>20</v>
      </c>
      <c r="BR113" s="19">
        <v>0</v>
      </c>
      <c r="BS113" s="19">
        <v>0</v>
      </c>
      <c r="BT113" s="19">
        <v>0</v>
      </c>
      <c r="BU113" s="19">
        <v>20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0</v>
      </c>
      <c r="CD113" s="19">
        <v>0</v>
      </c>
      <c r="CE113" s="19">
        <v>0</v>
      </c>
      <c r="CF113" s="19">
        <v>0</v>
      </c>
      <c r="CG113" s="19">
        <v>0</v>
      </c>
      <c r="CH113" s="19">
        <v>0</v>
      </c>
      <c r="CI113" s="19">
        <v>0</v>
      </c>
      <c r="CJ113" s="19">
        <v>0</v>
      </c>
      <c r="CK113" s="19">
        <v>0</v>
      </c>
      <c r="CL113" s="19">
        <v>0</v>
      </c>
    </row>
    <row r="114" spans="2:90" x14ac:dyDescent="0.25">
      <c r="B114" s="29" t="s">
        <v>228</v>
      </c>
      <c r="C114" s="30" t="s">
        <v>224</v>
      </c>
      <c r="E114" s="33"/>
      <c r="F114" s="33"/>
      <c r="G114" s="33"/>
      <c r="H114" s="33"/>
      <c r="I114" s="33"/>
      <c r="J114" s="33"/>
      <c r="K114" s="19">
        <v>328.7541972154121</v>
      </c>
      <c r="L114" s="19">
        <v>328.7541972154122</v>
      </c>
      <c r="M114" s="19">
        <v>-651.2458027845878</v>
      </c>
      <c r="N114" s="19">
        <v>328.7541972154121</v>
      </c>
      <c r="O114" s="19">
        <v>328.754197215412</v>
      </c>
      <c r="P114" s="19">
        <v>328.754197215412</v>
      </c>
      <c r="Q114" s="19">
        <v>-651.245802784588</v>
      </c>
      <c r="R114" s="19">
        <v>328.75419721541186</v>
      </c>
      <c r="S114" s="19">
        <v>328.7541972154122</v>
      </c>
      <c r="T114" s="19">
        <v>328.7541972154122</v>
      </c>
      <c r="U114" s="19">
        <v>-651.245802784588</v>
      </c>
      <c r="V114" s="19">
        <v>328.7541972154121</v>
      </c>
      <c r="W114" s="19">
        <v>328.7541972154121</v>
      </c>
      <c r="X114" s="19">
        <v>328.7541972154122</v>
      </c>
      <c r="Y114" s="19">
        <v>-651.245802784588</v>
      </c>
      <c r="Z114" s="19">
        <v>328.7541972154122</v>
      </c>
      <c r="AA114" s="19">
        <v>328.7541972154122</v>
      </c>
      <c r="AB114" s="19">
        <v>328.7541972154122</v>
      </c>
      <c r="AC114" s="19">
        <v>-651.2458027845876</v>
      </c>
      <c r="AD114" s="19">
        <v>328.7541972154122</v>
      </c>
      <c r="AE114" s="19">
        <v>328.7541972154122</v>
      </c>
      <c r="AF114" s="19">
        <v>328.7541972154122</v>
      </c>
      <c r="AG114" s="19">
        <v>-651.2458027845878</v>
      </c>
      <c r="AH114" s="19">
        <v>328.7541972154122</v>
      </c>
      <c r="AI114" s="19">
        <v>328.7541972154122</v>
      </c>
      <c r="AJ114" s="19">
        <v>328.7541972154122</v>
      </c>
      <c r="AK114" s="19">
        <v>-651.2458027845878</v>
      </c>
      <c r="AL114" s="19">
        <v>328.7541972154122</v>
      </c>
      <c r="AM114" s="19">
        <v>328.7541972154122</v>
      </c>
      <c r="AN114" s="19">
        <v>328.7541972154122</v>
      </c>
      <c r="AO114" s="19">
        <v>-651.2458027845878</v>
      </c>
      <c r="AP114" s="19">
        <v>328.7541972154122</v>
      </c>
      <c r="AQ114" s="19">
        <v>328.754197215412</v>
      </c>
      <c r="AR114" s="19">
        <v>328.754197215412</v>
      </c>
      <c r="AS114" s="19">
        <v>-651.2458027845878</v>
      </c>
      <c r="AT114" s="19">
        <v>328.754197215412</v>
      </c>
      <c r="AU114" s="19">
        <v>328.75419721541243</v>
      </c>
      <c r="AV114" s="19">
        <v>328.75419721541243</v>
      </c>
      <c r="AW114" s="19">
        <v>-651.245802784588</v>
      </c>
      <c r="AX114" s="19">
        <v>328.75419721541243</v>
      </c>
      <c r="AY114" s="19">
        <v>328.7541972154122</v>
      </c>
      <c r="AZ114" s="19">
        <v>328.7541972154122</v>
      </c>
      <c r="BA114" s="19">
        <v>-651.2458027845871</v>
      </c>
      <c r="BB114" s="19">
        <v>328.7541972154122</v>
      </c>
      <c r="BC114" s="19">
        <v>328.7541972154122</v>
      </c>
      <c r="BD114" s="19">
        <v>328.7541972154122</v>
      </c>
      <c r="BE114" s="19">
        <v>-651.245802784588</v>
      </c>
      <c r="BF114" s="19">
        <v>328.7541972154122</v>
      </c>
      <c r="BG114" s="19">
        <v>328.754197215412</v>
      </c>
      <c r="BH114" s="19">
        <v>328.754197215412</v>
      </c>
      <c r="BI114" s="19">
        <v>-651.245802784588</v>
      </c>
      <c r="BJ114" s="19">
        <v>328.754197215412</v>
      </c>
      <c r="BK114" s="19">
        <v>328.7541972154122</v>
      </c>
      <c r="BL114" s="19">
        <v>328.7541972154122</v>
      </c>
      <c r="BM114" s="19">
        <v>-651.2458027845873</v>
      </c>
      <c r="BN114" s="19">
        <v>328.7541972154122</v>
      </c>
      <c r="BO114" s="19">
        <v>328.754197215412</v>
      </c>
      <c r="BP114" s="19">
        <v>328.754197215412</v>
      </c>
      <c r="BQ114" s="19">
        <v>-651.2458027845882</v>
      </c>
      <c r="BR114" s="19">
        <v>328.754197215412</v>
      </c>
      <c r="BS114" s="19">
        <v>328.754197215412</v>
      </c>
      <c r="BT114" s="19">
        <v>328.754197215412</v>
      </c>
      <c r="BU114" s="19">
        <v>-651.245802784588</v>
      </c>
      <c r="BV114" s="19">
        <v>328.754197215412</v>
      </c>
      <c r="BW114" s="19">
        <v>328.754197215412</v>
      </c>
      <c r="BX114" s="19">
        <v>328.754197215412</v>
      </c>
      <c r="BY114" s="19">
        <v>-651.245802784588</v>
      </c>
      <c r="BZ114" s="19">
        <v>328.754197215412</v>
      </c>
      <c r="CA114" s="19">
        <v>328.7541972154122</v>
      </c>
      <c r="CB114" s="19">
        <v>328.7541972154122</v>
      </c>
      <c r="CC114" s="19">
        <v>-651.2458027845876</v>
      </c>
      <c r="CD114" s="19">
        <v>328.7541972154122</v>
      </c>
      <c r="CE114" s="19">
        <v>328.754197215412</v>
      </c>
      <c r="CF114" s="19">
        <v>328.754197215412</v>
      </c>
      <c r="CG114" s="19">
        <v>-679.1638685230587</v>
      </c>
      <c r="CH114" s="19">
        <v>245</v>
      </c>
      <c r="CI114" s="19">
        <v>245</v>
      </c>
      <c r="CJ114" s="19">
        <v>245</v>
      </c>
      <c r="CK114" s="19">
        <v>-245.00000000000023</v>
      </c>
      <c r="CL114" s="19">
        <v>245</v>
      </c>
    </row>
    <row r="115" spans="2:90" x14ac:dyDescent="0.25">
      <c r="B115" s="29" t="s">
        <v>229</v>
      </c>
      <c r="C115" s="30" t="s">
        <v>224</v>
      </c>
      <c r="E115" s="33"/>
      <c r="F115" s="33"/>
      <c r="G115" s="33"/>
      <c r="H115" s="33"/>
      <c r="I115" s="33"/>
      <c r="J115" s="33"/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176.51066779308354</v>
      </c>
      <c r="Q115" s="19">
        <v>0</v>
      </c>
      <c r="R115" s="19">
        <v>0</v>
      </c>
      <c r="S115" s="19">
        <v>0</v>
      </c>
      <c r="T115" s="19">
        <v>245.55934457903476</v>
      </c>
      <c r="U115" s="19">
        <v>0</v>
      </c>
      <c r="V115" s="19">
        <v>0</v>
      </c>
      <c r="W115" s="19">
        <v>0</v>
      </c>
      <c r="X115" s="19">
        <v>281.38688813495975</v>
      </c>
      <c r="Y115" s="19">
        <v>0</v>
      </c>
      <c r="Z115" s="19">
        <v>0</v>
      </c>
      <c r="AA115" s="19">
        <v>0</v>
      </c>
      <c r="AB115" s="19">
        <v>320.49675244488486</v>
      </c>
      <c r="AC115" s="19">
        <v>0</v>
      </c>
      <c r="AD115" s="19">
        <v>0</v>
      </c>
      <c r="AE115" s="19">
        <v>0</v>
      </c>
      <c r="AF115" s="19">
        <v>360.1628999860402</v>
      </c>
      <c r="AG115" s="19">
        <v>0</v>
      </c>
      <c r="AH115" s="19">
        <v>0</v>
      </c>
      <c r="AI115" s="19">
        <v>0</v>
      </c>
      <c r="AJ115" s="19">
        <v>459.71817180687407</v>
      </c>
      <c r="AK115" s="19">
        <v>0</v>
      </c>
      <c r="AL115" s="19">
        <v>0</v>
      </c>
      <c r="AM115" s="19">
        <v>0</v>
      </c>
      <c r="AN115" s="19">
        <v>709.9460632200652</v>
      </c>
      <c r="AO115" s="19">
        <v>0</v>
      </c>
      <c r="AP115" s="19">
        <v>0</v>
      </c>
      <c r="AQ115" s="19">
        <v>0</v>
      </c>
      <c r="AR115" s="19">
        <v>777.5891674469545</v>
      </c>
      <c r="AS115" s="19">
        <v>0</v>
      </c>
      <c r="AT115" s="19">
        <v>0</v>
      </c>
      <c r="AU115" s="19">
        <v>0</v>
      </c>
      <c r="AV115" s="19">
        <v>845.1028138340063</v>
      </c>
      <c r="AW115" s="19">
        <v>0</v>
      </c>
      <c r="AX115" s="19">
        <v>0</v>
      </c>
      <c r="AY115" s="19">
        <v>0</v>
      </c>
      <c r="AZ115" s="19">
        <v>912.484800314361</v>
      </c>
      <c r="BA115" s="19">
        <v>0</v>
      </c>
      <c r="BB115" s="19">
        <v>0</v>
      </c>
      <c r="BC115" s="19">
        <v>0</v>
      </c>
      <c r="BD115" s="19">
        <v>979.7328865861662</v>
      </c>
      <c r="BE115" s="19">
        <v>0</v>
      </c>
      <c r="BF115" s="19">
        <v>0</v>
      </c>
      <c r="BG115" s="19">
        <v>0</v>
      </c>
      <c r="BH115" s="19">
        <v>1046.844793434982</v>
      </c>
      <c r="BI115" s="19">
        <v>0</v>
      </c>
      <c r="BJ115" s="19">
        <v>0</v>
      </c>
      <c r="BK115" s="19">
        <v>0</v>
      </c>
      <c r="BL115" s="19">
        <v>1113.818202043923</v>
      </c>
      <c r="BM115" s="19">
        <v>0</v>
      </c>
      <c r="BN115" s="19">
        <v>0</v>
      </c>
      <c r="BO115" s="19">
        <v>0</v>
      </c>
      <c r="BP115" s="19">
        <v>1180.65075329134</v>
      </c>
      <c r="BQ115" s="19">
        <v>0</v>
      </c>
      <c r="BR115" s="19">
        <v>0</v>
      </c>
      <c r="BS115" s="19">
        <v>0</v>
      </c>
      <c r="BT115" s="19">
        <v>1247.3400470357947</v>
      </c>
      <c r="BU115" s="19">
        <v>0</v>
      </c>
      <c r="BV115" s="19">
        <v>0</v>
      </c>
      <c r="BW115" s="19">
        <v>0</v>
      </c>
      <c r="BX115" s="19">
        <v>1313.8836413881143</v>
      </c>
      <c r="BY115" s="19">
        <v>0</v>
      </c>
      <c r="BZ115" s="19">
        <v>0</v>
      </c>
      <c r="CA115" s="19">
        <v>0</v>
      </c>
      <c r="CB115" s="19">
        <v>1378.3564152514994</v>
      </c>
      <c r="CC115" s="19">
        <v>0</v>
      </c>
      <c r="CD115" s="19">
        <v>0</v>
      </c>
      <c r="CE115" s="19">
        <v>0</v>
      </c>
      <c r="CF115" s="19">
        <v>1365.2668370982385</v>
      </c>
      <c r="CG115" s="19">
        <v>0</v>
      </c>
      <c r="CH115" s="19">
        <v>0</v>
      </c>
      <c r="CI115" s="19">
        <v>0</v>
      </c>
      <c r="CJ115" s="19">
        <v>1374.5601959393853</v>
      </c>
      <c r="CK115" s="19">
        <v>0</v>
      </c>
      <c r="CL115" s="19">
        <v>672.8108290296017</v>
      </c>
    </row>
    <row r="116" spans="2:90" x14ac:dyDescent="0.25">
      <c r="B116" s="29" t="s">
        <v>230</v>
      </c>
      <c r="C116" s="30" t="s">
        <v>224</v>
      </c>
      <c r="E116" s="33"/>
      <c r="F116" s="33"/>
      <c r="G116" s="33"/>
      <c r="H116" s="33"/>
      <c r="I116" s="33"/>
      <c r="J116" s="33"/>
      <c r="K116" s="19">
        <v>-2.546585164964199e-11</v>
      </c>
      <c r="L116" s="19">
        <v>-2000</v>
      </c>
      <c r="M116" s="19">
        <v>0</v>
      </c>
      <c r="N116" s="19">
        <v>0</v>
      </c>
      <c r="O116" s="19">
        <v>0</v>
      </c>
      <c r="P116" s="19">
        <v>-116.67031250000036</v>
      </c>
      <c r="Q116" s="19">
        <v>-84.54375000000073</v>
      </c>
      <c r="R116" s="19">
        <v>52.32500000000073</v>
      </c>
      <c r="S116" s="19">
        <v>52.32499999999982</v>
      </c>
      <c r="T116" s="19">
        <v>52.32499999999891</v>
      </c>
      <c r="U116" s="19">
        <v>52.32500000000073</v>
      </c>
      <c r="V116" s="19">
        <v>52.32499999999891</v>
      </c>
      <c r="W116" s="19">
        <v>-82.67499999999927</v>
      </c>
      <c r="X116" s="19">
        <v>-80.80624999999964</v>
      </c>
      <c r="Y116" s="19">
        <v>56.0625</v>
      </c>
      <c r="Z116" s="19">
        <v>56.0625</v>
      </c>
      <c r="AA116" s="19">
        <v>56.0625</v>
      </c>
      <c r="AB116" s="19">
        <v>56.0625</v>
      </c>
      <c r="AC116" s="19">
        <v>-28.3125</v>
      </c>
      <c r="AD116" s="19">
        <v>-27.14453125</v>
      </c>
      <c r="AE116" s="19">
        <v>58.39843749999909</v>
      </c>
      <c r="AF116" s="19">
        <v>58.39843749999909</v>
      </c>
      <c r="AG116" s="19">
        <v>58.39843749999909</v>
      </c>
      <c r="AH116" s="19">
        <v>58.39843749999909</v>
      </c>
      <c r="AI116" s="19">
        <v>58.39843749999909</v>
      </c>
      <c r="AJ116" s="19">
        <v>58.39843749999909</v>
      </c>
      <c r="AK116" s="19">
        <v>58.39843749999909</v>
      </c>
      <c r="AL116" s="19">
        <v>58.39843749999909</v>
      </c>
      <c r="AM116" s="19">
        <v>58.39843749999909</v>
      </c>
      <c r="AN116" s="19">
        <v>58.39843749999909</v>
      </c>
      <c r="AO116" s="19">
        <v>58.39843749999909</v>
      </c>
      <c r="AP116" s="19">
        <v>58.39843749999909</v>
      </c>
      <c r="AQ116" s="19">
        <v>58.39843749999909</v>
      </c>
      <c r="AR116" s="19">
        <v>58.39843749999909</v>
      </c>
      <c r="AS116" s="19">
        <v>58.3984375</v>
      </c>
      <c r="AT116" s="19">
        <v>58.3984375</v>
      </c>
      <c r="AU116" s="19">
        <v>58.3984375</v>
      </c>
      <c r="AV116" s="19">
        <v>58.3984375</v>
      </c>
      <c r="AW116" s="19">
        <v>58.3984375</v>
      </c>
      <c r="AX116" s="19">
        <v>58.3984375</v>
      </c>
      <c r="AY116" s="19">
        <v>58.3984375</v>
      </c>
      <c r="AZ116" s="19">
        <v>58.3984375</v>
      </c>
      <c r="BA116" s="19">
        <v>58.3984375</v>
      </c>
      <c r="BB116" s="19">
        <v>58.3984375</v>
      </c>
      <c r="BC116" s="19">
        <v>58.3984375</v>
      </c>
      <c r="BD116" s="19">
        <v>58.3984375</v>
      </c>
      <c r="BE116" s="19">
        <v>58.3984375</v>
      </c>
      <c r="BF116" s="19">
        <v>58.3984375</v>
      </c>
      <c r="BG116" s="19">
        <v>58.3984375</v>
      </c>
      <c r="BH116" s="19">
        <v>58.3984375</v>
      </c>
      <c r="BI116" s="19">
        <v>58.3984375</v>
      </c>
      <c r="BJ116" s="19">
        <v>58.3984375</v>
      </c>
      <c r="BK116" s="19">
        <v>58.3984375</v>
      </c>
      <c r="BL116" s="19">
        <v>58.3984375</v>
      </c>
      <c r="BM116" s="19">
        <v>58.3984375</v>
      </c>
      <c r="BN116" s="19">
        <v>58.3984375</v>
      </c>
      <c r="BO116" s="19">
        <v>58.3984375</v>
      </c>
      <c r="BP116" s="19">
        <v>58.3984375</v>
      </c>
      <c r="BQ116" s="19">
        <v>58.3984375</v>
      </c>
      <c r="BR116" s="19">
        <v>58.3984375</v>
      </c>
      <c r="BS116" s="19">
        <v>58.3984375</v>
      </c>
      <c r="BT116" s="19">
        <v>58.3984375</v>
      </c>
      <c r="BU116" s="19">
        <v>58.3984375</v>
      </c>
      <c r="BV116" s="19">
        <v>58.3984375</v>
      </c>
      <c r="BW116" s="19">
        <v>58.3984375</v>
      </c>
      <c r="BX116" s="19">
        <v>2167.7734375</v>
      </c>
      <c r="BY116" s="19">
        <v>2138.57421875</v>
      </c>
      <c r="BZ116" s="19">
        <v>0</v>
      </c>
      <c r="CA116" s="19">
        <v>0</v>
      </c>
      <c r="CB116" s="19">
        <v>0</v>
      </c>
      <c r="CC116" s="19">
        <v>0</v>
      </c>
      <c r="CD116" s="19">
        <v>0</v>
      </c>
      <c r="CE116" s="19">
        <v>0</v>
      </c>
      <c r="CF116" s="19">
        <v>0</v>
      </c>
      <c r="CG116" s="19">
        <v>0</v>
      </c>
      <c r="CH116" s="19">
        <v>0</v>
      </c>
      <c r="CI116" s="19">
        <v>0</v>
      </c>
      <c r="CJ116" s="19">
        <v>0</v>
      </c>
      <c r="CK116" s="19">
        <v>0</v>
      </c>
      <c r="CL116" s="19">
        <v>0</v>
      </c>
    </row>
    <row r="117" spans="2:90" x14ac:dyDescent="0.25">
      <c r="B117" s="29" t="s">
        <v>231</v>
      </c>
      <c r="C117" s="30" t="s">
        <v>224</v>
      </c>
      <c r="E117" s="33"/>
      <c r="F117" s="33"/>
      <c r="G117" s="33"/>
      <c r="H117" s="33"/>
      <c r="I117" s="33"/>
      <c r="J117" s="33"/>
      <c r="K117" s="19">
        <v>-1666.4364546243696</v>
      </c>
      <c r="L117" s="19">
        <v>-35.501415735500814</v>
      </c>
      <c r="M117" s="19">
        <v>-468.6186877086002</v>
      </c>
      <c r="N117" s="19">
        <v>609.2042940211804</v>
      </c>
      <c r="O117" s="19">
        <v>-96.75200830395806</v>
      </c>
      <c r="P117" s="19">
        <v>-35.323908656821914</v>
      </c>
      <c r="Q117" s="19">
        <v>-466.2755942700569</v>
      </c>
      <c r="R117" s="19">
        <v>606.1582725510734</v>
      </c>
      <c r="S117" s="19">
        <v>-96.22658735107234</v>
      </c>
      <c r="T117" s="19">
        <v>-35.14640157814483</v>
      </c>
      <c r="U117" s="19">
        <v>-463.9325008315145</v>
      </c>
      <c r="V117" s="19">
        <v>603.1122510809682</v>
      </c>
      <c r="W117" s="19">
        <v>-95.70116639818752</v>
      </c>
      <c r="X117" s="19">
        <v>-34.96889449946684</v>
      </c>
      <c r="Y117" s="19">
        <v>-461.58940739297213</v>
      </c>
      <c r="Z117" s="19">
        <v>600.0662296108621</v>
      </c>
      <c r="AA117" s="19">
        <v>-95.17574544530271</v>
      </c>
      <c r="AB117" s="19">
        <v>-34.79138742078885</v>
      </c>
      <c r="AC117" s="19">
        <v>-459.24631395442884</v>
      </c>
      <c r="AD117" s="19">
        <v>597.020208140756</v>
      </c>
      <c r="AE117" s="19">
        <v>-94.65032449241608</v>
      </c>
      <c r="AF117" s="19">
        <v>-34.61388034211268</v>
      </c>
      <c r="AG117" s="19">
        <v>-456.90322051588464</v>
      </c>
      <c r="AH117" s="19">
        <v>593.9741866706509</v>
      </c>
      <c r="AI117" s="19">
        <v>-94.12490353953035</v>
      </c>
      <c r="AJ117" s="19">
        <v>-34.43637326343469</v>
      </c>
      <c r="AK117" s="19">
        <v>-454.56012707734226</v>
      </c>
      <c r="AL117" s="19">
        <v>590.9281652005438</v>
      </c>
      <c r="AM117" s="19">
        <v>-93.59948258664463</v>
      </c>
      <c r="AN117" s="19">
        <v>-34.25886618475852</v>
      </c>
      <c r="AO117" s="19">
        <v>-452.21703363879897</v>
      </c>
      <c r="AP117" s="19">
        <v>587.8821437304387</v>
      </c>
      <c r="AQ117" s="19">
        <v>-93.07406163375981</v>
      </c>
      <c r="AR117" s="19">
        <v>-34.08135910607962</v>
      </c>
      <c r="AS117" s="19">
        <v>-449.8739402002566</v>
      </c>
      <c r="AT117" s="19">
        <v>584.8361222603335</v>
      </c>
      <c r="AU117" s="19">
        <v>-92.5486406808759</v>
      </c>
      <c r="AV117" s="19">
        <v>-33.903852027402536</v>
      </c>
      <c r="AW117" s="19">
        <v>-447.5308467617124</v>
      </c>
      <c r="AX117" s="19">
        <v>581.7901007902274</v>
      </c>
      <c r="AY117" s="19">
        <v>-92.02321972798927</v>
      </c>
      <c r="AZ117" s="19">
        <v>-33.726344948724545</v>
      </c>
      <c r="BA117" s="19">
        <v>-445.1877533231709</v>
      </c>
      <c r="BB117" s="19">
        <v>578.7440793201204</v>
      </c>
      <c r="BC117" s="19">
        <v>-91.49779877510355</v>
      </c>
      <c r="BD117" s="19">
        <v>-33.548837870047464</v>
      </c>
      <c r="BE117" s="19">
        <v>-442.8446598846276</v>
      </c>
      <c r="BF117" s="19">
        <v>575.6980578500152</v>
      </c>
      <c r="BG117" s="19">
        <v>-90.97237782221873</v>
      </c>
      <c r="BH117" s="19">
        <v>-33.37133079137038</v>
      </c>
      <c r="BI117" s="19">
        <v>-440.5015664460834</v>
      </c>
      <c r="BJ117" s="19">
        <v>572.6520363799091</v>
      </c>
      <c r="BK117" s="19">
        <v>-90.44695686933392</v>
      </c>
      <c r="BL117" s="19">
        <v>-33.19382371269239</v>
      </c>
      <c r="BM117" s="19">
        <v>-438.15847300754103</v>
      </c>
      <c r="BN117" s="19">
        <v>569.6060149098039</v>
      </c>
      <c r="BO117" s="19">
        <v>-89.92153591644819</v>
      </c>
      <c r="BP117" s="19">
        <v>-33.01631663401531</v>
      </c>
      <c r="BQ117" s="19">
        <v>-435.81537956899774</v>
      </c>
      <c r="BR117" s="19">
        <v>566.5599934396978</v>
      </c>
      <c r="BS117" s="19">
        <v>-89.39611496356247</v>
      </c>
      <c r="BT117" s="19">
        <v>-32.83880955533823</v>
      </c>
      <c r="BU117" s="19">
        <v>-433.47228613045445</v>
      </c>
      <c r="BV117" s="19">
        <v>563.5139719695917</v>
      </c>
      <c r="BW117" s="19">
        <v>-88.87069401067765</v>
      </c>
      <c r="BX117" s="19">
        <v>-32.66130247665933</v>
      </c>
      <c r="BY117" s="19">
        <v>-431.129192691913</v>
      </c>
      <c r="BZ117" s="19">
        <v>560.4679504994856</v>
      </c>
      <c r="CA117" s="19">
        <v>-88.34527305779102</v>
      </c>
      <c r="CB117" s="19">
        <v>-32.48379539798316</v>
      </c>
      <c r="CC117" s="19">
        <v>-428.7860992533688</v>
      </c>
      <c r="CD117" s="19">
        <v>557.4219290293804</v>
      </c>
      <c r="CE117" s="19">
        <v>-87.81985210490711</v>
      </c>
      <c r="CF117" s="19">
        <v>-32.30628831930426</v>
      </c>
      <c r="CG117" s="19">
        <v>-426.4430058148264</v>
      </c>
      <c r="CH117" s="19">
        <v>554.3759075592734</v>
      </c>
      <c r="CI117" s="19">
        <v>-87.29443115202139</v>
      </c>
      <c r="CJ117" s="19">
        <v>-32.12878124062718</v>
      </c>
      <c r="CK117" s="19">
        <v>-424.0999123762831</v>
      </c>
      <c r="CL117" s="19">
        <v>1964.3536850519658</v>
      </c>
    </row>
    <row r="119" spans="2:2" x14ac:dyDescent="0.25">
      <c r="B119" s="34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233</v>
      </c>
    </row>
    <row r="4" spans="2:91" x14ac:dyDescent="0.25">
      <c r="B4" s="9" t="s">
        <v>86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6" t="s">
        <v>87</v>
      </c>
      <c r="C6" s="26" t="s">
        <v>76</v>
      </c>
      <c r="D6" s="26" t="s">
        <v>234</v>
      </c>
      <c r="E6" s="26" t="s">
        <v>235</v>
      </c>
      <c r="F6" s="26" t="s">
        <v>236</v>
      </c>
      <c r="G6" s="26" t="s">
        <v>91</v>
      </c>
      <c r="H6" s="26" t="s">
        <v>92</v>
      </c>
      <c r="I6" s="26" t="s">
        <v>93</v>
      </c>
      <c r="J6" s="26" t="s">
        <v>237</v>
      </c>
    </row>
    <row r="7" spans="2:3" x14ac:dyDescent="0.25">
      <c r="B7" s="33" t="s">
        <v>238</v>
      </c>
      <c r="C7" s="33">
        <f>'입력값'!C9*100</f>
      </c>
    </row>
    <row r="8" spans="2:10" x14ac:dyDescent="0.25">
      <c r="B8" s="33" t="s">
        <v>94</v>
      </c>
      <c r="C8" s="33">
        <f>'입력값'!C58*100</f>
      </c>
      <c r="D8" s="35" t="s">
        <v>239</v>
      </c>
      <c r="E8" s="36">
        <f>'입력값'!D58</f>
      </c>
      <c r="F8" s="36">
        <f>'입력값'!E58</f>
      </c>
      <c r="G8" s="37">
        <f>'입력값'!F58</f>
      </c>
      <c r="H8" s="37">
        <f>'입력값'!G58</f>
      </c>
      <c r="I8" s="35">
        <f>'입력값'!H58</f>
      </c>
      <c r="J8" s="38" t="s">
        <v>112</v>
      </c>
    </row>
    <row r="9" spans="2:10" x14ac:dyDescent="0.25">
      <c r="B9" s="33" t="s">
        <v>95</v>
      </c>
      <c r="C9" s="33">
        <f>'입력값'!C59*100</f>
      </c>
      <c r="D9" s="35" t="s">
        <v>239</v>
      </c>
      <c r="E9" s="36">
        <f>'입력값'!D59</f>
      </c>
      <c r="F9" s="36">
        <f>'입력값'!E59</f>
      </c>
      <c r="G9" s="37">
        <f>'입력값'!F59</f>
      </c>
      <c r="H9" s="37">
        <f>'입력값'!G59</f>
      </c>
      <c r="I9" s="35">
        <f>'입력값'!H59</f>
      </c>
      <c r="J9" s="38" t="s">
        <v>112</v>
      </c>
    </row>
    <row r="10" spans="2:10" x14ac:dyDescent="0.25">
      <c r="B10" s="33" t="s">
        <v>96</v>
      </c>
      <c r="C10" s="33">
        <f>'입력값'!C60*100</f>
      </c>
      <c r="D10" s="35" t="s">
        <v>239</v>
      </c>
      <c r="E10" s="36">
        <f>'입력값'!D60</f>
      </c>
      <c r="F10" s="36">
        <f>'입력값'!E60</f>
      </c>
      <c r="G10" s="37">
        <f>'입력값'!F60</f>
      </c>
      <c r="H10" s="37">
        <f>'입력값'!G60</f>
      </c>
      <c r="I10" s="35">
        <f>'입력값'!H60</f>
      </c>
      <c r="J10" s="38" t="s">
        <v>112</v>
      </c>
    </row>
    <row r="11" spans="2:10" x14ac:dyDescent="0.25">
      <c r="B11" s="33" t="s">
        <v>97</v>
      </c>
      <c r="C11" s="33">
        <f>'입력값'!C61*100</f>
      </c>
      <c r="D11" s="35" t="s">
        <v>239</v>
      </c>
      <c r="E11" s="36">
        <f>'입력값'!D61</f>
      </c>
      <c r="F11" s="36">
        <f>'입력값'!E61</f>
      </c>
      <c r="G11" s="37">
        <f>'입력값'!F61</f>
      </c>
      <c r="H11" s="37">
        <f>'입력값'!G61</f>
      </c>
      <c r="I11" s="35">
        <f>'입력값'!H61</f>
      </c>
      <c r="J11" s="38" t="s">
        <v>240</v>
      </c>
    </row>
    <row r="12" spans="2:10" x14ac:dyDescent="0.25">
      <c r="B12" s="33" t="s">
        <v>98</v>
      </c>
      <c r="C12" s="33">
        <f>'입력값'!C62*100</f>
      </c>
      <c r="D12" s="35" t="s">
        <v>239</v>
      </c>
      <c r="E12" s="36">
        <f>'입력값'!D62</f>
      </c>
      <c r="F12" s="36">
        <f>'입력값'!E62</f>
      </c>
      <c r="G12" s="37">
        <f>'입력값'!F62</f>
      </c>
      <c r="H12" s="37">
        <f>'입력값'!G62</f>
      </c>
      <c r="I12" s="35">
        <f>'입력값'!H62</f>
      </c>
      <c r="J12" s="38" t="s">
        <v>240</v>
      </c>
    </row>
    <row r="13" spans="2:3" x14ac:dyDescent="0.25">
      <c r="B13" s="39" t="s">
        <v>241</v>
      </c>
      <c r="C13" s="40">
        <f>C8+C9+C10+C11+C12</f>
      </c>
    </row>
    <row r="15" spans="2:91" x14ac:dyDescent="0.25">
      <c r="B15" s="9" t="s">
        <v>242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3" t="s">
        <v>243</v>
      </c>
      <c r="C17" s="33">
        <v>3931.178504168494</v>
      </c>
    </row>
    <row r="18" spans="2:3" x14ac:dyDescent="0.25">
      <c r="B18" s="33" t="s">
        <v>244</v>
      </c>
      <c r="C18" s="33">
        <v>144999.9995041685</v>
      </c>
    </row>
    <row r="19" spans="2:3" x14ac:dyDescent="0.25">
      <c r="B19" s="33" t="s">
        <v>245</v>
      </c>
      <c r="C19" s="33">
        <f>'입력값'!C8*100</f>
      </c>
    </row>
    <row r="21" spans="2:91" x14ac:dyDescent="0.25">
      <c r="B21" s="9" t="s">
        <v>246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6" t="s">
        <v>194</v>
      </c>
      <c r="C23" s="26" t="s">
        <v>76</v>
      </c>
    </row>
    <row r="24" spans="2:2" x14ac:dyDescent="0.25">
      <c r="B24" s="38">
        <f>'입력값'!B75</f>
      </c>
    </row>
    <row r="25" spans="2:2" x14ac:dyDescent="0.25">
      <c r="B25" s="38">
        <f>'입력값'!B76</f>
      </c>
    </row>
    <row r="26" spans="2:2" x14ac:dyDescent="0.25">
      <c r="B26" s="38">
        <f>'입력값'!B77</f>
      </c>
    </row>
    <row r="27" spans="2:2" x14ac:dyDescent="0.25">
      <c r="B27" s="38">
        <f>'입력값'!B78</f>
      </c>
    </row>
    <row r="28" spans="2:2" x14ac:dyDescent="0.25">
      <c r="B28" s="38">
        <f>'입력값'!B79</f>
      </c>
    </row>
    <row r="29" spans="2:2" x14ac:dyDescent="0.25">
      <c r="B29" s="38">
        <f>'입력값'!B80</f>
      </c>
    </row>
    <row r="30" spans="2:2" x14ac:dyDescent="0.25">
      <c r="B30" s="38">
        <f>'입력값'!B81</f>
      </c>
    </row>
    <row r="31" spans="2:2" x14ac:dyDescent="0.25">
      <c r="B31" s="38">
        <f>'입력값'!B82</f>
      </c>
    </row>
    <row r="32" spans="2:2" x14ac:dyDescent="0.25">
      <c r="B32" s="38">
        <f>'입력값'!B83</f>
      </c>
    </row>
    <row r="33" spans="2:2" x14ac:dyDescent="0.25">
      <c r="B33" s="38">
        <f>'입력값'!B84</f>
      </c>
    </row>
    <row r="34" spans="2:2" x14ac:dyDescent="0.25">
      <c r="B34" s="38">
        <f>'입력값'!B85</f>
      </c>
    </row>
    <row r="35" spans="2:2" x14ac:dyDescent="0.25">
      <c r="B35" s="38">
        <f>'입력값'!B86</f>
      </c>
    </row>
    <row r="36" spans="2:3" x14ac:dyDescent="0.25">
      <c r="B36" s="39" t="s">
        <v>247</v>
      </c>
      <c r="C36" s="40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1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248</v>
      </c>
    </row>
    <row r="4" spans="2:91" x14ac:dyDescent="0.25">
      <c r="B4" s="9" t="s">
        <v>249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91" x14ac:dyDescent="0.25">
      <c r="B8" s="41" t="s">
        <v>94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</row>
    <row r="9" spans="2:90" x14ac:dyDescent="0.25">
      <c r="B9" s="29" t="s">
        <v>250</v>
      </c>
      <c r="C9" s="30" t="s">
        <v>224</v>
      </c>
      <c r="E9" s="33">
        <v>0</v>
      </c>
      <c r="F9" s="33">
        <f>E14</f>
      </c>
      <c r="G9" s="33">
        <f>F14</f>
      </c>
      <c r="H9" s="33">
        <f>G14</f>
      </c>
      <c r="I9" s="33">
        <f>H14</f>
      </c>
      <c r="J9" s="33">
        <f>I14</f>
      </c>
      <c r="K9" s="33">
        <f>J14</f>
      </c>
      <c r="L9" s="33">
        <f>K14</f>
      </c>
      <c r="M9" s="33">
        <f>L14</f>
      </c>
      <c r="N9" s="33">
        <f>M14</f>
      </c>
      <c r="O9" s="33">
        <f>N14</f>
      </c>
      <c r="P9" s="33">
        <f>O14</f>
      </c>
      <c r="Q9" s="33">
        <f>P14</f>
      </c>
      <c r="R9" s="33">
        <f>Q14</f>
      </c>
      <c r="S9" s="33">
        <f>R14</f>
      </c>
      <c r="T9" s="33">
        <f>S14</f>
      </c>
      <c r="U9" s="33">
        <f>T14</f>
      </c>
      <c r="V9" s="33">
        <f>U14</f>
      </c>
      <c r="W9" s="33">
        <f>V14</f>
      </c>
      <c r="X9" s="33">
        <f>W14</f>
      </c>
      <c r="Y9" s="33">
        <f>X14</f>
      </c>
      <c r="Z9" s="33">
        <f>Y14</f>
      </c>
      <c r="AA9" s="33">
        <f>Z14</f>
      </c>
      <c r="AB9" s="33">
        <f>AA14</f>
      </c>
      <c r="AC9" s="33">
        <f>AB14</f>
      </c>
      <c r="AD9" s="33">
        <f>AC14</f>
      </c>
      <c r="AE9" s="33">
        <f>AD14</f>
      </c>
      <c r="AF9" s="33">
        <f>AE14</f>
      </c>
      <c r="AG9" s="33">
        <f>AF14</f>
      </c>
      <c r="AH9" s="33">
        <f>AG14</f>
      </c>
      <c r="AI9" s="33">
        <f>AH14</f>
      </c>
      <c r="AJ9" s="33">
        <f>AI14</f>
      </c>
      <c r="AK9" s="33">
        <f>AJ14</f>
      </c>
      <c r="AL9" s="33">
        <f>AK14</f>
      </c>
      <c r="AM9" s="33">
        <f>AL14</f>
      </c>
      <c r="AN9" s="33">
        <f>AM14</f>
      </c>
      <c r="AO9" s="33">
        <f>AN14</f>
      </c>
      <c r="AP9" s="33">
        <f>AO14</f>
      </c>
      <c r="AQ9" s="33">
        <f>AP14</f>
      </c>
      <c r="AR9" s="33">
        <f>AQ14</f>
      </c>
      <c r="AS9" s="33">
        <f>AR14</f>
      </c>
      <c r="AT9" s="33">
        <f>AS14</f>
      </c>
      <c r="AU9" s="33">
        <f>AT14</f>
      </c>
      <c r="AV9" s="33">
        <f>AU14</f>
      </c>
      <c r="AW9" s="33">
        <f>AV14</f>
      </c>
      <c r="AX9" s="33">
        <f>AW14</f>
      </c>
      <c r="AY9" s="33">
        <f>AX14</f>
      </c>
      <c r="AZ9" s="33">
        <f>AY14</f>
      </c>
      <c r="BA9" s="33">
        <f>AZ14</f>
      </c>
      <c r="BB9" s="33">
        <f>BA14</f>
      </c>
      <c r="BC9" s="33">
        <f>BB14</f>
      </c>
      <c r="BD9" s="33">
        <f>BC14</f>
      </c>
      <c r="BE9" s="33">
        <f>BD14</f>
      </c>
      <c r="BF9" s="33">
        <f>BE14</f>
      </c>
      <c r="BG9" s="33">
        <f>BF14</f>
      </c>
      <c r="BH9" s="33">
        <f>BG14</f>
      </c>
      <c r="BI9" s="33">
        <f>BH14</f>
      </c>
      <c r="BJ9" s="33">
        <f>BI14</f>
      </c>
      <c r="BK9" s="33">
        <f>BJ14</f>
      </c>
      <c r="BL9" s="33">
        <f>BK14</f>
      </c>
      <c r="BM9" s="33">
        <f>BL14</f>
      </c>
      <c r="BN9" s="33">
        <f>BM14</f>
      </c>
      <c r="BO9" s="33">
        <f>BN14</f>
      </c>
      <c r="BP9" s="33">
        <f>BO14</f>
      </c>
      <c r="BQ9" s="33">
        <f>BP14</f>
      </c>
      <c r="BR9" s="33">
        <f>BQ14</f>
      </c>
      <c r="BS9" s="33">
        <f>BR14</f>
      </c>
      <c r="BT9" s="33">
        <f>BS14</f>
      </c>
      <c r="BU9" s="33">
        <f>BT14</f>
      </c>
      <c r="BV9" s="33">
        <f>BU14</f>
      </c>
      <c r="BW9" s="33">
        <f>BV14</f>
      </c>
      <c r="BX9" s="33">
        <f>BW14</f>
      </c>
      <c r="BY9" s="33">
        <f>BX14</f>
      </c>
      <c r="BZ9" s="33">
        <f>BY14</f>
      </c>
      <c r="CA9" s="33">
        <f>BZ14</f>
      </c>
      <c r="CB9" s="33">
        <f>CA14</f>
      </c>
      <c r="CC9" s="33">
        <f>CB14</f>
      </c>
      <c r="CD9" s="33">
        <f>CC14</f>
      </c>
      <c r="CE9" s="33">
        <f>CD14</f>
      </c>
      <c r="CF9" s="33">
        <f>CE14</f>
      </c>
      <c r="CG9" s="33">
        <f>CF14</f>
      </c>
      <c r="CH9" s="33">
        <f>CG14</f>
      </c>
      <c r="CI9" s="33">
        <f>CH14</f>
      </c>
      <c r="CJ9" s="33">
        <f>CI14</f>
      </c>
      <c r="CK9" s="33">
        <f>CJ14</f>
      </c>
      <c r="CL9" s="33">
        <f>CK14</f>
      </c>
    </row>
    <row r="10" spans="2:90" x14ac:dyDescent="0.25">
      <c r="B10" s="29" t="s">
        <v>251</v>
      </c>
      <c r="C10" s="30" t="s">
        <v>224</v>
      </c>
      <c r="D10" s="14">
        <f>SUM(E10:CL10)</f>
      </c>
      <c r="E10" s="33">
        <v>9935.161359526319</v>
      </c>
      <c r="F10" s="33">
        <v>5714.370798698882</v>
      </c>
      <c r="G10" s="33">
        <v>11330.803125295972</v>
      </c>
      <c r="H10" s="33">
        <v>11493.863019115224</v>
      </c>
      <c r="I10" s="33">
        <v>11525.801697363604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33">
        <v>0</v>
      </c>
      <c r="BD10" s="33">
        <v>0</v>
      </c>
      <c r="BE10" s="33">
        <v>0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v>0</v>
      </c>
      <c r="BU10" s="33">
        <v>0</v>
      </c>
      <c r="BV10" s="33">
        <v>0</v>
      </c>
      <c r="BW10" s="33">
        <v>0</v>
      </c>
      <c r="BX10" s="33">
        <v>0</v>
      </c>
      <c r="BY10" s="33">
        <v>0</v>
      </c>
      <c r="BZ10" s="33">
        <v>0</v>
      </c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33">
        <v>0</v>
      </c>
      <c r="CG10" s="33">
        <v>0</v>
      </c>
      <c r="CH10" s="33">
        <v>0</v>
      </c>
      <c r="CI10" s="33">
        <v>0</v>
      </c>
      <c r="CJ10" s="33">
        <v>0</v>
      </c>
      <c r="CK10" s="33">
        <v>0</v>
      </c>
      <c r="CL10" s="33">
        <v>0</v>
      </c>
    </row>
    <row r="11" spans="2:90" x14ac:dyDescent="0.25">
      <c r="B11" s="29" t="s">
        <v>242</v>
      </c>
      <c r="C11" s="30" t="s">
        <v>224</v>
      </c>
      <c r="D11" s="14">
        <f>SUM(E11:CL11)</f>
      </c>
      <c r="E11" s="33">
        <v>0</v>
      </c>
      <c r="F11" s="33">
        <v>139.0922590333685</v>
      </c>
      <c r="G11" s="33">
        <v>219.09345021515284</v>
      </c>
      <c r="H11" s="33">
        <v>377.7246939692964</v>
      </c>
      <c r="I11" s="33">
        <v>538.6387762369096</v>
      </c>
      <c r="J11" s="33">
        <v>700.0000000000001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33">
        <v>0</v>
      </c>
      <c r="AU11" s="33">
        <v>0</v>
      </c>
      <c r="AV11" s="33">
        <v>0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33">
        <v>0</v>
      </c>
      <c r="BD11" s="33">
        <v>0</v>
      </c>
      <c r="BE11" s="33">
        <v>0</v>
      </c>
      <c r="BF11" s="33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  <c r="BO11" s="33">
        <v>0</v>
      </c>
      <c r="BP11" s="33">
        <v>0</v>
      </c>
      <c r="BQ11" s="33">
        <v>0</v>
      </c>
      <c r="BR11" s="33">
        <v>0</v>
      </c>
      <c r="BS11" s="33">
        <v>0</v>
      </c>
      <c r="BT11" s="33">
        <v>0</v>
      </c>
      <c r="BU11" s="33">
        <v>0</v>
      </c>
      <c r="BV11" s="33">
        <v>0</v>
      </c>
      <c r="BW11" s="33">
        <v>0</v>
      </c>
      <c r="BX11" s="33">
        <v>0</v>
      </c>
      <c r="BY11" s="33">
        <v>0</v>
      </c>
      <c r="BZ11" s="33">
        <v>0</v>
      </c>
      <c r="CA11" s="33">
        <v>0</v>
      </c>
      <c r="CB11" s="33">
        <v>0</v>
      </c>
      <c r="CC11" s="33">
        <v>0</v>
      </c>
      <c r="CD11" s="33">
        <v>0</v>
      </c>
      <c r="CE11" s="33">
        <v>0</v>
      </c>
      <c r="CF11" s="33">
        <v>0</v>
      </c>
      <c r="CG11" s="33">
        <v>0</v>
      </c>
      <c r="CH11" s="33">
        <v>0</v>
      </c>
      <c r="CI11" s="33">
        <v>0</v>
      </c>
      <c r="CJ11" s="33">
        <v>0</v>
      </c>
      <c r="CK11" s="33">
        <v>0</v>
      </c>
      <c r="CL11" s="33">
        <v>0</v>
      </c>
    </row>
    <row r="12" spans="2:90" x14ac:dyDescent="0.25">
      <c r="B12" s="29" t="s">
        <v>252</v>
      </c>
      <c r="C12" s="30" t="s">
        <v>224</v>
      </c>
      <c r="D12" s="14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K9*'입력값'!E58/4</f>
      </c>
      <c r="L12" s="33">
        <f>L9*'입력값'!E58/4</f>
      </c>
      <c r="M12" s="33">
        <f>M9*'입력값'!E58/4</f>
      </c>
      <c r="N12" s="33">
        <f>N9*'입력값'!E58/4</f>
      </c>
      <c r="O12" s="33">
        <f>O9*'입력값'!E58/4</f>
      </c>
      <c r="P12" s="33">
        <f>P9*'입력값'!E58/4</f>
      </c>
      <c r="Q12" s="33">
        <f>Q9*'입력값'!E58/4</f>
      </c>
      <c r="R12" s="33">
        <f>R9*'입력값'!E58/4</f>
      </c>
      <c r="S12" s="33">
        <f>S9*'입력값'!E58/4</f>
      </c>
      <c r="T12" s="33">
        <f>T9*'입력값'!E58/4</f>
      </c>
      <c r="U12" s="33">
        <f>U9*'입력값'!E58/4</f>
      </c>
      <c r="V12" s="33">
        <f>V9*'입력값'!E58/4</f>
      </c>
      <c r="W12" s="33">
        <f>W9*'입력값'!E58/4</f>
      </c>
      <c r="X12" s="33">
        <f>X9*'입력값'!E58/4</f>
      </c>
      <c r="Y12" s="33">
        <f>Y9*'입력값'!E58/4</f>
      </c>
      <c r="Z12" s="33">
        <f>Z9*'입력값'!E58/4</f>
      </c>
      <c r="AA12" s="33">
        <f>AA9*'입력값'!E58/4</f>
      </c>
      <c r="AB12" s="33">
        <f>AB9*'입력값'!E58/4</f>
      </c>
      <c r="AC12" s="33">
        <f>AC9*'입력값'!E58/4</f>
      </c>
      <c r="AD12" s="33">
        <f>AD9*'입력값'!E58/4</f>
      </c>
      <c r="AE12" s="33">
        <f>AE9*'입력값'!E58/4</f>
      </c>
      <c r="AF12" s="33">
        <f>AF9*'입력값'!E58/4</f>
      </c>
      <c r="AG12" s="33">
        <f>AG9*'입력값'!E58/4</f>
      </c>
      <c r="AH12" s="33">
        <f>AH9*'입력값'!E58/4</f>
      </c>
      <c r="AI12" s="33">
        <f>AI9*'입력값'!E58/4</f>
      </c>
      <c r="AJ12" s="33">
        <f>AJ9*'입력값'!E58/4</f>
      </c>
      <c r="AK12" s="33">
        <f>AK9*'입력값'!E58/4</f>
      </c>
      <c r="AL12" s="33">
        <f>AL9*'입력값'!E58/4</f>
      </c>
      <c r="AM12" s="33">
        <f>AM9*'입력값'!E58/4</f>
      </c>
      <c r="AN12" s="33">
        <f>AN9*'입력값'!E58/4</f>
      </c>
      <c r="AO12" s="33">
        <f>AO9*'입력값'!E58/4</f>
      </c>
      <c r="AP12" s="33">
        <f>AP9*'입력값'!E58/4</f>
      </c>
      <c r="AQ12" s="33">
        <f>AQ9*'입력값'!E58/4</f>
      </c>
      <c r="AR12" s="33">
        <f>AR9*'입력값'!E58/4</f>
      </c>
      <c r="AS12" s="33">
        <f>AS9*'입력값'!E58/4</f>
      </c>
      <c r="AT12" s="33">
        <f>AT9*'입력값'!E58/4</f>
      </c>
      <c r="AU12" s="33">
        <f>AU9*'입력값'!E58/4</f>
      </c>
      <c r="AV12" s="33">
        <f>AV9*'입력값'!E58/4</f>
      </c>
      <c r="AW12" s="33">
        <f>AW9*'입력값'!E58/4</f>
      </c>
      <c r="AX12" s="33">
        <f>AX9*'입력값'!E58/4</f>
      </c>
      <c r="AY12" s="33">
        <f>AY9*'입력값'!E58/4</f>
      </c>
      <c r="AZ12" s="33">
        <f>AZ9*'입력값'!E58/4</f>
      </c>
      <c r="BA12" s="33">
        <f>BA9*'입력값'!E58/4</f>
      </c>
      <c r="BB12" s="33">
        <f>BB9*'입력값'!E58/4</f>
      </c>
      <c r="BC12" s="33">
        <f>BC9*'입력값'!E58/4</f>
      </c>
      <c r="BD12" s="33">
        <f>BD9*'입력값'!E58/4</f>
      </c>
      <c r="BE12" s="33">
        <f>BE9*'입력값'!E58/4</f>
      </c>
      <c r="BF12" s="33">
        <f>BF9*'입력값'!E58/4</f>
      </c>
      <c r="BG12" s="33">
        <f>BG9*'입력값'!E58/4</f>
      </c>
      <c r="BH12" s="33">
        <f>BH9*'입력값'!E58/4</f>
      </c>
      <c r="BI12" s="33">
        <f>BI9*'입력값'!E58/4</f>
      </c>
      <c r="BJ12" s="33">
        <f>BJ9*'입력값'!E58/4</f>
      </c>
      <c r="BK12" s="33">
        <f>BK9*'입력값'!E58/4</f>
      </c>
      <c r="BL12" s="33">
        <f>BL9*'입력값'!E58/4</f>
      </c>
      <c r="BM12" s="33">
        <f>BM9*'입력값'!E58/4</f>
      </c>
      <c r="BN12" s="33">
        <f>BN9*'입력값'!E58/4</f>
      </c>
      <c r="BO12" s="33">
        <f>BO9*'입력값'!E58/4</f>
      </c>
      <c r="BP12" s="33">
        <f>BP9*'입력값'!E58/4</f>
      </c>
      <c r="BQ12" s="33">
        <f>BQ9*'입력값'!E58/4</f>
      </c>
      <c r="BR12" s="33">
        <f>BR9*'입력값'!E58/4</f>
      </c>
      <c r="BS12" s="33">
        <f>BS9*'입력값'!E58/4</f>
      </c>
      <c r="BT12" s="33">
        <f>BT9*'입력값'!E58/4</f>
      </c>
      <c r="BU12" s="33">
        <f>BU9*'입력값'!E58/4</f>
      </c>
      <c r="BV12" s="33">
        <f>BV9*'입력값'!E58/4</f>
      </c>
      <c r="BW12" s="33">
        <f>BW9*'입력값'!E58/4</f>
      </c>
      <c r="BX12" s="33">
        <f>BX9*'입력값'!E58/4</f>
      </c>
      <c r="BY12" s="33">
        <f>BY9*'입력값'!E58/4</f>
      </c>
      <c r="BZ12" s="33">
        <f>BZ9*'입력값'!E58/4</f>
      </c>
      <c r="CA12" s="33">
        <f>CA9*'입력값'!E58/4</f>
      </c>
      <c r="CB12" s="33">
        <f>CB9*'입력값'!E58/4</f>
      </c>
      <c r="CC12" s="33">
        <f>CC9*'입력값'!E58/4</f>
      </c>
      <c r="CD12" s="33">
        <f>CD9*'입력값'!E58/4</f>
      </c>
      <c r="CE12" s="33">
        <f>CE9*'입력값'!E58/4</f>
      </c>
      <c r="CF12" s="33">
        <f>CF9*'입력값'!E58/4</f>
      </c>
      <c r="CG12" s="33">
        <f>CG9*'입력값'!E58/4</f>
      </c>
      <c r="CH12" s="33">
        <f>CH9*'입력값'!E58/4</f>
      </c>
      <c r="CI12" s="33">
        <f>CI9*'입력값'!E58/4</f>
      </c>
      <c r="CJ12" s="33">
        <f>CJ9*'입력값'!E58/4</f>
      </c>
      <c r="CK12" s="33">
        <f>CK9*'입력값'!E58/4</f>
      </c>
      <c r="CL12" s="33">
        <f>CL9*'입력값'!E58/4</f>
      </c>
    </row>
    <row r="13" spans="2:90" x14ac:dyDescent="0.25">
      <c r="B13" s="29" t="s">
        <v>253</v>
      </c>
      <c r="C13" s="30" t="s">
        <v>224</v>
      </c>
      <c r="D13" s="14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f>'입력값'!N68*'입력값'!C58*100</f>
      </c>
      <c r="O13" s="33">
        <f>'입력값'!O68*'입력값'!C58*100</f>
      </c>
      <c r="P13" s="33">
        <f>'입력값'!P68*'입력값'!C58*100</f>
      </c>
      <c r="Q13" s="33">
        <f>'입력값'!Q68*'입력값'!C58*100</f>
      </c>
      <c r="R13" s="33">
        <f>'입력값'!R68*'입력값'!C58*100</f>
      </c>
      <c r="S13" s="33">
        <f>'입력값'!S68*'입력값'!C58*100</f>
      </c>
      <c r="T13" s="33">
        <f>'입력값'!T68*'입력값'!C58*100</f>
      </c>
      <c r="U13" s="33">
        <f>'입력값'!U68*'입력값'!C58*100</f>
      </c>
      <c r="V13" s="33">
        <f>'입력값'!V68*'입력값'!C58*100</f>
      </c>
      <c r="W13" s="33">
        <f>'입력값'!W68*'입력값'!C58*100</f>
      </c>
      <c r="X13" s="33">
        <f>'입력값'!X68*'입력값'!C58*100</f>
      </c>
      <c r="Y13" s="33">
        <f>'입력값'!Y68*'입력값'!C58*100</f>
      </c>
      <c r="Z13" s="33">
        <f>'입력값'!Z68*'입력값'!C58*100</f>
      </c>
      <c r="AA13" s="33">
        <f>'입력값'!AA68*'입력값'!C58*100</f>
      </c>
      <c r="AB13" s="33">
        <f>'입력값'!AB68*'입력값'!C58*100</f>
      </c>
      <c r="AC13" s="33">
        <f>'입력값'!AC68*'입력값'!C58*100</f>
      </c>
      <c r="AD13" s="33">
        <f>'입력값'!AD68*'입력값'!C58*100</f>
      </c>
      <c r="AE13" s="33">
        <f>'입력값'!AE68*'입력값'!C58*100</f>
      </c>
      <c r="AF13" s="33">
        <f>'입력값'!AF68*'입력값'!C58*100</f>
      </c>
      <c r="AG13" s="33">
        <f>'입력값'!AG68*'입력값'!C58*100</f>
      </c>
      <c r="AH13" s="33">
        <f>'입력값'!AH68*'입력값'!C58*100</f>
      </c>
      <c r="AI13" s="33">
        <f>'입력값'!AI68*'입력값'!C58*100</f>
      </c>
      <c r="AJ13" s="33">
        <f>'입력값'!AJ68*'입력값'!C58*100</f>
      </c>
      <c r="AK13" s="33">
        <f>'입력값'!AK68*'입력값'!C58*100</f>
      </c>
      <c r="AL13" s="33">
        <f>'입력값'!AL68*'입력값'!C58*100</f>
      </c>
      <c r="AM13" s="33">
        <f>'입력값'!AM68*'입력값'!C58*100</f>
      </c>
      <c r="AN13" s="33">
        <f>'입력값'!AN68*'입력값'!C58*100</f>
      </c>
      <c r="AO13" s="33">
        <f>'입력값'!AO68*'입력값'!C58*100</f>
      </c>
      <c r="AP13" s="33">
        <f>'입력값'!AP68*'입력값'!C58*100</f>
      </c>
      <c r="AQ13" s="33">
        <f>'입력값'!AQ68*'입력값'!C58*100</f>
      </c>
      <c r="AR13" s="33">
        <f>'입력값'!AR68*'입력값'!C58*100</f>
      </c>
      <c r="AS13" s="33">
        <f>'입력값'!AS68*'입력값'!C58*100</f>
      </c>
      <c r="AT13" s="33">
        <f>'입력값'!AT68*'입력값'!C58*100</f>
      </c>
      <c r="AU13" s="33">
        <f>'입력값'!AU68*'입력값'!C58*100</f>
      </c>
      <c r="AV13" s="33">
        <f>'입력값'!AV68*'입력값'!C58*100</f>
      </c>
      <c r="AW13" s="33">
        <f>'입력값'!AW68*'입력값'!C58*100</f>
      </c>
      <c r="AX13" s="33">
        <f>'입력값'!AX68*'입력값'!C58*100</f>
      </c>
      <c r="AY13" s="33">
        <f>'입력값'!AY68*'입력값'!C58*100</f>
      </c>
      <c r="AZ13" s="33">
        <f>'입력값'!AZ68*'입력값'!C58*100</f>
      </c>
      <c r="BA13" s="33">
        <f>'입력값'!BA68*'입력값'!C58*100</f>
      </c>
      <c r="BB13" s="33">
        <f>'입력값'!BB68*'입력값'!C58*100</f>
      </c>
      <c r="BC13" s="33">
        <f>'입력값'!BC68*'입력값'!C58*100</f>
      </c>
      <c r="BD13" s="33">
        <f>'입력값'!BD68*'입력값'!C58*100</f>
      </c>
      <c r="BE13" s="33">
        <f>'입력값'!BE68*'입력값'!C58*100</f>
      </c>
      <c r="BF13" s="33">
        <f>'입력값'!BF68*'입력값'!C58*100</f>
      </c>
      <c r="BG13" s="33">
        <f>'입력값'!BG68*'입력값'!C58*100</f>
      </c>
      <c r="BH13" s="33">
        <f>'입력값'!BH68*'입력값'!C58*100</f>
      </c>
      <c r="BI13" s="33">
        <f>'입력값'!BI68*'입력값'!C58*100</f>
      </c>
      <c r="BJ13" s="33">
        <f>'입력값'!BJ68*'입력값'!C58*100</f>
      </c>
      <c r="BK13" s="33">
        <f>'입력값'!BK68*'입력값'!C58*100</f>
      </c>
      <c r="BL13" s="33">
        <f>'입력값'!BL68*'입력값'!C58*100</f>
      </c>
      <c r="BM13" s="33">
        <f>'입력값'!BM68*'입력값'!C58*100</f>
      </c>
      <c r="BN13" s="33">
        <f>'입력값'!BN68*'입력값'!C58*100</f>
      </c>
      <c r="BO13" s="33">
        <f>'입력값'!BO68*'입력값'!C58*100</f>
      </c>
      <c r="BP13" s="33">
        <f>'입력값'!BP68*'입력값'!C58*100</f>
      </c>
      <c r="BQ13" s="33">
        <f>'입력값'!BQ68*'입력값'!C58*100</f>
      </c>
      <c r="BR13" s="33">
        <f>'입력값'!BR68*'입력값'!C58*100</f>
      </c>
      <c r="BS13" s="33">
        <f>'입력값'!BS68*'입력값'!C58*100</f>
      </c>
      <c r="BT13" s="33">
        <f>'입력값'!BT68*'입력값'!C58*100</f>
      </c>
      <c r="BU13" s="33">
        <f>'입력값'!BU68*'입력값'!C58*100</f>
      </c>
      <c r="BV13" s="33">
        <f>'입력값'!BV68*'입력값'!C58*100</f>
      </c>
      <c r="BW13" s="33">
        <f>'입력값'!BW68*'입력값'!C58*100</f>
      </c>
      <c r="BX13" s="33">
        <f>'입력값'!BX68*'입력값'!C58*100</f>
      </c>
      <c r="BY13" s="33">
        <f>'입력값'!BY68*'입력값'!C58*100</f>
      </c>
      <c r="BZ13" s="33">
        <v>0</v>
      </c>
      <c r="CA13" s="33">
        <v>0</v>
      </c>
      <c r="CB13" s="33">
        <v>0</v>
      </c>
      <c r="CC13" s="33">
        <v>0</v>
      </c>
      <c r="CD13" s="33">
        <v>0</v>
      </c>
      <c r="CE13" s="33">
        <v>0</v>
      </c>
      <c r="CF13" s="33">
        <v>0</v>
      </c>
      <c r="CG13" s="33">
        <v>0</v>
      </c>
      <c r="CH13" s="33">
        <v>0</v>
      </c>
      <c r="CI13" s="33">
        <v>0</v>
      </c>
      <c r="CJ13" s="33">
        <v>0</v>
      </c>
      <c r="CK13" s="33">
        <v>0</v>
      </c>
      <c r="CL13" s="33">
        <v>0</v>
      </c>
    </row>
    <row r="14" spans="2:90" x14ac:dyDescent="0.25">
      <c r="B14" s="43" t="s">
        <v>254</v>
      </c>
      <c r="C14" s="30" t="s">
        <v>224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29" t="s">
        <v>255</v>
      </c>
      <c r="C15" s="30" t="s">
        <v>224</v>
      </c>
      <c r="D15" s="33">
        <f>CL14</f>
      </c>
      <c r="F15" s="38">
        <f>IF(ABS(D15)&lt;1,"완전상환 확인 (OK)","경고: 미상환 잔액")</f>
      </c>
      <c r="H15" s="44" t="s">
        <v>256</v>
      </c>
    </row>
    <row r="17" spans="2:91" x14ac:dyDescent="0.25">
      <c r="B17" s="41" t="s">
        <v>95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</row>
    <row r="18" spans="2:90" x14ac:dyDescent="0.25">
      <c r="B18" s="29" t="s">
        <v>250</v>
      </c>
      <c r="C18" s="30" t="s">
        <v>224</v>
      </c>
      <c r="E18" s="33">
        <v>0</v>
      </c>
      <c r="F18" s="33">
        <f>E23</f>
      </c>
      <c r="G18" s="33">
        <f>F23</f>
      </c>
      <c r="H18" s="33">
        <f>G23</f>
      </c>
      <c r="I18" s="33">
        <f>H23</f>
      </c>
      <c r="J18" s="33">
        <f>I23</f>
      </c>
      <c r="K18" s="33">
        <f>J23</f>
      </c>
      <c r="L18" s="33">
        <f>K23</f>
      </c>
      <c r="M18" s="33">
        <f>L23</f>
      </c>
      <c r="N18" s="33">
        <f>M23</f>
      </c>
      <c r="O18" s="33">
        <f>N23</f>
      </c>
      <c r="P18" s="33">
        <f>O23</f>
      </c>
      <c r="Q18" s="33">
        <f>P23</f>
      </c>
      <c r="R18" s="33">
        <f>Q23</f>
      </c>
      <c r="S18" s="33">
        <f>R23</f>
      </c>
      <c r="T18" s="33">
        <f>S23</f>
      </c>
      <c r="U18" s="33">
        <f>T23</f>
      </c>
      <c r="V18" s="33">
        <f>U23</f>
      </c>
      <c r="W18" s="33">
        <f>V23</f>
      </c>
      <c r="X18" s="33">
        <f>W23</f>
      </c>
      <c r="Y18" s="33">
        <f>X23</f>
      </c>
      <c r="Z18" s="33">
        <f>Y23</f>
      </c>
      <c r="AA18" s="33">
        <f>Z23</f>
      </c>
      <c r="AB18" s="33">
        <f>AA23</f>
      </c>
      <c r="AC18" s="33">
        <f>AB23</f>
      </c>
      <c r="AD18" s="33">
        <f>AC23</f>
      </c>
      <c r="AE18" s="33">
        <f>AD23</f>
      </c>
      <c r="AF18" s="33">
        <f>AE23</f>
      </c>
      <c r="AG18" s="33">
        <f>AF23</f>
      </c>
      <c r="AH18" s="33">
        <f>AG23</f>
      </c>
      <c r="AI18" s="33">
        <f>AH23</f>
      </c>
      <c r="AJ18" s="33">
        <f>AI23</f>
      </c>
      <c r="AK18" s="33">
        <f>AJ23</f>
      </c>
      <c r="AL18" s="33">
        <f>AK23</f>
      </c>
      <c r="AM18" s="33">
        <f>AL23</f>
      </c>
      <c r="AN18" s="33">
        <f>AM23</f>
      </c>
      <c r="AO18" s="33">
        <f>AN23</f>
      </c>
      <c r="AP18" s="33">
        <f>AO23</f>
      </c>
      <c r="AQ18" s="33">
        <f>AP23</f>
      </c>
      <c r="AR18" s="33">
        <f>AQ23</f>
      </c>
      <c r="AS18" s="33">
        <f>AR23</f>
      </c>
      <c r="AT18" s="33">
        <f>AS23</f>
      </c>
      <c r="AU18" s="33">
        <f>AT23</f>
      </c>
      <c r="AV18" s="33">
        <f>AU23</f>
      </c>
      <c r="AW18" s="33">
        <f>AV23</f>
      </c>
      <c r="AX18" s="33">
        <f>AW23</f>
      </c>
      <c r="AY18" s="33">
        <f>AX23</f>
      </c>
      <c r="AZ18" s="33">
        <f>AY23</f>
      </c>
      <c r="BA18" s="33">
        <f>AZ23</f>
      </c>
      <c r="BB18" s="33">
        <f>BA23</f>
      </c>
      <c r="BC18" s="33">
        <f>BB23</f>
      </c>
      <c r="BD18" s="33">
        <f>BC23</f>
      </c>
      <c r="BE18" s="33">
        <f>BD23</f>
      </c>
      <c r="BF18" s="33">
        <f>BE23</f>
      </c>
      <c r="BG18" s="33">
        <f>BF23</f>
      </c>
      <c r="BH18" s="33">
        <f>BG23</f>
      </c>
      <c r="BI18" s="33">
        <f>BH23</f>
      </c>
      <c r="BJ18" s="33">
        <f>BI23</f>
      </c>
      <c r="BK18" s="33">
        <f>BJ23</f>
      </c>
      <c r="BL18" s="33">
        <f>BK23</f>
      </c>
      <c r="BM18" s="33">
        <f>BL23</f>
      </c>
      <c r="BN18" s="33">
        <f>BM23</f>
      </c>
      <c r="BO18" s="33">
        <f>BN23</f>
      </c>
      <c r="BP18" s="33">
        <f>BO23</f>
      </c>
      <c r="BQ18" s="33">
        <f>BP23</f>
      </c>
      <c r="BR18" s="33">
        <f>BQ23</f>
      </c>
      <c r="BS18" s="33">
        <f>BR23</f>
      </c>
      <c r="BT18" s="33">
        <f>BS23</f>
      </c>
      <c r="BU18" s="33">
        <f>BT23</f>
      </c>
      <c r="BV18" s="33">
        <f>BU23</f>
      </c>
      <c r="BW18" s="33">
        <f>BV23</f>
      </c>
      <c r="BX18" s="33">
        <f>BW23</f>
      </c>
      <c r="BY18" s="33">
        <f>BX23</f>
      </c>
      <c r="BZ18" s="33">
        <f>BY23</f>
      </c>
      <c r="CA18" s="33">
        <f>BZ23</f>
      </c>
      <c r="CB18" s="33">
        <f>CA23</f>
      </c>
      <c r="CC18" s="33">
        <f>CB23</f>
      </c>
      <c r="CD18" s="33">
        <f>CC23</f>
      </c>
      <c r="CE18" s="33">
        <f>CD23</f>
      </c>
      <c r="CF18" s="33">
        <f>CE23</f>
      </c>
      <c r="CG18" s="33">
        <f>CF23</f>
      </c>
      <c r="CH18" s="33">
        <f>CG23</f>
      </c>
      <c r="CI18" s="33">
        <f>CH23</f>
      </c>
      <c r="CJ18" s="33">
        <f>CI23</f>
      </c>
      <c r="CK18" s="33">
        <f>CJ23</f>
      </c>
      <c r="CL18" s="33">
        <f>CK23</f>
      </c>
    </row>
    <row r="19" spans="2:90" x14ac:dyDescent="0.25">
      <c r="B19" s="29" t="s">
        <v>251</v>
      </c>
      <c r="C19" s="30" t="s">
        <v>224</v>
      </c>
      <c r="D19" s="14">
        <f>SUM(E19:CL19)</f>
      </c>
      <c r="E19" s="33">
        <v>9935.161359526319</v>
      </c>
      <c r="F19" s="33">
        <v>5714.370798698882</v>
      </c>
      <c r="G19" s="33">
        <v>11330.803125295972</v>
      </c>
      <c r="H19" s="33">
        <v>11493.863019115224</v>
      </c>
      <c r="I19" s="33">
        <v>11525.801697363604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0</v>
      </c>
      <c r="AZ19" s="33">
        <v>0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>
        <v>0</v>
      </c>
      <c r="BO19" s="33">
        <v>0</v>
      </c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>
        <v>0</v>
      </c>
      <c r="CD19" s="33">
        <v>0</v>
      </c>
      <c r="CE19" s="33">
        <v>0</v>
      </c>
      <c r="CF19" s="33">
        <v>0</v>
      </c>
      <c r="CG19" s="33">
        <v>0</v>
      </c>
      <c r="CH19" s="33">
        <v>0</v>
      </c>
      <c r="CI19" s="33">
        <v>0</v>
      </c>
      <c r="CJ19" s="33">
        <v>0</v>
      </c>
      <c r="CK19" s="33">
        <v>0</v>
      </c>
      <c r="CL19" s="33">
        <v>0</v>
      </c>
    </row>
    <row r="20" spans="2:90" x14ac:dyDescent="0.25">
      <c r="B20" s="29" t="s">
        <v>242</v>
      </c>
      <c r="C20" s="30" t="s">
        <v>224</v>
      </c>
      <c r="D20" s="14">
        <f>SUM(E20:CL20)</f>
      </c>
      <c r="E20" s="33">
        <v>0</v>
      </c>
      <c r="F20" s="33">
        <v>136.60846869348688</v>
      </c>
      <c r="G20" s="33">
        <v>215.1810671755965</v>
      </c>
      <c r="H20" s="33">
        <v>370.9796101484161</v>
      </c>
      <c r="I20" s="33">
        <v>529.0202266612505</v>
      </c>
      <c r="J20" s="33">
        <v>687.5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0</v>
      </c>
      <c r="BP20" s="33">
        <v>0</v>
      </c>
      <c r="BQ20" s="33">
        <v>0</v>
      </c>
      <c r="BR20" s="33">
        <v>0</v>
      </c>
      <c r="BS20" s="33">
        <v>0</v>
      </c>
      <c r="BT20" s="33">
        <v>0</v>
      </c>
      <c r="BU20" s="33">
        <v>0</v>
      </c>
      <c r="BV20" s="33">
        <v>0</v>
      </c>
      <c r="BW20" s="33">
        <v>0</v>
      </c>
      <c r="BX20" s="33">
        <v>0</v>
      </c>
      <c r="BY20" s="33">
        <v>0</v>
      </c>
      <c r="BZ20" s="33">
        <v>0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</v>
      </c>
      <c r="CI20" s="33">
        <v>0</v>
      </c>
      <c r="CJ20" s="33">
        <v>0</v>
      </c>
      <c r="CK20" s="33">
        <v>0</v>
      </c>
      <c r="CL20" s="33">
        <v>0</v>
      </c>
    </row>
    <row r="21" spans="2:90" x14ac:dyDescent="0.25">
      <c r="B21" s="29" t="s">
        <v>252</v>
      </c>
      <c r="C21" s="30" t="s">
        <v>224</v>
      </c>
      <c r="D21" s="14">
        <f>SUM(E21:CL21)</f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f>K18*'입력값'!E59/4</f>
      </c>
      <c r="L21" s="33">
        <f>L18*'입력값'!E59/4</f>
      </c>
      <c r="M21" s="33">
        <f>M18*'입력값'!E59/4</f>
      </c>
      <c r="N21" s="33">
        <f>N18*'입력값'!E59/4</f>
      </c>
      <c r="O21" s="33">
        <f>O18*'입력값'!E59/4</f>
      </c>
      <c r="P21" s="33">
        <f>P18*'입력값'!E59/4</f>
      </c>
      <c r="Q21" s="33">
        <f>Q18*'입력값'!E59/4</f>
      </c>
      <c r="R21" s="33">
        <f>R18*'입력값'!E59/4</f>
      </c>
      <c r="S21" s="33">
        <f>S18*'입력값'!E59/4</f>
      </c>
      <c r="T21" s="33">
        <f>T18*'입력값'!E59/4</f>
      </c>
      <c r="U21" s="33">
        <f>U18*'입력값'!E59/4</f>
      </c>
      <c r="V21" s="33">
        <f>V18*'입력값'!E59/4</f>
      </c>
      <c r="W21" s="33">
        <f>W18*'입력값'!E59/4</f>
      </c>
      <c r="X21" s="33">
        <f>X18*'입력값'!E59/4</f>
      </c>
      <c r="Y21" s="33">
        <f>Y18*'입력값'!E59/4</f>
      </c>
      <c r="Z21" s="33">
        <f>Z18*'입력값'!E59/4</f>
      </c>
      <c r="AA21" s="33">
        <f>AA18*'입력값'!E59/4</f>
      </c>
      <c r="AB21" s="33">
        <f>AB18*'입력값'!E59/4</f>
      </c>
      <c r="AC21" s="33">
        <f>AC18*'입력값'!E59/4</f>
      </c>
      <c r="AD21" s="33">
        <f>AD18*'입력값'!E59/4</f>
      </c>
      <c r="AE21" s="33">
        <f>AE18*'입력값'!E59/4</f>
      </c>
      <c r="AF21" s="33">
        <f>AF18*'입력값'!E59/4</f>
      </c>
      <c r="AG21" s="33">
        <f>AG18*'입력값'!E59/4</f>
      </c>
      <c r="AH21" s="33">
        <f>AH18*'입력값'!E59/4</f>
      </c>
      <c r="AI21" s="33">
        <f>AI18*'입력값'!E59/4</f>
      </c>
      <c r="AJ21" s="33">
        <f>AJ18*'입력값'!E59/4</f>
      </c>
      <c r="AK21" s="33">
        <f>AK18*'입력값'!E59/4</f>
      </c>
      <c r="AL21" s="33">
        <f>AL18*'입력값'!E59/4</f>
      </c>
      <c r="AM21" s="33">
        <f>AM18*'입력값'!E59/4</f>
      </c>
      <c r="AN21" s="33">
        <f>AN18*'입력값'!E59/4</f>
      </c>
      <c r="AO21" s="33">
        <f>AO18*'입력값'!E59/4</f>
      </c>
      <c r="AP21" s="33">
        <f>AP18*'입력값'!E59/4</f>
      </c>
      <c r="AQ21" s="33">
        <f>AQ18*'입력값'!E59/4</f>
      </c>
      <c r="AR21" s="33">
        <f>AR18*'입력값'!E59/4</f>
      </c>
      <c r="AS21" s="33">
        <f>AS18*'입력값'!E59/4</f>
      </c>
      <c r="AT21" s="33">
        <f>AT18*'입력값'!E59/4</f>
      </c>
      <c r="AU21" s="33">
        <f>AU18*'입력값'!E59/4</f>
      </c>
      <c r="AV21" s="33">
        <f>AV18*'입력값'!E59/4</f>
      </c>
      <c r="AW21" s="33">
        <f>AW18*'입력값'!E59/4</f>
      </c>
      <c r="AX21" s="33">
        <f>AX18*'입력값'!E59/4</f>
      </c>
      <c r="AY21" s="33">
        <f>AY18*'입력값'!E59/4</f>
      </c>
      <c r="AZ21" s="33">
        <f>AZ18*'입력값'!E59/4</f>
      </c>
      <c r="BA21" s="33">
        <f>BA18*'입력값'!E59/4</f>
      </c>
      <c r="BB21" s="33">
        <f>BB18*'입력값'!E59/4</f>
      </c>
      <c r="BC21" s="33">
        <f>BC18*'입력값'!E59/4</f>
      </c>
      <c r="BD21" s="33">
        <f>BD18*'입력값'!E59/4</f>
      </c>
      <c r="BE21" s="33">
        <f>BE18*'입력값'!E59/4</f>
      </c>
      <c r="BF21" s="33">
        <f>BF18*'입력값'!E59/4</f>
      </c>
      <c r="BG21" s="33">
        <f>BG18*'입력값'!E59/4</f>
      </c>
      <c r="BH21" s="33">
        <f>BH18*'입력값'!E59/4</f>
      </c>
      <c r="BI21" s="33">
        <f>BI18*'입력값'!E59/4</f>
      </c>
      <c r="BJ21" s="33">
        <f>BJ18*'입력값'!E59/4</f>
      </c>
      <c r="BK21" s="33">
        <f>BK18*'입력값'!E59/4</f>
      </c>
      <c r="BL21" s="33">
        <f>BL18*'입력값'!E59/4</f>
      </c>
      <c r="BM21" s="33">
        <f>BM18*'입력값'!E59/4</f>
      </c>
      <c r="BN21" s="33">
        <f>BN18*'입력값'!E59/4</f>
      </c>
      <c r="BO21" s="33">
        <f>BO18*'입력값'!E59/4</f>
      </c>
      <c r="BP21" s="33">
        <f>BP18*'입력값'!E59/4</f>
      </c>
      <c r="BQ21" s="33">
        <f>BQ18*'입력값'!E59/4</f>
      </c>
      <c r="BR21" s="33">
        <f>BR18*'입력값'!E59/4</f>
      </c>
      <c r="BS21" s="33">
        <f>BS18*'입력값'!E59/4</f>
      </c>
      <c r="BT21" s="33">
        <f>BT18*'입력값'!E59/4</f>
      </c>
      <c r="BU21" s="33">
        <f>BU18*'입력값'!E59/4</f>
      </c>
      <c r="BV21" s="33">
        <f>BV18*'입력값'!E59/4</f>
      </c>
      <c r="BW21" s="33">
        <f>BW18*'입력값'!E59/4</f>
      </c>
      <c r="BX21" s="33">
        <f>BX18*'입력값'!E59/4</f>
      </c>
      <c r="BY21" s="33">
        <f>BY18*'입력값'!E59/4</f>
      </c>
      <c r="BZ21" s="33">
        <f>BZ18*'입력값'!E59/4</f>
      </c>
      <c r="CA21" s="33">
        <f>CA18*'입력값'!E59/4</f>
      </c>
      <c r="CB21" s="33">
        <f>CB18*'입력값'!E59/4</f>
      </c>
      <c r="CC21" s="33">
        <f>CC18*'입력값'!E59/4</f>
      </c>
      <c r="CD21" s="33">
        <f>CD18*'입력값'!E59/4</f>
      </c>
      <c r="CE21" s="33">
        <f>CE18*'입력값'!E59/4</f>
      </c>
      <c r="CF21" s="33">
        <f>CF18*'입력값'!E59/4</f>
      </c>
      <c r="CG21" s="33">
        <f>CG18*'입력값'!E59/4</f>
      </c>
      <c r="CH21" s="33">
        <f>CH18*'입력값'!E59/4</f>
      </c>
      <c r="CI21" s="33">
        <f>CI18*'입력값'!E59/4</f>
      </c>
      <c r="CJ21" s="33">
        <f>CJ18*'입력값'!E59/4</f>
      </c>
      <c r="CK21" s="33">
        <f>CK18*'입력값'!E59/4</f>
      </c>
      <c r="CL21" s="33">
        <f>CL18*'입력값'!E59/4</f>
      </c>
    </row>
    <row r="22" spans="2:90" x14ac:dyDescent="0.25">
      <c r="B22" s="29" t="s">
        <v>253</v>
      </c>
      <c r="C22" s="30" t="s">
        <v>224</v>
      </c>
      <c r="D22" s="14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f>'입력값'!N69*'입력값'!C59*100</f>
      </c>
      <c r="O22" s="33">
        <f>'입력값'!O69*'입력값'!C59*100</f>
      </c>
      <c r="P22" s="33">
        <f>'입력값'!P69*'입력값'!C59*100</f>
      </c>
      <c r="Q22" s="33">
        <f>'입력값'!Q69*'입력값'!C59*100</f>
      </c>
      <c r="R22" s="33">
        <f>'입력값'!R69*'입력값'!C59*100</f>
      </c>
      <c r="S22" s="33">
        <f>'입력값'!S69*'입력값'!C59*100</f>
      </c>
      <c r="T22" s="33">
        <f>'입력값'!T69*'입력값'!C59*100</f>
      </c>
      <c r="U22" s="33">
        <f>'입력값'!U69*'입력값'!C59*100</f>
      </c>
      <c r="V22" s="33">
        <f>'입력값'!V69*'입력값'!C59*100</f>
      </c>
      <c r="W22" s="33">
        <f>'입력값'!W69*'입력값'!C59*100</f>
      </c>
      <c r="X22" s="33">
        <f>'입력값'!X69*'입력값'!C59*100</f>
      </c>
      <c r="Y22" s="33">
        <f>'입력값'!Y69*'입력값'!C59*100</f>
      </c>
      <c r="Z22" s="33">
        <f>'입력값'!Z69*'입력값'!C59*100</f>
      </c>
      <c r="AA22" s="33">
        <f>'입력값'!AA69*'입력값'!C59*100</f>
      </c>
      <c r="AB22" s="33">
        <f>'입력값'!AB69*'입력값'!C59*100</f>
      </c>
      <c r="AC22" s="33">
        <f>'입력값'!AC69*'입력값'!C59*100</f>
      </c>
      <c r="AD22" s="33">
        <f>'입력값'!AD69*'입력값'!C59*100</f>
      </c>
      <c r="AE22" s="33">
        <f>'입력값'!AE69*'입력값'!C59*100</f>
      </c>
      <c r="AF22" s="33">
        <f>'입력값'!AF69*'입력값'!C59*100</f>
      </c>
      <c r="AG22" s="33">
        <f>'입력값'!AG69*'입력값'!C59*100</f>
      </c>
      <c r="AH22" s="33">
        <f>'입력값'!AH69*'입력값'!C59*100</f>
      </c>
      <c r="AI22" s="33">
        <f>'입력값'!AI69*'입력값'!C59*100</f>
      </c>
      <c r="AJ22" s="33">
        <f>'입력값'!AJ69*'입력값'!C59*100</f>
      </c>
      <c r="AK22" s="33">
        <f>'입력값'!AK69*'입력값'!C59*100</f>
      </c>
      <c r="AL22" s="33">
        <f>'입력값'!AL69*'입력값'!C59*100</f>
      </c>
      <c r="AM22" s="33">
        <f>'입력값'!AM69*'입력값'!C59*100</f>
      </c>
      <c r="AN22" s="33">
        <f>'입력값'!AN69*'입력값'!C59*100</f>
      </c>
      <c r="AO22" s="33">
        <f>'입력값'!AO69*'입력값'!C59*100</f>
      </c>
      <c r="AP22" s="33">
        <f>'입력값'!AP69*'입력값'!C59*100</f>
      </c>
      <c r="AQ22" s="33">
        <f>'입력값'!AQ69*'입력값'!C59*100</f>
      </c>
      <c r="AR22" s="33">
        <f>'입력값'!AR69*'입력값'!C59*100</f>
      </c>
      <c r="AS22" s="33">
        <f>'입력값'!AS69*'입력값'!C59*100</f>
      </c>
      <c r="AT22" s="33">
        <f>'입력값'!AT69*'입력값'!C59*100</f>
      </c>
      <c r="AU22" s="33">
        <f>'입력값'!AU69*'입력값'!C59*100</f>
      </c>
      <c r="AV22" s="33">
        <f>'입력값'!AV69*'입력값'!C59*100</f>
      </c>
      <c r="AW22" s="33">
        <f>'입력값'!AW69*'입력값'!C59*100</f>
      </c>
      <c r="AX22" s="33">
        <f>'입력값'!AX69*'입력값'!C59*100</f>
      </c>
      <c r="AY22" s="33">
        <f>'입력값'!AY69*'입력값'!C59*100</f>
      </c>
      <c r="AZ22" s="33">
        <f>'입력값'!AZ69*'입력값'!C59*100</f>
      </c>
      <c r="BA22" s="33">
        <f>'입력값'!BA69*'입력값'!C59*100</f>
      </c>
      <c r="BB22" s="33">
        <f>'입력값'!BB69*'입력값'!C59*100</f>
      </c>
      <c r="BC22" s="33">
        <f>'입력값'!BC69*'입력값'!C59*100</f>
      </c>
      <c r="BD22" s="33">
        <f>'입력값'!BD69*'입력값'!C59*100</f>
      </c>
      <c r="BE22" s="33">
        <f>'입력값'!BE69*'입력값'!C59*100</f>
      </c>
      <c r="BF22" s="33">
        <f>'입력값'!BF69*'입력값'!C59*100</f>
      </c>
      <c r="BG22" s="33">
        <f>'입력값'!BG69*'입력값'!C59*100</f>
      </c>
      <c r="BH22" s="33">
        <f>'입력값'!BH69*'입력값'!C59*100</f>
      </c>
      <c r="BI22" s="33">
        <f>'입력값'!BI69*'입력값'!C59*100</f>
      </c>
      <c r="BJ22" s="33">
        <f>'입력값'!BJ69*'입력값'!C59*100</f>
      </c>
      <c r="BK22" s="33">
        <f>'입력값'!BK69*'입력값'!C59*100</f>
      </c>
      <c r="BL22" s="33">
        <f>'입력값'!BL69*'입력값'!C59*100</f>
      </c>
      <c r="BM22" s="33">
        <f>'입력값'!BM69*'입력값'!C59*100</f>
      </c>
      <c r="BN22" s="33">
        <f>'입력값'!BN69*'입력값'!C59*100</f>
      </c>
      <c r="BO22" s="33">
        <f>'입력값'!BO69*'입력값'!C59*100</f>
      </c>
      <c r="BP22" s="33">
        <f>'입력값'!BP69*'입력값'!C59*100</f>
      </c>
      <c r="BQ22" s="33">
        <f>'입력값'!BQ69*'입력값'!C59*100</f>
      </c>
      <c r="BR22" s="33">
        <f>'입력값'!BR69*'입력값'!C59*100</f>
      </c>
      <c r="BS22" s="33">
        <f>'입력값'!BS69*'입력값'!C59*100</f>
      </c>
      <c r="BT22" s="33">
        <f>'입력값'!BT69*'입력값'!C59*100</f>
      </c>
      <c r="BU22" s="33">
        <f>'입력값'!BU69*'입력값'!C59*100</f>
      </c>
      <c r="BV22" s="33">
        <f>'입력값'!BV69*'입력값'!C59*100</f>
      </c>
      <c r="BW22" s="33">
        <f>'입력값'!BW69*'입력값'!C59*100</f>
      </c>
      <c r="BX22" s="33">
        <f>'입력값'!BX69*'입력값'!C59*100</f>
      </c>
      <c r="BY22" s="33">
        <f>'입력값'!BY69*'입력값'!C59*100</f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</row>
    <row r="23" spans="2:90" x14ac:dyDescent="0.25">
      <c r="B23" s="43" t="s">
        <v>254</v>
      </c>
      <c r="C23" s="30" t="s">
        <v>224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29" t="s">
        <v>255</v>
      </c>
      <c r="C24" s="30" t="s">
        <v>224</v>
      </c>
      <c r="D24" s="33">
        <f>CL23</f>
      </c>
      <c r="F24" s="38">
        <f>IF(ABS(D24)&lt;1,"완전상환 확인 (OK)","경고: 미상환 잔액")</f>
      </c>
      <c r="H24" s="44" t="s">
        <v>256</v>
      </c>
    </row>
    <row r="26" spans="2:91" x14ac:dyDescent="0.25">
      <c r="B26" s="41" t="s">
        <v>96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</row>
    <row r="27" spans="2:90" x14ac:dyDescent="0.25">
      <c r="B27" s="29" t="s">
        <v>250</v>
      </c>
      <c r="C27" s="30" t="s">
        <v>224</v>
      </c>
      <c r="E27" s="33">
        <v>0</v>
      </c>
      <c r="F27" s="33">
        <f>E32</f>
      </c>
      <c r="G27" s="33">
        <f>F32</f>
      </c>
      <c r="H27" s="33">
        <f>G32</f>
      </c>
      <c r="I27" s="33">
        <f>H32</f>
      </c>
      <c r="J27" s="33">
        <f>I32</f>
      </c>
      <c r="K27" s="33">
        <f>J32</f>
      </c>
      <c r="L27" s="33">
        <f>K32</f>
      </c>
      <c r="M27" s="33">
        <f>L32</f>
      </c>
      <c r="N27" s="33">
        <f>M32</f>
      </c>
      <c r="O27" s="33">
        <f>N32</f>
      </c>
      <c r="P27" s="33">
        <f>O32</f>
      </c>
      <c r="Q27" s="33">
        <f>P32</f>
      </c>
      <c r="R27" s="33">
        <f>Q32</f>
      </c>
      <c r="S27" s="33">
        <f>R32</f>
      </c>
      <c r="T27" s="33">
        <f>S32</f>
      </c>
      <c r="U27" s="33">
        <f>T32</f>
      </c>
      <c r="V27" s="33">
        <f>U32</f>
      </c>
      <c r="W27" s="33">
        <f>V32</f>
      </c>
      <c r="X27" s="33">
        <f>W32</f>
      </c>
      <c r="Y27" s="33">
        <f>X32</f>
      </c>
      <c r="Z27" s="33">
        <f>Y32</f>
      </c>
      <c r="AA27" s="33">
        <f>Z32</f>
      </c>
      <c r="AB27" s="33">
        <f>AA32</f>
      </c>
      <c r="AC27" s="33">
        <f>AB32</f>
      </c>
      <c r="AD27" s="33">
        <f>AC32</f>
      </c>
      <c r="AE27" s="33">
        <f>AD32</f>
      </c>
      <c r="AF27" s="33">
        <f>AE32</f>
      </c>
      <c r="AG27" s="33">
        <f>AF32</f>
      </c>
      <c r="AH27" s="33">
        <f>AG32</f>
      </c>
      <c r="AI27" s="33">
        <f>AH32</f>
      </c>
      <c r="AJ27" s="33">
        <f>AI32</f>
      </c>
      <c r="AK27" s="33">
        <f>AJ32</f>
      </c>
      <c r="AL27" s="33">
        <f>AK32</f>
      </c>
      <c r="AM27" s="33">
        <f>AL32</f>
      </c>
      <c r="AN27" s="33">
        <f>AM32</f>
      </c>
      <c r="AO27" s="33">
        <f>AN32</f>
      </c>
      <c r="AP27" s="33">
        <f>AO32</f>
      </c>
      <c r="AQ27" s="33">
        <f>AP32</f>
      </c>
      <c r="AR27" s="33">
        <f>AQ32</f>
      </c>
      <c r="AS27" s="33">
        <f>AR32</f>
      </c>
      <c r="AT27" s="33">
        <f>AS32</f>
      </c>
      <c r="AU27" s="33">
        <f>AT32</f>
      </c>
      <c r="AV27" s="33">
        <f>AU32</f>
      </c>
      <c r="AW27" s="33">
        <f>AV32</f>
      </c>
      <c r="AX27" s="33">
        <f>AW32</f>
      </c>
      <c r="AY27" s="33">
        <f>AX32</f>
      </c>
      <c r="AZ27" s="33">
        <f>AY32</f>
      </c>
      <c r="BA27" s="33">
        <f>AZ32</f>
      </c>
      <c r="BB27" s="33">
        <f>BA32</f>
      </c>
      <c r="BC27" s="33">
        <f>BB32</f>
      </c>
      <c r="BD27" s="33">
        <f>BC32</f>
      </c>
      <c r="BE27" s="33">
        <f>BD32</f>
      </c>
      <c r="BF27" s="33">
        <f>BE32</f>
      </c>
      <c r="BG27" s="33">
        <f>BF32</f>
      </c>
      <c r="BH27" s="33">
        <f>BG32</f>
      </c>
      <c r="BI27" s="33">
        <f>BH32</f>
      </c>
      <c r="BJ27" s="33">
        <f>BI32</f>
      </c>
      <c r="BK27" s="33">
        <f>BJ32</f>
      </c>
      <c r="BL27" s="33">
        <f>BK32</f>
      </c>
      <c r="BM27" s="33">
        <f>BL32</f>
      </c>
      <c r="BN27" s="33">
        <f>BM32</f>
      </c>
      <c r="BO27" s="33">
        <f>BN32</f>
      </c>
      <c r="BP27" s="33">
        <f>BO32</f>
      </c>
      <c r="BQ27" s="33">
        <f>BP32</f>
      </c>
      <c r="BR27" s="33">
        <f>BQ32</f>
      </c>
      <c r="BS27" s="33">
        <f>BR32</f>
      </c>
      <c r="BT27" s="33">
        <f>BS32</f>
      </c>
      <c r="BU27" s="33">
        <f>BT32</f>
      </c>
      <c r="BV27" s="33">
        <f>BU32</f>
      </c>
      <c r="BW27" s="33">
        <f>BV32</f>
      </c>
      <c r="BX27" s="33">
        <f>BW32</f>
      </c>
      <c r="BY27" s="33">
        <f>BX32</f>
      </c>
      <c r="BZ27" s="33">
        <f>BY32</f>
      </c>
      <c r="CA27" s="33">
        <f>BZ32</f>
      </c>
      <c r="CB27" s="33">
        <f>CA32</f>
      </c>
      <c r="CC27" s="33">
        <f>CB32</f>
      </c>
      <c r="CD27" s="33">
        <f>CC32</f>
      </c>
      <c r="CE27" s="33">
        <f>CD32</f>
      </c>
      <c r="CF27" s="33">
        <f>CE32</f>
      </c>
      <c r="CG27" s="33">
        <f>CF32</f>
      </c>
      <c r="CH27" s="33">
        <f>CG32</f>
      </c>
      <c r="CI27" s="33">
        <f>CH32</f>
      </c>
      <c r="CJ27" s="33">
        <f>CI32</f>
      </c>
      <c r="CK27" s="33">
        <f>CJ32</f>
      </c>
      <c r="CL27" s="33">
        <f>CK32</f>
      </c>
    </row>
    <row r="28" spans="2:90" x14ac:dyDescent="0.25">
      <c r="B28" s="29" t="s">
        <v>251</v>
      </c>
      <c r="C28" s="30" t="s">
        <v>224</v>
      </c>
      <c r="D28" s="14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1261.0874207284542</v>
      </c>
      <c r="J28" s="33">
        <v>33738.91208344004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0</v>
      </c>
      <c r="BQ28" s="33">
        <v>0</v>
      </c>
      <c r="BR28" s="33">
        <v>0</v>
      </c>
      <c r="BS28" s="33">
        <v>0</v>
      </c>
      <c r="BT28" s="33">
        <v>0</v>
      </c>
      <c r="BU28" s="33">
        <v>0</v>
      </c>
      <c r="BV28" s="33">
        <v>0</v>
      </c>
      <c r="BW28" s="33">
        <v>0</v>
      </c>
      <c r="BX28" s="33">
        <v>0</v>
      </c>
      <c r="BY28" s="33">
        <v>0</v>
      </c>
      <c r="BZ28" s="33">
        <v>0</v>
      </c>
      <c r="CA28" s="33">
        <v>0</v>
      </c>
      <c r="CB28" s="33">
        <v>0</v>
      </c>
      <c r="CC28" s="33">
        <v>0</v>
      </c>
      <c r="CD28" s="33">
        <v>0</v>
      </c>
      <c r="CE28" s="33">
        <v>0</v>
      </c>
      <c r="CF28" s="33">
        <v>0</v>
      </c>
      <c r="CG28" s="33">
        <v>0</v>
      </c>
      <c r="CH28" s="33">
        <v>0</v>
      </c>
      <c r="CI28" s="33">
        <v>0</v>
      </c>
      <c r="CJ28" s="33">
        <v>0</v>
      </c>
      <c r="CK28" s="33">
        <v>0</v>
      </c>
      <c r="CL28" s="33">
        <v>0</v>
      </c>
    </row>
    <row r="29" spans="2:90" x14ac:dyDescent="0.25">
      <c r="B29" s="29" t="s">
        <v>242</v>
      </c>
      <c r="C29" s="30" t="s">
        <v>224</v>
      </c>
      <c r="D29" s="14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17.339952035016246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v>0</v>
      </c>
      <c r="BB29" s="33">
        <v>0</v>
      </c>
      <c r="BC29" s="33">
        <v>0</v>
      </c>
      <c r="BD29" s="33">
        <v>0</v>
      </c>
      <c r="BE29" s="33">
        <v>0</v>
      </c>
      <c r="BF29" s="33">
        <v>0</v>
      </c>
      <c r="BG29" s="33">
        <v>0</v>
      </c>
      <c r="BH29" s="33">
        <v>0</v>
      </c>
      <c r="BI29" s="33">
        <v>0</v>
      </c>
      <c r="BJ29" s="33">
        <v>0</v>
      </c>
      <c r="BK29" s="33">
        <v>0</v>
      </c>
      <c r="BL29" s="33">
        <v>0</v>
      </c>
      <c r="BM29" s="33">
        <v>0</v>
      </c>
      <c r="BN29" s="33">
        <v>0</v>
      </c>
      <c r="BO29" s="33">
        <v>0</v>
      </c>
      <c r="BP29" s="33">
        <v>0</v>
      </c>
      <c r="BQ29" s="33">
        <v>0</v>
      </c>
      <c r="BR29" s="33">
        <v>0</v>
      </c>
      <c r="BS29" s="33">
        <v>0</v>
      </c>
      <c r="BT29" s="33">
        <v>0</v>
      </c>
      <c r="BU29" s="33">
        <v>0</v>
      </c>
      <c r="BV29" s="33">
        <v>0</v>
      </c>
      <c r="BW29" s="33">
        <v>0</v>
      </c>
      <c r="BX29" s="33">
        <v>0</v>
      </c>
      <c r="BY29" s="33">
        <v>0</v>
      </c>
      <c r="BZ29" s="33">
        <v>0</v>
      </c>
      <c r="CA29" s="33">
        <v>0</v>
      </c>
      <c r="CB29" s="33">
        <v>0</v>
      </c>
      <c r="CC29" s="33">
        <v>0</v>
      </c>
      <c r="CD29" s="33">
        <v>0</v>
      </c>
      <c r="CE29" s="33">
        <v>0</v>
      </c>
      <c r="CF29" s="33">
        <v>0</v>
      </c>
      <c r="CG29" s="33">
        <v>0</v>
      </c>
      <c r="CH29" s="33">
        <v>0</v>
      </c>
      <c r="CI29" s="33">
        <v>0</v>
      </c>
      <c r="CJ29" s="33">
        <v>0</v>
      </c>
      <c r="CK29" s="33">
        <v>0</v>
      </c>
      <c r="CL29" s="33">
        <v>0</v>
      </c>
    </row>
    <row r="30" spans="2:90" x14ac:dyDescent="0.25">
      <c r="B30" s="29" t="s">
        <v>252</v>
      </c>
      <c r="C30" s="30" t="s">
        <v>224</v>
      </c>
      <c r="D30" s="14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K27*'입력값'!E60/4</f>
      </c>
      <c r="L30" s="33">
        <f>L27*'입력값'!E60/4</f>
      </c>
      <c r="M30" s="33">
        <f>M27*'입력값'!E60/4</f>
      </c>
      <c r="N30" s="33">
        <f>N27*'입력값'!E60/4</f>
      </c>
      <c r="O30" s="33">
        <f>O27*'입력값'!E60/4</f>
      </c>
      <c r="P30" s="33">
        <f>P27*'입력값'!E60/4</f>
      </c>
      <c r="Q30" s="33">
        <f>Q27*'입력값'!E60/4</f>
      </c>
      <c r="R30" s="33">
        <f>R27*'입력값'!E60/4</f>
      </c>
      <c r="S30" s="33">
        <f>S27*'입력값'!E60/4</f>
      </c>
      <c r="T30" s="33">
        <f>T27*'입력값'!E60/4</f>
      </c>
      <c r="U30" s="33">
        <f>U27*'입력값'!E60/4</f>
      </c>
      <c r="V30" s="33">
        <f>V27*'입력값'!E60/4</f>
      </c>
      <c r="W30" s="33">
        <f>W27*'입력값'!E60/4</f>
      </c>
      <c r="X30" s="33">
        <f>X27*'입력값'!E60/4</f>
      </c>
      <c r="Y30" s="33">
        <f>Y27*'입력값'!E60/4</f>
      </c>
      <c r="Z30" s="33">
        <f>Z27*'입력값'!E60/4</f>
      </c>
      <c r="AA30" s="33">
        <f>AA27*'입력값'!E60/4</f>
      </c>
      <c r="AB30" s="33">
        <f>AB27*'입력값'!E60/4</f>
      </c>
      <c r="AC30" s="33">
        <f>AC27*'입력값'!E60/4</f>
      </c>
      <c r="AD30" s="33">
        <f>AD27*'입력값'!E60/4</f>
      </c>
      <c r="AE30" s="33">
        <f>AE27*'입력값'!E60/4</f>
      </c>
      <c r="AF30" s="33">
        <f>AF27*'입력값'!E60/4</f>
      </c>
      <c r="AG30" s="33">
        <f>AG27*'입력값'!E60/4</f>
      </c>
      <c r="AH30" s="33">
        <f>AH27*'입력값'!E60/4</f>
      </c>
      <c r="AI30" s="33">
        <f>AI27*'입력값'!E60/4</f>
      </c>
      <c r="AJ30" s="33">
        <f>AJ27*'입력값'!E60/4</f>
      </c>
      <c r="AK30" s="33">
        <f>AK27*'입력값'!E60/4</f>
      </c>
      <c r="AL30" s="33">
        <f>AL27*'입력값'!E60/4</f>
      </c>
      <c r="AM30" s="33">
        <f>AM27*'입력값'!E60/4</f>
      </c>
      <c r="AN30" s="33">
        <f>AN27*'입력값'!E60/4</f>
      </c>
      <c r="AO30" s="33">
        <f>AO27*'입력값'!E60/4</f>
      </c>
      <c r="AP30" s="33">
        <f>AP27*'입력값'!E60/4</f>
      </c>
      <c r="AQ30" s="33">
        <f>AQ27*'입력값'!E60/4</f>
      </c>
      <c r="AR30" s="33">
        <f>AR27*'입력값'!E60/4</f>
      </c>
      <c r="AS30" s="33">
        <f>AS27*'입력값'!E60/4</f>
      </c>
      <c r="AT30" s="33">
        <f>AT27*'입력값'!E60/4</f>
      </c>
      <c r="AU30" s="33">
        <f>AU27*'입력값'!E60/4</f>
      </c>
      <c r="AV30" s="33">
        <f>AV27*'입력값'!E60/4</f>
      </c>
      <c r="AW30" s="33">
        <f>AW27*'입력값'!E60/4</f>
      </c>
      <c r="AX30" s="33">
        <f>AX27*'입력값'!E60/4</f>
      </c>
      <c r="AY30" s="33">
        <f>AY27*'입력값'!E60/4</f>
      </c>
      <c r="AZ30" s="33">
        <f>AZ27*'입력값'!E60/4</f>
      </c>
      <c r="BA30" s="33">
        <f>BA27*'입력값'!E60/4</f>
      </c>
      <c r="BB30" s="33">
        <f>BB27*'입력값'!E60/4</f>
      </c>
      <c r="BC30" s="33">
        <f>BC27*'입력값'!E60/4</f>
      </c>
      <c r="BD30" s="33">
        <f>BD27*'입력값'!E60/4</f>
      </c>
      <c r="BE30" s="33">
        <f>BE27*'입력값'!E60/4</f>
      </c>
      <c r="BF30" s="33">
        <f>BF27*'입력값'!E60/4</f>
      </c>
      <c r="BG30" s="33">
        <f>BG27*'입력값'!E60/4</f>
      </c>
      <c r="BH30" s="33">
        <f>BH27*'입력값'!E60/4</f>
      </c>
      <c r="BI30" s="33">
        <f>BI27*'입력값'!E60/4</f>
      </c>
      <c r="BJ30" s="33">
        <f>BJ27*'입력값'!E60/4</f>
      </c>
      <c r="BK30" s="33">
        <f>BK27*'입력값'!E60/4</f>
      </c>
      <c r="BL30" s="33">
        <f>BL27*'입력값'!E60/4</f>
      </c>
      <c r="BM30" s="33">
        <f>BM27*'입력값'!E60/4</f>
      </c>
      <c r="BN30" s="33">
        <f>BN27*'입력값'!E60/4</f>
      </c>
      <c r="BO30" s="33">
        <f>BO27*'입력값'!E60/4</f>
      </c>
      <c r="BP30" s="33">
        <f>BP27*'입력값'!E60/4</f>
      </c>
      <c r="BQ30" s="33">
        <f>BQ27*'입력값'!E60/4</f>
      </c>
      <c r="BR30" s="33">
        <f>BR27*'입력값'!E60/4</f>
      </c>
      <c r="BS30" s="33">
        <f>BS27*'입력값'!E60/4</f>
      </c>
      <c r="BT30" s="33">
        <f>BT27*'입력값'!E60/4</f>
      </c>
      <c r="BU30" s="33">
        <f>BU27*'입력값'!E60/4</f>
      </c>
      <c r="BV30" s="33">
        <f>BV27*'입력값'!E60/4</f>
      </c>
      <c r="BW30" s="33">
        <f>BW27*'입력값'!E60/4</f>
      </c>
      <c r="BX30" s="33">
        <f>BX27*'입력값'!E60/4</f>
      </c>
      <c r="BY30" s="33">
        <f>BY27*'입력값'!E60/4</f>
      </c>
      <c r="BZ30" s="33">
        <f>BZ27*'입력값'!E60/4</f>
      </c>
      <c r="CA30" s="33">
        <f>CA27*'입력값'!E60/4</f>
      </c>
      <c r="CB30" s="33">
        <f>CB27*'입력값'!E60/4</f>
      </c>
      <c r="CC30" s="33">
        <f>CC27*'입력값'!E60/4</f>
      </c>
      <c r="CD30" s="33">
        <f>CD27*'입력값'!E60/4</f>
      </c>
      <c r="CE30" s="33">
        <f>CE27*'입력값'!E60/4</f>
      </c>
      <c r="CF30" s="33">
        <f>CF27*'입력값'!E60/4</f>
      </c>
      <c r="CG30" s="33">
        <f>CG27*'입력값'!E60/4</f>
      </c>
      <c r="CH30" s="33">
        <f>CH27*'입력값'!E60/4</f>
      </c>
      <c r="CI30" s="33">
        <f>CI27*'입력값'!E60/4</f>
      </c>
      <c r="CJ30" s="33">
        <f>CJ27*'입력값'!E60/4</f>
      </c>
      <c r="CK30" s="33">
        <f>CK27*'입력값'!E60/4</f>
      </c>
      <c r="CL30" s="33">
        <f>CL27*'입력값'!E60/4</f>
      </c>
    </row>
    <row r="31" spans="2:90" x14ac:dyDescent="0.25">
      <c r="B31" s="29" t="s">
        <v>253</v>
      </c>
      <c r="C31" s="30" t="s">
        <v>224</v>
      </c>
      <c r="D31" s="14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f>'입력값'!N70*'입력값'!C60*100</f>
      </c>
      <c r="O31" s="33">
        <f>'입력값'!O70*'입력값'!C60*100</f>
      </c>
      <c r="P31" s="33">
        <f>'입력값'!P70*'입력값'!C60*100</f>
      </c>
      <c r="Q31" s="33">
        <f>'입력값'!Q70*'입력값'!C60*100</f>
      </c>
      <c r="R31" s="33">
        <f>'입력값'!R70*'입력값'!C60*100</f>
      </c>
      <c r="S31" s="33">
        <f>'입력값'!S70*'입력값'!C60*100</f>
      </c>
      <c r="T31" s="33">
        <f>'입력값'!T70*'입력값'!C60*100</f>
      </c>
      <c r="U31" s="33">
        <f>'입력값'!U70*'입력값'!C60*100</f>
      </c>
      <c r="V31" s="33">
        <f>'입력값'!V70*'입력값'!C60*100</f>
      </c>
      <c r="W31" s="33">
        <f>'입력값'!W70*'입력값'!C60*100</f>
      </c>
      <c r="X31" s="33">
        <f>'입력값'!X70*'입력값'!C60*100</f>
      </c>
      <c r="Y31" s="33">
        <f>'입력값'!Y70*'입력값'!C60*100</f>
      </c>
      <c r="Z31" s="33">
        <f>'입력값'!Z70*'입력값'!C60*100</f>
      </c>
      <c r="AA31" s="33">
        <f>'입력값'!AA70*'입력값'!C60*100</f>
      </c>
      <c r="AB31" s="33">
        <f>'입력값'!AB70*'입력값'!C60*100</f>
      </c>
      <c r="AC31" s="33">
        <f>'입력값'!AC70*'입력값'!C60*100</f>
      </c>
      <c r="AD31" s="33">
        <f>'입력값'!AD70*'입력값'!C60*100</f>
      </c>
      <c r="AE31" s="33">
        <f>'입력값'!AE70*'입력값'!C60*100</f>
      </c>
      <c r="AF31" s="33">
        <f>'입력값'!AF70*'입력값'!C60*100</f>
      </c>
      <c r="AG31" s="33">
        <f>'입력값'!AG70*'입력값'!C60*100</f>
      </c>
      <c r="AH31" s="33">
        <f>'입력값'!AH70*'입력값'!C60*100</f>
      </c>
      <c r="AI31" s="33">
        <f>'입력값'!AI70*'입력값'!C60*100</f>
      </c>
      <c r="AJ31" s="33">
        <f>'입력값'!AJ70*'입력값'!C60*100</f>
      </c>
      <c r="AK31" s="33">
        <f>'입력값'!AK70*'입력값'!C60*100</f>
      </c>
      <c r="AL31" s="33">
        <f>'입력값'!AL70*'입력값'!C60*100</f>
      </c>
      <c r="AM31" s="33">
        <f>'입력값'!AM70*'입력값'!C60*100</f>
      </c>
      <c r="AN31" s="33">
        <f>'입력값'!AN70*'입력값'!C60*100</f>
      </c>
      <c r="AO31" s="33">
        <f>'입력값'!AO70*'입력값'!C60*100</f>
      </c>
      <c r="AP31" s="33">
        <f>'입력값'!AP70*'입력값'!C60*100</f>
      </c>
      <c r="AQ31" s="33">
        <f>'입력값'!AQ70*'입력값'!C60*100</f>
      </c>
      <c r="AR31" s="33">
        <f>'입력값'!AR70*'입력값'!C60*100</f>
      </c>
      <c r="AS31" s="33">
        <f>'입력값'!AS70*'입력값'!C60*100</f>
      </c>
      <c r="AT31" s="33">
        <f>'입력값'!AT70*'입력값'!C60*100</f>
      </c>
      <c r="AU31" s="33">
        <f>'입력값'!AU70*'입력값'!C60*100</f>
      </c>
      <c r="AV31" s="33">
        <f>'입력값'!AV70*'입력값'!C60*100</f>
      </c>
      <c r="AW31" s="33">
        <f>'입력값'!AW70*'입력값'!C60*100</f>
      </c>
      <c r="AX31" s="33">
        <f>'입력값'!AX70*'입력값'!C60*100</f>
      </c>
      <c r="AY31" s="33">
        <f>'입력값'!AY70*'입력값'!C60*100</f>
      </c>
      <c r="AZ31" s="33">
        <f>'입력값'!AZ70*'입력값'!C60*100</f>
      </c>
      <c r="BA31" s="33">
        <f>'입력값'!BA70*'입력값'!C60*100</f>
      </c>
      <c r="BB31" s="33">
        <f>'입력값'!BB70*'입력값'!C60*100</f>
      </c>
      <c r="BC31" s="33">
        <f>'입력값'!BC70*'입력값'!C60*100</f>
      </c>
      <c r="BD31" s="33">
        <f>'입력값'!BD70*'입력값'!C60*100</f>
      </c>
      <c r="BE31" s="33">
        <f>'입력값'!BE70*'입력값'!C60*100</f>
      </c>
      <c r="BF31" s="33">
        <f>'입력값'!BF70*'입력값'!C60*100</f>
      </c>
      <c r="BG31" s="33">
        <f>'입력값'!BG70*'입력값'!C60*100</f>
      </c>
      <c r="BH31" s="33">
        <f>'입력값'!BH70*'입력값'!C60*100</f>
      </c>
      <c r="BI31" s="33">
        <f>'입력값'!BI70*'입력값'!C60*100</f>
      </c>
      <c r="BJ31" s="33">
        <f>'입력값'!BJ70*'입력값'!C60*100</f>
      </c>
      <c r="BK31" s="33">
        <f>'입력값'!BK70*'입력값'!C60*100</f>
      </c>
      <c r="BL31" s="33">
        <f>'입력값'!BL70*'입력값'!C60*100</f>
      </c>
      <c r="BM31" s="33">
        <f>'입력값'!BM70*'입력값'!C60*100</f>
      </c>
      <c r="BN31" s="33">
        <f>'입력값'!BN70*'입력값'!C60*100</f>
      </c>
      <c r="BO31" s="33">
        <f>'입력값'!BO70*'입력값'!C60*100</f>
      </c>
      <c r="BP31" s="33">
        <f>'입력값'!BP70*'입력값'!C60*100</f>
      </c>
      <c r="BQ31" s="33">
        <f>'입력값'!BQ70*'입력값'!C60*100</f>
      </c>
      <c r="BR31" s="33">
        <f>'입력값'!BR70*'입력값'!C60*100</f>
      </c>
      <c r="BS31" s="33">
        <f>'입력값'!BS70*'입력값'!C60*100</f>
      </c>
      <c r="BT31" s="33">
        <f>'입력값'!BT70*'입력값'!C60*100</f>
      </c>
      <c r="BU31" s="33">
        <f>'입력값'!BU70*'입력값'!C60*100</f>
      </c>
      <c r="BV31" s="33">
        <f>'입력값'!BV70*'입력값'!C60*100</f>
      </c>
      <c r="BW31" s="33">
        <f>'입력값'!BW70*'입력값'!C60*100</f>
      </c>
      <c r="BX31" s="33">
        <f>'입력값'!BX70*'입력값'!C60*100</f>
      </c>
      <c r="BY31" s="33">
        <f>'입력값'!BY70*'입력값'!C60*100</f>
      </c>
      <c r="BZ31" s="33">
        <v>0</v>
      </c>
      <c r="CA31" s="33">
        <v>0</v>
      </c>
      <c r="CB31" s="33">
        <v>0</v>
      </c>
      <c r="CC31" s="33">
        <v>0</v>
      </c>
      <c r="CD31" s="33">
        <v>0</v>
      </c>
      <c r="CE31" s="33">
        <v>0</v>
      </c>
      <c r="CF31" s="33">
        <v>0</v>
      </c>
      <c r="CG31" s="33">
        <v>0</v>
      </c>
      <c r="CH31" s="33">
        <v>0</v>
      </c>
      <c r="CI31" s="33">
        <v>0</v>
      </c>
      <c r="CJ31" s="33">
        <v>0</v>
      </c>
      <c r="CK31" s="33">
        <v>0</v>
      </c>
      <c r="CL31" s="33">
        <v>0</v>
      </c>
    </row>
    <row r="32" spans="2:90" x14ac:dyDescent="0.25">
      <c r="B32" s="43" t="s">
        <v>254</v>
      </c>
      <c r="C32" s="30" t="s">
        <v>224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29" t="s">
        <v>255</v>
      </c>
      <c r="C33" s="30" t="s">
        <v>224</v>
      </c>
      <c r="D33" s="33">
        <f>CL32</f>
      </c>
      <c r="F33" s="38">
        <f>IF(ABS(D33)&lt;1,"완전상환 확인 (OK)","경고: 미상환 잔액")</f>
      </c>
      <c r="H33" s="44" t="s">
        <v>256</v>
      </c>
    </row>
    <row r="35" spans="2:91" x14ac:dyDescent="0.25">
      <c r="B35" s="41" t="s">
        <v>97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</row>
    <row r="36" spans="2:90" x14ac:dyDescent="0.25">
      <c r="B36" s="29" t="s">
        <v>250</v>
      </c>
      <c r="C36" s="30" t="s">
        <v>224</v>
      </c>
      <c r="E36" s="33">
        <v>0</v>
      </c>
      <c r="F36" s="33">
        <f>E41</f>
      </c>
      <c r="G36" s="33">
        <f>F41</f>
      </c>
      <c r="H36" s="33">
        <f>G41</f>
      </c>
      <c r="I36" s="33">
        <f>H41</f>
      </c>
      <c r="J36" s="33">
        <f>I41</f>
      </c>
      <c r="K36" s="33">
        <f>J41</f>
      </c>
      <c r="L36" s="33">
        <f>K41</f>
      </c>
      <c r="M36" s="33">
        <f>L41</f>
      </c>
      <c r="N36" s="33">
        <f>M41</f>
      </c>
      <c r="O36" s="33">
        <f>N41</f>
      </c>
      <c r="P36" s="33">
        <f>O41</f>
      </c>
      <c r="Q36" s="33">
        <f>P41</f>
      </c>
      <c r="R36" s="33">
        <f>Q41</f>
      </c>
      <c r="S36" s="33">
        <f>R41</f>
      </c>
      <c r="T36" s="33">
        <f>S41</f>
      </c>
      <c r="U36" s="33">
        <f>T41</f>
      </c>
      <c r="V36" s="33">
        <f>U41</f>
      </c>
      <c r="W36" s="33">
        <f>V41</f>
      </c>
      <c r="X36" s="33">
        <f>W41</f>
      </c>
      <c r="Y36" s="33">
        <f>X41</f>
      </c>
      <c r="Z36" s="33">
        <f>Y41</f>
      </c>
      <c r="AA36" s="33">
        <f>Z41</f>
      </c>
      <c r="AB36" s="33">
        <f>AA41</f>
      </c>
      <c r="AC36" s="33">
        <f>AB41</f>
      </c>
      <c r="AD36" s="33">
        <f>AC41</f>
      </c>
      <c r="AE36" s="33">
        <f>AD41</f>
      </c>
      <c r="AF36" s="33">
        <f>AE41</f>
      </c>
      <c r="AG36" s="33">
        <f>AF41</f>
      </c>
      <c r="AH36" s="33">
        <f>AG41</f>
      </c>
      <c r="AI36" s="33">
        <f>AH41</f>
      </c>
      <c r="AJ36" s="33">
        <f>AI41</f>
      </c>
      <c r="AK36" s="33">
        <f>AJ41</f>
      </c>
      <c r="AL36" s="33">
        <f>AK41</f>
      </c>
      <c r="AM36" s="33">
        <f>AL41</f>
      </c>
      <c r="AN36" s="33">
        <f>AM41</f>
      </c>
      <c r="AO36" s="33">
        <f>AN41</f>
      </c>
      <c r="AP36" s="33">
        <f>AO41</f>
      </c>
      <c r="AQ36" s="33">
        <f>AP41</f>
      </c>
      <c r="AR36" s="33">
        <f>AQ41</f>
      </c>
      <c r="AS36" s="33">
        <f>AR41</f>
      </c>
      <c r="AT36" s="33">
        <f>AS41</f>
      </c>
      <c r="AU36" s="33">
        <f>AT41</f>
      </c>
      <c r="AV36" s="33">
        <f>AU41</f>
      </c>
      <c r="AW36" s="33">
        <f>AV41</f>
      </c>
      <c r="AX36" s="33">
        <f>AW41</f>
      </c>
      <c r="AY36" s="33">
        <f>AX41</f>
      </c>
      <c r="AZ36" s="33">
        <f>AY41</f>
      </c>
      <c r="BA36" s="33">
        <f>AZ41</f>
      </c>
      <c r="BB36" s="33">
        <f>BA41</f>
      </c>
      <c r="BC36" s="33">
        <f>BB41</f>
      </c>
      <c r="BD36" s="33">
        <f>BC41</f>
      </c>
      <c r="BE36" s="33">
        <f>BD41</f>
      </c>
      <c r="BF36" s="33">
        <f>BE41</f>
      </c>
      <c r="BG36" s="33">
        <f>BF41</f>
      </c>
      <c r="BH36" s="33">
        <f>BG41</f>
      </c>
      <c r="BI36" s="33">
        <f>BH41</f>
      </c>
      <c r="BJ36" s="33">
        <f>BI41</f>
      </c>
      <c r="BK36" s="33">
        <f>BJ41</f>
      </c>
      <c r="BL36" s="33">
        <f>BK41</f>
      </c>
      <c r="BM36" s="33">
        <f>BL41</f>
      </c>
      <c r="BN36" s="33">
        <f>BM41</f>
      </c>
      <c r="BO36" s="33">
        <f>BN41</f>
      </c>
      <c r="BP36" s="33">
        <f>BO41</f>
      </c>
      <c r="BQ36" s="33">
        <f>BP41</f>
      </c>
      <c r="BR36" s="33">
        <f>BQ41</f>
      </c>
      <c r="BS36" s="33">
        <f>BR41</f>
      </c>
      <c r="BT36" s="33">
        <f>BS41</f>
      </c>
      <c r="BU36" s="33">
        <f>BT41</f>
      </c>
      <c r="BV36" s="33">
        <f>BU41</f>
      </c>
      <c r="BW36" s="33">
        <f>BV41</f>
      </c>
      <c r="BX36" s="33">
        <f>BW41</f>
      </c>
      <c r="BY36" s="33">
        <f>BX41</f>
      </c>
      <c r="BZ36" s="33">
        <f>BY41</f>
      </c>
      <c r="CA36" s="33">
        <f>BZ41</f>
      </c>
      <c r="CB36" s="33">
        <f>CA41</f>
      </c>
      <c r="CC36" s="33">
        <f>CB41</f>
      </c>
      <c r="CD36" s="33">
        <f>CC41</f>
      </c>
      <c r="CE36" s="33">
        <f>CD41</f>
      </c>
      <c r="CF36" s="33">
        <f>CE41</f>
      </c>
      <c r="CG36" s="33">
        <f>CF41</f>
      </c>
      <c r="CH36" s="33">
        <f>CG41</f>
      </c>
      <c r="CI36" s="33">
        <f>CH41</f>
      </c>
      <c r="CJ36" s="33">
        <f>CI41</f>
      </c>
      <c r="CK36" s="33">
        <f>CJ41</f>
      </c>
      <c r="CL36" s="33">
        <f>CK41</f>
      </c>
    </row>
    <row r="37" spans="2:90" x14ac:dyDescent="0.25">
      <c r="B37" s="29" t="s">
        <v>251</v>
      </c>
      <c r="C37" s="30" t="s">
        <v>224</v>
      </c>
      <c r="D37" s="14">
        <f>SUM(E37:CL37)</f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3"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0</v>
      </c>
      <c r="BM37" s="33">
        <v>0</v>
      </c>
      <c r="BN37" s="33">
        <v>0</v>
      </c>
      <c r="BO37" s="33">
        <v>0</v>
      </c>
      <c r="BP37" s="33">
        <v>0</v>
      </c>
      <c r="BQ37" s="33">
        <v>0</v>
      </c>
      <c r="BR37" s="33">
        <v>0</v>
      </c>
      <c r="BS37" s="33">
        <v>0</v>
      </c>
      <c r="BT37" s="33">
        <v>0</v>
      </c>
      <c r="BU37" s="33">
        <v>0</v>
      </c>
      <c r="BV37" s="33">
        <v>0</v>
      </c>
      <c r="BW37" s="33">
        <v>0</v>
      </c>
      <c r="BX37" s="33">
        <v>0</v>
      </c>
      <c r="BY37" s="33">
        <v>0</v>
      </c>
      <c r="BZ37" s="33">
        <v>0</v>
      </c>
      <c r="CA37" s="33">
        <v>0</v>
      </c>
      <c r="CB37" s="33">
        <v>0</v>
      </c>
      <c r="CC37" s="33">
        <v>0</v>
      </c>
      <c r="CD37" s="33">
        <v>0</v>
      </c>
      <c r="CE37" s="33">
        <v>0</v>
      </c>
      <c r="CF37" s="33">
        <v>0</v>
      </c>
      <c r="CG37" s="33">
        <v>0</v>
      </c>
      <c r="CH37" s="33">
        <v>0</v>
      </c>
      <c r="CI37" s="33">
        <v>0</v>
      </c>
      <c r="CJ37" s="33">
        <v>0</v>
      </c>
      <c r="CK37" s="33">
        <v>0</v>
      </c>
      <c r="CL37" s="33">
        <v>0</v>
      </c>
    </row>
    <row r="38" spans="2:90" x14ac:dyDescent="0.25">
      <c r="B38" s="29" t="s">
        <v>242</v>
      </c>
      <c r="C38" s="30" t="s">
        <v>224</v>
      </c>
      <c r="D38" s="14">
        <f>SUM(E38:CL38)</f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3">
        <v>0</v>
      </c>
      <c r="BP38" s="33">
        <v>0</v>
      </c>
      <c r="BQ38" s="33">
        <v>0</v>
      </c>
      <c r="BR38" s="33">
        <v>0</v>
      </c>
      <c r="BS38" s="33">
        <v>0</v>
      </c>
      <c r="BT38" s="33">
        <v>0</v>
      </c>
      <c r="BU38" s="33">
        <v>0</v>
      </c>
      <c r="BV38" s="33">
        <v>0</v>
      </c>
      <c r="BW38" s="33">
        <v>0</v>
      </c>
      <c r="BX38" s="33">
        <v>0</v>
      </c>
      <c r="BY38" s="33">
        <v>0</v>
      </c>
      <c r="BZ38" s="33">
        <v>0</v>
      </c>
      <c r="CA38" s="33">
        <v>0</v>
      </c>
      <c r="CB38" s="33">
        <v>0</v>
      </c>
      <c r="CC38" s="33">
        <v>0</v>
      </c>
      <c r="CD38" s="33">
        <v>0</v>
      </c>
      <c r="CE38" s="33">
        <v>0</v>
      </c>
      <c r="CF38" s="33">
        <v>0</v>
      </c>
      <c r="CG38" s="33">
        <v>0</v>
      </c>
      <c r="CH38" s="33">
        <v>0</v>
      </c>
      <c r="CI38" s="33">
        <v>0</v>
      </c>
      <c r="CJ38" s="33">
        <v>0</v>
      </c>
      <c r="CK38" s="33">
        <v>0</v>
      </c>
      <c r="CL38" s="33">
        <v>0</v>
      </c>
    </row>
    <row r="39" spans="2:90" x14ac:dyDescent="0.25">
      <c r="B39" s="29" t="s">
        <v>252</v>
      </c>
      <c r="C39" s="30" t="s">
        <v>224</v>
      </c>
      <c r="D39" s="14">
        <f>SUM(E39:CL39)</f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f>K36*'입력값'!E61/4</f>
      </c>
      <c r="L39" s="33">
        <f>L36*'입력값'!E61/4</f>
      </c>
      <c r="M39" s="33">
        <f>M36*'입력값'!E61/4</f>
      </c>
      <c r="N39" s="33">
        <f>N36*'입력값'!E61/4</f>
      </c>
      <c r="O39" s="33">
        <f>O36*'입력값'!E61/4</f>
      </c>
      <c r="P39" s="33">
        <f>P36*'입력값'!E61/4</f>
      </c>
      <c r="Q39" s="33">
        <f>Q36*'입력값'!E61/4</f>
      </c>
      <c r="R39" s="33">
        <f>R36*'입력값'!E61/4</f>
      </c>
      <c r="S39" s="33">
        <f>S36*'입력값'!E61/4</f>
      </c>
      <c r="T39" s="33">
        <f>T36*'입력값'!E61/4</f>
      </c>
      <c r="U39" s="33">
        <f>U36*'입력값'!E61/4</f>
      </c>
      <c r="V39" s="33">
        <f>V36*'입력값'!E61/4</f>
      </c>
      <c r="W39" s="33">
        <f>W36*'입력값'!E61/4</f>
      </c>
      <c r="X39" s="33">
        <f>X36*'입력값'!E61/4</f>
      </c>
      <c r="Y39" s="33">
        <f>Y36*'입력값'!E61/4</f>
      </c>
      <c r="Z39" s="33">
        <f>Z36*'입력값'!E61/4</f>
      </c>
      <c r="AA39" s="33">
        <f>AA36*'입력값'!E61/4</f>
      </c>
      <c r="AB39" s="33">
        <f>AB36*'입력값'!E61/4</f>
      </c>
      <c r="AC39" s="33">
        <f>AC36*'입력값'!E61/4</f>
      </c>
      <c r="AD39" s="33">
        <f>AD36*'입력값'!E61/4</f>
      </c>
      <c r="AE39" s="33">
        <f>AE36*'입력값'!E61/4</f>
      </c>
      <c r="AF39" s="33">
        <f>AF36*'입력값'!E61/4</f>
      </c>
      <c r="AG39" s="33">
        <f>AG36*'입력값'!E61/4</f>
      </c>
      <c r="AH39" s="33">
        <f>AH36*'입력값'!E61/4</f>
      </c>
      <c r="AI39" s="33">
        <f>AI36*'입력값'!E61/4</f>
      </c>
      <c r="AJ39" s="33">
        <f>AJ36*'입력값'!E61/4</f>
      </c>
      <c r="AK39" s="33">
        <f>AK36*'입력값'!E61/4</f>
      </c>
      <c r="AL39" s="33">
        <f>AL36*'입력값'!E61/4</f>
      </c>
      <c r="AM39" s="33">
        <f>AM36*'입력값'!E61/4</f>
      </c>
      <c r="AN39" s="33">
        <f>AN36*'입력값'!E61/4</f>
      </c>
      <c r="AO39" s="33">
        <f>AO36*'입력값'!E61/4</f>
      </c>
      <c r="AP39" s="33">
        <f>AP36*'입력값'!E61/4</f>
      </c>
      <c r="AQ39" s="33">
        <f>AQ36*'입력값'!E61/4</f>
      </c>
      <c r="AR39" s="33">
        <f>AR36*'입력값'!E61/4</f>
      </c>
      <c r="AS39" s="33">
        <f>AS36*'입력값'!E61/4</f>
      </c>
      <c r="AT39" s="33">
        <f>AT36*'입력값'!E61/4</f>
      </c>
      <c r="AU39" s="33">
        <f>AU36*'입력값'!E61/4</f>
      </c>
      <c r="AV39" s="33">
        <f>AV36*'입력값'!E61/4</f>
      </c>
      <c r="AW39" s="33">
        <f>AW36*'입력값'!E61/4</f>
      </c>
      <c r="AX39" s="33">
        <f>AX36*'입력값'!E61/4</f>
      </c>
      <c r="AY39" s="33">
        <f>AY36*'입력값'!E61/4</f>
      </c>
      <c r="AZ39" s="33">
        <f>AZ36*'입력값'!E61/4</f>
      </c>
      <c r="BA39" s="33">
        <f>BA36*'입력값'!E61/4</f>
      </c>
      <c r="BB39" s="33">
        <f>BB36*'입력값'!E61/4</f>
      </c>
      <c r="BC39" s="33">
        <f>BC36*'입력값'!E61/4</f>
      </c>
      <c r="BD39" s="33">
        <f>BD36*'입력값'!E61/4</f>
      </c>
      <c r="BE39" s="33">
        <f>BE36*'입력값'!E61/4</f>
      </c>
      <c r="BF39" s="33">
        <f>BF36*'입력값'!E61/4</f>
      </c>
      <c r="BG39" s="33">
        <f>BG36*'입력값'!E61/4</f>
      </c>
      <c r="BH39" s="33">
        <f>BH36*'입력값'!E61/4</f>
      </c>
      <c r="BI39" s="33">
        <f>BI36*'입력값'!E61/4</f>
      </c>
      <c r="BJ39" s="33">
        <f>BJ36*'입력값'!E61/4</f>
      </c>
      <c r="BK39" s="33">
        <f>BK36*'입력값'!E61/4</f>
      </c>
      <c r="BL39" s="33">
        <f>BL36*'입력값'!E61/4</f>
      </c>
      <c r="BM39" s="33">
        <f>BM36*'입력값'!E61/4</f>
      </c>
      <c r="BN39" s="33">
        <f>BN36*'입력값'!E61/4</f>
      </c>
      <c r="BO39" s="33">
        <f>BO36*'입력값'!E61/4</f>
      </c>
      <c r="BP39" s="33">
        <f>BP36*'입력값'!E61/4</f>
      </c>
      <c r="BQ39" s="33">
        <f>BQ36*'입력값'!E61/4</f>
      </c>
      <c r="BR39" s="33">
        <f>BR36*'입력값'!E61/4</f>
      </c>
      <c r="BS39" s="33">
        <f>BS36*'입력값'!E61/4</f>
      </c>
      <c r="BT39" s="33">
        <f>BT36*'입력값'!E61/4</f>
      </c>
      <c r="BU39" s="33">
        <f>BU36*'입력값'!E61/4</f>
      </c>
      <c r="BV39" s="33">
        <f>BV36*'입력값'!E61/4</f>
      </c>
      <c r="BW39" s="33">
        <f>BW36*'입력값'!E61/4</f>
      </c>
      <c r="BX39" s="33">
        <f>BX36*'입력값'!E61/4</f>
      </c>
      <c r="BY39" s="33">
        <f>BY36*'입력값'!E61/4</f>
      </c>
      <c r="BZ39" s="33">
        <f>BZ36*'입력값'!E61/4</f>
      </c>
      <c r="CA39" s="33">
        <f>CA36*'입력값'!E61/4</f>
      </c>
      <c r="CB39" s="33">
        <f>CB36*'입력값'!E61/4</f>
      </c>
      <c r="CC39" s="33">
        <f>CC36*'입력값'!E61/4</f>
      </c>
      <c r="CD39" s="33">
        <f>CD36*'입력값'!E61/4</f>
      </c>
      <c r="CE39" s="33">
        <f>CE36*'입력값'!E61/4</f>
      </c>
      <c r="CF39" s="33">
        <f>CF36*'입력값'!E61/4</f>
      </c>
      <c r="CG39" s="33">
        <f>CG36*'입력값'!E61/4</f>
      </c>
      <c r="CH39" s="33">
        <f>CH36*'입력값'!E61/4</f>
      </c>
      <c r="CI39" s="33">
        <f>CI36*'입력값'!E61/4</f>
      </c>
      <c r="CJ39" s="33">
        <f>CJ36*'입력값'!E61/4</f>
      </c>
      <c r="CK39" s="33">
        <f>CK36*'입력값'!E61/4</f>
      </c>
      <c r="CL39" s="33">
        <f>CL36*'입력값'!E61/4</f>
      </c>
    </row>
    <row r="40" spans="2:90" x14ac:dyDescent="0.25">
      <c r="B40" s="29" t="s">
        <v>253</v>
      </c>
      <c r="C40" s="30" t="s">
        <v>224</v>
      </c>
      <c r="D40" s="14">
        <f>SUM(E40:CL40)</f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0</v>
      </c>
      <c r="AS40" s="33">
        <v>0</v>
      </c>
      <c r="AT40" s="33">
        <v>0</v>
      </c>
      <c r="AU40" s="33">
        <v>0</v>
      </c>
      <c r="AV40" s="33">
        <v>0</v>
      </c>
      <c r="AW40" s="33">
        <v>0</v>
      </c>
      <c r="AX40" s="33">
        <v>0</v>
      </c>
      <c r="AY40" s="33">
        <v>0</v>
      </c>
      <c r="AZ40" s="33">
        <v>0</v>
      </c>
      <c r="BA40" s="33">
        <v>0</v>
      </c>
      <c r="BB40" s="33">
        <v>0</v>
      </c>
      <c r="BC40" s="33">
        <v>0</v>
      </c>
      <c r="BD40" s="33">
        <v>0</v>
      </c>
      <c r="BE40" s="33">
        <v>0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0</v>
      </c>
      <c r="BO40" s="33">
        <v>0</v>
      </c>
      <c r="BP40" s="33">
        <v>0</v>
      </c>
      <c r="BQ40" s="33">
        <v>0</v>
      </c>
      <c r="BR40" s="33">
        <v>0</v>
      </c>
      <c r="BS40" s="33">
        <v>0</v>
      </c>
      <c r="BT40" s="33">
        <v>0</v>
      </c>
      <c r="BU40" s="33">
        <v>0</v>
      </c>
      <c r="BV40" s="33">
        <v>0</v>
      </c>
      <c r="BW40" s="33">
        <v>0</v>
      </c>
      <c r="BX40" s="33">
        <v>0</v>
      </c>
      <c r="BY40" s="33">
        <v>0</v>
      </c>
      <c r="BZ40" s="33">
        <v>0</v>
      </c>
      <c r="CA40" s="33">
        <v>0</v>
      </c>
      <c r="CB40" s="33">
        <v>0</v>
      </c>
      <c r="CC40" s="33">
        <v>0</v>
      </c>
      <c r="CD40" s="33">
        <v>0</v>
      </c>
      <c r="CE40" s="33">
        <v>0</v>
      </c>
      <c r="CF40" s="33">
        <v>0</v>
      </c>
      <c r="CG40" s="33">
        <v>0</v>
      </c>
      <c r="CH40" s="33">
        <v>0</v>
      </c>
      <c r="CI40" s="33">
        <v>0</v>
      </c>
      <c r="CJ40" s="33">
        <v>0</v>
      </c>
      <c r="CK40" s="33">
        <v>0</v>
      </c>
      <c r="CL40" s="33">
        <v>0</v>
      </c>
    </row>
    <row r="41" spans="2:90" x14ac:dyDescent="0.25">
      <c r="B41" s="43" t="s">
        <v>254</v>
      </c>
      <c r="C41" s="30" t="s">
        <v>224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29" t="s">
        <v>255</v>
      </c>
      <c r="C42" s="30" t="s">
        <v>224</v>
      </c>
      <c r="D42" s="33">
        <f>CL41</f>
      </c>
      <c r="F42" s="38">
        <f>IF(ABS(D42)&lt;1,"완전상환 확인 (OK)","경고: 미상환 잔액")</f>
      </c>
      <c r="H42" s="44" t="s">
        <v>257</v>
      </c>
    </row>
    <row r="44" spans="2:91" x14ac:dyDescent="0.25">
      <c r="B44" s="41" t="s">
        <v>98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</row>
    <row r="45" spans="2:90" x14ac:dyDescent="0.25">
      <c r="B45" s="29" t="s">
        <v>250</v>
      </c>
      <c r="C45" s="30" t="s">
        <v>224</v>
      </c>
      <c r="E45" s="33">
        <v>0</v>
      </c>
      <c r="F45" s="33">
        <f>E50</f>
      </c>
      <c r="G45" s="33">
        <f>F50</f>
      </c>
      <c r="H45" s="33">
        <f>G50</f>
      </c>
      <c r="I45" s="33">
        <f>H50</f>
      </c>
      <c r="J45" s="33">
        <f>I50</f>
      </c>
      <c r="K45" s="33">
        <f>J50</f>
      </c>
      <c r="L45" s="33">
        <f>K50</f>
      </c>
      <c r="M45" s="33">
        <f>L50</f>
      </c>
      <c r="N45" s="33">
        <f>M50</f>
      </c>
      <c r="O45" s="33">
        <f>N50</f>
      </c>
      <c r="P45" s="33">
        <f>O50</f>
      </c>
      <c r="Q45" s="33">
        <f>P50</f>
      </c>
      <c r="R45" s="33">
        <f>Q50</f>
      </c>
      <c r="S45" s="33">
        <f>R50</f>
      </c>
      <c r="T45" s="33">
        <f>S50</f>
      </c>
      <c r="U45" s="33">
        <f>T50</f>
      </c>
      <c r="V45" s="33">
        <f>U50</f>
      </c>
      <c r="W45" s="33">
        <f>V50</f>
      </c>
      <c r="X45" s="33">
        <f>W50</f>
      </c>
      <c r="Y45" s="33">
        <f>X50</f>
      </c>
      <c r="Z45" s="33">
        <f>Y50</f>
      </c>
      <c r="AA45" s="33">
        <f>Z50</f>
      </c>
      <c r="AB45" s="33">
        <f>AA50</f>
      </c>
      <c r="AC45" s="33">
        <f>AB50</f>
      </c>
      <c r="AD45" s="33">
        <f>AC50</f>
      </c>
      <c r="AE45" s="33">
        <f>AD50</f>
      </c>
      <c r="AF45" s="33">
        <f>AE50</f>
      </c>
      <c r="AG45" s="33">
        <f>AF50</f>
      </c>
      <c r="AH45" s="33">
        <f>AG50</f>
      </c>
      <c r="AI45" s="33">
        <f>AH50</f>
      </c>
      <c r="AJ45" s="33">
        <f>AI50</f>
      </c>
      <c r="AK45" s="33">
        <f>AJ50</f>
      </c>
      <c r="AL45" s="33">
        <f>AK50</f>
      </c>
      <c r="AM45" s="33">
        <f>AL50</f>
      </c>
      <c r="AN45" s="33">
        <f>AM50</f>
      </c>
      <c r="AO45" s="33">
        <f>AN50</f>
      </c>
      <c r="AP45" s="33">
        <f>AO50</f>
      </c>
      <c r="AQ45" s="33">
        <f>AP50</f>
      </c>
      <c r="AR45" s="33">
        <f>AQ50</f>
      </c>
      <c r="AS45" s="33">
        <f>AR50</f>
      </c>
      <c r="AT45" s="33">
        <f>AS50</f>
      </c>
      <c r="AU45" s="33">
        <f>AT50</f>
      </c>
      <c r="AV45" s="33">
        <f>AU50</f>
      </c>
      <c r="AW45" s="33">
        <f>AV50</f>
      </c>
      <c r="AX45" s="33">
        <f>AW50</f>
      </c>
      <c r="AY45" s="33">
        <f>AX50</f>
      </c>
      <c r="AZ45" s="33">
        <f>AY50</f>
      </c>
      <c r="BA45" s="33">
        <f>AZ50</f>
      </c>
      <c r="BB45" s="33">
        <f>BA50</f>
      </c>
      <c r="BC45" s="33">
        <f>BB50</f>
      </c>
      <c r="BD45" s="33">
        <f>BC50</f>
      </c>
      <c r="BE45" s="33">
        <f>BD50</f>
      </c>
      <c r="BF45" s="33">
        <f>BE50</f>
      </c>
      <c r="BG45" s="33">
        <f>BF50</f>
      </c>
      <c r="BH45" s="33">
        <f>BG50</f>
      </c>
      <c r="BI45" s="33">
        <f>BH50</f>
      </c>
      <c r="BJ45" s="33">
        <f>BI50</f>
      </c>
      <c r="BK45" s="33">
        <f>BJ50</f>
      </c>
      <c r="BL45" s="33">
        <f>BK50</f>
      </c>
      <c r="BM45" s="33">
        <f>BL50</f>
      </c>
      <c r="BN45" s="33">
        <f>BM50</f>
      </c>
      <c r="BO45" s="33">
        <f>BN50</f>
      </c>
      <c r="BP45" s="33">
        <f>BO50</f>
      </c>
      <c r="BQ45" s="33">
        <f>BP50</f>
      </c>
      <c r="BR45" s="33">
        <f>BQ50</f>
      </c>
      <c r="BS45" s="33">
        <f>BR50</f>
      </c>
      <c r="BT45" s="33">
        <f>BS50</f>
      </c>
      <c r="BU45" s="33">
        <f>BT50</f>
      </c>
      <c r="BV45" s="33">
        <f>BU50</f>
      </c>
      <c r="BW45" s="33">
        <f>BV50</f>
      </c>
      <c r="BX45" s="33">
        <f>BW50</f>
      </c>
      <c r="BY45" s="33">
        <f>BX50</f>
      </c>
      <c r="BZ45" s="33">
        <f>BY50</f>
      </c>
      <c r="CA45" s="33">
        <f>BZ50</f>
      </c>
      <c r="CB45" s="33">
        <f>CA50</f>
      </c>
      <c r="CC45" s="33">
        <f>CB50</f>
      </c>
      <c r="CD45" s="33">
        <f>CC50</f>
      </c>
      <c r="CE45" s="33">
        <f>CD50</f>
      </c>
      <c r="CF45" s="33">
        <f>CE50</f>
      </c>
      <c r="CG45" s="33">
        <f>CF50</f>
      </c>
      <c r="CH45" s="33">
        <f>CG50</f>
      </c>
      <c r="CI45" s="33">
        <f>CH50</f>
      </c>
      <c r="CJ45" s="33">
        <f>CI50</f>
      </c>
      <c r="CK45" s="33">
        <f>CJ50</f>
      </c>
      <c r="CL45" s="33">
        <f>CK50</f>
      </c>
    </row>
    <row r="46" spans="2:90" x14ac:dyDescent="0.25">
      <c r="B46" s="29" t="s">
        <v>251</v>
      </c>
      <c r="C46" s="30" t="s">
        <v>224</v>
      </c>
      <c r="D46" s="14">
        <f>SUM(E46:CL46)</f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0</v>
      </c>
      <c r="BN46" s="33">
        <v>0</v>
      </c>
      <c r="BO46" s="33">
        <v>0</v>
      </c>
      <c r="BP46" s="33">
        <v>0</v>
      </c>
      <c r="BQ46" s="33">
        <v>0</v>
      </c>
      <c r="BR46" s="33">
        <v>0</v>
      </c>
      <c r="BS46" s="33">
        <v>0</v>
      </c>
      <c r="BT46" s="33">
        <v>0</v>
      </c>
      <c r="BU46" s="33">
        <v>0</v>
      </c>
      <c r="BV46" s="33">
        <v>0</v>
      </c>
      <c r="BW46" s="33">
        <v>0</v>
      </c>
      <c r="BX46" s="33">
        <v>0</v>
      </c>
      <c r="BY46" s="33">
        <v>0</v>
      </c>
      <c r="BZ46" s="33">
        <v>0</v>
      </c>
      <c r="CA46" s="33">
        <v>0</v>
      </c>
      <c r="CB46" s="33">
        <v>0</v>
      </c>
      <c r="CC46" s="33">
        <v>0</v>
      </c>
      <c r="CD46" s="33">
        <v>0</v>
      </c>
      <c r="CE46" s="33">
        <v>0</v>
      </c>
      <c r="CF46" s="33">
        <v>0</v>
      </c>
      <c r="CG46" s="33">
        <v>0</v>
      </c>
      <c r="CH46" s="33">
        <v>0</v>
      </c>
      <c r="CI46" s="33">
        <v>0</v>
      </c>
      <c r="CJ46" s="33">
        <v>0</v>
      </c>
      <c r="CK46" s="33">
        <v>0</v>
      </c>
      <c r="CL46" s="33">
        <v>0</v>
      </c>
    </row>
    <row r="47" spans="2:90" x14ac:dyDescent="0.25">
      <c r="B47" s="29" t="s">
        <v>242</v>
      </c>
      <c r="C47" s="30" t="s">
        <v>224</v>
      </c>
      <c r="D47" s="14">
        <f>SUM(E47:CL47)</f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0</v>
      </c>
      <c r="AG47" s="33">
        <v>0</v>
      </c>
      <c r="AH47" s="33">
        <v>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0</v>
      </c>
      <c r="AV47" s="33">
        <v>0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0</v>
      </c>
      <c r="BH47" s="33">
        <v>0</v>
      </c>
      <c r="BI47" s="33">
        <v>0</v>
      </c>
      <c r="BJ47" s="33">
        <v>0</v>
      </c>
      <c r="BK47" s="33">
        <v>0</v>
      </c>
      <c r="BL47" s="33">
        <v>0</v>
      </c>
      <c r="BM47" s="33">
        <v>0</v>
      </c>
      <c r="BN47" s="33">
        <v>0</v>
      </c>
      <c r="BO47" s="33">
        <v>0</v>
      </c>
      <c r="BP47" s="33">
        <v>0</v>
      </c>
      <c r="BQ47" s="33">
        <v>0</v>
      </c>
      <c r="BR47" s="33">
        <v>0</v>
      </c>
      <c r="BS47" s="33">
        <v>0</v>
      </c>
      <c r="BT47" s="33">
        <v>0</v>
      </c>
      <c r="BU47" s="33">
        <v>0</v>
      </c>
      <c r="BV47" s="33">
        <v>0</v>
      </c>
      <c r="BW47" s="33">
        <v>0</v>
      </c>
      <c r="BX47" s="33">
        <v>0</v>
      </c>
      <c r="BY47" s="33">
        <v>0</v>
      </c>
      <c r="BZ47" s="33">
        <v>0</v>
      </c>
      <c r="CA47" s="33">
        <v>0</v>
      </c>
      <c r="CB47" s="33">
        <v>0</v>
      </c>
      <c r="CC47" s="33">
        <v>0</v>
      </c>
      <c r="CD47" s="33">
        <v>0</v>
      </c>
      <c r="CE47" s="33">
        <v>0</v>
      </c>
      <c r="CF47" s="33">
        <v>0</v>
      </c>
      <c r="CG47" s="33">
        <v>0</v>
      </c>
      <c r="CH47" s="33">
        <v>0</v>
      </c>
      <c r="CI47" s="33">
        <v>0</v>
      </c>
      <c r="CJ47" s="33">
        <v>0</v>
      </c>
      <c r="CK47" s="33">
        <v>0</v>
      </c>
      <c r="CL47" s="33">
        <v>0</v>
      </c>
    </row>
    <row r="48" spans="2:90" x14ac:dyDescent="0.25">
      <c r="B48" s="29" t="s">
        <v>252</v>
      </c>
      <c r="C48" s="30" t="s">
        <v>224</v>
      </c>
      <c r="D48" s="14">
        <f>SUM(E48:CL48)</f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f>K45*'입력값'!E62/4</f>
      </c>
      <c r="L48" s="33">
        <f>L45*'입력값'!E62/4</f>
      </c>
      <c r="M48" s="33">
        <f>M45*'입력값'!E62/4</f>
      </c>
      <c r="N48" s="33">
        <f>N45*'입력값'!E62/4</f>
      </c>
      <c r="O48" s="33">
        <f>O45*'입력값'!E62/4</f>
      </c>
      <c r="P48" s="33">
        <f>P45*'입력값'!E62/4</f>
      </c>
      <c r="Q48" s="33">
        <f>Q45*'입력값'!E62/4</f>
      </c>
      <c r="R48" s="33">
        <f>R45*'입력값'!E62/4</f>
      </c>
      <c r="S48" s="33">
        <f>S45*'입력값'!E62/4</f>
      </c>
      <c r="T48" s="33">
        <f>T45*'입력값'!E62/4</f>
      </c>
      <c r="U48" s="33">
        <f>U45*'입력값'!E62/4</f>
      </c>
      <c r="V48" s="33">
        <f>V45*'입력값'!E62/4</f>
      </c>
      <c r="W48" s="33">
        <f>W45*'입력값'!E62/4</f>
      </c>
      <c r="X48" s="33">
        <f>X45*'입력값'!E62/4</f>
      </c>
      <c r="Y48" s="33">
        <f>Y45*'입력값'!E62/4</f>
      </c>
      <c r="Z48" s="33">
        <f>Z45*'입력값'!E62/4</f>
      </c>
      <c r="AA48" s="33">
        <f>AA45*'입력값'!E62/4</f>
      </c>
      <c r="AB48" s="33">
        <f>AB45*'입력값'!E62/4</f>
      </c>
      <c r="AC48" s="33">
        <f>AC45*'입력값'!E62/4</f>
      </c>
      <c r="AD48" s="33">
        <f>AD45*'입력값'!E62/4</f>
      </c>
      <c r="AE48" s="33">
        <f>AE45*'입력값'!E62/4</f>
      </c>
      <c r="AF48" s="33">
        <f>AF45*'입력값'!E62/4</f>
      </c>
      <c r="AG48" s="33">
        <f>AG45*'입력값'!E62/4</f>
      </c>
      <c r="AH48" s="33">
        <f>AH45*'입력값'!E62/4</f>
      </c>
      <c r="AI48" s="33">
        <f>AI45*'입력값'!E62/4</f>
      </c>
      <c r="AJ48" s="33">
        <f>AJ45*'입력값'!E62/4</f>
      </c>
      <c r="AK48" s="33">
        <f>AK45*'입력값'!E62/4</f>
      </c>
      <c r="AL48" s="33">
        <f>AL45*'입력값'!E62/4</f>
      </c>
      <c r="AM48" s="33">
        <f>AM45*'입력값'!E62/4</f>
      </c>
      <c r="AN48" s="33">
        <f>AN45*'입력값'!E62/4</f>
      </c>
      <c r="AO48" s="33">
        <f>AO45*'입력값'!E62/4</f>
      </c>
      <c r="AP48" s="33">
        <f>AP45*'입력값'!E62/4</f>
      </c>
      <c r="AQ48" s="33">
        <f>AQ45*'입력값'!E62/4</f>
      </c>
      <c r="AR48" s="33">
        <f>AR45*'입력값'!E62/4</f>
      </c>
      <c r="AS48" s="33">
        <f>AS45*'입력값'!E62/4</f>
      </c>
      <c r="AT48" s="33">
        <f>AT45*'입력값'!E62/4</f>
      </c>
      <c r="AU48" s="33">
        <f>AU45*'입력값'!E62/4</f>
      </c>
      <c r="AV48" s="33">
        <f>AV45*'입력값'!E62/4</f>
      </c>
      <c r="AW48" s="33">
        <f>AW45*'입력값'!E62/4</f>
      </c>
      <c r="AX48" s="33">
        <f>AX45*'입력값'!E62/4</f>
      </c>
      <c r="AY48" s="33">
        <f>AY45*'입력값'!E62/4</f>
      </c>
      <c r="AZ48" s="33">
        <f>AZ45*'입력값'!E62/4</f>
      </c>
      <c r="BA48" s="33">
        <f>BA45*'입력값'!E62/4</f>
      </c>
      <c r="BB48" s="33">
        <f>BB45*'입력값'!E62/4</f>
      </c>
      <c r="BC48" s="33">
        <f>BC45*'입력값'!E62/4</f>
      </c>
      <c r="BD48" s="33">
        <f>BD45*'입력값'!E62/4</f>
      </c>
      <c r="BE48" s="33">
        <f>BE45*'입력값'!E62/4</f>
      </c>
      <c r="BF48" s="33">
        <f>BF45*'입력값'!E62/4</f>
      </c>
      <c r="BG48" s="33">
        <f>BG45*'입력값'!E62/4</f>
      </c>
      <c r="BH48" s="33">
        <f>BH45*'입력값'!E62/4</f>
      </c>
      <c r="BI48" s="33">
        <f>BI45*'입력값'!E62/4</f>
      </c>
      <c r="BJ48" s="33">
        <f>BJ45*'입력값'!E62/4</f>
      </c>
      <c r="BK48" s="33">
        <f>BK45*'입력값'!E62/4</f>
      </c>
      <c r="BL48" s="33">
        <f>BL45*'입력값'!E62/4</f>
      </c>
      <c r="BM48" s="33">
        <f>BM45*'입력값'!E62/4</f>
      </c>
      <c r="BN48" s="33">
        <f>BN45*'입력값'!E62/4</f>
      </c>
      <c r="BO48" s="33">
        <f>BO45*'입력값'!E62/4</f>
      </c>
      <c r="BP48" s="33">
        <f>BP45*'입력값'!E62/4</f>
      </c>
      <c r="BQ48" s="33">
        <f>BQ45*'입력값'!E62/4</f>
      </c>
      <c r="BR48" s="33">
        <f>BR45*'입력값'!E62/4</f>
      </c>
      <c r="BS48" s="33">
        <f>BS45*'입력값'!E62/4</f>
      </c>
      <c r="BT48" s="33">
        <f>BT45*'입력값'!E62/4</f>
      </c>
      <c r="BU48" s="33">
        <f>BU45*'입력값'!E62/4</f>
      </c>
      <c r="BV48" s="33">
        <f>BV45*'입력값'!E62/4</f>
      </c>
      <c r="BW48" s="33">
        <f>BW45*'입력값'!E62/4</f>
      </c>
      <c r="BX48" s="33">
        <f>BX45*'입력값'!E62/4</f>
      </c>
      <c r="BY48" s="33">
        <f>BY45*'입력값'!E62/4</f>
      </c>
      <c r="BZ48" s="33">
        <f>BZ45*'입력값'!E62/4</f>
      </c>
      <c r="CA48" s="33">
        <f>CA45*'입력값'!E62/4</f>
      </c>
      <c r="CB48" s="33">
        <f>CB45*'입력값'!E62/4</f>
      </c>
      <c r="CC48" s="33">
        <f>CC45*'입력값'!E62/4</f>
      </c>
      <c r="CD48" s="33">
        <f>CD45*'입력값'!E62/4</f>
      </c>
      <c r="CE48" s="33">
        <f>CE45*'입력값'!E62/4</f>
      </c>
      <c r="CF48" s="33">
        <f>CF45*'입력값'!E62/4</f>
      </c>
      <c r="CG48" s="33">
        <f>CG45*'입력값'!E62/4</f>
      </c>
      <c r="CH48" s="33">
        <f>CH45*'입력값'!E62/4</f>
      </c>
      <c r="CI48" s="33">
        <f>CI45*'입력값'!E62/4</f>
      </c>
      <c r="CJ48" s="33">
        <f>CJ45*'입력값'!E62/4</f>
      </c>
      <c r="CK48" s="33">
        <f>CK45*'입력값'!E62/4</f>
      </c>
      <c r="CL48" s="33">
        <f>CL45*'입력값'!E62/4</f>
      </c>
    </row>
    <row r="49" spans="2:90" x14ac:dyDescent="0.25">
      <c r="B49" s="29" t="s">
        <v>253</v>
      </c>
      <c r="C49" s="30" t="s">
        <v>224</v>
      </c>
      <c r="D49" s="14">
        <f>SUM(E49:CL49)</f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0</v>
      </c>
      <c r="AG49" s="33">
        <v>0</v>
      </c>
      <c r="AH49" s="33">
        <v>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33">
        <v>0</v>
      </c>
      <c r="BD49" s="33">
        <v>0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33">
        <v>0</v>
      </c>
      <c r="BO49" s="33">
        <v>0</v>
      </c>
      <c r="BP49" s="33">
        <v>0</v>
      </c>
      <c r="BQ49" s="33">
        <v>0</v>
      </c>
      <c r="BR49" s="33">
        <v>0</v>
      </c>
      <c r="BS49" s="33">
        <v>0</v>
      </c>
      <c r="BT49" s="33">
        <v>0</v>
      </c>
      <c r="BU49" s="33">
        <v>0</v>
      </c>
      <c r="BV49" s="33">
        <v>0</v>
      </c>
      <c r="BW49" s="33">
        <v>0</v>
      </c>
      <c r="BX49" s="33">
        <v>0</v>
      </c>
      <c r="BY49" s="33">
        <v>0</v>
      </c>
      <c r="BZ49" s="33">
        <v>0</v>
      </c>
      <c r="CA49" s="33">
        <v>0</v>
      </c>
      <c r="CB49" s="33">
        <v>0</v>
      </c>
      <c r="CC49" s="33">
        <v>0</v>
      </c>
      <c r="CD49" s="33">
        <v>0</v>
      </c>
      <c r="CE49" s="33">
        <v>0</v>
      </c>
      <c r="CF49" s="33">
        <v>0</v>
      </c>
      <c r="CG49" s="33">
        <v>0</v>
      </c>
      <c r="CH49" s="33">
        <v>0</v>
      </c>
      <c r="CI49" s="33">
        <v>0</v>
      </c>
      <c r="CJ49" s="33">
        <v>0</v>
      </c>
      <c r="CK49" s="33">
        <v>0</v>
      </c>
      <c r="CL49" s="33">
        <v>0</v>
      </c>
    </row>
    <row r="50" spans="2:90" x14ac:dyDescent="0.25">
      <c r="B50" s="43" t="s">
        <v>254</v>
      </c>
      <c r="C50" s="30" t="s">
        <v>224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29" t="s">
        <v>255</v>
      </c>
      <c r="C51" s="30" t="s">
        <v>224</v>
      </c>
      <c r="D51" s="33">
        <f>CL50</f>
      </c>
      <c r="F51" s="38">
        <f>IF(ABS(D51)&lt;1,"완전상환 확인 (OK)","경고: 미상환 잔액")</f>
      </c>
      <c r="H51" s="44" t="s">
        <v>257</v>
      </c>
    </row>
    <row r="53" spans="2:91" x14ac:dyDescent="0.25">
      <c r="B53" s="9" t="s">
        <v>258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9" t="s">
        <v>250</v>
      </c>
      <c r="C54" s="30" t="s">
        <v>224</v>
      </c>
      <c r="E54" s="33">
        <f>E9+E18+E27+E36+E45</f>
      </c>
      <c r="F54" s="33">
        <f>F9+F18+F27+F36+F45</f>
      </c>
      <c r="G54" s="33">
        <f>G9+G18+G27+G36+G45</f>
      </c>
      <c r="H54" s="33">
        <f>H9+H18+H27+H36+H45</f>
      </c>
      <c r="I54" s="33">
        <f>I9+I18+I27+I36+I45</f>
      </c>
      <c r="J54" s="33">
        <f>J9+J18+J27+J36+J45</f>
      </c>
      <c r="K54" s="33">
        <f>K9+K18+K27+K36+K45</f>
      </c>
      <c r="L54" s="33">
        <f>L9+L18+L27+L36+L45</f>
      </c>
      <c r="M54" s="33">
        <f>M9+M18+M27+M36+M45</f>
      </c>
      <c r="N54" s="33">
        <f>N9+N18+N27+N36+N45</f>
      </c>
      <c r="O54" s="33">
        <f>O9+O18+O27+O36+O45</f>
      </c>
      <c r="P54" s="33">
        <f>P9+P18+P27+P36+P45</f>
      </c>
      <c r="Q54" s="33">
        <f>Q9+Q18+Q27+Q36+Q45</f>
      </c>
      <c r="R54" s="33">
        <f>R9+R18+R27+R36+R45</f>
      </c>
      <c r="S54" s="33">
        <f>S9+S18+S27+S36+S45</f>
      </c>
      <c r="T54" s="33">
        <f>T9+T18+T27+T36+T45</f>
      </c>
      <c r="U54" s="33">
        <f>U9+U18+U27+U36+U45</f>
      </c>
      <c r="V54" s="33">
        <f>V9+V18+V27+V36+V45</f>
      </c>
      <c r="W54" s="33">
        <f>W9+W18+W27+W36+W45</f>
      </c>
      <c r="X54" s="33">
        <f>X9+X18+X27+X36+X45</f>
      </c>
      <c r="Y54" s="33">
        <f>Y9+Y18+Y27+Y36+Y45</f>
      </c>
      <c r="Z54" s="33">
        <f>Z9+Z18+Z27+Z36+Z45</f>
      </c>
      <c r="AA54" s="33">
        <f>AA9+AA18+AA27+AA36+AA45</f>
      </c>
      <c r="AB54" s="33">
        <f>AB9+AB18+AB27+AB36+AB45</f>
      </c>
      <c r="AC54" s="33">
        <f>AC9+AC18+AC27+AC36+AC45</f>
      </c>
      <c r="AD54" s="33">
        <f>AD9+AD18+AD27+AD36+AD45</f>
      </c>
      <c r="AE54" s="33">
        <f>AE9+AE18+AE27+AE36+AE45</f>
      </c>
      <c r="AF54" s="33">
        <f>AF9+AF18+AF27+AF36+AF45</f>
      </c>
      <c r="AG54" s="33">
        <f>AG9+AG18+AG27+AG36+AG45</f>
      </c>
      <c r="AH54" s="33">
        <f>AH9+AH18+AH27+AH36+AH45</f>
      </c>
      <c r="AI54" s="33">
        <f>AI9+AI18+AI27+AI36+AI45</f>
      </c>
      <c r="AJ54" s="33">
        <f>AJ9+AJ18+AJ27+AJ36+AJ45</f>
      </c>
      <c r="AK54" s="33">
        <f>AK9+AK18+AK27+AK36+AK45</f>
      </c>
      <c r="AL54" s="33">
        <f>AL9+AL18+AL27+AL36+AL45</f>
      </c>
      <c r="AM54" s="33">
        <f>AM9+AM18+AM27+AM36+AM45</f>
      </c>
      <c r="AN54" s="33">
        <f>AN9+AN18+AN27+AN36+AN45</f>
      </c>
      <c r="AO54" s="33">
        <f>AO9+AO18+AO27+AO36+AO45</f>
      </c>
      <c r="AP54" s="33">
        <f>AP9+AP18+AP27+AP36+AP45</f>
      </c>
      <c r="AQ54" s="33">
        <f>AQ9+AQ18+AQ27+AQ36+AQ45</f>
      </c>
      <c r="AR54" s="33">
        <f>AR9+AR18+AR27+AR36+AR45</f>
      </c>
      <c r="AS54" s="33">
        <f>AS9+AS18+AS27+AS36+AS45</f>
      </c>
      <c r="AT54" s="33">
        <f>AT9+AT18+AT27+AT36+AT45</f>
      </c>
      <c r="AU54" s="33">
        <f>AU9+AU18+AU27+AU36+AU45</f>
      </c>
      <c r="AV54" s="33">
        <f>AV9+AV18+AV27+AV36+AV45</f>
      </c>
      <c r="AW54" s="33">
        <f>AW9+AW18+AW27+AW36+AW45</f>
      </c>
      <c r="AX54" s="33">
        <f>AX9+AX18+AX27+AX36+AX45</f>
      </c>
      <c r="AY54" s="33">
        <f>AY9+AY18+AY27+AY36+AY45</f>
      </c>
      <c r="AZ54" s="33">
        <f>AZ9+AZ18+AZ27+AZ36+AZ45</f>
      </c>
      <c r="BA54" s="33">
        <f>BA9+BA18+BA27+BA36+BA45</f>
      </c>
      <c r="BB54" s="33">
        <f>BB9+BB18+BB27+BB36+BB45</f>
      </c>
      <c r="BC54" s="33">
        <f>BC9+BC18+BC27+BC36+BC45</f>
      </c>
      <c r="BD54" s="33">
        <f>BD9+BD18+BD27+BD36+BD45</f>
      </c>
      <c r="BE54" s="33">
        <f>BE9+BE18+BE27+BE36+BE45</f>
      </c>
      <c r="BF54" s="33">
        <f>BF9+BF18+BF27+BF36+BF45</f>
      </c>
      <c r="BG54" s="33">
        <f>BG9+BG18+BG27+BG36+BG45</f>
      </c>
      <c r="BH54" s="33">
        <f>BH9+BH18+BH27+BH36+BH45</f>
      </c>
      <c r="BI54" s="33">
        <f>BI9+BI18+BI27+BI36+BI45</f>
      </c>
      <c r="BJ54" s="33">
        <f>BJ9+BJ18+BJ27+BJ36+BJ45</f>
      </c>
      <c r="BK54" s="33">
        <f>BK9+BK18+BK27+BK36+BK45</f>
      </c>
      <c r="BL54" s="33">
        <f>BL9+BL18+BL27+BL36+BL45</f>
      </c>
      <c r="BM54" s="33">
        <f>BM9+BM18+BM27+BM36+BM45</f>
      </c>
      <c r="BN54" s="33">
        <f>BN9+BN18+BN27+BN36+BN45</f>
      </c>
      <c r="BO54" s="33">
        <f>BO9+BO18+BO27+BO36+BO45</f>
      </c>
      <c r="BP54" s="33">
        <f>BP9+BP18+BP27+BP36+BP45</f>
      </c>
      <c r="BQ54" s="33">
        <f>BQ9+BQ18+BQ27+BQ36+BQ45</f>
      </c>
      <c r="BR54" s="33">
        <f>BR9+BR18+BR27+BR36+BR45</f>
      </c>
      <c r="BS54" s="33">
        <f>BS9+BS18+BS27+BS36+BS45</f>
      </c>
      <c r="BT54" s="33">
        <f>BT9+BT18+BT27+BT36+BT45</f>
      </c>
      <c r="BU54" s="33">
        <f>BU9+BU18+BU27+BU36+BU45</f>
      </c>
      <c r="BV54" s="33">
        <f>BV9+BV18+BV27+BV36+BV45</f>
      </c>
      <c r="BW54" s="33">
        <f>BW9+BW18+BW27+BW36+BW45</f>
      </c>
      <c r="BX54" s="33">
        <f>BX9+BX18+BX27+BX36+BX45</f>
      </c>
      <c r="BY54" s="33">
        <f>BY9+BY18+BY27+BY36+BY45</f>
      </c>
      <c r="BZ54" s="33">
        <f>BZ9+BZ18+BZ27+BZ36+BZ45</f>
      </c>
      <c r="CA54" s="33">
        <f>CA9+CA18+CA27+CA36+CA45</f>
      </c>
      <c r="CB54" s="33">
        <f>CB9+CB18+CB27+CB36+CB45</f>
      </c>
      <c r="CC54" s="33">
        <f>CC9+CC18+CC27+CC36+CC45</f>
      </c>
      <c r="CD54" s="33">
        <f>CD9+CD18+CD27+CD36+CD45</f>
      </c>
      <c r="CE54" s="33">
        <f>CE9+CE18+CE27+CE36+CE45</f>
      </c>
      <c r="CF54" s="33">
        <f>CF9+CF18+CF27+CF36+CF45</f>
      </c>
      <c r="CG54" s="33">
        <f>CG9+CG18+CG27+CG36+CG45</f>
      </c>
      <c r="CH54" s="33">
        <f>CH9+CH18+CH27+CH36+CH45</f>
      </c>
      <c r="CI54" s="33">
        <f>CI9+CI18+CI27+CI36+CI45</f>
      </c>
      <c r="CJ54" s="33">
        <f>CJ9+CJ18+CJ27+CJ36+CJ45</f>
      </c>
      <c r="CK54" s="33">
        <f>CK9+CK18+CK27+CK36+CK45</f>
      </c>
      <c r="CL54" s="33">
        <f>CL9+CL18+CL27+CL36+CL45</f>
      </c>
    </row>
    <row r="55" spans="2:90" x14ac:dyDescent="0.25">
      <c r="B55" s="29" t="s">
        <v>259</v>
      </c>
      <c r="C55" s="30" t="s">
        <v>224</v>
      </c>
      <c r="D55" s="14">
        <f>SUM(E55:CL55)</f>
      </c>
      <c r="E55" s="33">
        <f>E12+E21+E30+E39+E48</f>
      </c>
      <c r="F55" s="33">
        <f>F12+F21+F30+F39+F48</f>
      </c>
      <c r="G55" s="33">
        <f>G12+G21+G30+G39+G48</f>
      </c>
      <c r="H55" s="33">
        <f>H12+H21+H30+H39+H48</f>
      </c>
      <c r="I55" s="33">
        <f>I12+I21+I30+I39+I48</f>
      </c>
      <c r="J55" s="33">
        <f>J12+J21+J30+J39+J48</f>
      </c>
      <c r="K55" s="33">
        <f>K12+K21+K30+K39+K48</f>
      </c>
      <c r="L55" s="33">
        <f>L12+L21+L30+L39+L48</f>
      </c>
      <c r="M55" s="33">
        <f>M12+M21+M30+M39+M48</f>
      </c>
      <c r="N55" s="33">
        <f>N12+N21+N30+N39+N48</f>
      </c>
      <c r="O55" s="33">
        <f>O12+O21+O30+O39+O48</f>
      </c>
      <c r="P55" s="33">
        <f>P12+P21+P30+P39+P48</f>
      </c>
      <c r="Q55" s="33">
        <f>Q12+Q21+Q30+Q39+Q48</f>
      </c>
      <c r="R55" s="33">
        <f>R12+R21+R30+R39+R48</f>
      </c>
      <c r="S55" s="33">
        <f>S12+S21+S30+S39+S48</f>
      </c>
      <c r="T55" s="33">
        <f>T12+T21+T30+T39+T48</f>
      </c>
      <c r="U55" s="33">
        <f>U12+U21+U30+U39+U48</f>
      </c>
      <c r="V55" s="33">
        <f>V12+V21+V30+V39+V48</f>
      </c>
      <c r="W55" s="33">
        <f>W12+W21+W30+W39+W48</f>
      </c>
      <c r="X55" s="33">
        <f>X12+X21+X30+X39+X48</f>
      </c>
      <c r="Y55" s="33">
        <f>Y12+Y21+Y30+Y39+Y48</f>
      </c>
      <c r="Z55" s="33">
        <f>Z12+Z21+Z30+Z39+Z48</f>
      </c>
      <c r="AA55" s="33">
        <f>AA12+AA21+AA30+AA39+AA48</f>
      </c>
      <c r="AB55" s="33">
        <f>AB12+AB21+AB30+AB39+AB48</f>
      </c>
      <c r="AC55" s="33">
        <f>AC12+AC21+AC30+AC39+AC48</f>
      </c>
      <c r="AD55" s="33">
        <f>AD12+AD21+AD30+AD39+AD48</f>
      </c>
      <c r="AE55" s="33">
        <f>AE12+AE21+AE30+AE39+AE48</f>
      </c>
      <c r="AF55" s="33">
        <f>AF12+AF21+AF30+AF39+AF48</f>
      </c>
      <c r="AG55" s="33">
        <f>AG12+AG21+AG30+AG39+AG48</f>
      </c>
      <c r="AH55" s="33">
        <f>AH12+AH21+AH30+AH39+AH48</f>
      </c>
      <c r="AI55" s="33">
        <f>AI12+AI21+AI30+AI39+AI48</f>
      </c>
      <c r="AJ55" s="33">
        <f>AJ12+AJ21+AJ30+AJ39+AJ48</f>
      </c>
      <c r="AK55" s="33">
        <f>AK12+AK21+AK30+AK39+AK48</f>
      </c>
      <c r="AL55" s="33">
        <f>AL12+AL21+AL30+AL39+AL48</f>
      </c>
      <c r="AM55" s="33">
        <f>AM12+AM21+AM30+AM39+AM48</f>
      </c>
      <c r="AN55" s="33">
        <f>AN12+AN21+AN30+AN39+AN48</f>
      </c>
      <c r="AO55" s="33">
        <f>AO12+AO21+AO30+AO39+AO48</f>
      </c>
      <c r="AP55" s="33">
        <f>AP12+AP21+AP30+AP39+AP48</f>
      </c>
      <c r="AQ55" s="33">
        <f>AQ12+AQ21+AQ30+AQ39+AQ48</f>
      </c>
      <c r="AR55" s="33">
        <f>AR12+AR21+AR30+AR39+AR48</f>
      </c>
      <c r="AS55" s="33">
        <f>AS12+AS21+AS30+AS39+AS48</f>
      </c>
      <c r="AT55" s="33">
        <f>AT12+AT21+AT30+AT39+AT48</f>
      </c>
      <c r="AU55" s="33">
        <f>AU12+AU21+AU30+AU39+AU48</f>
      </c>
      <c r="AV55" s="33">
        <f>AV12+AV21+AV30+AV39+AV48</f>
      </c>
      <c r="AW55" s="33">
        <f>AW12+AW21+AW30+AW39+AW48</f>
      </c>
      <c r="AX55" s="33">
        <f>AX12+AX21+AX30+AX39+AX48</f>
      </c>
      <c r="AY55" s="33">
        <f>AY12+AY21+AY30+AY39+AY48</f>
      </c>
      <c r="AZ55" s="33">
        <f>AZ12+AZ21+AZ30+AZ39+AZ48</f>
      </c>
      <c r="BA55" s="33">
        <f>BA12+BA21+BA30+BA39+BA48</f>
      </c>
      <c r="BB55" s="33">
        <f>BB12+BB21+BB30+BB39+BB48</f>
      </c>
      <c r="BC55" s="33">
        <f>BC12+BC21+BC30+BC39+BC48</f>
      </c>
      <c r="BD55" s="33">
        <f>BD12+BD21+BD30+BD39+BD48</f>
      </c>
      <c r="BE55" s="33">
        <f>BE12+BE21+BE30+BE39+BE48</f>
      </c>
      <c r="BF55" s="33">
        <f>BF12+BF21+BF30+BF39+BF48</f>
      </c>
      <c r="BG55" s="33">
        <f>BG12+BG21+BG30+BG39+BG48</f>
      </c>
      <c r="BH55" s="33">
        <f>BH12+BH21+BH30+BH39+BH48</f>
      </c>
      <c r="BI55" s="33">
        <f>BI12+BI21+BI30+BI39+BI48</f>
      </c>
      <c r="BJ55" s="33">
        <f>BJ12+BJ21+BJ30+BJ39+BJ48</f>
      </c>
      <c r="BK55" s="33">
        <f>BK12+BK21+BK30+BK39+BK48</f>
      </c>
      <c r="BL55" s="33">
        <f>BL12+BL21+BL30+BL39+BL48</f>
      </c>
      <c r="BM55" s="33">
        <f>BM12+BM21+BM30+BM39+BM48</f>
      </c>
      <c r="BN55" s="33">
        <f>BN12+BN21+BN30+BN39+BN48</f>
      </c>
      <c r="BO55" s="33">
        <f>BO12+BO21+BO30+BO39+BO48</f>
      </c>
      <c r="BP55" s="33">
        <f>BP12+BP21+BP30+BP39+BP48</f>
      </c>
      <c r="BQ55" s="33">
        <f>BQ12+BQ21+BQ30+BQ39+BQ48</f>
      </c>
      <c r="BR55" s="33">
        <f>BR12+BR21+BR30+BR39+BR48</f>
      </c>
      <c r="BS55" s="33">
        <f>BS12+BS21+BS30+BS39+BS48</f>
      </c>
      <c r="BT55" s="33">
        <f>BT12+BT21+BT30+BT39+BT48</f>
      </c>
      <c r="BU55" s="33">
        <f>BU12+BU21+BU30+BU39+BU48</f>
      </c>
      <c r="BV55" s="33">
        <f>BV12+BV21+BV30+BV39+BV48</f>
      </c>
      <c r="BW55" s="33">
        <f>BW12+BW21+BW30+BW39+BW48</f>
      </c>
      <c r="BX55" s="33">
        <f>BX12+BX21+BX30+BX39+BX48</f>
      </c>
      <c r="BY55" s="33">
        <f>BY12+BY21+BY30+BY39+BY48</f>
      </c>
      <c r="BZ55" s="33">
        <f>BZ12+BZ21+BZ30+BZ39+BZ48</f>
      </c>
      <c r="CA55" s="33">
        <f>CA12+CA21+CA30+CA39+CA48</f>
      </c>
      <c r="CB55" s="33">
        <f>CB12+CB21+CB30+CB39+CB48</f>
      </c>
      <c r="CC55" s="33">
        <f>CC12+CC21+CC30+CC39+CC48</f>
      </c>
      <c r="CD55" s="33">
        <f>CD12+CD21+CD30+CD39+CD48</f>
      </c>
      <c r="CE55" s="33">
        <f>CE12+CE21+CE30+CE39+CE48</f>
      </c>
      <c r="CF55" s="33">
        <f>CF12+CF21+CF30+CF39+CF48</f>
      </c>
      <c r="CG55" s="33">
        <f>CG12+CG21+CG30+CG39+CG48</f>
      </c>
      <c r="CH55" s="33">
        <f>CH12+CH21+CH30+CH39+CH48</f>
      </c>
      <c r="CI55" s="33">
        <f>CI12+CI21+CI30+CI39+CI48</f>
      </c>
      <c r="CJ55" s="33">
        <f>CJ12+CJ21+CJ30+CJ39+CJ48</f>
      </c>
      <c r="CK55" s="33">
        <f>CK12+CK21+CK30+CK39+CK48</f>
      </c>
      <c r="CL55" s="33">
        <f>CL12+CL21+CL30+CL39+CL48</f>
      </c>
    </row>
    <row r="56" spans="2:90" x14ac:dyDescent="0.25">
      <c r="B56" s="29" t="s">
        <v>253</v>
      </c>
      <c r="C56" s="30" t="s">
        <v>224</v>
      </c>
      <c r="D56" s="14">
        <f>SUM(E56:CL56)</f>
      </c>
      <c r="E56" s="33">
        <f>E13+E22+E31+E40+E49</f>
      </c>
      <c r="F56" s="33">
        <f>F13+F22+F31+F40+F49</f>
      </c>
      <c r="G56" s="33">
        <f>G13+G22+G31+G40+G49</f>
      </c>
      <c r="H56" s="33">
        <f>H13+H22+H31+H40+H49</f>
      </c>
      <c r="I56" s="33">
        <f>I13+I22+I31+I40+I49</f>
      </c>
      <c r="J56" s="33">
        <f>J13+J22+J31+J40+J49</f>
      </c>
      <c r="K56" s="33">
        <f>K13+K22+K31+K40+K49</f>
      </c>
      <c r="L56" s="33">
        <f>L13+L22+L31+L40+L49</f>
      </c>
      <c r="M56" s="33">
        <f>M13+M22+M31+M40+M49</f>
      </c>
      <c r="N56" s="33">
        <f>N13+N22+N31+N40+N49</f>
      </c>
      <c r="O56" s="33">
        <f>O13+O22+O31+O40+O49</f>
      </c>
      <c r="P56" s="33">
        <f>P13+P22+P31+P40+P49</f>
      </c>
      <c r="Q56" s="33">
        <f>Q13+Q22+Q31+Q40+Q49</f>
      </c>
      <c r="R56" s="33">
        <f>R13+R22+R31+R40+R49</f>
      </c>
      <c r="S56" s="33">
        <f>S13+S22+S31+S40+S49</f>
      </c>
      <c r="T56" s="33">
        <f>T13+T22+T31+T40+T49</f>
      </c>
      <c r="U56" s="33">
        <f>U13+U22+U31+U40+U49</f>
      </c>
      <c r="V56" s="33">
        <f>V13+V22+V31+V40+V49</f>
      </c>
      <c r="W56" s="33">
        <f>W13+W22+W31+W40+W49</f>
      </c>
      <c r="X56" s="33">
        <f>X13+X22+X31+X40+X49</f>
      </c>
      <c r="Y56" s="33">
        <f>Y13+Y22+Y31+Y40+Y49</f>
      </c>
      <c r="Z56" s="33">
        <f>Z13+Z22+Z31+Z40+Z49</f>
      </c>
      <c r="AA56" s="33">
        <f>AA13+AA22+AA31+AA40+AA49</f>
      </c>
      <c r="AB56" s="33">
        <f>AB13+AB22+AB31+AB40+AB49</f>
      </c>
      <c r="AC56" s="33">
        <f>AC13+AC22+AC31+AC40+AC49</f>
      </c>
      <c r="AD56" s="33">
        <f>AD13+AD22+AD31+AD40+AD49</f>
      </c>
      <c r="AE56" s="33">
        <f>AE13+AE22+AE31+AE40+AE49</f>
      </c>
      <c r="AF56" s="33">
        <f>AF13+AF22+AF31+AF40+AF49</f>
      </c>
      <c r="AG56" s="33">
        <f>AG13+AG22+AG31+AG40+AG49</f>
      </c>
      <c r="AH56" s="33">
        <f>AH13+AH22+AH31+AH40+AH49</f>
      </c>
      <c r="AI56" s="33">
        <f>AI13+AI22+AI31+AI40+AI49</f>
      </c>
      <c r="AJ56" s="33">
        <f>AJ13+AJ22+AJ31+AJ40+AJ49</f>
      </c>
      <c r="AK56" s="33">
        <f>AK13+AK22+AK31+AK40+AK49</f>
      </c>
      <c r="AL56" s="33">
        <f>AL13+AL22+AL31+AL40+AL49</f>
      </c>
      <c r="AM56" s="33">
        <f>AM13+AM22+AM31+AM40+AM49</f>
      </c>
      <c r="AN56" s="33">
        <f>AN13+AN22+AN31+AN40+AN49</f>
      </c>
      <c r="AO56" s="33">
        <f>AO13+AO22+AO31+AO40+AO49</f>
      </c>
      <c r="AP56" s="33">
        <f>AP13+AP22+AP31+AP40+AP49</f>
      </c>
      <c r="AQ56" s="33">
        <f>AQ13+AQ22+AQ31+AQ40+AQ49</f>
      </c>
      <c r="AR56" s="33">
        <f>AR13+AR22+AR31+AR40+AR49</f>
      </c>
      <c r="AS56" s="33">
        <f>AS13+AS22+AS31+AS40+AS49</f>
      </c>
      <c r="AT56" s="33">
        <f>AT13+AT22+AT31+AT40+AT49</f>
      </c>
      <c r="AU56" s="33">
        <f>AU13+AU22+AU31+AU40+AU49</f>
      </c>
      <c r="AV56" s="33">
        <f>AV13+AV22+AV31+AV40+AV49</f>
      </c>
      <c r="AW56" s="33">
        <f>AW13+AW22+AW31+AW40+AW49</f>
      </c>
      <c r="AX56" s="33">
        <f>AX13+AX22+AX31+AX40+AX49</f>
      </c>
      <c r="AY56" s="33">
        <f>AY13+AY22+AY31+AY40+AY49</f>
      </c>
      <c r="AZ56" s="33">
        <f>AZ13+AZ22+AZ31+AZ40+AZ49</f>
      </c>
      <c r="BA56" s="33">
        <f>BA13+BA22+BA31+BA40+BA49</f>
      </c>
      <c r="BB56" s="33">
        <f>BB13+BB22+BB31+BB40+BB49</f>
      </c>
      <c r="BC56" s="33">
        <f>BC13+BC22+BC31+BC40+BC49</f>
      </c>
      <c r="BD56" s="33">
        <f>BD13+BD22+BD31+BD40+BD49</f>
      </c>
      <c r="BE56" s="33">
        <f>BE13+BE22+BE31+BE40+BE49</f>
      </c>
      <c r="BF56" s="33">
        <f>BF13+BF22+BF31+BF40+BF49</f>
      </c>
      <c r="BG56" s="33">
        <f>BG13+BG22+BG31+BG40+BG49</f>
      </c>
      <c r="BH56" s="33">
        <f>BH13+BH22+BH31+BH40+BH49</f>
      </c>
      <c r="BI56" s="33">
        <f>BI13+BI22+BI31+BI40+BI49</f>
      </c>
      <c r="BJ56" s="33">
        <f>BJ13+BJ22+BJ31+BJ40+BJ49</f>
      </c>
      <c r="BK56" s="33">
        <f>BK13+BK22+BK31+BK40+BK49</f>
      </c>
      <c r="BL56" s="33">
        <f>BL13+BL22+BL31+BL40+BL49</f>
      </c>
      <c r="BM56" s="33">
        <f>BM13+BM22+BM31+BM40+BM49</f>
      </c>
      <c r="BN56" s="33">
        <f>BN13+BN22+BN31+BN40+BN49</f>
      </c>
      <c r="BO56" s="33">
        <f>BO13+BO22+BO31+BO40+BO49</f>
      </c>
      <c r="BP56" s="33">
        <f>BP13+BP22+BP31+BP40+BP49</f>
      </c>
      <c r="BQ56" s="33">
        <f>BQ13+BQ22+BQ31+BQ40+BQ49</f>
      </c>
      <c r="BR56" s="33">
        <f>BR13+BR22+BR31+BR40+BR49</f>
      </c>
      <c r="BS56" s="33">
        <f>BS13+BS22+BS31+BS40+BS49</f>
      </c>
      <c r="BT56" s="33">
        <f>BT13+BT22+BT31+BT40+BT49</f>
      </c>
      <c r="BU56" s="33">
        <f>BU13+BU22+BU31+BU40+BU49</f>
      </c>
      <c r="BV56" s="33">
        <f>BV13+BV22+BV31+BV40+BV49</f>
      </c>
      <c r="BW56" s="33">
        <f>BW13+BW22+BW31+BW40+BW49</f>
      </c>
      <c r="BX56" s="33">
        <f>BX13+BX22+BX31+BX40+BX49</f>
      </c>
      <c r="BY56" s="33">
        <f>BY13+BY22+BY31+BY40+BY49</f>
      </c>
      <c r="BZ56" s="33">
        <f>BZ13+BZ22+BZ31+BZ40+BZ49</f>
      </c>
      <c r="CA56" s="33">
        <f>CA13+CA22+CA31+CA40+CA49</f>
      </c>
      <c r="CB56" s="33">
        <f>CB13+CB22+CB31+CB40+CB49</f>
      </c>
      <c r="CC56" s="33">
        <f>CC13+CC22+CC31+CC40+CC49</f>
      </c>
      <c r="CD56" s="33">
        <f>CD13+CD22+CD31+CD40+CD49</f>
      </c>
      <c r="CE56" s="33">
        <f>CE13+CE22+CE31+CE40+CE49</f>
      </c>
      <c r="CF56" s="33">
        <f>CF13+CF22+CF31+CF40+CF49</f>
      </c>
      <c r="CG56" s="33">
        <f>CG13+CG22+CG31+CG40+CG49</f>
      </c>
      <c r="CH56" s="33">
        <f>CH13+CH22+CH31+CH40+CH49</f>
      </c>
      <c r="CI56" s="33">
        <f>CI13+CI22+CI31+CI40+CI49</f>
      </c>
      <c r="CJ56" s="33">
        <f>CJ13+CJ22+CJ31+CJ40+CJ49</f>
      </c>
      <c r="CK56" s="33">
        <f>CK13+CK22+CK31+CK40+CK49</f>
      </c>
      <c r="CL56" s="33">
        <f>CL13+CL22+CL31+CL40+CL49</f>
      </c>
    </row>
    <row r="57" spans="2:91" x14ac:dyDescent="0.25">
      <c r="B57" s="41" t="s">
        <v>260</v>
      </c>
      <c r="C57" s="45" t="s">
        <v>224</v>
      </c>
      <c r="D57" s="40">
        <f>SUM(E57:CL57)</f>
      </c>
      <c r="E57" s="40">
        <f>E55+E56</f>
      </c>
      <c r="F57" s="40">
        <f>F55+F56</f>
      </c>
      <c r="G57" s="40">
        <f>G55+G56</f>
      </c>
      <c r="H57" s="40">
        <f>H55+H56</f>
      </c>
      <c r="I57" s="40">
        <f>I55+I56</f>
      </c>
      <c r="J57" s="40">
        <f>J55+J56</f>
      </c>
      <c r="K57" s="40">
        <f>K55+K56</f>
      </c>
      <c r="L57" s="40">
        <f>L55+L56</f>
      </c>
      <c r="M57" s="40">
        <f>M55+M56</f>
      </c>
      <c r="N57" s="40">
        <f>N55+N56</f>
      </c>
      <c r="O57" s="40">
        <f>O55+O56</f>
      </c>
      <c r="P57" s="40">
        <f>P55+P56</f>
      </c>
      <c r="Q57" s="40">
        <f>Q55+Q56</f>
      </c>
      <c r="R57" s="40">
        <f>R55+R56</f>
      </c>
      <c r="S57" s="40">
        <f>S55+S56</f>
      </c>
      <c r="T57" s="40">
        <f>T55+T56</f>
      </c>
      <c r="U57" s="40">
        <f>U55+U56</f>
      </c>
      <c r="V57" s="40">
        <f>V55+V56</f>
      </c>
      <c r="W57" s="40">
        <f>W55+W56</f>
      </c>
      <c r="X57" s="40">
        <f>X55+X56</f>
      </c>
      <c r="Y57" s="40">
        <f>Y55+Y56</f>
      </c>
      <c r="Z57" s="40">
        <f>Z55+Z56</f>
      </c>
      <c r="AA57" s="40">
        <f>AA55+AA56</f>
      </c>
      <c r="AB57" s="40">
        <f>AB55+AB56</f>
      </c>
      <c r="AC57" s="40">
        <f>AC55+AC56</f>
      </c>
      <c r="AD57" s="40">
        <f>AD55+AD56</f>
      </c>
      <c r="AE57" s="40">
        <f>AE55+AE56</f>
      </c>
      <c r="AF57" s="40">
        <f>AF55+AF56</f>
      </c>
      <c r="AG57" s="40">
        <f>AG55+AG56</f>
      </c>
      <c r="AH57" s="40">
        <f>AH55+AH56</f>
      </c>
      <c r="AI57" s="40">
        <f>AI55+AI56</f>
      </c>
      <c r="AJ57" s="40">
        <f>AJ55+AJ56</f>
      </c>
      <c r="AK57" s="40">
        <f>AK55+AK56</f>
      </c>
      <c r="AL57" s="40">
        <f>AL55+AL56</f>
      </c>
      <c r="AM57" s="40">
        <f>AM55+AM56</f>
      </c>
      <c r="AN57" s="40">
        <f>AN55+AN56</f>
      </c>
      <c r="AO57" s="40">
        <f>AO55+AO56</f>
      </c>
      <c r="AP57" s="40">
        <f>AP55+AP56</f>
      </c>
      <c r="AQ57" s="40">
        <f>AQ55+AQ56</f>
      </c>
      <c r="AR57" s="40">
        <f>AR55+AR56</f>
      </c>
      <c r="AS57" s="40">
        <f>AS55+AS56</f>
      </c>
      <c r="AT57" s="40">
        <f>AT55+AT56</f>
      </c>
      <c r="AU57" s="40">
        <f>AU55+AU56</f>
      </c>
      <c r="AV57" s="40">
        <f>AV55+AV56</f>
      </c>
      <c r="AW57" s="40">
        <f>AW55+AW56</f>
      </c>
      <c r="AX57" s="40">
        <f>AX55+AX56</f>
      </c>
      <c r="AY57" s="40">
        <f>AY55+AY56</f>
      </c>
      <c r="AZ57" s="40">
        <f>AZ55+AZ56</f>
      </c>
      <c r="BA57" s="40">
        <f>BA55+BA56</f>
      </c>
      <c r="BB57" s="40">
        <f>BB55+BB56</f>
      </c>
      <c r="BC57" s="40">
        <f>BC55+BC56</f>
      </c>
      <c r="BD57" s="40">
        <f>BD55+BD56</f>
      </c>
      <c r="BE57" s="40">
        <f>BE55+BE56</f>
      </c>
      <c r="BF57" s="40">
        <f>BF55+BF56</f>
      </c>
      <c r="BG57" s="40">
        <f>BG55+BG56</f>
      </c>
      <c r="BH57" s="40">
        <f>BH55+BH56</f>
      </c>
      <c r="BI57" s="40">
        <f>BI55+BI56</f>
      </c>
      <c r="BJ57" s="40">
        <f>BJ55+BJ56</f>
      </c>
      <c r="BK57" s="40">
        <f>BK55+BK56</f>
      </c>
      <c r="BL57" s="40">
        <f>BL55+BL56</f>
      </c>
      <c r="BM57" s="40">
        <f>BM55+BM56</f>
      </c>
      <c r="BN57" s="40">
        <f>BN55+BN56</f>
      </c>
      <c r="BO57" s="40">
        <f>BO55+BO56</f>
      </c>
      <c r="BP57" s="40">
        <f>BP55+BP56</f>
      </c>
      <c r="BQ57" s="40">
        <f>BQ55+BQ56</f>
      </c>
      <c r="BR57" s="40">
        <f>BR55+BR56</f>
      </c>
      <c r="BS57" s="40">
        <f>BS55+BS56</f>
      </c>
      <c r="BT57" s="40">
        <f>BT55+BT56</f>
      </c>
      <c r="BU57" s="40">
        <f>BU55+BU56</f>
      </c>
      <c r="BV57" s="40">
        <f>BV55+BV56</f>
      </c>
      <c r="BW57" s="40">
        <f>BW55+BW56</f>
      </c>
      <c r="BX57" s="40">
        <f>BX55+BX56</f>
      </c>
      <c r="BY57" s="40">
        <f>BY55+BY56</f>
      </c>
      <c r="BZ57" s="40">
        <f>BZ55+BZ56</f>
      </c>
      <c r="CA57" s="40">
        <f>CA55+CA56</f>
      </c>
      <c r="CB57" s="40">
        <f>CB55+CB56</f>
      </c>
      <c r="CC57" s="40">
        <f>CC55+CC56</f>
      </c>
      <c r="CD57" s="40">
        <f>CD55+CD56</f>
      </c>
      <c r="CE57" s="40">
        <f>CE55+CE56</f>
      </c>
      <c r="CF57" s="40">
        <f>CF55+CF56</f>
      </c>
      <c r="CG57" s="40">
        <f>CG55+CG56</f>
      </c>
      <c r="CH57" s="40">
        <f>CH55+CH56</f>
      </c>
      <c r="CI57" s="40">
        <f>CI55+CI56</f>
      </c>
      <c r="CJ57" s="40">
        <f>CJ55+CJ56</f>
      </c>
      <c r="CK57" s="40">
        <f>CK55+CK56</f>
      </c>
      <c r="CL57" s="40">
        <f>CL55+CL56</f>
      </c>
      <c r="CM57" s="42"/>
    </row>
    <row r="58" spans="2:90" x14ac:dyDescent="0.25">
      <c r="B58" s="29" t="s">
        <v>254</v>
      </c>
      <c r="C58" s="30" t="s">
        <v>224</v>
      </c>
      <c r="E58" s="33">
        <f>E14+E23+E32+E41+E50</f>
      </c>
      <c r="F58" s="33">
        <f>F14+F23+F32+F41+F50</f>
      </c>
      <c r="G58" s="33">
        <f>G14+G23+G32+G41+G50</f>
      </c>
      <c r="H58" s="33">
        <f>H14+H23+H32+H41+H50</f>
      </c>
      <c r="I58" s="33">
        <f>I14+I23+I32+I41+I50</f>
      </c>
      <c r="J58" s="33">
        <f>J14+J23+J32+J41+J50</f>
      </c>
      <c r="K58" s="33">
        <f>K14+K23+K32+K41+K50</f>
      </c>
      <c r="L58" s="33">
        <f>L14+L23+L32+L41+L50</f>
      </c>
      <c r="M58" s="33">
        <f>M14+M23+M32+M41+M50</f>
      </c>
      <c r="N58" s="33">
        <f>N14+N23+N32+N41+N50</f>
      </c>
      <c r="O58" s="33">
        <f>O14+O23+O32+O41+O50</f>
      </c>
      <c r="P58" s="33">
        <f>P14+P23+P32+P41+P50</f>
      </c>
      <c r="Q58" s="33">
        <f>Q14+Q23+Q32+Q41+Q50</f>
      </c>
      <c r="R58" s="33">
        <f>R14+R23+R32+R41+R50</f>
      </c>
      <c r="S58" s="33">
        <f>S14+S23+S32+S41+S50</f>
      </c>
      <c r="T58" s="33">
        <f>T14+T23+T32+T41+T50</f>
      </c>
      <c r="U58" s="33">
        <f>U14+U23+U32+U41+U50</f>
      </c>
      <c r="V58" s="33">
        <f>V14+V23+V32+V41+V50</f>
      </c>
      <c r="W58" s="33">
        <f>W14+W23+W32+W41+W50</f>
      </c>
      <c r="X58" s="33">
        <f>X14+X23+X32+X41+X50</f>
      </c>
      <c r="Y58" s="33">
        <f>Y14+Y23+Y32+Y41+Y50</f>
      </c>
      <c r="Z58" s="33">
        <f>Z14+Z23+Z32+Z41+Z50</f>
      </c>
      <c r="AA58" s="33">
        <f>AA14+AA23+AA32+AA41+AA50</f>
      </c>
      <c r="AB58" s="33">
        <f>AB14+AB23+AB32+AB41+AB50</f>
      </c>
      <c r="AC58" s="33">
        <f>AC14+AC23+AC32+AC41+AC50</f>
      </c>
      <c r="AD58" s="33">
        <f>AD14+AD23+AD32+AD41+AD50</f>
      </c>
      <c r="AE58" s="33">
        <f>AE14+AE23+AE32+AE41+AE50</f>
      </c>
      <c r="AF58" s="33">
        <f>AF14+AF23+AF32+AF41+AF50</f>
      </c>
      <c r="AG58" s="33">
        <f>AG14+AG23+AG32+AG41+AG50</f>
      </c>
      <c r="AH58" s="33">
        <f>AH14+AH23+AH32+AH41+AH50</f>
      </c>
      <c r="AI58" s="33">
        <f>AI14+AI23+AI32+AI41+AI50</f>
      </c>
      <c r="AJ58" s="33">
        <f>AJ14+AJ23+AJ32+AJ41+AJ50</f>
      </c>
      <c r="AK58" s="33">
        <f>AK14+AK23+AK32+AK41+AK50</f>
      </c>
      <c r="AL58" s="33">
        <f>AL14+AL23+AL32+AL41+AL50</f>
      </c>
      <c r="AM58" s="33">
        <f>AM14+AM23+AM32+AM41+AM50</f>
      </c>
      <c r="AN58" s="33">
        <f>AN14+AN23+AN32+AN41+AN50</f>
      </c>
      <c r="AO58" s="33">
        <f>AO14+AO23+AO32+AO41+AO50</f>
      </c>
      <c r="AP58" s="33">
        <f>AP14+AP23+AP32+AP41+AP50</f>
      </c>
      <c r="AQ58" s="33">
        <f>AQ14+AQ23+AQ32+AQ41+AQ50</f>
      </c>
      <c r="AR58" s="33">
        <f>AR14+AR23+AR32+AR41+AR50</f>
      </c>
      <c r="AS58" s="33">
        <f>AS14+AS23+AS32+AS41+AS50</f>
      </c>
      <c r="AT58" s="33">
        <f>AT14+AT23+AT32+AT41+AT50</f>
      </c>
      <c r="AU58" s="33">
        <f>AU14+AU23+AU32+AU41+AU50</f>
      </c>
      <c r="AV58" s="33">
        <f>AV14+AV23+AV32+AV41+AV50</f>
      </c>
      <c r="AW58" s="33">
        <f>AW14+AW23+AW32+AW41+AW50</f>
      </c>
      <c r="AX58" s="33">
        <f>AX14+AX23+AX32+AX41+AX50</f>
      </c>
      <c r="AY58" s="33">
        <f>AY14+AY23+AY32+AY41+AY50</f>
      </c>
      <c r="AZ58" s="33">
        <f>AZ14+AZ23+AZ32+AZ41+AZ50</f>
      </c>
      <c r="BA58" s="33">
        <f>BA14+BA23+BA32+BA41+BA50</f>
      </c>
      <c r="BB58" s="33">
        <f>BB14+BB23+BB32+BB41+BB50</f>
      </c>
      <c r="BC58" s="33">
        <f>BC14+BC23+BC32+BC41+BC50</f>
      </c>
      <c r="BD58" s="33">
        <f>BD14+BD23+BD32+BD41+BD50</f>
      </c>
      <c r="BE58" s="33">
        <f>BE14+BE23+BE32+BE41+BE50</f>
      </c>
      <c r="BF58" s="33">
        <f>BF14+BF23+BF32+BF41+BF50</f>
      </c>
      <c r="BG58" s="33">
        <f>BG14+BG23+BG32+BG41+BG50</f>
      </c>
      <c r="BH58" s="33">
        <f>BH14+BH23+BH32+BH41+BH50</f>
      </c>
      <c r="BI58" s="33">
        <f>BI14+BI23+BI32+BI41+BI50</f>
      </c>
      <c r="BJ58" s="33">
        <f>BJ14+BJ23+BJ32+BJ41+BJ50</f>
      </c>
      <c r="BK58" s="33">
        <f>BK14+BK23+BK32+BK41+BK50</f>
      </c>
      <c r="BL58" s="33">
        <f>BL14+BL23+BL32+BL41+BL50</f>
      </c>
      <c r="BM58" s="33">
        <f>BM14+BM23+BM32+BM41+BM50</f>
      </c>
      <c r="BN58" s="33">
        <f>BN14+BN23+BN32+BN41+BN50</f>
      </c>
      <c r="BO58" s="33">
        <f>BO14+BO23+BO32+BO41+BO50</f>
      </c>
      <c r="BP58" s="33">
        <f>BP14+BP23+BP32+BP41+BP50</f>
      </c>
      <c r="BQ58" s="33">
        <f>BQ14+BQ23+BQ32+BQ41+BQ50</f>
      </c>
      <c r="BR58" s="33">
        <f>BR14+BR23+BR32+BR41+BR50</f>
      </c>
      <c r="BS58" s="33">
        <f>BS14+BS23+BS32+BS41+BS50</f>
      </c>
      <c r="BT58" s="33">
        <f>BT14+BT23+BT32+BT41+BT50</f>
      </c>
      <c r="BU58" s="33">
        <f>BU14+BU23+BU32+BU41+BU50</f>
      </c>
      <c r="BV58" s="33">
        <f>BV14+BV23+BV32+BV41+BV50</f>
      </c>
      <c r="BW58" s="33">
        <f>BW14+BW23+BW32+BW41+BW50</f>
      </c>
      <c r="BX58" s="33">
        <f>BX14+BX23+BX32+BX41+BX50</f>
      </c>
      <c r="BY58" s="33">
        <f>BY14+BY23+BY32+BY41+BY50</f>
      </c>
      <c r="BZ58" s="33">
        <f>BZ14+BZ23+BZ32+BZ41+BZ50</f>
      </c>
      <c r="CA58" s="33">
        <f>CA14+CA23+CA32+CA41+CA50</f>
      </c>
      <c r="CB58" s="33">
        <f>CB14+CB23+CB32+CB41+CB50</f>
      </c>
      <c r="CC58" s="33">
        <f>CC14+CC23+CC32+CC41+CC50</f>
      </c>
      <c r="CD58" s="33">
        <f>CD14+CD23+CD32+CD41+CD50</f>
      </c>
      <c r="CE58" s="33">
        <f>CE14+CE23+CE32+CE41+CE50</f>
      </c>
      <c r="CF58" s="33">
        <f>CF14+CF23+CF32+CF41+CF50</f>
      </c>
      <c r="CG58" s="33">
        <f>CG14+CG23+CG32+CG41+CG50</f>
      </c>
      <c r="CH58" s="33">
        <f>CH14+CH23+CH32+CH41+CH50</f>
      </c>
      <c r="CI58" s="33">
        <f>CI14+CI23+CI32+CI41+CI50</f>
      </c>
      <c r="CJ58" s="33">
        <f>CJ14+CJ23+CJ32+CJ41+CJ50</f>
      </c>
      <c r="CK58" s="33">
        <f>CK14+CK23+CK32+CK41+CK50</f>
      </c>
      <c r="CL58" s="33">
        <f>CL14+CL23+CL32+CL41+CL50</f>
      </c>
    </row>
    <row r="60" spans="2:90" x14ac:dyDescent="0.25">
      <c r="B60" s="29" t="s">
        <v>261</v>
      </c>
      <c r="C60" s="30" t="s">
        <v>224</v>
      </c>
      <c r="E60" s="33">
        <f>0</f>
      </c>
      <c r="F60" s="33">
        <f>E61</f>
      </c>
      <c r="G60" s="33">
        <f>F61</f>
      </c>
      <c r="H60" s="33">
        <f>G61</f>
      </c>
      <c r="I60" s="33">
        <f>H61</f>
      </c>
      <c r="J60" s="33">
        <f>'입력값'!C20*100</f>
      </c>
      <c r="K60" s="33">
        <f>J61</f>
      </c>
      <c r="L60" s="33">
        <f>K61</f>
      </c>
      <c r="M60" s="33">
        <f>L61</f>
      </c>
      <c r="N60" s="33">
        <f>M61</f>
      </c>
      <c r="O60" s="33">
        <f>N61</f>
      </c>
      <c r="P60" s="33">
        <f>O61</f>
      </c>
      <c r="Q60" s="33">
        <f>P61</f>
      </c>
      <c r="R60" s="33">
        <f>Q61</f>
      </c>
      <c r="S60" s="33">
        <f>R61</f>
      </c>
      <c r="T60" s="33">
        <f>S61</f>
      </c>
      <c r="U60" s="33">
        <f>T61</f>
      </c>
      <c r="V60" s="33">
        <f>U61</f>
      </c>
      <c r="W60" s="33">
        <f>V61</f>
      </c>
      <c r="X60" s="33">
        <f>W61</f>
      </c>
      <c r="Y60" s="33">
        <f>X61</f>
      </c>
      <c r="Z60" s="33">
        <f>Y61</f>
      </c>
      <c r="AA60" s="33">
        <f>Z61</f>
      </c>
      <c r="AB60" s="33">
        <f>AA61</f>
      </c>
      <c r="AC60" s="33">
        <f>AB61</f>
      </c>
      <c r="AD60" s="33">
        <f>AC61</f>
      </c>
      <c r="AE60" s="33">
        <f>AD61</f>
      </c>
      <c r="AF60" s="33">
        <f>AE61</f>
      </c>
      <c r="AG60" s="33">
        <f>AF61</f>
      </c>
      <c r="AH60" s="33">
        <f>AG61</f>
      </c>
      <c r="AI60" s="33">
        <f>AH61</f>
      </c>
      <c r="AJ60" s="33">
        <f>AI61</f>
      </c>
      <c r="AK60" s="33">
        <f>AJ61</f>
      </c>
      <c r="AL60" s="33">
        <f>AK61</f>
      </c>
      <c r="AM60" s="33">
        <f>AL61</f>
      </c>
      <c r="AN60" s="33">
        <f>AM61</f>
      </c>
      <c r="AO60" s="33">
        <f>AN61</f>
      </c>
      <c r="AP60" s="33">
        <f>AO61</f>
      </c>
      <c r="AQ60" s="33">
        <f>AP61</f>
      </c>
      <c r="AR60" s="33">
        <f>AQ61</f>
      </c>
      <c r="AS60" s="33">
        <f>AR61</f>
      </c>
      <c r="AT60" s="33">
        <f>AS61</f>
      </c>
      <c r="AU60" s="33">
        <f>AT61</f>
      </c>
      <c r="AV60" s="33">
        <f>AU61</f>
      </c>
      <c r="AW60" s="33">
        <f>AV61</f>
      </c>
      <c r="AX60" s="33">
        <f>AW61</f>
      </c>
      <c r="AY60" s="33">
        <f>AX61</f>
      </c>
      <c r="AZ60" s="33">
        <f>AY61</f>
      </c>
      <c r="BA60" s="33">
        <f>AZ61</f>
      </c>
      <c r="BB60" s="33">
        <f>BA61</f>
      </c>
      <c r="BC60" s="33">
        <f>BB61</f>
      </c>
      <c r="BD60" s="33">
        <f>BC61</f>
      </c>
      <c r="BE60" s="33">
        <f>BD61</f>
      </c>
      <c r="BF60" s="33">
        <f>BE61</f>
      </c>
      <c r="BG60" s="33">
        <f>BF61</f>
      </c>
      <c r="BH60" s="33">
        <f>BG61</f>
      </c>
      <c r="BI60" s="33">
        <f>BH61</f>
      </c>
      <c r="BJ60" s="33">
        <f>BI61</f>
      </c>
      <c r="BK60" s="33">
        <f>BJ61</f>
      </c>
      <c r="BL60" s="33">
        <f>BK61</f>
      </c>
      <c r="BM60" s="33">
        <f>BL61</f>
      </c>
      <c r="BN60" s="33">
        <f>BM61</f>
      </c>
      <c r="BO60" s="33">
        <f>BN61</f>
      </c>
      <c r="BP60" s="33">
        <f>BO61</f>
      </c>
      <c r="BQ60" s="33">
        <f>BP61</f>
      </c>
      <c r="BR60" s="33">
        <f>BQ61</f>
      </c>
      <c r="BS60" s="33">
        <f>BR61</f>
      </c>
      <c r="BT60" s="33">
        <f>BS61</f>
      </c>
      <c r="BU60" s="33">
        <f>BT61</f>
      </c>
      <c r="BV60" s="33">
        <f>BU61</f>
      </c>
      <c r="BW60" s="33">
        <f>BV61</f>
      </c>
      <c r="BX60" s="33">
        <f>BW61</f>
      </c>
      <c r="BY60" s="33">
        <f>BX61</f>
      </c>
      <c r="BZ60" s="33">
        <f>BY61</f>
      </c>
      <c r="CA60" s="33">
        <f>BZ61</f>
      </c>
      <c r="CB60" s="33">
        <f>CA61</f>
      </c>
      <c r="CC60" s="33">
        <f>CB61</f>
      </c>
      <c r="CD60" s="33">
        <f>CC61</f>
      </c>
      <c r="CE60" s="33">
        <f>CD61</f>
      </c>
      <c r="CF60" s="33">
        <f>CE61</f>
      </c>
      <c r="CG60" s="33">
        <f>CF61</f>
      </c>
      <c r="CH60" s="33">
        <f>CG61</f>
      </c>
      <c r="CI60" s="33">
        <f>CH61</f>
      </c>
      <c r="CJ60" s="33">
        <f>CI61</f>
      </c>
      <c r="CK60" s="33">
        <f>CJ61</f>
      </c>
      <c r="CL60" s="33">
        <f>CK61</f>
      </c>
    </row>
    <row r="61" spans="2:90" x14ac:dyDescent="0.25">
      <c r="B61" s="29" t="s">
        <v>262</v>
      </c>
      <c r="C61" s="30" t="s">
        <v>224</v>
      </c>
      <c r="E61" s="33">
        <f>E60</f>
      </c>
      <c r="F61" s="33">
        <f>F60</f>
      </c>
      <c r="G61" s="33">
        <f>G60</f>
      </c>
      <c r="H61" s="33">
        <f>H60</f>
      </c>
      <c r="I61" s="33">
        <f>I60</f>
      </c>
      <c r="J61" s="33">
        <f>J60</f>
      </c>
      <c r="K61" s="33">
        <f>L57+M57</f>
      </c>
      <c r="L61" s="33">
        <f>M57+N57</f>
      </c>
      <c r="M61" s="33">
        <f>N57+O57</f>
      </c>
      <c r="N61" s="33">
        <f>O57+P57</f>
      </c>
      <c r="O61" s="33">
        <f>P57+Q57</f>
      </c>
      <c r="P61" s="33">
        <f>Q57+R57</f>
      </c>
      <c r="Q61" s="33">
        <f>R57+S57</f>
      </c>
      <c r="R61" s="33">
        <f>S57+T57</f>
      </c>
      <c r="S61" s="33">
        <f>T57+U57</f>
      </c>
      <c r="T61" s="33">
        <f>U57+V57</f>
      </c>
      <c r="U61" s="33">
        <f>V57+W57</f>
      </c>
      <c r="V61" s="33">
        <f>W57+X57</f>
      </c>
      <c r="W61" s="33">
        <f>X57+Y57</f>
      </c>
      <c r="X61" s="33">
        <f>Y57+Z57</f>
      </c>
      <c r="Y61" s="33">
        <f>Z57+AA57</f>
      </c>
      <c r="Z61" s="33">
        <f>AA57+AB57</f>
      </c>
      <c r="AA61" s="33">
        <f>AB57+AC57</f>
      </c>
      <c r="AB61" s="33">
        <f>AC57+AD57</f>
      </c>
      <c r="AC61" s="33">
        <f>AD57+AE57</f>
      </c>
      <c r="AD61" s="33">
        <f>AE57+AF57</f>
      </c>
      <c r="AE61" s="33">
        <f>AF57+AG57</f>
      </c>
      <c r="AF61" s="33">
        <f>AG57+AH57</f>
      </c>
      <c r="AG61" s="33">
        <f>AH57+AI57</f>
      </c>
      <c r="AH61" s="33">
        <f>AI57+AJ57</f>
      </c>
      <c r="AI61" s="33">
        <f>AJ57+AK57</f>
      </c>
      <c r="AJ61" s="33">
        <f>AK57+AL57</f>
      </c>
      <c r="AK61" s="33">
        <f>AL57+AM57</f>
      </c>
      <c r="AL61" s="33">
        <f>AM57+AN57</f>
      </c>
      <c r="AM61" s="33">
        <f>AN57+AO57</f>
      </c>
      <c r="AN61" s="33">
        <f>AO57+AP57</f>
      </c>
      <c r="AO61" s="33">
        <f>AP57+AQ57</f>
      </c>
      <c r="AP61" s="33">
        <f>AQ57+AR57</f>
      </c>
      <c r="AQ61" s="33">
        <f>AR57+AS57</f>
      </c>
      <c r="AR61" s="33">
        <f>AS57+AT57</f>
      </c>
      <c r="AS61" s="33">
        <f>AT57+AU57</f>
      </c>
      <c r="AT61" s="33">
        <f>AU57+AV57</f>
      </c>
      <c r="AU61" s="33">
        <f>AV57+AW57</f>
      </c>
      <c r="AV61" s="33">
        <f>AW57+AX57</f>
      </c>
      <c r="AW61" s="33">
        <f>AX57+AY57</f>
      </c>
      <c r="AX61" s="33">
        <f>AY57+AZ57</f>
      </c>
      <c r="AY61" s="33">
        <f>AZ57+BA57</f>
      </c>
      <c r="AZ61" s="33">
        <f>BA57+BB57</f>
      </c>
      <c r="BA61" s="33">
        <f>BB57+BC57</f>
      </c>
      <c r="BB61" s="33">
        <f>BC57+BD57</f>
      </c>
      <c r="BC61" s="33">
        <f>BD57+BE57</f>
      </c>
      <c r="BD61" s="33">
        <f>BE57+BF57</f>
      </c>
      <c r="BE61" s="33">
        <f>BF57+BG57</f>
      </c>
      <c r="BF61" s="33">
        <f>BG57+BH57</f>
      </c>
      <c r="BG61" s="33">
        <f>BH57+BI57</f>
      </c>
      <c r="BH61" s="33">
        <f>BI57+BJ57</f>
      </c>
      <c r="BI61" s="33">
        <f>BJ57+BK57</f>
      </c>
      <c r="BJ61" s="33">
        <f>BK57+BL57</f>
      </c>
      <c r="BK61" s="33">
        <f>BL57+BM57</f>
      </c>
      <c r="BL61" s="33">
        <f>BM57+BN57</f>
      </c>
      <c r="BM61" s="33">
        <f>BN57+BO57</f>
      </c>
      <c r="BN61" s="33">
        <f>BO57+BP57</f>
      </c>
      <c r="BO61" s="33">
        <f>BP57+BQ57</f>
      </c>
      <c r="BP61" s="33">
        <f>BQ57+BR57</f>
      </c>
      <c r="BQ61" s="33">
        <f>BR57+BS57</f>
      </c>
      <c r="BR61" s="33">
        <f>BS57+BT57</f>
      </c>
      <c r="BS61" s="33">
        <f>BT57+BU57</f>
      </c>
      <c r="BT61" s="33">
        <f>BU57+BV57</f>
      </c>
      <c r="BU61" s="33">
        <f>BV57+BW57</f>
      </c>
      <c r="BV61" s="33">
        <f>BW57+BX57</f>
      </c>
      <c r="BW61" s="33">
        <f>BX57+BY57</f>
      </c>
      <c r="BX61" s="33">
        <f>BY57+BZ57</f>
      </c>
      <c r="BY61" s="33">
        <f>BZ57+CA57</f>
      </c>
      <c r="BZ61" s="33">
        <f>CA57+CB57</f>
      </c>
      <c r="CA61" s="33">
        <f>CB57+CC57</f>
      </c>
      <c r="CB61" s="33">
        <f>CC57+CD57</f>
      </c>
      <c r="CC61" s="33">
        <f>CD57+CE57</f>
      </c>
      <c r="CD61" s="33">
        <f>CE57+CF57</f>
      </c>
      <c r="CE61" s="33">
        <f>CF57+CG57</f>
      </c>
      <c r="CF61" s="33">
        <f>CG57+CH57</f>
      </c>
      <c r="CG61" s="33">
        <f>CH57+CI57</f>
      </c>
      <c r="CH61" s="33">
        <f>CI57+CJ57</f>
      </c>
      <c r="CI61" s="33">
        <f>CJ57+CK57</f>
      </c>
      <c r="CJ61" s="33">
        <f>CK57+CL57</f>
      </c>
      <c r="CK61" s="33">
        <f>CL57</f>
      </c>
      <c r="CL61" s="33">
        <f>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263</v>
      </c>
    </row>
    <row r="4" spans="2:91" x14ac:dyDescent="0.25">
      <c r="B4" s="9" t="s">
        <v>264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9" spans="2:90" x14ac:dyDescent="0.25">
      <c r="B9" s="29" t="s">
        <v>265</v>
      </c>
      <c r="C9" s="30" t="s">
        <v>266</v>
      </c>
      <c r="D9" s="46">
        <f>SUM(E9:CL9)</f>
      </c>
      <c r="E9" s="47">
        <f>('입력값'!C7*'입력값'!C14*365)*MAX(0,1-'입력값'!C12/100*0)*(1-'입력값'!C13/100)*0</f>
      </c>
      <c r="F9" s="47">
        <f>('입력값'!C7*'입력값'!C14*365)*MAX(0,1-'입력값'!C12/100*0)*(1-'입력값'!C13/100)*0</f>
      </c>
      <c r="G9" s="47">
        <f>('입력값'!C7*'입력값'!C14*365)*MAX(0,1-'입력값'!C12/100*0)*(1-'입력값'!C13/100)*0</f>
      </c>
      <c r="H9" s="47">
        <f>('입력값'!C7*'입력값'!C14*365)*MAX(0,1-'입력값'!C12/100*0)*(1-'입력값'!C13/100)*0</f>
      </c>
      <c r="I9" s="47">
        <f>('입력값'!C7*'입력값'!C14*365)*MAX(0,1-'입력값'!C12/100*0)*(1-'입력값'!C13/100)*0</f>
      </c>
      <c r="J9" s="47">
        <f>('입력값'!C7*'입력값'!C14*365)*MAX(0,1-'입력값'!C12/100*0)*(1-'입력값'!C13/100)*0</f>
      </c>
      <c r="K9" s="47">
        <f>('입력값'!C7*'입력값'!C14*365)*MAX(0,1-'입력값'!C12/100*0)*(1-'입력값'!C13/100)*0.2347</f>
      </c>
      <c r="L9" s="47">
        <f>('입력값'!C7*'입력값'!C14*365)*MAX(0,1-'입력값'!C12/100*0)*(1-'입력값'!C13/100)*0.2397</f>
      </c>
      <c r="M9" s="47">
        <f>('입력값'!C7*'입력값'!C14*365)*MAX(0,1-'입력값'!C12/100*0)*(1-'입력값'!C13/100)*0.3057</f>
      </c>
      <c r="N9" s="47">
        <f>('입력값'!C7*'입력값'!C14*365)*MAX(0,1-'입력값'!C12/100*0)*(1-'입력값'!C13/100)*0.2199</f>
      </c>
      <c r="O9" s="47">
        <f>('입력값'!C7*'입력값'!C14*365)*MAX(0,1-'입력값'!C12/100*1)*(1-'입력값'!C13/100)*0.2347</f>
      </c>
      <c r="P9" s="47">
        <f>('입력값'!C7*'입력값'!C14*365)*MAX(0,1-'입력값'!C12/100*1)*(1-'입력값'!C13/100)*0.2397</f>
      </c>
      <c r="Q9" s="47">
        <f>('입력값'!C7*'입력값'!C14*365)*MAX(0,1-'입력값'!C12/100*1)*(1-'입력값'!C13/100)*0.3057</f>
      </c>
      <c r="R9" s="47">
        <f>('입력값'!C7*'입력값'!C14*365)*MAX(0,1-'입력값'!C12/100*1)*(1-'입력값'!C13/100)*0.2199</f>
      </c>
      <c r="S9" s="47">
        <f>('입력값'!C7*'입력값'!C14*365)*MAX(0,1-'입력값'!C12/100*2)*(1-'입력값'!C13/100)*0.2347</f>
      </c>
      <c r="T9" s="47">
        <f>('입력값'!C7*'입력값'!C14*365)*MAX(0,1-'입력값'!C12/100*2)*(1-'입력값'!C13/100)*0.2397</f>
      </c>
      <c r="U9" s="47">
        <f>('입력값'!C7*'입력값'!C14*365)*MAX(0,1-'입력값'!C12/100*2)*(1-'입력값'!C13/100)*0.3057</f>
      </c>
      <c r="V9" s="47">
        <f>('입력값'!C7*'입력값'!C14*365)*MAX(0,1-'입력값'!C12/100*2)*(1-'입력값'!C13/100)*0.2199</f>
      </c>
      <c r="W9" s="47">
        <f>('입력값'!C7*'입력값'!C14*365)*MAX(0,1-'입력값'!C12/100*3)*(1-'입력값'!C13/100)*0.2347</f>
      </c>
      <c r="X9" s="47">
        <f>('입력값'!C7*'입력값'!C14*365)*MAX(0,1-'입력값'!C12/100*3)*(1-'입력값'!C13/100)*0.2397</f>
      </c>
      <c r="Y9" s="47">
        <f>('입력값'!C7*'입력값'!C14*365)*MAX(0,1-'입력값'!C12/100*3)*(1-'입력값'!C13/100)*0.3057</f>
      </c>
      <c r="Z9" s="47">
        <f>('입력값'!C7*'입력값'!C14*365)*MAX(0,1-'입력값'!C12/100*3)*(1-'입력값'!C13/100)*0.2199</f>
      </c>
      <c r="AA9" s="47">
        <f>('입력값'!C7*'입력값'!C14*365)*MAX(0,1-'입력값'!C12/100*4)*(1-'입력값'!C13/100)*0.2347</f>
      </c>
      <c r="AB9" s="47">
        <f>('입력값'!C7*'입력값'!C14*365)*MAX(0,1-'입력값'!C12/100*4)*(1-'입력값'!C13/100)*0.2397</f>
      </c>
      <c r="AC9" s="47">
        <f>('입력값'!C7*'입력값'!C14*365)*MAX(0,1-'입력값'!C12/100*4)*(1-'입력값'!C13/100)*0.3057</f>
      </c>
      <c r="AD9" s="47">
        <f>('입력값'!C7*'입력값'!C14*365)*MAX(0,1-'입력값'!C12/100*4)*(1-'입력값'!C13/100)*0.2199</f>
      </c>
      <c r="AE9" s="47">
        <f>('입력값'!C7*'입력값'!C14*365)*MAX(0,1-'입력값'!C12/100*5)*(1-'입력값'!C13/100)*0.2347</f>
      </c>
      <c r="AF9" s="47">
        <f>('입력값'!C7*'입력값'!C14*365)*MAX(0,1-'입력값'!C12/100*5)*(1-'입력값'!C13/100)*0.2397</f>
      </c>
      <c r="AG9" s="47">
        <f>('입력값'!C7*'입력값'!C14*365)*MAX(0,1-'입력값'!C12/100*5)*(1-'입력값'!C13/100)*0.3057</f>
      </c>
      <c r="AH9" s="47">
        <f>('입력값'!C7*'입력값'!C14*365)*MAX(0,1-'입력값'!C12/100*5)*(1-'입력값'!C13/100)*0.2199</f>
      </c>
      <c r="AI9" s="47">
        <f>('입력값'!C7*'입력값'!C14*365)*MAX(0,1-'입력값'!C12/100*6)*(1-'입력값'!C13/100)*0.2347</f>
      </c>
      <c r="AJ9" s="47">
        <f>('입력값'!C7*'입력값'!C14*365)*MAX(0,1-'입력값'!C12/100*6)*(1-'입력값'!C13/100)*0.2397</f>
      </c>
      <c r="AK9" s="47">
        <f>('입력값'!C7*'입력값'!C14*365)*MAX(0,1-'입력값'!C12/100*6)*(1-'입력값'!C13/100)*0.3057</f>
      </c>
      <c r="AL9" s="47">
        <f>('입력값'!C7*'입력값'!C14*365)*MAX(0,1-'입력값'!C12/100*6)*(1-'입력값'!C13/100)*0.2199</f>
      </c>
      <c r="AM9" s="47">
        <f>('입력값'!C7*'입력값'!C14*365)*MAX(0,1-'입력값'!C12/100*7)*(1-'입력값'!C13/100)*0.2347</f>
      </c>
      <c r="AN9" s="47">
        <f>('입력값'!C7*'입력값'!C14*365)*MAX(0,1-'입력값'!C12/100*7)*(1-'입력값'!C13/100)*0.2397</f>
      </c>
      <c r="AO9" s="47">
        <f>('입력값'!C7*'입력값'!C14*365)*MAX(0,1-'입력값'!C12/100*7)*(1-'입력값'!C13/100)*0.3057</f>
      </c>
      <c r="AP9" s="47">
        <f>('입력값'!C7*'입력값'!C14*365)*MAX(0,1-'입력값'!C12/100*7)*(1-'입력값'!C13/100)*0.2199</f>
      </c>
      <c r="AQ9" s="47">
        <f>('입력값'!C7*'입력값'!C14*365)*MAX(0,1-'입력값'!C12/100*8)*(1-'입력값'!C13/100)*0.2347</f>
      </c>
      <c r="AR9" s="47">
        <f>('입력값'!C7*'입력값'!C14*365)*MAX(0,1-'입력값'!C12/100*8)*(1-'입력값'!C13/100)*0.2397</f>
      </c>
      <c r="AS9" s="47">
        <f>('입력값'!C7*'입력값'!C14*365)*MAX(0,1-'입력값'!C12/100*8)*(1-'입력값'!C13/100)*0.3057</f>
      </c>
      <c r="AT9" s="47">
        <f>('입력값'!C7*'입력값'!C14*365)*MAX(0,1-'입력값'!C12/100*8)*(1-'입력값'!C13/100)*0.2199</f>
      </c>
      <c r="AU9" s="47">
        <f>('입력값'!C7*'입력값'!C14*365)*MAX(0,1-'입력값'!C12/100*9)*(1-'입력값'!C13/100)*0.2347</f>
      </c>
      <c r="AV9" s="47">
        <f>('입력값'!C7*'입력값'!C14*365)*MAX(0,1-'입력값'!C12/100*9)*(1-'입력값'!C13/100)*0.2397</f>
      </c>
      <c r="AW9" s="47">
        <f>('입력값'!C7*'입력값'!C14*365)*MAX(0,1-'입력값'!C12/100*9)*(1-'입력값'!C13/100)*0.3057</f>
      </c>
      <c r="AX9" s="47">
        <f>('입력값'!C7*'입력값'!C14*365)*MAX(0,1-'입력값'!C12/100*9)*(1-'입력값'!C13/100)*0.2199</f>
      </c>
      <c r="AY9" s="47">
        <f>('입력값'!C7*'입력값'!C14*365)*MAX(0,1-'입력값'!C12/100*10)*(1-'입력값'!C13/100)*0.2347</f>
      </c>
      <c r="AZ9" s="47">
        <f>('입력값'!C7*'입력값'!C14*365)*MAX(0,1-'입력값'!C12/100*10)*(1-'입력값'!C13/100)*0.2397</f>
      </c>
      <c r="BA9" s="47">
        <f>('입력값'!C7*'입력값'!C14*365)*MAX(0,1-'입력값'!C12/100*10)*(1-'입력값'!C13/100)*0.3057</f>
      </c>
      <c r="BB9" s="47">
        <f>('입력값'!C7*'입력값'!C14*365)*MAX(0,1-'입력값'!C12/100*10)*(1-'입력값'!C13/100)*0.2199</f>
      </c>
      <c r="BC9" s="47">
        <f>('입력값'!C7*'입력값'!C14*365)*MAX(0,1-'입력값'!C12/100*11)*(1-'입력값'!C13/100)*0.2347</f>
      </c>
      <c r="BD9" s="47">
        <f>('입력값'!C7*'입력값'!C14*365)*MAX(0,1-'입력값'!C12/100*11)*(1-'입력값'!C13/100)*0.2397</f>
      </c>
      <c r="BE9" s="47">
        <f>('입력값'!C7*'입력값'!C14*365)*MAX(0,1-'입력값'!C12/100*11)*(1-'입력값'!C13/100)*0.3057</f>
      </c>
      <c r="BF9" s="47">
        <f>('입력값'!C7*'입력값'!C14*365)*MAX(0,1-'입력값'!C12/100*11)*(1-'입력값'!C13/100)*0.2199</f>
      </c>
      <c r="BG9" s="47">
        <f>('입력값'!C7*'입력값'!C14*365)*MAX(0,1-'입력값'!C12/100*12)*(1-'입력값'!C13/100)*0.2347</f>
      </c>
      <c r="BH9" s="47">
        <f>('입력값'!C7*'입력값'!C14*365)*MAX(0,1-'입력값'!C12/100*12)*(1-'입력값'!C13/100)*0.2397</f>
      </c>
      <c r="BI9" s="47">
        <f>('입력값'!C7*'입력값'!C14*365)*MAX(0,1-'입력값'!C12/100*12)*(1-'입력값'!C13/100)*0.3057</f>
      </c>
      <c r="BJ9" s="47">
        <f>('입력값'!C7*'입력값'!C14*365)*MAX(0,1-'입력값'!C12/100*12)*(1-'입력값'!C13/100)*0.2199</f>
      </c>
      <c r="BK9" s="47">
        <f>('입력값'!C7*'입력값'!C14*365)*MAX(0,1-'입력값'!C12/100*13)*(1-'입력값'!C13/100)*0.2347</f>
      </c>
      <c r="BL9" s="47">
        <f>('입력값'!C7*'입력값'!C14*365)*MAX(0,1-'입력값'!C12/100*13)*(1-'입력값'!C13/100)*0.2397</f>
      </c>
      <c r="BM9" s="47">
        <f>('입력값'!C7*'입력값'!C14*365)*MAX(0,1-'입력값'!C12/100*13)*(1-'입력값'!C13/100)*0.3057</f>
      </c>
      <c r="BN9" s="47">
        <f>('입력값'!C7*'입력값'!C14*365)*MAX(0,1-'입력값'!C12/100*13)*(1-'입력값'!C13/100)*0.2199</f>
      </c>
      <c r="BO9" s="47">
        <f>('입력값'!C7*'입력값'!C14*365)*MAX(0,1-'입력값'!C12/100*14)*(1-'입력값'!C13/100)*0.2347</f>
      </c>
      <c r="BP9" s="47">
        <f>('입력값'!C7*'입력값'!C14*365)*MAX(0,1-'입력값'!C12/100*14)*(1-'입력값'!C13/100)*0.2397</f>
      </c>
      <c r="BQ9" s="47">
        <f>('입력값'!C7*'입력값'!C14*365)*MAX(0,1-'입력값'!C12/100*14)*(1-'입력값'!C13/100)*0.3057</f>
      </c>
      <c r="BR9" s="47">
        <f>('입력값'!C7*'입력값'!C14*365)*MAX(0,1-'입력값'!C12/100*14)*(1-'입력값'!C13/100)*0.2199</f>
      </c>
      <c r="BS9" s="47">
        <f>('입력값'!C7*'입력값'!C14*365)*MAX(0,1-'입력값'!C12/100*15)*(1-'입력값'!C13/100)*0.2347</f>
      </c>
      <c r="BT9" s="47">
        <f>('입력값'!C7*'입력값'!C14*365)*MAX(0,1-'입력값'!C12/100*15)*(1-'입력값'!C13/100)*0.2397</f>
      </c>
      <c r="BU9" s="47">
        <f>('입력값'!C7*'입력값'!C14*365)*MAX(0,1-'입력값'!C12/100*15)*(1-'입력값'!C13/100)*0.3057</f>
      </c>
      <c r="BV9" s="47">
        <f>('입력값'!C7*'입력값'!C14*365)*MAX(0,1-'입력값'!C12/100*15)*(1-'입력값'!C13/100)*0.2199</f>
      </c>
      <c r="BW9" s="47">
        <f>('입력값'!C7*'입력값'!C14*365)*MAX(0,1-'입력값'!C12/100*16)*(1-'입력값'!C13/100)*0.2347</f>
      </c>
      <c r="BX9" s="47">
        <f>('입력값'!C7*'입력값'!C14*365)*MAX(0,1-'입력값'!C12/100*16)*(1-'입력값'!C13/100)*0.2397</f>
      </c>
      <c r="BY9" s="47">
        <f>('입력값'!C7*'입력값'!C14*365)*MAX(0,1-'입력값'!C12/100*16)*(1-'입력값'!C13/100)*0.3057</f>
      </c>
      <c r="BZ9" s="47">
        <f>('입력값'!C7*'입력값'!C14*365)*MAX(0,1-'입력값'!C12/100*16)*(1-'입력값'!C13/100)*0.2199</f>
      </c>
      <c r="CA9" s="47">
        <f>('입력값'!C7*'입력값'!C14*365)*MAX(0,1-'입력값'!C12/100*17)*(1-'입력값'!C13/100)*0.2347</f>
      </c>
      <c r="CB9" s="47">
        <f>('입력값'!C7*'입력값'!C14*365)*MAX(0,1-'입력값'!C12/100*17)*(1-'입력값'!C13/100)*0.2397</f>
      </c>
      <c r="CC9" s="47">
        <f>('입력값'!C7*'입력값'!C14*365)*MAX(0,1-'입력값'!C12/100*17)*(1-'입력값'!C13/100)*0.3057</f>
      </c>
      <c r="CD9" s="47">
        <f>('입력값'!C7*'입력값'!C14*365)*MAX(0,1-'입력값'!C12/100*17)*(1-'입력값'!C13/100)*0.2199</f>
      </c>
      <c r="CE9" s="47">
        <f>('입력값'!C7*'입력값'!C14*365)*MAX(0,1-'입력값'!C12/100*18)*(1-'입력값'!C13/100)*0.2347</f>
      </c>
      <c r="CF9" s="47">
        <f>('입력값'!C7*'입력값'!C14*365)*MAX(0,1-'입력값'!C12/100*18)*(1-'입력값'!C13/100)*0.2397</f>
      </c>
      <c r="CG9" s="47">
        <f>('입력값'!C7*'입력값'!C14*365)*MAX(0,1-'입력값'!C12/100*18)*(1-'입력값'!C13/100)*0.3057</f>
      </c>
      <c r="CH9" s="47">
        <f>('입력값'!C7*'입력값'!C14*365)*MAX(0,1-'입력값'!C12/100*18)*(1-'입력값'!C13/100)*0.2199</f>
      </c>
      <c r="CI9" s="47">
        <f>('입력값'!C7*'입력값'!C14*365)*MAX(0,1-'입력값'!C12/100*19)*(1-'입력값'!C13/100)*0.2347</f>
      </c>
      <c r="CJ9" s="47">
        <f>('입력값'!C7*'입력값'!C14*365)*MAX(0,1-'입력값'!C12/100*19)*(1-'입력값'!C13/100)*0.2397</f>
      </c>
      <c r="CK9" s="47">
        <f>('입력값'!C7*'입력값'!C14*365)*MAX(0,1-'입력값'!C12/100*19)*(1-'입력값'!C13/100)*0.3057</f>
      </c>
      <c r="CL9" s="47">
        <f>('입력값'!C7*'입력값'!C14*365)*MAX(0,1-'입력값'!C12/100*19)*(1-'입력값'!C13/100)*0.2199</f>
      </c>
    </row>
    <row r="10" spans="2:90" x14ac:dyDescent="0.25">
      <c r="B10" s="29" t="s">
        <v>267</v>
      </c>
      <c r="C10" s="30" t="s">
        <v>222</v>
      </c>
      <c r="E10" s="32"/>
      <c r="F10" s="32"/>
      <c r="G10" s="32"/>
      <c r="H10" s="32"/>
      <c r="I10" s="32"/>
      <c r="J10" s="32"/>
      <c r="K10" s="32">
        <f>'입력값'!K109</f>
      </c>
      <c r="L10" s="32">
        <f>'입력값'!L109</f>
      </c>
      <c r="M10" s="32">
        <f>'입력값'!M109</f>
      </c>
      <c r="N10" s="32">
        <f>'입력값'!N109</f>
      </c>
      <c r="O10" s="32">
        <f>'입력값'!O109</f>
      </c>
      <c r="P10" s="32">
        <f>'입력값'!P109</f>
      </c>
      <c r="Q10" s="32">
        <f>'입력값'!Q109</f>
      </c>
      <c r="R10" s="32">
        <f>'입력값'!R109</f>
      </c>
      <c r="S10" s="32">
        <f>'입력값'!S109</f>
      </c>
      <c r="T10" s="32">
        <f>'입력값'!T109</f>
      </c>
      <c r="U10" s="32">
        <f>'입력값'!U109</f>
      </c>
      <c r="V10" s="32">
        <f>'입력값'!V109</f>
      </c>
      <c r="W10" s="32">
        <f>'입력값'!W109</f>
      </c>
      <c r="X10" s="32">
        <f>'입력값'!X109</f>
      </c>
      <c r="Y10" s="32">
        <f>'입력값'!Y109</f>
      </c>
      <c r="Z10" s="32">
        <f>'입력값'!Z109</f>
      </c>
      <c r="AA10" s="32">
        <f>'입력값'!AA109</f>
      </c>
      <c r="AB10" s="32">
        <f>'입력값'!AB109</f>
      </c>
      <c r="AC10" s="32">
        <f>'입력값'!AC109</f>
      </c>
      <c r="AD10" s="32">
        <f>'입력값'!AD109</f>
      </c>
      <c r="AE10" s="32">
        <f>'입력값'!AE109</f>
      </c>
      <c r="AF10" s="32">
        <f>'입력값'!AF109</f>
      </c>
      <c r="AG10" s="32">
        <f>'입력값'!AG109</f>
      </c>
      <c r="AH10" s="32">
        <f>'입력값'!AH109</f>
      </c>
      <c r="AI10" s="32">
        <f>'입력값'!AI109</f>
      </c>
      <c r="AJ10" s="32">
        <f>'입력값'!AJ109</f>
      </c>
      <c r="AK10" s="32">
        <f>'입력값'!AK109</f>
      </c>
      <c r="AL10" s="32">
        <f>'입력값'!AL109</f>
      </c>
      <c r="AM10" s="32">
        <f>'입력값'!AM109</f>
      </c>
      <c r="AN10" s="32">
        <f>'입력값'!AN109</f>
      </c>
      <c r="AO10" s="32">
        <f>'입력값'!AO109</f>
      </c>
      <c r="AP10" s="32">
        <f>'입력값'!AP109</f>
      </c>
      <c r="AQ10" s="32">
        <f>'입력값'!AQ109</f>
      </c>
      <c r="AR10" s="32">
        <f>'입력값'!AR109</f>
      </c>
      <c r="AS10" s="32">
        <f>'입력값'!AS109</f>
      </c>
      <c r="AT10" s="32">
        <f>'입력값'!AT109</f>
      </c>
      <c r="AU10" s="32">
        <f>'입력값'!AU109</f>
      </c>
      <c r="AV10" s="32">
        <f>'입력값'!AV109</f>
      </c>
      <c r="AW10" s="32">
        <f>'입력값'!AW109</f>
      </c>
      <c r="AX10" s="32">
        <f>'입력값'!AX109</f>
      </c>
      <c r="AY10" s="32">
        <f>'입력값'!AY109</f>
      </c>
      <c r="AZ10" s="32">
        <f>'입력값'!AZ109</f>
      </c>
      <c r="BA10" s="32">
        <f>'입력값'!BA109</f>
      </c>
      <c r="BB10" s="32">
        <f>'입력값'!BB109</f>
      </c>
      <c r="BC10" s="32">
        <f>'입력값'!BC109</f>
      </c>
      <c r="BD10" s="32">
        <f>'입력값'!BD109</f>
      </c>
      <c r="BE10" s="32">
        <f>'입력값'!BE109</f>
      </c>
      <c r="BF10" s="32">
        <f>'입력값'!BF109</f>
      </c>
      <c r="BG10" s="32">
        <f>'입력값'!BG109</f>
      </c>
      <c r="BH10" s="32">
        <f>'입력값'!BH109</f>
      </c>
      <c r="BI10" s="32">
        <f>'입력값'!BI109</f>
      </c>
      <c r="BJ10" s="32">
        <f>'입력값'!BJ109</f>
      </c>
      <c r="BK10" s="32">
        <f>'입력값'!BK109</f>
      </c>
      <c r="BL10" s="32">
        <f>'입력값'!BL109</f>
      </c>
      <c r="BM10" s="32">
        <f>'입력값'!BM109</f>
      </c>
      <c r="BN10" s="32">
        <f>'입력값'!BN109</f>
      </c>
      <c r="BO10" s="32">
        <f>'입력값'!BO109</f>
      </c>
      <c r="BP10" s="32">
        <f>'입력값'!BP109</f>
      </c>
      <c r="BQ10" s="32">
        <f>'입력값'!BQ109</f>
      </c>
      <c r="BR10" s="32">
        <f>'입력값'!BR109</f>
      </c>
      <c r="BS10" s="32">
        <f>'입력값'!BS109</f>
      </c>
      <c r="BT10" s="32">
        <f>'입력값'!BT109</f>
      </c>
      <c r="BU10" s="32">
        <f>'입력값'!BU109</f>
      </c>
      <c r="BV10" s="32">
        <f>'입력값'!BV109</f>
      </c>
      <c r="BW10" s="32">
        <f>'입력값'!BW109</f>
      </c>
      <c r="BX10" s="32">
        <f>'입력값'!BX109</f>
      </c>
      <c r="BY10" s="32">
        <f>'입력값'!BY109</f>
      </c>
      <c r="BZ10" s="32">
        <f>'입력값'!BZ109</f>
      </c>
      <c r="CA10" s="32">
        <f>'입력값'!CA109</f>
      </c>
      <c r="CB10" s="32">
        <f>'입력값'!CB109</f>
      </c>
      <c r="CC10" s="32">
        <f>'입력값'!CC109</f>
      </c>
      <c r="CD10" s="32">
        <f>'입력값'!CD109</f>
      </c>
      <c r="CE10" s="32">
        <f>'입력값'!CE109</f>
      </c>
      <c r="CF10" s="32">
        <f>'입력값'!CF109</f>
      </c>
      <c r="CG10" s="32">
        <f>'입력값'!CG109</f>
      </c>
      <c r="CH10" s="32">
        <f>'입력값'!CH109</f>
      </c>
      <c r="CI10" s="32">
        <f>'입력값'!CI109</f>
      </c>
      <c r="CJ10" s="32">
        <f>'입력값'!CJ109</f>
      </c>
      <c r="CK10" s="32">
        <f>'입력값'!CK109</f>
      </c>
      <c r="CL10" s="32">
        <f>'입력값'!CL109</f>
      </c>
    </row>
    <row r="12" spans="2:91" x14ac:dyDescent="0.25">
      <c r="B12" s="41" t="s">
        <v>268</v>
      </c>
      <c r="C12" s="45" t="s">
        <v>224</v>
      </c>
      <c r="D12" s="40">
        <f>SUM(E12:CL12)</f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f>K9*K10/1000</f>
      </c>
      <c r="L12" s="40">
        <f>L9*L10/1000</f>
      </c>
      <c r="M12" s="40">
        <f>M9*M10/1000</f>
      </c>
      <c r="N12" s="40">
        <f>N9*N10/1000</f>
      </c>
      <c r="O12" s="40">
        <f>O9*O10/1000</f>
      </c>
      <c r="P12" s="40">
        <f>P9*P10/1000</f>
      </c>
      <c r="Q12" s="40">
        <f>Q9*Q10/1000</f>
      </c>
      <c r="R12" s="40">
        <f>R9*R10/1000</f>
      </c>
      <c r="S12" s="40">
        <f>S9*S10/1000</f>
      </c>
      <c r="T12" s="40">
        <f>T9*T10/1000</f>
      </c>
      <c r="U12" s="40">
        <f>U9*U10/1000</f>
      </c>
      <c r="V12" s="40">
        <f>V9*V10/1000</f>
      </c>
      <c r="W12" s="40">
        <f>W9*W10/1000</f>
      </c>
      <c r="X12" s="40">
        <f>X9*X10/1000</f>
      </c>
      <c r="Y12" s="40">
        <f>Y9*Y10/1000</f>
      </c>
      <c r="Z12" s="40">
        <f>Z9*Z10/1000</f>
      </c>
      <c r="AA12" s="40">
        <f>AA9*AA10/1000</f>
      </c>
      <c r="AB12" s="40">
        <f>AB9*AB10/1000</f>
      </c>
      <c r="AC12" s="40">
        <f>AC9*AC10/1000</f>
      </c>
      <c r="AD12" s="40">
        <f>AD9*AD10/1000</f>
      </c>
      <c r="AE12" s="40">
        <f>AE9*AE10/1000</f>
      </c>
      <c r="AF12" s="40">
        <f>AF9*AF10/1000</f>
      </c>
      <c r="AG12" s="40">
        <f>AG9*AG10/1000</f>
      </c>
      <c r="AH12" s="40">
        <f>AH9*AH10/1000</f>
      </c>
      <c r="AI12" s="40">
        <f>AI9*AI10/1000</f>
      </c>
      <c r="AJ12" s="40">
        <f>AJ9*AJ10/1000</f>
      </c>
      <c r="AK12" s="40">
        <f>AK9*AK10/1000</f>
      </c>
      <c r="AL12" s="40">
        <f>AL9*AL10/1000</f>
      </c>
      <c r="AM12" s="40">
        <f>AM9*AM10/1000</f>
      </c>
      <c r="AN12" s="40">
        <f>AN9*AN10/1000</f>
      </c>
      <c r="AO12" s="40">
        <f>AO9*AO10/1000</f>
      </c>
      <c r="AP12" s="40">
        <f>AP9*AP10/1000</f>
      </c>
      <c r="AQ12" s="40">
        <f>AQ9*AQ10/1000</f>
      </c>
      <c r="AR12" s="40">
        <f>AR9*AR10/1000</f>
      </c>
      <c r="AS12" s="40">
        <f>AS9*AS10/1000</f>
      </c>
      <c r="AT12" s="40">
        <f>AT9*AT10/1000</f>
      </c>
      <c r="AU12" s="40">
        <f>AU9*AU10/1000</f>
      </c>
      <c r="AV12" s="40">
        <f>AV9*AV10/1000</f>
      </c>
      <c r="AW12" s="40">
        <f>AW9*AW10/1000</f>
      </c>
      <c r="AX12" s="40">
        <f>AX9*AX10/1000</f>
      </c>
      <c r="AY12" s="40">
        <f>AY9*AY10/1000</f>
      </c>
      <c r="AZ12" s="40">
        <f>AZ9*AZ10/1000</f>
      </c>
      <c r="BA12" s="40">
        <f>BA9*BA10/1000</f>
      </c>
      <c r="BB12" s="40">
        <f>BB9*BB10/1000</f>
      </c>
      <c r="BC12" s="40">
        <f>BC9*BC10/1000</f>
      </c>
      <c r="BD12" s="40">
        <f>BD9*BD10/1000</f>
      </c>
      <c r="BE12" s="40">
        <f>BE9*BE10/1000</f>
      </c>
      <c r="BF12" s="40">
        <f>BF9*BF10/1000</f>
      </c>
      <c r="BG12" s="40">
        <f>BG9*BG10/1000</f>
      </c>
      <c r="BH12" s="40">
        <f>BH9*BH10/1000</f>
      </c>
      <c r="BI12" s="40">
        <f>BI9*BI10/1000</f>
      </c>
      <c r="BJ12" s="40">
        <f>BJ9*BJ10/1000</f>
      </c>
      <c r="BK12" s="40">
        <f>BK9*BK10/1000</f>
      </c>
      <c r="BL12" s="40">
        <f>BL9*BL10/1000</f>
      </c>
      <c r="BM12" s="40">
        <f>BM9*BM10/1000</f>
      </c>
      <c r="BN12" s="40">
        <f>BN9*BN10/1000</f>
      </c>
      <c r="BO12" s="40">
        <f>BO9*BO10/1000</f>
      </c>
      <c r="BP12" s="40">
        <f>BP9*BP10/1000</f>
      </c>
      <c r="BQ12" s="40">
        <f>BQ9*BQ10/1000</f>
      </c>
      <c r="BR12" s="40">
        <f>BR9*BR10/1000</f>
      </c>
      <c r="BS12" s="40">
        <f>BS9*BS10/1000</f>
      </c>
      <c r="BT12" s="40">
        <f>BT9*BT10/1000</f>
      </c>
      <c r="BU12" s="40">
        <f>BU9*BU10/1000</f>
      </c>
      <c r="BV12" s="40">
        <f>BV9*BV10/1000</f>
      </c>
      <c r="BW12" s="40">
        <f>BW9*BW10/1000</f>
      </c>
      <c r="BX12" s="40">
        <f>BX9*BX10/1000</f>
      </c>
      <c r="BY12" s="40">
        <f>BY9*BY10/1000</f>
      </c>
      <c r="BZ12" s="40">
        <f>BZ9*BZ10/1000</f>
      </c>
      <c r="CA12" s="40">
        <f>CA9*CA10/1000</f>
      </c>
      <c r="CB12" s="40">
        <f>CB9*CB10/1000</f>
      </c>
      <c r="CC12" s="40">
        <f>CC9*CC10/1000</f>
      </c>
      <c r="CD12" s="40">
        <f>CD9*CD10/1000</f>
      </c>
      <c r="CE12" s="40">
        <f>CE9*CE10/1000</f>
      </c>
      <c r="CF12" s="40">
        <f>CF9*CF10/1000</f>
      </c>
      <c r="CG12" s="40">
        <f>CG9*CG10/1000</f>
      </c>
      <c r="CH12" s="40">
        <f>CH9*CH10/1000</f>
      </c>
      <c r="CI12" s="40">
        <f>CI9*CI10/1000</f>
      </c>
      <c r="CJ12" s="40">
        <f>CJ9*CJ10/1000</f>
      </c>
      <c r="CK12" s="40">
        <f>CK9*CK10/1000</f>
      </c>
      <c r="CL12" s="40">
        <f>CL9*CL10/1000</f>
      </c>
      <c r="CM12" s="42"/>
    </row>
    <row r="14" spans="2:2" x14ac:dyDescent="0.25">
      <c r="B14" s="34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270</v>
      </c>
    </row>
    <row r="4" spans="2:91" x14ac:dyDescent="0.25">
      <c r="B4" s="9" t="s">
        <v>271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2" x14ac:dyDescent="0.25">
      <c r="B8" s="43" t="s">
        <v>272</v>
      </c>
    </row>
    <row r="9" spans="2:90" x14ac:dyDescent="0.25">
      <c r="B9" s="29" t="s">
        <v>273</v>
      </c>
      <c r="C9" s="30" t="s">
        <v>224</v>
      </c>
      <c r="D9" s="33">
        <f>SUM(E9:CL9)</f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0" spans="2:90" x14ac:dyDescent="0.25">
      <c r="B10" s="29" t="s">
        <v>274</v>
      </c>
      <c r="C10" s="30" t="s">
        <v>224</v>
      </c>
      <c r="D10" s="33">
        <f>SUM(E10:CL10)</f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92*100*(3/12)*(1+'입력값'!D92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92*100*(3/12)*(1+'입력값'!D92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92*100*(3/12)*(1+'입력값'!D92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92*100*(3/12)*(1+'입력값'!D92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92*100*(3/12)*(1+'입력값'!D92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92*100*(3/12)*(1+'입력값'!D92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92*100*(3/12)*(1+'입력값'!D92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92*100*(3/12)*(1+'입력값'!D92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92*100*(3/12)*(1+'입력값'!D92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92*100*(3/12)*(1+'입력값'!D92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92*100*(3/12)*(1+'입력값'!D92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92*100*(3/12)*(1+'입력값'!D92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92*100*(3/12)*(1+'입력값'!D92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92*100*(3/12)*(1+'입력값'!D92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92*100*(3/12)*(1+'입력값'!D92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92*100*(3/12)*(1+'입력값'!D92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92*100*(3/12)*(1+'입력값'!D92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92*100*(3/12)*(1+'입력값'!D92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92*100*(3/12)*(1+'입력값'!D92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92*100*(3/12)*(1+'입력값'!D92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1" spans="2:90" x14ac:dyDescent="0.25">
      <c r="B11" s="29" t="s">
        <v>275</v>
      </c>
      <c r="C11" s="30" t="s">
        <v>224</v>
      </c>
      <c r="D11" s="33">
        <f>SUM(E11:CL11)</f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1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93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1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93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1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93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1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93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1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93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1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93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1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93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1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93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1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93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1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93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1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93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1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93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1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93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1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93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1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93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1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93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1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93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1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93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1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93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1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93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2" spans="2:90" x14ac:dyDescent="0.25">
      <c r="B12" s="29" t="s">
        <v>276</v>
      </c>
      <c r="C12" s="30" t="s">
        <v>224</v>
      </c>
      <c r="D12" s="33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2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94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2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94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2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94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2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94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2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94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2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94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2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94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2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94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2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94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2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94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2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94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2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94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2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94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2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94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2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94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2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94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2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94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2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94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2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94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2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94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3" spans="2:90" x14ac:dyDescent="0.25">
      <c r="B13" s="29" t="s">
        <v>277</v>
      </c>
      <c r="C13" s="30" t="s">
        <v>224</v>
      </c>
      <c r="D13" s="33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3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95*100*(3/12)*(1+'입력값'!D95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3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95*100*(3/12)*(1+'입력값'!D95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3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95*100*(3/12)*(1+'입력값'!D95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3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95*100*(3/12)*(1+'입력값'!D95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3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95*100*(3/12)*(1+'입력값'!D95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3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95*100*(3/12)*(1+'입력값'!D95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3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95*100*(3/12)*(1+'입력값'!D95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3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95*100*(3/12)*(1+'입력값'!D95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3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95*100*(3/12)*(1+'입력값'!D95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3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95*100*(3/12)*(1+'입력값'!D95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3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95*100*(3/12)*(1+'입력값'!D95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3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95*100*(3/12)*(1+'입력값'!D95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3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95*100*(3/12)*(1+'입력값'!D95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3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95*100*(3/12)*(1+'입력값'!D95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3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95*100*(3/12)*(1+'입력값'!D95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3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95*100*(3/12)*(1+'입력값'!D95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3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95*100*(3/12)*(1+'입력값'!D95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3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95*100*(3/12)*(1+'입력값'!D95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3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95*100*(3/12)*(1+'입력값'!D95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3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95*100*(3/12)*(1+'입력값'!D95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4" spans="2:90" x14ac:dyDescent="0.25">
      <c r="B14" s="29" t="s">
        <v>278</v>
      </c>
      <c r="C14" s="30" t="s">
        <v>224</v>
      </c>
      <c r="D14" s="33">
        <f>SUM(E14:CL14)</f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4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96*100*(3/12)*(1+'입력값'!D96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4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96*100*(3/12)*(1+'입력값'!D96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4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96*100*(3/12)*(1+'입력값'!D96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4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96*100*(3/12)*(1+'입력값'!D96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4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96*100*(3/12)*(1+'입력값'!D96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4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96*100*(3/12)*(1+'입력값'!D96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4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96*100*(3/12)*(1+'입력값'!D96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4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96*100*(3/12)*(1+'입력값'!D96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4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96*100*(3/12)*(1+'입력값'!D96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4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96*100*(3/12)*(1+'입력값'!D96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4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96*100*(3/12)*(1+'입력값'!D96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4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96*100*(3/12)*(1+'입력값'!D96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4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96*100*(3/12)*(1+'입력값'!D96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4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96*100*(3/12)*(1+'입력값'!D96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4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96*100*(3/12)*(1+'입력값'!D96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4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96*100*(3/12)*(1+'입력값'!D96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4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96*100*(3/12)*(1+'입력값'!D96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4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96*100*(3/12)*(1+'입력값'!D96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4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96*100*(3/12)*(1+'입력값'!D96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4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96*100*(3/12)*(1+'입력값'!D96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5" spans="2:90" x14ac:dyDescent="0.25">
      <c r="B15" s="29" t="s">
        <v>279</v>
      </c>
      <c r="C15" s="30" t="s">
        <v>224</v>
      </c>
      <c r="D15" s="33">
        <f>SUM(E15:CL15)</f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5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97*100*(3/12)*(1+'입력값'!D97/100)^0)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5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97*100*(3/12)*(1+'입력값'!D97/100)^1)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5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97*100*(3/12)*(1+'입력값'!D97/100)^2)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5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97*100*(3/12)*(1+'입력값'!D97/100)^3)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5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97*100*(3/12)*(1+'입력값'!D97/100)^4)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5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97*100*(3/12)*(1+'입력값'!D97/100)^5)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5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97*100*(3/12)*(1+'입력값'!D97/100)^6)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5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97*100*(3/12)*(1+'입력값'!D97/100)^7)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5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97*100*(3/12)*(1+'입력값'!D97/100)^8)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5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97*100*(3/12)*(1+'입력값'!D97/100)^9)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5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97*100*(3/12)*(1+'입력값'!D97/100)^10)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5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97*100*(3/12)*(1+'입력값'!D97/100)^11)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5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97*100*(3/12)*(1+'입력값'!D97/100)^12)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5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97*100*(3/12)*(1+'입력값'!D97/100)^13)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5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97*100*(3/12)*(1+'입력값'!D97/100)^14)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5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97*100*(3/12)*(1+'입력값'!D97/100)^15)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5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97*100*(3/12)*(1+'입력값'!D97/100)^16)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5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97*100*(3/12)*(1+'입력값'!D97/100)^17)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5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97*100*(3/12)*(1+'입력값'!D97/100)^18)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5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97*100*(3/12)*(1+'입력값'!D97/100)^19)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6" spans="2:90" x14ac:dyDescent="0.25">
      <c r="B16" s="29" t="s">
        <v>280</v>
      </c>
      <c r="C16" s="30" t="s">
        <v>224</v>
      </c>
      <c r="D16" s="33">
        <f>SUM(E16:CL16)</f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6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98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6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98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6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98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6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98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6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98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6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98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6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98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6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98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6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98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6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98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6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98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6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98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6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98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6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98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6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98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6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98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6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98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6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98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6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98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6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98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7" spans="2:90" x14ac:dyDescent="0.25">
      <c r="B17" s="29" t="s">
        <v>281</v>
      </c>
      <c r="C17" s="30" t="s">
        <v>224</v>
      </c>
      <c r="D17" s="33">
        <f>SUM(E17:CL17)</f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7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99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7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99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7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99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7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99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7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99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7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99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7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99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7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99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7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99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7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99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7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99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7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99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7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99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7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99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7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99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7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99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7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99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7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99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7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99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7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99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8" spans="2:90" x14ac:dyDescent="0.25">
      <c r="B18" s="29" t="s">
        <v>282</v>
      </c>
      <c r="C18" s="30" t="s">
        <v>224</v>
      </c>
      <c r="D18" s="33">
        <f>SUM(E18:CL18)</f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8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100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8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100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8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100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8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100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8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100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8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100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8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100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8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100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8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100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8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100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8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100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8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100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8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100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8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100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8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100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8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100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8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100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8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100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8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100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8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100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19" spans="2:90" x14ac:dyDescent="0.25">
      <c r="B19" s="29" t="s">
        <v>283</v>
      </c>
      <c r="C19" s="30" t="s">
        <v>224</v>
      </c>
      <c r="D19" s="33">
        <f>SUM(E19:CL19)</f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19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101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19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101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19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101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19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101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19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101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19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101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19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101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19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101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19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101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19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101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19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101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19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101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19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101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19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101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19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101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19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101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19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101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19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101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19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101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19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101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20" spans="2:90" x14ac:dyDescent="0.25">
      <c r="B20" s="29" t="s">
        <v>284</v>
      </c>
      <c r="C20" s="30" t="s">
        <v>224</v>
      </c>
      <c r="D20" s="33">
        <f>SUM(E20:CL20)</f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K110+'입력값'!K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L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L110+'입력값'!L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M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M110+'입력값'!M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N20" s="33">
        <f>-(IF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=0,0,('입력값'!N110+'입력값'!N111)*('입력값'!C102*100*(3/12))/(('입력값'!C91*100*(3/12))+('입력값'!C92*100*(3/12)*(1+'입력값'!D92/100)^0)+('입력값'!C93*100*(3/12))+('입력값'!C94*100*(3/12))+('입력값'!C95*100*(3/12)*(1+'입력값'!D95/100)^0)+('입력값'!C96*100*(3/12)*(1+'입력값'!D96/100)^0)+('입력값'!C97*100*(3/12)*(1+'입력값'!D97/100)^0)+('입력값'!C98*100*(3/12))+('입력값'!C99*100*(3/12))+('입력값'!C100*100*(3/12))+('입력값'!C101*100*(3/12))+('입력값'!C102*100*(3/12)))))</f>
      </c>
      <c r="O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O110+'입력값'!O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P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P110+'입력값'!P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Q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Q110+'입력값'!Q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R20" s="33">
        <f>-(IF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=0,0,('입력값'!R110+'입력값'!R111)*('입력값'!C102*100*(3/12))/(('입력값'!C91*100*(3/12))+('입력값'!C92*100*(3/12)*(1+'입력값'!D92/100)^1)+('입력값'!C93*100*(3/12))+('입력값'!C94*100*(3/12))+('입력값'!C95*100*(3/12)*(1+'입력값'!D95/100)^1)+('입력값'!C96*100*(3/12)*(1+'입력값'!D96/100)^1)+('입력값'!C97*100*(3/12)*(1+'입력값'!D97/100)^1)+('입력값'!C98*100*(3/12))+('입력값'!C99*100*(3/12))+('입력값'!C100*100*(3/12))+('입력값'!C101*100*(3/12))+('입력값'!C102*100*(3/12)))))</f>
      </c>
      <c r="S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S110+'입력값'!S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T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T110+'입력값'!T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U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U110+'입력값'!U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V20" s="33">
        <f>-(IF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=0,0,('입력값'!V110+'입력값'!V111)*('입력값'!C102*100*(3/12))/(('입력값'!C91*100*(3/12))+('입력값'!C92*100*(3/12)*(1+'입력값'!D92/100)^2)+('입력값'!C93*100*(3/12))+('입력값'!C94*100*(3/12))+('입력값'!C95*100*(3/12)*(1+'입력값'!D95/100)^2)+('입력값'!C96*100*(3/12)*(1+'입력값'!D96/100)^2)+('입력값'!C97*100*(3/12)*(1+'입력값'!D97/100)^2)+('입력값'!C98*100*(3/12))+('입력값'!C99*100*(3/12))+('입력값'!C100*100*(3/12))+('입력값'!C101*100*(3/12))+('입력값'!C102*100*(3/12)))))</f>
      </c>
      <c r="W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W110+'입력값'!W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X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X110+'입력값'!X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Y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Y110+'입력값'!Y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Z20" s="33">
        <f>-(IF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=0,0,('입력값'!Z110+'입력값'!Z111)*('입력값'!C102*100*(3/12))/(('입력값'!C91*100*(3/12))+('입력값'!C92*100*(3/12)*(1+'입력값'!D92/100)^3)+('입력값'!C93*100*(3/12))+('입력값'!C94*100*(3/12))+('입력값'!C95*100*(3/12)*(1+'입력값'!D95/100)^3)+('입력값'!C96*100*(3/12)*(1+'입력값'!D96/100)^3)+('입력값'!C97*100*(3/12)*(1+'입력값'!D97/100)^3)+('입력값'!C98*100*(3/12))+('입력값'!C99*100*(3/12))+('입력값'!C100*100*(3/12))+('입력값'!C101*100*(3/12))+('입력값'!C102*100*(3/12)))))</f>
      </c>
      <c r="AA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A110+'입력값'!AA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B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B110+'입력값'!AB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C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C110+'입력값'!AC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D20" s="33">
        <f>-(IF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=0,0,('입력값'!AD110+'입력값'!AD111)*('입력값'!C102*100*(3/12))/(('입력값'!C91*100*(3/12))+('입력값'!C92*100*(3/12)*(1+'입력값'!D92/100)^4)+('입력값'!C93*100*(3/12))+('입력값'!C94*100*(3/12))+('입력값'!C95*100*(3/12)*(1+'입력값'!D95/100)^4)+('입력값'!C96*100*(3/12)*(1+'입력값'!D96/100)^4)+('입력값'!C97*100*(3/12)*(1+'입력값'!D97/100)^4)+('입력값'!C98*100*(3/12))+('입력값'!C99*100*(3/12))+('입력값'!C100*100*(3/12))+('입력값'!C101*100*(3/12))+('입력값'!C102*100*(3/12)))))</f>
      </c>
      <c r="AE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E110+'입력값'!AE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F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F110+'입력값'!AF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G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G110+'입력값'!AG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H20" s="33">
        <f>-(IF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=0,0,('입력값'!AH110+'입력값'!AH111)*('입력값'!C102*100*(3/12))/(('입력값'!C91*100*(3/12))+('입력값'!C92*100*(3/12)*(1+'입력값'!D92/100)^5)+('입력값'!C93*100*(3/12))+('입력값'!C94*100*(3/12))+('입력값'!C95*100*(3/12)*(1+'입력값'!D95/100)^5)+('입력값'!C96*100*(3/12)*(1+'입력값'!D96/100)^5)+('입력값'!C97*100*(3/12)*(1+'입력값'!D97/100)^5)+('입력값'!C98*100*(3/12))+('입력값'!C99*100*(3/12))+('입력값'!C100*100*(3/12))+('입력값'!C101*100*(3/12))+('입력값'!C102*100*(3/12)))))</f>
      </c>
      <c r="AI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I110+'입력값'!AI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J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J110+'입력값'!AJ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K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K110+'입력값'!AK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L20" s="33">
        <f>-(IF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=0,0,('입력값'!AL110+'입력값'!AL111)*('입력값'!C102*100*(3/12))/(('입력값'!C91*100*(3/12))+('입력값'!C92*100*(3/12)*(1+'입력값'!D92/100)^6)+('입력값'!C93*100*(3/12))+('입력값'!C94*100*(3/12))+('입력값'!C95*100*(3/12)*(1+'입력값'!D95/100)^6)+('입력값'!C96*100*(3/12)*(1+'입력값'!D96/100)^6)+('입력값'!C97*100*(3/12)*(1+'입력값'!D97/100)^6)+('입력값'!C98*100*(3/12))+('입력값'!C99*100*(3/12))+('입력값'!C100*100*(3/12))+('입력값'!C101*100*(3/12))+('입력값'!C102*100*(3/12)))))</f>
      </c>
      <c r="AM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M110+'입력값'!AM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N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N110+'입력값'!AN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O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O110+'입력값'!AO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P20" s="33">
        <f>-(IF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=0,0,('입력값'!AP110+'입력값'!AP111)*('입력값'!C102*100*(3/12))/(('입력값'!C91*100*(3/12))+('입력값'!C92*100*(3/12)*(1+'입력값'!D92/100)^7)+('입력값'!C93*100*(3/12))+('입력값'!C94*100*(3/12))+('입력값'!C95*100*(3/12)*(1+'입력값'!D95/100)^7)+('입력값'!C96*100*(3/12)*(1+'입력값'!D96/100)^7)+('입력값'!C97*100*(3/12)*(1+'입력값'!D97/100)^7)+('입력값'!C98*100*(3/12))+('입력값'!C99*100*(3/12))+('입력값'!C100*100*(3/12))+('입력값'!C101*100*(3/12))+('입력값'!C102*100*(3/12)))))</f>
      </c>
      <c r="AQ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Q110+'입력값'!AQ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R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R110+'입력값'!AR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S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S110+'입력값'!AS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T20" s="33">
        <f>-(IF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=0,0,('입력값'!AT110+'입력값'!AT111)*('입력값'!C102*100*(3/12))/(('입력값'!C91*100*(3/12))+('입력값'!C92*100*(3/12)*(1+'입력값'!D92/100)^8)+('입력값'!C93*100*(3/12))+('입력값'!C94*100*(3/12))+('입력값'!C95*100*(3/12)*(1+'입력값'!D95/100)^8)+('입력값'!C96*100*(3/12)*(1+'입력값'!D96/100)^8)+('입력값'!C97*100*(3/12)*(1+'입력값'!D97/100)^8)+('입력값'!C98*100*(3/12))+('입력값'!C99*100*(3/12))+('입력값'!C100*100*(3/12))+('입력값'!C101*100*(3/12))+('입력값'!C102*100*(3/12)))))</f>
      </c>
      <c r="AU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U110+'입력값'!AU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V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V110+'입력값'!AV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W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W110+'입력값'!AW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X20" s="33">
        <f>-(IF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=0,0,('입력값'!AX110+'입력값'!AX111)*('입력값'!C102*100*(3/12))/(('입력값'!C91*100*(3/12))+('입력값'!C92*100*(3/12)*(1+'입력값'!D92/100)^9)+('입력값'!C93*100*(3/12))+('입력값'!C94*100*(3/12))+('입력값'!C95*100*(3/12)*(1+'입력값'!D95/100)^9)+('입력값'!C96*100*(3/12)*(1+'입력값'!D96/100)^9)+('입력값'!C97*100*(3/12)*(1+'입력값'!D97/100)^9)+('입력값'!C98*100*(3/12))+('입력값'!C99*100*(3/12))+('입력값'!C100*100*(3/12))+('입력값'!C101*100*(3/12))+('입력값'!C102*100*(3/12)))))</f>
      </c>
      <c r="AY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Y110+'입력값'!AY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AZ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AZ110+'입력값'!AZ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A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A110+'입력값'!BA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B20" s="33">
        <f>-(IF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=0,0,('입력값'!BB110+'입력값'!BB111)*('입력값'!C102*100*(3/12))/(('입력값'!C91*100*(3/12))+('입력값'!C92*100*(3/12)*(1+'입력값'!D92/100)^10)+('입력값'!C93*100*(3/12))+('입력값'!C94*100*(3/12))+('입력값'!C95*100*(3/12)*(1+'입력값'!D95/100)^10)+('입력값'!C96*100*(3/12)*(1+'입력값'!D96/100)^10)+('입력값'!C97*100*(3/12)*(1+'입력값'!D97/100)^10)+('입력값'!C98*100*(3/12))+('입력값'!C99*100*(3/12))+('입력값'!C100*100*(3/12))+('입력값'!C101*100*(3/12))+('입력값'!C102*100*(3/12)))))</f>
      </c>
      <c r="BC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C110+'입력값'!BC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D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D110+'입력값'!BD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E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E110+'입력값'!BE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F20" s="33">
        <f>-(IF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=0,0,('입력값'!BF110+'입력값'!BF111)*('입력값'!C102*100*(3/12))/(('입력값'!C91*100*(3/12))+('입력값'!C92*100*(3/12)*(1+'입력값'!D92/100)^11)+('입력값'!C93*100*(3/12))+('입력값'!C94*100*(3/12))+('입력값'!C95*100*(3/12)*(1+'입력값'!D95/100)^11)+('입력값'!C96*100*(3/12)*(1+'입력값'!D96/100)^11)+('입력값'!C97*100*(3/12)*(1+'입력값'!D97/100)^11)+('입력값'!C98*100*(3/12))+('입력값'!C99*100*(3/12))+('입력값'!C100*100*(3/12))+('입력값'!C101*100*(3/12))+('입력값'!C102*100*(3/12)))))</f>
      </c>
      <c r="BG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G110+'입력값'!BG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H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H110+'입력값'!BH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I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I110+'입력값'!BI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J20" s="33">
        <f>-(IF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=0,0,('입력값'!BJ110+'입력값'!BJ111)*('입력값'!C102*100*(3/12))/(('입력값'!C91*100*(3/12))+('입력값'!C92*100*(3/12)*(1+'입력값'!D92/100)^12)+('입력값'!C93*100*(3/12))+('입력값'!C94*100*(3/12))+('입력값'!C95*100*(3/12)*(1+'입력값'!D95/100)^12)+('입력값'!C96*100*(3/12)*(1+'입력값'!D96/100)^12)+('입력값'!C97*100*(3/12)*(1+'입력값'!D97/100)^12)+('입력값'!C98*100*(3/12))+('입력값'!C99*100*(3/12))+('입력값'!C100*100*(3/12))+('입력값'!C101*100*(3/12))+('입력값'!C102*100*(3/12)))))</f>
      </c>
      <c r="BK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K110+'입력값'!BK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L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L110+'입력값'!BL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M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M110+'입력값'!BM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N20" s="33">
        <f>-(IF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=0,0,('입력값'!BN110+'입력값'!BN111)*('입력값'!C102*100*(3/12))/(('입력값'!C91*100*(3/12))+('입력값'!C92*100*(3/12)*(1+'입력값'!D92/100)^13)+('입력값'!C93*100*(3/12))+('입력값'!C94*100*(3/12))+('입력값'!C95*100*(3/12)*(1+'입력값'!D95/100)^13)+('입력값'!C96*100*(3/12)*(1+'입력값'!D96/100)^13)+('입력값'!C97*100*(3/12)*(1+'입력값'!D97/100)^13)+('입력값'!C98*100*(3/12))+('입력값'!C99*100*(3/12))+('입력값'!C100*100*(3/12))+('입력값'!C101*100*(3/12))+('입력값'!C102*100*(3/12)))))</f>
      </c>
      <c r="BO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O110+'입력값'!BO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P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P110+'입력값'!BP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Q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Q110+'입력값'!BQ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R20" s="33">
        <f>-(IF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=0,0,('입력값'!BR110+'입력값'!BR111)*('입력값'!C102*100*(3/12))/(('입력값'!C91*100*(3/12))+('입력값'!C92*100*(3/12)*(1+'입력값'!D92/100)^14)+('입력값'!C93*100*(3/12))+('입력값'!C94*100*(3/12))+('입력값'!C95*100*(3/12)*(1+'입력값'!D95/100)^14)+('입력값'!C96*100*(3/12)*(1+'입력값'!D96/100)^14)+('입력값'!C97*100*(3/12)*(1+'입력값'!D97/100)^14)+('입력값'!C98*100*(3/12))+('입력값'!C99*100*(3/12))+('입력값'!C100*100*(3/12))+('입력값'!C101*100*(3/12))+('입력값'!C102*100*(3/12)))))</f>
      </c>
      <c r="BS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S110+'입력값'!BS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T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T110+'입력값'!BT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U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U110+'입력값'!BU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V20" s="33">
        <f>-(IF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=0,0,('입력값'!BV110+'입력값'!BV111)*('입력값'!C102*100*(3/12))/(('입력값'!C91*100*(3/12))+('입력값'!C92*100*(3/12)*(1+'입력값'!D92/100)^15)+('입력값'!C93*100*(3/12))+('입력값'!C94*100*(3/12))+('입력값'!C95*100*(3/12)*(1+'입력값'!D95/100)^15)+('입력값'!C96*100*(3/12)*(1+'입력값'!D96/100)^15)+('입력값'!C97*100*(3/12)*(1+'입력값'!D97/100)^15)+('입력값'!C98*100*(3/12))+('입력값'!C99*100*(3/12))+('입력값'!C100*100*(3/12))+('입력값'!C101*100*(3/12))+('입력값'!C102*100*(3/12)))))</f>
      </c>
      <c r="BW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W110+'입력값'!BW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X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X110+'입력값'!BX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Y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Y110+'입력값'!BY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BZ20" s="33">
        <f>-(IF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=0,0,('입력값'!BZ110+'입력값'!BZ111)*('입력값'!C102*100*(3/12))/(('입력값'!C91*100*(3/12))+('입력값'!C92*100*(3/12)*(1+'입력값'!D92/100)^16)+('입력값'!C93*100*(3/12))+('입력값'!C94*100*(3/12))+('입력값'!C95*100*(3/12)*(1+'입력값'!D95/100)^16)+('입력값'!C96*100*(3/12)*(1+'입력값'!D96/100)^16)+('입력값'!C97*100*(3/12)*(1+'입력값'!D97/100)^16)+('입력값'!C98*100*(3/12))+('입력값'!C99*100*(3/12))+('입력값'!C100*100*(3/12))+('입력값'!C101*100*(3/12))+('입력값'!C102*100*(3/12)))))</f>
      </c>
      <c r="CA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A110+'입력값'!CA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B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B110+'입력값'!CB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C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C110+'입력값'!CC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D20" s="33">
        <f>-(IF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=0,0,('입력값'!CD110+'입력값'!CD111)*('입력값'!C102*100*(3/12))/(('입력값'!C91*100*(3/12))+('입력값'!C92*100*(3/12)*(1+'입력값'!D92/100)^17)+('입력값'!C93*100*(3/12))+('입력값'!C94*100*(3/12))+('입력값'!C95*100*(3/12)*(1+'입력값'!D95/100)^17)+('입력값'!C96*100*(3/12)*(1+'입력값'!D96/100)^17)+('입력값'!C97*100*(3/12)*(1+'입력값'!D97/100)^17)+('입력값'!C98*100*(3/12))+('입력값'!C99*100*(3/12))+('입력값'!C100*100*(3/12))+('입력값'!C101*100*(3/12))+('입력값'!C102*100*(3/12)))))</f>
      </c>
      <c r="CE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E110+'입력값'!CE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F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F110+'입력값'!CF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G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G110+'입력값'!CG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H20" s="33">
        <f>-(IF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=0,0,('입력값'!CH110+'입력값'!CH111)*('입력값'!C102*100*(3/12))/(('입력값'!C91*100*(3/12))+('입력값'!C92*100*(3/12)*(1+'입력값'!D92/100)^18)+('입력값'!C93*100*(3/12))+('입력값'!C94*100*(3/12))+('입력값'!C95*100*(3/12)*(1+'입력값'!D95/100)^18)+('입력값'!C96*100*(3/12)*(1+'입력값'!D96/100)^18)+('입력값'!C97*100*(3/12)*(1+'입력값'!D97/100)^18)+('입력값'!C98*100*(3/12))+('입력값'!C99*100*(3/12))+('입력값'!C100*100*(3/12))+('입력값'!C101*100*(3/12))+('입력값'!C102*100*(3/12)))))</f>
      </c>
      <c r="CI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I110+'입력값'!CI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J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J110+'입력값'!CJ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K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K110+'입력값'!CK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  <c r="CL20" s="33">
        <f>-(IF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=0,0,('입력값'!CL110+'입력값'!CL111)*('입력값'!C102*100*(3/12))/(('입력값'!C91*100*(3/12))+('입력값'!C92*100*(3/12)*(1+'입력값'!D92/100)^19)+('입력값'!C93*100*(3/12))+('입력값'!C94*100*(3/12))+('입력값'!C95*100*(3/12)*(1+'입력값'!D95/100)^19)+('입력값'!C96*100*(3/12)*(1+'입력값'!D96/100)^19)+('입력값'!C97*100*(3/12)*(1+'입력값'!D97/100)^19)+('입력값'!C98*100*(3/12))+('입력값'!C99*100*(3/12))+('입력값'!C100*100*(3/12))+('입력값'!C101*100*(3/12))+('입력값'!C102*100*(3/12)))))</f>
      </c>
    </row>
    <row r="22" spans="2:90" x14ac:dyDescent="0.25">
      <c r="B22" s="29" t="s">
        <v>285</v>
      </c>
      <c r="C22" s="30" t="s">
        <v>224</v>
      </c>
      <c r="D22" s="33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f>'입력값'!K110</f>
      </c>
      <c r="L22" s="33">
        <f>'입력값'!L110</f>
      </c>
      <c r="M22" s="33">
        <f>'입력값'!M110</f>
      </c>
      <c r="N22" s="33">
        <f>'입력값'!N110</f>
      </c>
      <c r="O22" s="33">
        <f>'입력값'!O110</f>
      </c>
      <c r="P22" s="33">
        <f>'입력값'!P110</f>
      </c>
      <c r="Q22" s="33">
        <f>'입력값'!Q110</f>
      </c>
      <c r="R22" s="33">
        <f>'입력값'!R110</f>
      </c>
      <c r="S22" s="33">
        <f>'입력값'!S110</f>
      </c>
      <c r="T22" s="33">
        <f>'입력값'!T110</f>
      </c>
      <c r="U22" s="33">
        <f>'입력값'!U110</f>
      </c>
      <c r="V22" s="33">
        <f>'입력값'!V110</f>
      </c>
      <c r="W22" s="33">
        <f>'입력값'!W110</f>
      </c>
      <c r="X22" s="33">
        <f>'입력값'!X110</f>
      </c>
      <c r="Y22" s="33">
        <f>'입력값'!Y110</f>
      </c>
      <c r="Z22" s="33">
        <f>'입력값'!Z110</f>
      </c>
      <c r="AA22" s="33">
        <f>'입력값'!AA110</f>
      </c>
      <c r="AB22" s="33">
        <f>'입력값'!AB110</f>
      </c>
      <c r="AC22" s="33">
        <f>'입력값'!AC110</f>
      </c>
      <c r="AD22" s="33">
        <f>'입력값'!AD110</f>
      </c>
      <c r="AE22" s="33">
        <f>'입력값'!AE110</f>
      </c>
      <c r="AF22" s="33">
        <f>'입력값'!AF110</f>
      </c>
      <c r="AG22" s="33">
        <f>'입력값'!AG110</f>
      </c>
      <c r="AH22" s="33">
        <f>'입력값'!AH110</f>
      </c>
      <c r="AI22" s="33">
        <f>'입력값'!AI110</f>
      </c>
      <c r="AJ22" s="33">
        <f>'입력값'!AJ110</f>
      </c>
      <c r="AK22" s="33">
        <f>'입력값'!AK110</f>
      </c>
      <c r="AL22" s="33">
        <f>'입력값'!AL110</f>
      </c>
      <c r="AM22" s="33">
        <f>'입력값'!AM110</f>
      </c>
      <c r="AN22" s="33">
        <f>'입력값'!AN110</f>
      </c>
      <c r="AO22" s="33">
        <f>'입력값'!AO110</f>
      </c>
      <c r="AP22" s="33">
        <f>'입력값'!AP110</f>
      </c>
      <c r="AQ22" s="33">
        <f>'입력값'!AQ110</f>
      </c>
      <c r="AR22" s="33">
        <f>'입력값'!AR110</f>
      </c>
      <c r="AS22" s="33">
        <f>'입력값'!AS110</f>
      </c>
      <c r="AT22" s="33">
        <f>'입력값'!AT110</f>
      </c>
      <c r="AU22" s="33">
        <f>'입력값'!AU110</f>
      </c>
      <c r="AV22" s="33">
        <f>'입력값'!AV110</f>
      </c>
      <c r="AW22" s="33">
        <f>'입력값'!AW110</f>
      </c>
      <c r="AX22" s="33">
        <f>'입력값'!AX110</f>
      </c>
      <c r="AY22" s="33">
        <f>'입력값'!AY110</f>
      </c>
      <c r="AZ22" s="33">
        <f>'입력값'!AZ110</f>
      </c>
      <c r="BA22" s="33">
        <f>'입력값'!BA110</f>
      </c>
      <c r="BB22" s="33">
        <f>'입력값'!BB110</f>
      </c>
      <c r="BC22" s="33">
        <f>'입력값'!BC110</f>
      </c>
      <c r="BD22" s="33">
        <f>'입력값'!BD110</f>
      </c>
      <c r="BE22" s="33">
        <f>'입력값'!BE110</f>
      </c>
      <c r="BF22" s="33">
        <f>'입력값'!BF110</f>
      </c>
      <c r="BG22" s="33">
        <f>'입력값'!BG110</f>
      </c>
      <c r="BH22" s="33">
        <f>'입력값'!BH110</f>
      </c>
      <c r="BI22" s="33">
        <f>'입력값'!BI110</f>
      </c>
      <c r="BJ22" s="33">
        <f>'입력값'!BJ110</f>
      </c>
      <c r="BK22" s="33">
        <f>'입력값'!BK110</f>
      </c>
      <c r="BL22" s="33">
        <f>'입력값'!BL110</f>
      </c>
      <c r="BM22" s="33">
        <f>'입력값'!BM110</f>
      </c>
      <c r="BN22" s="33">
        <f>'입력값'!BN110</f>
      </c>
      <c r="BO22" s="33">
        <f>'입력값'!BO110</f>
      </c>
      <c r="BP22" s="33">
        <f>'입력값'!BP110</f>
      </c>
      <c r="BQ22" s="33">
        <f>'입력값'!BQ110</f>
      </c>
      <c r="BR22" s="33">
        <f>'입력값'!BR110</f>
      </c>
      <c r="BS22" s="33">
        <f>'입력값'!BS110</f>
      </c>
      <c r="BT22" s="33">
        <f>'입력값'!BT110</f>
      </c>
      <c r="BU22" s="33">
        <f>'입력값'!BU110</f>
      </c>
      <c r="BV22" s="33">
        <f>'입력값'!BV110</f>
      </c>
      <c r="BW22" s="33">
        <f>'입력값'!BW110</f>
      </c>
      <c r="BX22" s="33">
        <f>'입력값'!BX110</f>
      </c>
      <c r="BY22" s="33">
        <f>'입력값'!BY110</f>
      </c>
      <c r="BZ22" s="33">
        <f>'입력값'!BZ110</f>
      </c>
      <c r="CA22" s="33">
        <f>'입력값'!CA110</f>
      </c>
      <c r="CB22" s="33">
        <f>'입력값'!CB110</f>
      </c>
      <c r="CC22" s="33">
        <f>'입력값'!CC110</f>
      </c>
      <c r="CD22" s="33">
        <f>'입력값'!CD110</f>
      </c>
      <c r="CE22" s="33">
        <f>'입력값'!CE110</f>
      </c>
      <c r="CF22" s="33">
        <f>'입력값'!CF110</f>
      </c>
      <c r="CG22" s="33">
        <f>'입력값'!CG110</f>
      </c>
      <c r="CH22" s="33">
        <f>'입력값'!CH110</f>
      </c>
      <c r="CI22" s="33">
        <f>'입력값'!CI110</f>
      </c>
      <c r="CJ22" s="33">
        <f>'입력값'!CJ110</f>
      </c>
      <c r="CK22" s="33">
        <f>'입력값'!CK110</f>
      </c>
      <c r="CL22" s="33">
        <f>'입력값'!CL110</f>
      </c>
    </row>
    <row r="23" spans="2:90" x14ac:dyDescent="0.25">
      <c r="B23" s="29" t="s">
        <v>286</v>
      </c>
      <c r="C23" s="30" t="s">
        <v>224</v>
      </c>
      <c r="D23" s="33">
        <f>SUM(E23:CL23)</f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f>'입력값'!K111</f>
      </c>
      <c r="L23" s="33">
        <f>'입력값'!L111</f>
      </c>
      <c r="M23" s="33">
        <f>'입력값'!M111</f>
      </c>
      <c r="N23" s="33">
        <f>'입력값'!N111</f>
      </c>
      <c r="O23" s="33">
        <f>'입력값'!O111</f>
      </c>
      <c r="P23" s="33">
        <f>'입력값'!P111</f>
      </c>
      <c r="Q23" s="33">
        <f>'입력값'!Q111</f>
      </c>
      <c r="R23" s="33">
        <f>'입력값'!R111</f>
      </c>
      <c r="S23" s="33">
        <f>'입력값'!S111</f>
      </c>
      <c r="T23" s="33">
        <f>'입력값'!T111</f>
      </c>
      <c r="U23" s="33">
        <f>'입력값'!U111</f>
      </c>
      <c r="V23" s="33">
        <f>'입력값'!V111</f>
      </c>
      <c r="W23" s="33">
        <f>'입력값'!W111</f>
      </c>
      <c r="X23" s="33">
        <f>'입력값'!X111</f>
      </c>
      <c r="Y23" s="33">
        <f>'입력값'!Y111</f>
      </c>
      <c r="Z23" s="33">
        <f>'입력값'!Z111</f>
      </c>
      <c r="AA23" s="33">
        <f>'입력값'!AA111</f>
      </c>
      <c r="AB23" s="33">
        <f>'입력값'!AB111</f>
      </c>
      <c r="AC23" s="33">
        <f>'입력값'!AC111</f>
      </c>
      <c r="AD23" s="33">
        <f>'입력값'!AD111</f>
      </c>
      <c r="AE23" s="33">
        <f>'입력값'!AE111</f>
      </c>
      <c r="AF23" s="33">
        <f>'입력값'!AF111</f>
      </c>
      <c r="AG23" s="33">
        <f>'입력값'!AG111</f>
      </c>
      <c r="AH23" s="33">
        <f>'입력값'!AH111</f>
      </c>
      <c r="AI23" s="33">
        <f>'입력값'!AI111</f>
      </c>
      <c r="AJ23" s="33">
        <f>'입력값'!AJ111</f>
      </c>
      <c r="AK23" s="33">
        <f>'입력값'!AK111</f>
      </c>
      <c r="AL23" s="33">
        <f>'입력값'!AL111</f>
      </c>
      <c r="AM23" s="33">
        <f>'입력값'!AM111</f>
      </c>
      <c r="AN23" s="33">
        <f>'입력값'!AN111</f>
      </c>
      <c r="AO23" s="33">
        <f>'입력값'!AO111</f>
      </c>
      <c r="AP23" s="33">
        <f>'입력값'!AP111</f>
      </c>
      <c r="AQ23" s="33">
        <f>'입력값'!AQ111</f>
      </c>
      <c r="AR23" s="33">
        <f>'입력값'!AR111</f>
      </c>
      <c r="AS23" s="33">
        <f>'입력값'!AS111</f>
      </c>
      <c r="AT23" s="33">
        <f>'입력값'!AT111</f>
      </c>
      <c r="AU23" s="33">
        <f>'입력값'!AU111</f>
      </c>
      <c r="AV23" s="33">
        <f>'입력값'!AV111</f>
      </c>
      <c r="AW23" s="33">
        <f>'입력값'!AW111</f>
      </c>
      <c r="AX23" s="33">
        <f>'입력값'!AX111</f>
      </c>
      <c r="AY23" s="33">
        <f>'입력값'!AY111</f>
      </c>
      <c r="AZ23" s="33">
        <f>'입력값'!AZ111</f>
      </c>
      <c r="BA23" s="33">
        <f>'입력값'!BA111</f>
      </c>
      <c r="BB23" s="33">
        <f>'입력값'!BB111</f>
      </c>
      <c r="BC23" s="33">
        <f>'입력값'!BC111</f>
      </c>
      <c r="BD23" s="33">
        <f>'입력값'!BD111</f>
      </c>
      <c r="BE23" s="33">
        <f>'입력값'!BE111</f>
      </c>
      <c r="BF23" s="33">
        <f>'입력값'!BF111</f>
      </c>
      <c r="BG23" s="33">
        <f>'입력값'!BG111</f>
      </c>
      <c r="BH23" s="33">
        <f>'입력값'!BH111</f>
      </c>
      <c r="BI23" s="33">
        <f>'입력값'!BI111</f>
      </c>
      <c r="BJ23" s="33">
        <f>'입력값'!BJ111</f>
      </c>
      <c r="BK23" s="33">
        <f>'입력값'!BK111</f>
      </c>
      <c r="BL23" s="33">
        <f>'입력값'!BL111</f>
      </c>
      <c r="BM23" s="33">
        <f>'입력값'!BM111</f>
      </c>
      <c r="BN23" s="33">
        <f>'입력값'!BN111</f>
      </c>
      <c r="BO23" s="33">
        <f>'입력값'!BO111</f>
      </c>
      <c r="BP23" s="33">
        <f>'입력값'!BP111</f>
      </c>
      <c r="BQ23" s="33">
        <f>'입력값'!BQ111</f>
      </c>
      <c r="BR23" s="33">
        <f>'입력값'!BR111</f>
      </c>
      <c r="BS23" s="33">
        <f>'입력값'!BS111</f>
      </c>
      <c r="BT23" s="33">
        <f>'입력값'!BT111</f>
      </c>
      <c r="BU23" s="33">
        <f>'입력값'!BU111</f>
      </c>
      <c r="BV23" s="33">
        <f>'입력값'!BV111</f>
      </c>
      <c r="BW23" s="33">
        <f>'입력값'!BW111</f>
      </c>
      <c r="BX23" s="33">
        <f>'입력값'!BX111</f>
      </c>
      <c r="BY23" s="33">
        <f>'입력값'!BY111</f>
      </c>
      <c r="BZ23" s="33">
        <f>'입력값'!BZ111</f>
      </c>
      <c r="CA23" s="33">
        <f>'입력값'!CA111</f>
      </c>
      <c r="CB23" s="33">
        <f>'입력값'!CB111</f>
      </c>
      <c r="CC23" s="33">
        <f>'입력값'!CC111</f>
      </c>
      <c r="CD23" s="33">
        <f>'입력값'!CD111</f>
      </c>
      <c r="CE23" s="33">
        <f>'입력값'!CE111</f>
      </c>
      <c r="CF23" s="33">
        <f>'입력값'!CF111</f>
      </c>
      <c r="CG23" s="33">
        <f>'입력값'!CG111</f>
      </c>
      <c r="CH23" s="33">
        <f>'입력값'!CH111</f>
      </c>
      <c r="CI23" s="33">
        <f>'입력값'!CI111</f>
      </c>
      <c r="CJ23" s="33">
        <f>'입력값'!CJ111</f>
      </c>
      <c r="CK23" s="33">
        <f>'입력값'!CK111</f>
      </c>
      <c r="CL23" s="33">
        <f>'입력값'!CL111</f>
      </c>
    </row>
    <row r="24" spans="2:91" x14ac:dyDescent="0.25">
      <c r="B24" s="41" t="s">
        <v>287</v>
      </c>
      <c r="C24" s="45" t="s">
        <v>224</v>
      </c>
      <c r="D24" s="40">
        <f>SUM(E24:CL24)</f>
      </c>
      <c r="E24" s="40">
        <f>E22+E23</f>
      </c>
      <c r="F24" s="40">
        <f>F22+F23</f>
      </c>
      <c r="G24" s="40">
        <f>G22+G23</f>
      </c>
      <c r="H24" s="40">
        <f>H22+H23</f>
      </c>
      <c r="I24" s="40">
        <f>I22+I23</f>
      </c>
      <c r="J24" s="40">
        <f>J22+J23</f>
      </c>
      <c r="K24" s="40">
        <f>K22+K23</f>
      </c>
      <c r="L24" s="40">
        <f>L22+L23</f>
      </c>
      <c r="M24" s="40">
        <f>M22+M23</f>
      </c>
      <c r="N24" s="40">
        <f>N22+N23</f>
      </c>
      <c r="O24" s="40">
        <f>O22+O23</f>
      </c>
      <c r="P24" s="40">
        <f>P22+P23</f>
      </c>
      <c r="Q24" s="40">
        <f>Q22+Q23</f>
      </c>
      <c r="R24" s="40">
        <f>R22+R23</f>
      </c>
      <c r="S24" s="40">
        <f>S22+S23</f>
      </c>
      <c r="T24" s="40">
        <f>T22+T23</f>
      </c>
      <c r="U24" s="40">
        <f>U22+U23</f>
      </c>
      <c r="V24" s="40">
        <f>V22+V23</f>
      </c>
      <c r="W24" s="40">
        <f>W22+W23</f>
      </c>
      <c r="X24" s="40">
        <f>X22+X23</f>
      </c>
      <c r="Y24" s="40">
        <f>Y22+Y23</f>
      </c>
      <c r="Z24" s="40">
        <f>Z22+Z23</f>
      </c>
      <c r="AA24" s="40">
        <f>AA22+AA23</f>
      </c>
      <c r="AB24" s="40">
        <f>AB22+AB23</f>
      </c>
      <c r="AC24" s="40">
        <f>AC22+AC23</f>
      </c>
      <c r="AD24" s="40">
        <f>AD22+AD23</f>
      </c>
      <c r="AE24" s="40">
        <f>AE22+AE23</f>
      </c>
      <c r="AF24" s="40">
        <f>AF22+AF23</f>
      </c>
      <c r="AG24" s="40">
        <f>AG22+AG23</f>
      </c>
      <c r="AH24" s="40">
        <f>AH22+AH23</f>
      </c>
      <c r="AI24" s="40">
        <f>AI22+AI23</f>
      </c>
      <c r="AJ24" s="40">
        <f>AJ22+AJ23</f>
      </c>
      <c r="AK24" s="40">
        <f>AK22+AK23</f>
      </c>
      <c r="AL24" s="40">
        <f>AL22+AL23</f>
      </c>
      <c r="AM24" s="40">
        <f>AM22+AM23</f>
      </c>
      <c r="AN24" s="40">
        <f>AN22+AN23</f>
      </c>
      <c r="AO24" s="40">
        <f>AO22+AO23</f>
      </c>
      <c r="AP24" s="40">
        <f>AP22+AP23</f>
      </c>
      <c r="AQ24" s="40">
        <f>AQ22+AQ23</f>
      </c>
      <c r="AR24" s="40">
        <f>AR22+AR23</f>
      </c>
      <c r="AS24" s="40">
        <f>AS22+AS23</f>
      </c>
      <c r="AT24" s="40">
        <f>AT22+AT23</f>
      </c>
      <c r="AU24" s="40">
        <f>AU22+AU23</f>
      </c>
      <c r="AV24" s="40">
        <f>AV22+AV23</f>
      </c>
      <c r="AW24" s="40">
        <f>AW22+AW23</f>
      </c>
      <c r="AX24" s="40">
        <f>AX22+AX23</f>
      </c>
      <c r="AY24" s="40">
        <f>AY22+AY23</f>
      </c>
      <c r="AZ24" s="40">
        <f>AZ22+AZ23</f>
      </c>
      <c r="BA24" s="40">
        <f>BA22+BA23</f>
      </c>
      <c r="BB24" s="40">
        <f>BB22+BB23</f>
      </c>
      <c r="BC24" s="40">
        <f>BC22+BC23</f>
      </c>
      <c r="BD24" s="40">
        <f>BD22+BD23</f>
      </c>
      <c r="BE24" s="40">
        <f>BE22+BE23</f>
      </c>
      <c r="BF24" s="40">
        <f>BF22+BF23</f>
      </c>
      <c r="BG24" s="40">
        <f>BG22+BG23</f>
      </c>
      <c r="BH24" s="40">
        <f>BH22+BH23</f>
      </c>
      <c r="BI24" s="40">
        <f>BI22+BI23</f>
      </c>
      <c r="BJ24" s="40">
        <f>BJ22+BJ23</f>
      </c>
      <c r="BK24" s="40">
        <f>BK22+BK23</f>
      </c>
      <c r="BL24" s="40">
        <f>BL22+BL23</f>
      </c>
      <c r="BM24" s="40">
        <f>BM22+BM23</f>
      </c>
      <c r="BN24" s="40">
        <f>BN22+BN23</f>
      </c>
      <c r="BO24" s="40">
        <f>BO22+BO23</f>
      </c>
      <c r="BP24" s="40">
        <f>BP22+BP23</f>
      </c>
      <c r="BQ24" s="40">
        <f>BQ22+BQ23</f>
      </c>
      <c r="BR24" s="40">
        <f>BR22+BR23</f>
      </c>
      <c r="BS24" s="40">
        <f>BS22+BS23</f>
      </c>
      <c r="BT24" s="40">
        <f>BT22+BT23</f>
      </c>
      <c r="BU24" s="40">
        <f>BU22+BU23</f>
      </c>
      <c r="BV24" s="40">
        <f>BV22+BV23</f>
      </c>
      <c r="BW24" s="40">
        <f>BW22+BW23</f>
      </c>
      <c r="BX24" s="40">
        <f>BX22+BX23</f>
      </c>
      <c r="BY24" s="40">
        <f>BY22+BY23</f>
      </c>
      <c r="BZ24" s="40">
        <f>BZ22+BZ23</f>
      </c>
      <c r="CA24" s="40">
        <f>CA22+CA23</f>
      </c>
      <c r="CB24" s="40">
        <f>CB22+CB23</f>
      </c>
      <c r="CC24" s="40">
        <f>CC22+CC23</f>
      </c>
      <c r="CD24" s="40">
        <f>CD22+CD23</f>
      </c>
      <c r="CE24" s="40">
        <f>CE22+CE23</f>
      </c>
      <c r="CF24" s="40">
        <f>CF22+CF23</f>
      </c>
      <c r="CG24" s="40">
        <f>CG22+CG23</f>
      </c>
      <c r="CH24" s="40">
        <f>CH22+CH23</f>
      </c>
      <c r="CI24" s="40">
        <f>CI22+CI23</f>
      </c>
      <c r="CJ24" s="40">
        <f>CJ22+CJ23</f>
      </c>
      <c r="CK24" s="40">
        <f>CK22+CK23</f>
      </c>
      <c r="CL24" s="40">
        <f>CL22+CL23</f>
      </c>
      <c r="CM24" s="42"/>
    </row>
    <row r="26" spans="2:2" x14ac:dyDescent="0.25">
      <c r="B26" s="34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289</v>
      </c>
    </row>
    <row r="4" spans="2:91" x14ac:dyDescent="0.25">
      <c r="B4" s="9" t="s">
        <v>290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8" spans="2:90" x14ac:dyDescent="0.25">
      <c r="B8" s="43" t="s">
        <v>268</v>
      </c>
      <c r="C8" s="30" t="s">
        <v>224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3" t="s">
        <v>291</v>
      </c>
    </row>
    <row r="11" spans="2:90" x14ac:dyDescent="0.25">
      <c r="B11" s="29" t="s">
        <v>273</v>
      </c>
      <c r="C11" s="30" t="s">
        <v>224</v>
      </c>
      <c r="D11" s="33">
        <f>SUM(E11:CL11)</f>
      </c>
      <c r="E11" s="33">
        <f>'Opex'!E9</f>
      </c>
      <c r="F11" s="33">
        <f>'Opex'!F9</f>
      </c>
      <c r="G11" s="33">
        <f>'Opex'!G9</f>
      </c>
      <c r="H11" s="33">
        <f>'Opex'!H9</f>
      </c>
      <c r="I11" s="33">
        <f>'Opex'!I9</f>
      </c>
      <c r="J11" s="33">
        <f>'Opex'!J9</f>
      </c>
      <c r="K11" s="33">
        <f>'Opex'!K9</f>
      </c>
      <c r="L11" s="33">
        <f>'Opex'!L9</f>
      </c>
      <c r="M11" s="33">
        <f>'Opex'!M9</f>
      </c>
      <c r="N11" s="33">
        <f>'Opex'!N9</f>
      </c>
      <c r="O11" s="33">
        <f>'Opex'!O9</f>
      </c>
      <c r="P11" s="33">
        <f>'Opex'!P9</f>
      </c>
      <c r="Q11" s="33">
        <f>'Opex'!Q9</f>
      </c>
      <c r="R11" s="33">
        <f>'Opex'!R9</f>
      </c>
      <c r="S11" s="33">
        <f>'Opex'!S9</f>
      </c>
      <c r="T11" s="33">
        <f>'Opex'!T9</f>
      </c>
      <c r="U11" s="33">
        <f>'Opex'!U9</f>
      </c>
      <c r="V11" s="33">
        <f>'Opex'!V9</f>
      </c>
      <c r="W11" s="33">
        <f>'Opex'!W9</f>
      </c>
      <c r="X11" s="33">
        <f>'Opex'!X9</f>
      </c>
      <c r="Y11" s="33">
        <f>'Opex'!Y9</f>
      </c>
      <c r="Z11" s="33">
        <f>'Opex'!Z9</f>
      </c>
      <c r="AA11" s="33">
        <f>'Opex'!AA9</f>
      </c>
      <c r="AB11" s="33">
        <f>'Opex'!AB9</f>
      </c>
      <c r="AC11" s="33">
        <f>'Opex'!AC9</f>
      </c>
      <c r="AD11" s="33">
        <f>'Opex'!AD9</f>
      </c>
      <c r="AE11" s="33">
        <f>'Opex'!AE9</f>
      </c>
      <c r="AF11" s="33">
        <f>'Opex'!AF9</f>
      </c>
      <c r="AG11" s="33">
        <f>'Opex'!AG9</f>
      </c>
      <c r="AH11" s="33">
        <f>'Opex'!AH9</f>
      </c>
      <c r="AI11" s="33">
        <f>'Opex'!AI9</f>
      </c>
      <c r="AJ11" s="33">
        <f>'Opex'!AJ9</f>
      </c>
      <c r="AK11" s="33">
        <f>'Opex'!AK9</f>
      </c>
      <c r="AL11" s="33">
        <f>'Opex'!AL9</f>
      </c>
      <c r="AM11" s="33">
        <f>'Opex'!AM9</f>
      </c>
      <c r="AN11" s="33">
        <f>'Opex'!AN9</f>
      </c>
      <c r="AO11" s="33">
        <f>'Opex'!AO9</f>
      </c>
      <c r="AP11" s="33">
        <f>'Opex'!AP9</f>
      </c>
      <c r="AQ11" s="33">
        <f>'Opex'!AQ9</f>
      </c>
      <c r="AR11" s="33">
        <f>'Opex'!AR9</f>
      </c>
      <c r="AS11" s="33">
        <f>'Opex'!AS9</f>
      </c>
      <c r="AT11" s="33">
        <f>'Opex'!AT9</f>
      </c>
      <c r="AU11" s="33">
        <f>'Opex'!AU9</f>
      </c>
      <c r="AV11" s="33">
        <f>'Opex'!AV9</f>
      </c>
      <c r="AW11" s="33">
        <f>'Opex'!AW9</f>
      </c>
      <c r="AX11" s="33">
        <f>'Opex'!AX9</f>
      </c>
      <c r="AY11" s="33">
        <f>'Opex'!AY9</f>
      </c>
      <c r="AZ11" s="33">
        <f>'Opex'!AZ9</f>
      </c>
      <c r="BA11" s="33">
        <f>'Opex'!BA9</f>
      </c>
      <c r="BB11" s="33">
        <f>'Opex'!BB9</f>
      </c>
      <c r="BC11" s="33">
        <f>'Opex'!BC9</f>
      </c>
      <c r="BD11" s="33">
        <f>'Opex'!BD9</f>
      </c>
      <c r="BE11" s="33">
        <f>'Opex'!BE9</f>
      </c>
      <c r="BF11" s="33">
        <f>'Opex'!BF9</f>
      </c>
      <c r="BG11" s="33">
        <f>'Opex'!BG9</f>
      </c>
      <c r="BH11" s="33">
        <f>'Opex'!BH9</f>
      </c>
      <c r="BI11" s="33">
        <f>'Opex'!BI9</f>
      </c>
      <c r="BJ11" s="33">
        <f>'Opex'!BJ9</f>
      </c>
      <c r="BK11" s="33">
        <f>'Opex'!BK9</f>
      </c>
      <c r="BL11" s="33">
        <f>'Opex'!BL9</f>
      </c>
      <c r="BM11" s="33">
        <f>'Opex'!BM9</f>
      </c>
      <c r="BN11" s="33">
        <f>'Opex'!BN9</f>
      </c>
      <c r="BO11" s="33">
        <f>'Opex'!BO9</f>
      </c>
      <c r="BP11" s="33">
        <f>'Opex'!BP9</f>
      </c>
      <c r="BQ11" s="33">
        <f>'Opex'!BQ9</f>
      </c>
      <c r="BR11" s="33">
        <f>'Opex'!BR9</f>
      </c>
      <c r="BS11" s="33">
        <f>'Opex'!BS9</f>
      </c>
      <c r="BT11" s="33">
        <f>'Opex'!BT9</f>
      </c>
      <c r="BU11" s="33">
        <f>'Opex'!BU9</f>
      </c>
      <c r="BV11" s="33">
        <f>'Opex'!BV9</f>
      </c>
      <c r="BW11" s="33">
        <f>'Opex'!BW9</f>
      </c>
      <c r="BX11" s="33">
        <f>'Opex'!BX9</f>
      </c>
      <c r="BY11" s="33">
        <f>'Opex'!BY9</f>
      </c>
      <c r="BZ11" s="33">
        <f>'Opex'!BZ9</f>
      </c>
      <c r="CA11" s="33">
        <f>'Opex'!CA9</f>
      </c>
      <c r="CB11" s="33">
        <f>'Opex'!CB9</f>
      </c>
      <c r="CC11" s="33">
        <f>'Opex'!CC9</f>
      </c>
      <c r="CD11" s="33">
        <f>'Opex'!CD9</f>
      </c>
      <c r="CE11" s="33">
        <f>'Opex'!CE9</f>
      </c>
      <c r="CF11" s="33">
        <f>'Opex'!CF9</f>
      </c>
      <c r="CG11" s="33">
        <f>'Opex'!CG9</f>
      </c>
      <c r="CH11" s="33">
        <f>'Opex'!CH9</f>
      </c>
      <c r="CI11" s="33">
        <f>'Opex'!CI9</f>
      </c>
      <c r="CJ11" s="33">
        <f>'Opex'!CJ9</f>
      </c>
      <c r="CK11" s="33">
        <f>'Opex'!CK9</f>
      </c>
      <c r="CL11" s="33">
        <f>'Opex'!CL9</f>
      </c>
    </row>
    <row r="12" spans="2:90" x14ac:dyDescent="0.25">
      <c r="B12" s="29" t="s">
        <v>274</v>
      </c>
      <c r="C12" s="30" t="s">
        <v>224</v>
      </c>
      <c r="D12" s="33">
        <f>SUM(E12:CL12)</f>
      </c>
      <c r="E12" s="33">
        <f>'Opex'!E10</f>
      </c>
      <c r="F12" s="33">
        <f>'Opex'!F10</f>
      </c>
      <c r="G12" s="33">
        <f>'Opex'!G10</f>
      </c>
      <c r="H12" s="33">
        <f>'Opex'!H10</f>
      </c>
      <c r="I12" s="33">
        <f>'Opex'!I10</f>
      </c>
      <c r="J12" s="33">
        <f>'Opex'!J10</f>
      </c>
      <c r="K12" s="33">
        <f>'Opex'!K10</f>
      </c>
      <c r="L12" s="33">
        <f>'Opex'!L10</f>
      </c>
      <c r="M12" s="33">
        <f>'Opex'!M10</f>
      </c>
      <c r="N12" s="33">
        <f>'Opex'!N10</f>
      </c>
      <c r="O12" s="33">
        <f>'Opex'!O10</f>
      </c>
      <c r="P12" s="33">
        <f>'Opex'!P10</f>
      </c>
      <c r="Q12" s="33">
        <f>'Opex'!Q10</f>
      </c>
      <c r="R12" s="33">
        <f>'Opex'!R10</f>
      </c>
      <c r="S12" s="33">
        <f>'Opex'!S10</f>
      </c>
      <c r="T12" s="33">
        <f>'Opex'!T10</f>
      </c>
      <c r="U12" s="33">
        <f>'Opex'!U10</f>
      </c>
      <c r="V12" s="33">
        <f>'Opex'!V10</f>
      </c>
      <c r="W12" s="33">
        <f>'Opex'!W10</f>
      </c>
      <c r="X12" s="33">
        <f>'Opex'!X10</f>
      </c>
      <c r="Y12" s="33">
        <f>'Opex'!Y10</f>
      </c>
      <c r="Z12" s="33">
        <f>'Opex'!Z10</f>
      </c>
      <c r="AA12" s="33">
        <f>'Opex'!AA10</f>
      </c>
      <c r="AB12" s="33">
        <f>'Opex'!AB10</f>
      </c>
      <c r="AC12" s="33">
        <f>'Opex'!AC10</f>
      </c>
      <c r="AD12" s="33">
        <f>'Opex'!AD10</f>
      </c>
      <c r="AE12" s="33">
        <f>'Opex'!AE10</f>
      </c>
      <c r="AF12" s="33">
        <f>'Opex'!AF10</f>
      </c>
      <c r="AG12" s="33">
        <f>'Opex'!AG10</f>
      </c>
      <c r="AH12" s="33">
        <f>'Opex'!AH10</f>
      </c>
      <c r="AI12" s="33">
        <f>'Opex'!AI10</f>
      </c>
      <c r="AJ12" s="33">
        <f>'Opex'!AJ10</f>
      </c>
      <c r="AK12" s="33">
        <f>'Opex'!AK10</f>
      </c>
      <c r="AL12" s="33">
        <f>'Opex'!AL10</f>
      </c>
      <c r="AM12" s="33">
        <f>'Opex'!AM10</f>
      </c>
      <c r="AN12" s="33">
        <f>'Opex'!AN10</f>
      </c>
      <c r="AO12" s="33">
        <f>'Opex'!AO10</f>
      </c>
      <c r="AP12" s="33">
        <f>'Opex'!AP10</f>
      </c>
      <c r="AQ12" s="33">
        <f>'Opex'!AQ10</f>
      </c>
      <c r="AR12" s="33">
        <f>'Opex'!AR10</f>
      </c>
      <c r="AS12" s="33">
        <f>'Opex'!AS10</f>
      </c>
      <c r="AT12" s="33">
        <f>'Opex'!AT10</f>
      </c>
      <c r="AU12" s="33">
        <f>'Opex'!AU10</f>
      </c>
      <c r="AV12" s="33">
        <f>'Opex'!AV10</f>
      </c>
      <c r="AW12" s="33">
        <f>'Opex'!AW10</f>
      </c>
      <c r="AX12" s="33">
        <f>'Opex'!AX10</f>
      </c>
      <c r="AY12" s="33">
        <f>'Opex'!AY10</f>
      </c>
      <c r="AZ12" s="33">
        <f>'Opex'!AZ10</f>
      </c>
      <c r="BA12" s="33">
        <f>'Opex'!BA10</f>
      </c>
      <c r="BB12" s="33">
        <f>'Opex'!BB10</f>
      </c>
      <c r="BC12" s="33">
        <f>'Opex'!BC10</f>
      </c>
      <c r="BD12" s="33">
        <f>'Opex'!BD10</f>
      </c>
      <c r="BE12" s="33">
        <f>'Opex'!BE10</f>
      </c>
      <c r="BF12" s="33">
        <f>'Opex'!BF10</f>
      </c>
      <c r="BG12" s="33">
        <f>'Opex'!BG10</f>
      </c>
      <c r="BH12" s="33">
        <f>'Opex'!BH10</f>
      </c>
      <c r="BI12" s="33">
        <f>'Opex'!BI10</f>
      </c>
      <c r="BJ12" s="33">
        <f>'Opex'!BJ10</f>
      </c>
      <c r="BK12" s="33">
        <f>'Opex'!BK10</f>
      </c>
      <c r="BL12" s="33">
        <f>'Opex'!BL10</f>
      </c>
      <c r="BM12" s="33">
        <f>'Opex'!BM10</f>
      </c>
      <c r="BN12" s="33">
        <f>'Opex'!BN10</f>
      </c>
      <c r="BO12" s="33">
        <f>'Opex'!BO10</f>
      </c>
      <c r="BP12" s="33">
        <f>'Opex'!BP10</f>
      </c>
      <c r="BQ12" s="33">
        <f>'Opex'!BQ10</f>
      </c>
      <c r="BR12" s="33">
        <f>'Opex'!BR10</f>
      </c>
      <c r="BS12" s="33">
        <f>'Opex'!BS10</f>
      </c>
      <c r="BT12" s="33">
        <f>'Opex'!BT10</f>
      </c>
      <c r="BU12" s="33">
        <f>'Opex'!BU10</f>
      </c>
      <c r="BV12" s="33">
        <f>'Opex'!BV10</f>
      </c>
      <c r="BW12" s="33">
        <f>'Opex'!BW10</f>
      </c>
      <c r="BX12" s="33">
        <f>'Opex'!BX10</f>
      </c>
      <c r="BY12" s="33">
        <f>'Opex'!BY10</f>
      </c>
      <c r="BZ12" s="33">
        <f>'Opex'!BZ10</f>
      </c>
      <c r="CA12" s="33">
        <f>'Opex'!CA10</f>
      </c>
      <c r="CB12" s="33">
        <f>'Opex'!CB10</f>
      </c>
      <c r="CC12" s="33">
        <f>'Opex'!CC10</f>
      </c>
      <c r="CD12" s="33">
        <f>'Opex'!CD10</f>
      </c>
      <c r="CE12" s="33">
        <f>'Opex'!CE10</f>
      </c>
      <c r="CF12" s="33">
        <f>'Opex'!CF10</f>
      </c>
      <c r="CG12" s="33">
        <f>'Opex'!CG10</f>
      </c>
      <c r="CH12" s="33">
        <f>'Opex'!CH10</f>
      </c>
      <c r="CI12" s="33">
        <f>'Opex'!CI10</f>
      </c>
      <c r="CJ12" s="33">
        <f>'Opex'!CJ10</f>
      </c>
      <c r="CK12" s="33">
        <f>'Opex'!CK10</f>
      </c>
      <c r="CL12" s="33">
        <f>'Opex'!CL10</f>
      </c>
    </row>
    <row r="13" spans="2:90" x14ac:dyDescent="0.25">
      <c r="B13" s="29" t="s">
        <v>275</v>
      </c>
      <c r="C13" s="30" t="s">
        <v>224</v>
      </c>
      <c r="D13" s="33">
        <f>SUM(E13:CL13)</f>
      </c>
      <c r="E13" s="33">
        <f>'Opex'!E11</f>
      </c>
      <c r="F13" s="33">
        <f>'Opex'!F11</f>
      </c>
      <c r="G13" s="33">
        <f>'Opex'!G11</f>
      </c>
      <c r="H13" s="33">
        <f>'Opex'!H11</f>
      </c>
      <c r="I13" s="33">
        <f>'Opex'!I11</f>
      </c>
      <c r="J13" s="33">
        <f>'Opex'!J11</f>
      </c>
      <c r="K13" s="33">
        <f>'Opex'!K11</f>
      </c>
      <c r="L13" s="33">
        <f>'Opex'!L11</f>
      </c>
      <c r="M13" s="33">
        <f>'Opex'!M11</f>
      </c>
      <c r="N13" s="33">
        <f>'Opex'!N11</f>
      </c>
      <c r="O13" s="33">
        <f>'Opex'!O11</f>
      </c>
      <c r="P13" s="33">
        <f>'Opex'!P11</f>
      </c>
      <c r="Q13" s="33">
        <f>'Opex'!Q11</f>
      </c>
      <c r="R13" s="33">
        <f>'Opex'!R11</f>
      </c>
      <c r="S13" s="33">
        <f>'Opex'!S11</f>
      </c>
      <c r="T13" s="33">
        <f>'Opex'!T11</f>
      </c>
      <c r="U13" s="33">
        <f>'Opex'!U11</f>
      </c>
      <c r="V13" s="33">
        <f>'Opex'!V11</f>
      </c>
      <c r="W13" s="33">
        <f>'Opex'!W11</f>
      </c>
      <c r="X13" s="33">
        <f>'Opex'!X11</f>
      </c>
      <c r="Y13" s="33">
        <f>'Opex'!Y11</f>
      </c>
      <c r="Z13" s="33">
        <f>'Opex'!Z11</f>
      </c>
      <c r="AA13" s="33">
        <f>'Opex'!AA11</f>
      </c>
      <c r="AB13" s="33">
        <f>'Opex'!AB11</f>
      </c>
      <c r="AC13" s="33">
        <f>'Opex'!AC11</f>
      </c>
      <c r="AD13" s="33">
        <f>'Opex'!AD11</f>
      </c>
      <c r="AE13" s="33">
        <f>'Opex'!AE11</f>
      </c>
      <c r="AF13" s="33">
        <f>'Opex'!AF11</f>
      </c>
      <c r="AG13" s="33">
        <f>'Opex'!AG11</f>
      </c>
      <c r="AH13" s="33">
        <f>'Opex'!AH11</f>
      </c>
      <c r="AI13" s="33">
        <f>'Opex'!AI11</f>
      </c>
      <c r="AJ13" s="33">
        <f>'Opex'!AJ11</f>
      </c>
      <c r="AK13" s="33">
        <f>'Opex'!AK11</f>
      </c>
      <c r="AL13" s="33">
        <f>'Opex'!AL11</f>
      </c>
      <c r="AM13" s="33">
        <f>'Opex'!AM11</f>
      </c>
      <c r="AN13" s="33">
        <f>'Opex'!AN11</f>
      </c>
      <c r="AO13" s="33">
        <f>'Opex'!AO11</f>
      </c>
      <c r="AP13" s="33">
        <f>'Opex'!AP11</f>
      </c>
      <c r="AQ13" s="33">
        <f>'Opex'!AQ11</f>
      </c>
      <c r="AR13" s="33">
        <f>'Opex'!AR11</f>
      </c>
      <c r="AS13" s="33">
        <f>'Opex'!AS11</f>
      </c>
      <c r="AT13" s="33">
        <f>'Opex'!AT11</f>
      </c>
      <c r="AU13" s="33">
        <f>'Opex'!AU11</f>
      </c>
      <c r="AV13" s="33">
        <f>'Opex'!AV11</f>
      </c>
      <c r="AW13" s="33">
        <f>'Opex'!AW11</f>
      </c>
      <c r="AX13" s="33">
        <f>'Opex'!AX11</f>
      </c>
      <c r="AY13" s="33">
        <f>'Opex'!AY11</f>
      </c>
      <c r="AZ13" s="33">
        <f>'Opex'!AZ11</f>
      </c>
      <c r="BA13" s="33">
        <f>'Opex'!BA11</f>
      </c>
      <c r="BB13" s="33">
        <f>'Opex'!BB11</f>
      </c>
      <c r="BC13" s="33">
        <f>'Opex'!BC11</f>
      </c>
      <c r="BD13" s="33">
        <f>'Opex'!BD11</f>
      </c>
      <c r="BE13" s="33">
        <f>'Opex'!BE11</f>
      </c>
      <c r="BF13" s="33">
        <f>'Opex'!BF11</f>
      </c>
      <c r="BG13" s="33">
        <f>'Opex'!BG11</f>
      </c>
      <c r="BH13" s="33">
        <f>'Opex'!BH11</f>
      </c>
      <c r="BI13" s="33">
        <f>'Opex'!BI11</f>
      </c>
      <c r="BJ13" s="33">
        <f>'Opex'!BJ11</f>
      </c>
      <c r="BK13" s="33">
        <f>'Opex'!BK11</f>
      </c>
      <c r="BL13" s="33">
        <f>'Opex'!BL11</f>
      </c>
      <c r="BM13" s="33">
        <f>'Opex'!BM11</f>
      </c>
      <c r="BN13" s="33">
        <f>'Opex'!BN11</f>
      </c>
      <c r="BO13" s="33">
        <f>'Opex'!BO11</f>
      </c>
      <c r="BP13" s="33">
        <f>'Opex'!BP11</f>
      </c>
      <c r="BQ13" s="33">
        <f>'Opex'!BQ11</f>
      </c>
      <c r="BR13" s="33">
        <f>'Opex'!BR11</f>
      </c>
      <c r="BS13" s="33">
        <f>'Opex'!BS11</f>
      </c>
      <c r="BT13" s="33">
        <f>'Opex'!BT11</f>
      </c>
      <c r="BU13" s="33">
        <f>'Opex'!BU11</f>
      </c>
      <c r="BV13" s="33">
        <f>'Opex'!BV11</f>
      </c>
      <c r="BW13" s="33">
        <f>'Opex'!BW11</f>
      </c>
      <c r="BX13" s="33">
        <f>'Opex'!BX11</f>
      </c>
      <c r="BY13" s="33">
        <f>'Opex'!BY11</f>
      </c>
      <c r="BZ13" s="33">
        <f>'Opex'!BZ11</f>
      </c>
      <c r="CA13" s="33">
        <f>'Opex'!CA11</f>
      </c>
      <c r="CB13" s="33">
        <f>'Opex'!CB11</f>
      </c>
      <c r="CC13" s="33">
        <f>'Opex'!CC11</f>
      </c>
      <c r="CD13" s="33">
        <f>'Opex'!CD11</f>
      </c>
      <c r="CE13" s="33">
        <f>'Opex'!CE11</f>
      </c>
      <c r="CF13" s="33">
        <f>'Opex'!CF11</f>
      </c>
      <c r="CG13" s="33">
        <f>'Opex'!CG11</f>
      </c>
      <c r="CH13" s="33">
        <f>'Opex'!CH11</f>
      </c>
      <c r="CI13" s="33">
        <f>'Opex'!CI11</f>
      </c>
      <c r="CJ13" s="33">
        <f>'Opex'!CJ11</f>
      </c>
      <c r="CK13" s="33">
        <f>'Opex'!CK11</f>
      </c>
      <c r="CL13" s="33">
        <f>'Opex'!CL11</f>
      </c>
    </row>
    <row r="14" spans="2:90" x14ac:dyDescent="0.25">
      <c r="B14" s="29" t="s">
        <v>276</v>
      </c>
      <c r="C14" s="30" t="s">
        <v>224</v>
      </c>
      <c r="D14" s="33">
        <f>SUM(E14:CL14)</f>
      </c>
      <c r="E14" s="33">
        <f>'Opex'!E12</f>
      </c>
      <c r="F14" s="33">
        <f>'Opex'!F12</f>
      </c>
      <c r="G14" s="33">
        <f>'Opex'!G12</f>
      </c>
      <c r="H14" s="33">
        <f>'Opex'!H12</f>
      </c>
      <c r="I14" s="33">
        <f>'Opex'!I12</f>
      </c>
      <c r="J14" s="33">
        <f>'Opex'!J12</f>
      </c>
      <c r="K14" s="33">
        <f>'Opex'!K12</f>
      </c>
      <c r="L14" s="33">
        <f>'Opex'!L12</f>
      </c>
      <c r="M14" s="33">
        <f>'Opex'!M12</f>
      </c>
      <c r="N14" s="33">
        <f>'Opex'!N12</f>
      </c>
      <c r="O14" s="33">
        <f>'Opex'!O12</f>
      </c>
      <c r="P14" s="33">
        <f>'Opex'!P12</f>
      </c>
      <c r="Q14" s="33">
        <f>'Opex'!Q12</f>
      </c>
      <c r="R14" s="33">
        <f>'Opex'!R12</f>
      </c>
      <c r="S14" s="33">
        <f>'Opex'!S12</f>
      </c>
      <c r="T14" s="33">
        <f>'Opex'!T12</f>
      </c>
      <c r="U14" s="33">
        <f>'Opex'!U12</f>
      </c>
      <c r="V14" s="33">
        <f>'Opex'!V12</f>
      </c>
      <c r="W14" s="33">
        <f>'Opex'!W12</f>
      </c>
      <c r="X14" s="33">
        <f>'Opex'!X12</f>
      </c>
      <c r="Y14" s="33">
        <f>'Opex'!Y12</f>
      </c>
      <c r="Z14" s="33">
        <f>'Opex'!Z12</f>
      </c>
      <c r="AA14" s="33">
        <f>'Opex'!AA12</f>
      </c>
      <c r="AB14" s="33">
        <f>'Opex'!AB12</f>
      </c>
      <c r="AC14" s="33">
        <f>'Opex'!AC12</f>
      </c>
      <c r="AD14" s="33">
        <f>'Opex'!AD12</f>
      </c>
      <c r="AE14" s="33">
        <f>'Opex'!AE12</f>
      </c>
      <c r="AF14" s="33">
        <f>'Opex'!AF12</f>
      </c>
      <c r="AG14" s="33">
        <f>'Opex'!AG12</f>
      </c>
      <c r="AH14" s="33">
        <f>'Opex'!AH12</f>
      </c>
      <c r="AI14" s="33">
        <f>'Opex'!AI12</f>
      </c>
      <c r="AJ14" s="33">
        <f>'Opex'!AJ12</f>
      </c>
      <c r="AK14" s="33">
        <f>'Opex'!AK12</f>
      </c>
      <c r="AL14" s="33">
        <f>'Opex'!AL12</f>
      </c>
      <c r="AM14" s="33">
        <f>'Opex'!AM12</f>
      </c>
      <c r="AN14" s="33">
        <f>'Opex'!AN12</f>
      </c>
      <c r="AO14" s="33">
        <f>'Opex'!AO12</f>
      </c>
      <c r="AP14" s="33">
        <f>'Opex'!AP12</f>
      </c>
      <c r="AQ14" s="33">
        <f>'Opex'!AQ12</f>
      </c>
      <c r="AR14" s="33">
        <f>'Opex'!AR12</f>
      </c>
      <c r="AS14" s="33">
        <f>'Opex'!AS12</f>
      </c>
      <c r="AT14" s="33">
        <f>'Opex'!AT12</f>
      </c>
      <c r="AU14" s="33">
        <f>'Opex'!AU12</f>
      </c>
      <c r="AV14" s="33">
        <f>'Opex'!AV12</f>
      </c>
      <c r="AW14" s="33">
        <f>'Opex'!AW12</f>
      </c>
      <c r="AX14" s="33">
        <f>'Opex'!AX12</f>
      </c>
      <c r="AY14" s="33">
        <f>'Opex'!AY12</f>
      </c>
      <c r="AZ14" s="33">
        <f>'Opex'!AZ12</f>
      </c>
      <c r="BA14" s="33">
        <f>'Opex'!BA12</f>
      </c>
      <c r="BB14" s="33">
        <f>'Opex'!BB12</f>
      </c>
      <c r="BC14" s="33">
        <f>'Opex'!BC12</f>
      </c>
      <c r="BD14" s="33">
        <f>'Opex'!BD12</f>
      </c>
      <c r="BE14" s="33">
        <f>'Opex'!BE12</f>
      </c>
      <c r="BF14" s="33">
        <f>'Opex'!BF12</f>
      </c>
      <c r="BG14" s="33">
        <f>'Opex'!BG12</f>
      </c>
      <c r="BH14" s="33">
        <f>'Opex'!BH12</f>
      </c>
      <c r="BI14" s="33">
        <f>'Opex'!BI12</f>
      </c>
      <c r="BJ14" s="33">
        <f>'Opex'!BJ12</f>
      </c>
      <c r="BK14" s="33">
        <f>'Opex'!BK12</f>
      </c>
      <c r="BL14" s="33">
        <f>'Opex'!BL12</f>
      </c>
      <c r="BM14" s="33">
        <f>'Opex'!BM12</f>
      </c>
      <c r="BN14" s="33">
        <f>'Opex'!BN12</f>
      </c>
      <c r="BO14" s="33">
        <f>'Opex'!BO12</f>
      </c>
      <c r="BP14" s="33">
        <f>'Opex'!BP12</f>
      </c>
      <c r="BQ14" s="33">
        <f>'Opex'!BQ12</f>
      </c>
      <c r="BR14" s="33">
        <f>'Opex'!BR12</f>
      </c>
      <c r="BS14" s="33">
        <f>'Opex'!BS12</f>
      </c>
      <c r="BT14" s="33">
        <f>'Opex'!BT12</f>
      </c>
      <c r="BU14" s="33">
        <f>'Opex'!BU12</f>
      </c>
      <c r="BV14" s="33">
        <f>'Opex'!BV12</f>
      </c>
      <c r="BW14" s="33">
        <f>'Opex'!BW12</f>
      </c>
      <c r="BX14" s="33">
        <f>'Opex'!BX12</f>
      </c>
      <c r="BY14" s="33">
        <f>'Opex'!BY12</f>
      </c>
      <c r="BZ14" s="33">
        <f>'Opex'!BZ12</f>
      </c>
      <c r="CA14" s="33">
        <f>'Opex'!CA12</f>
      </c>
      <c r="CB14" s="33">
        <f>'Opex'!CB12</f>
      </c>
      <c r="CC14" s="33">
        <f>'Opex'!CC12</f>
      </c>
      <c r="CD14" s="33">
        <f>'Opex'!CD12</f>
      </c>
      <c r="CE14" s="33">
        <f>'Opex'!CE12</f>
      </c>
      <c r="CF14" s="33">
        <f>'Opex'!CF12</f>
      </c>
      <c r="CG14" s="33">
        <f>'Opex'!CG12</f>
      </c>
      <c r="CH14" s="33">
        <f>'Opex'!CH12</f>
      </c>
      <c r="CI14" s="33">
        <f>'Opex'!CI12</f>
      </c>
      <c r="CJ14" s="33">
        <f>'Opex'!CJ12</f>
      </c>
      <c r="CK14" s="33">
        <f>'Opex'!CK12</f>
      </c>
      <c r="CL14" s="33">
        <f>'Opex'!CL12</f>
      </c>
    </row>
    <row r="15" spans="2:90" x14ac:dyDescent="0.25">
      <c r="B15" s="29" t="s">
        <v>277</v>
      </c>
      <c r="C15" s="30" t="s">
        <v>224</v>
      </c>
      <c r="D15" s="33">
        <f>SUM(E15:CL15)</f>
      </c>
      <c r="E15" s="33">
        <f>'Opex'!E13</f>
      </c>
      <c r="F15" s="33">
        <f>'Opex'!F13</f>
      </c>
      <c r="G15" s="33">
        <f>'Opex'!G13</f>
      </c>
      <c r="H15" s="33">
        <f>'Opex'!H13</f>
      </c>
      <c r="I15" s="33">
        <f>'Opex'!I13</f>
      </c>
      <c r="J15" s="33">
        <f>'Opex'!J13</f>
      </c>
      <c r="K15" s="33">
        <f>'Opex'!K13</f>
      </c>
      <c r="L15" s="33">
        <f>'Opex'!L13</f>
      </c>
      <c r="M15" s="33">
        <f>'Opex'!M13</f>
      </c>
      <c r="N15" s="33">
        <f>'Opex'!N13</f>
      </c>
      <c r="O15" s="33">
        <f>'Opex'!O13</f>
      </c>
      <c r="P15" s="33">
        <f>'Opex'!P13</f>
      </c>
      <c r="Q15" s="33">
        <f>'Opex'!Q13</f>
      </c>
      <c r="R15" s="33">
        <f>'Opex'!R13</f>
      </c>
      <c r="S15" s="33">
        <f>'Opex'!S13</f>
      </c>
      <c r="T15" s="33">
        <f>'Opex'!T13</f>
      </c>
      <c r="U15" s="33">
        <f>'Opex'!U13</f>
      </c>
      <c r="V15" s="33">
        <f>'Opex'!V13</f>
      </c>
      <c r="W15" s="33">
        <f>'Opex'!W13</f>
      </c>
      <c r="X15" s="33">
        <f>'Opex'!X13</f>
      </c>
      <c r="Y15" s="33">
        <f>'Opex'!Y13</f>
      </c>
      <c r="Z15" s="33">
        <f>'Opex'!Z13</f>
      </c>
      <c r="AA15" s="33">
        <f>'Opex'!AA13</f>
      </c>
      <c r="AB15" s="33">
        <f>'Opex'!AB13</f>
      </c>
      <c r="AC15" s="33">
        <f>'Opex'!AC13</f>
      </c>
      <c r="AD15" s="33">
        <f>'Opex'!AD13</f>
      </c>
      <c r="AE15" s="33">
        <f>'Opex'!AE13</f>
      </c>
      <c r="AF15" s="33">
        <f>'Opex'!AF13</f>
      </c>
      <c r="AG15" s="33">
        <f>'Opex'!AG13</f>
      </c>
      <c r="AH15" s="33">
        <f>'Opex'!AH13</f>
      </c>
      <c r="AI15" s="33">
        <f>'Opex'!AI13</f>
      </c>
      <c r="AJ15" s="33">
        <f>'Opex'!AJ13</f>
      </c>
      <c r="AK15" s="33">
        <f>'Opex'!AK13</f>
      </c>
      <c r="AL15" s="33">
        <f>'Opex'!AL13</f>
      </c>
      <c r="AM15" s="33">
        <f>'Opex'!AM13</f>
      </c>
      <c r="AN15" s="33">
        <f>'Opex'!AN13</f>
      </c>
      <c r="AO15" s="33">
        <f>'Opex'!AO13</f>
      </c>
      <c r="AP15" s="33">
        <f>'Opex'!AP13</f>
      </c>
      <c r="AQ15" s="33">
        <f>'Opex'!AQ13</f>
      </c>
      <c r="AR15" s="33">
        <f>'Opex'!AR13</f>
      </c>
      <c r="AS15" s="33">
        <f>'Opex'!AS13</f>
      </c>
      <c r="AT15" s="33">
        <f>'Opex'!AT13</f>
      </c>
      <c r="AU15" s="33">
        <f>'Opex'!AU13</f>
      </c>
      <c r="AV15" s="33">
        <f>'Opex'!AV13</f>
      </c>
      <c r="AW15" s="33">
        <f>'Opex'!AW13</f>
      </c>
      <c r="AX15" s="33">
        <f>'Opex'!AX13</f>
      </c>
      <c r="AY15" s="33">
        <f>'Opex'!AY13</f>
      </c>
      <c r="AZ15" s="33">
        <f>'Opex'!AZ13</f>
      </c>
      <c r="BA15" s="33">
        <f>'Opex'!BA13</f>
      </c>
      <c r="BB15" s="33">
        <f>'Opex'!BB13</f>
      </c>
      <c r="BC15" s="33">
        <f>'Opex'!BC13</f>
      </c>
      <c r="BD15" s="33">
        <f>'Opex'!BD13</f>
      </c>
      <c r="BE15" s="33">
        <f>'Opex'!BE13</f>
      </c>
      <c r="BF15" s="33">
        <f>'Opex'!BF13</f>
      </c>
      <c r="BG15" s="33">
        <f>'Opex'!BG13</f>
      </c>
      <c r="BH15" s="33">
        <f>'Opex'!BH13</f>
      </c>
      <c r="BI15" s="33">
        <f>'Opex'!BI13</f>
      </c>
      <c r="BJ15" s="33">
        <f>'Opex'!BJ13</f>
      </c>
      <c r="BK15" s="33">
        <f>'Opex'!BK13</f>
      </c>
      <c r="BL15" s="33">
        <f>'Opex'!BL13</f>
      </c>
      <c r="BM15" s="33">
        <f>'Opex'!BM13</f>
      </c>
      <c r="BN15" s="33">
        <f>'Opex'!BN13</f>
      </c>
      <c r="BO15" s="33">
        <f>'Opex'!BO13</f>
      </c>
      <c r="BP15" s="33">
        <f>'Opex'!BP13</f>
      </c>
      <c r="BQ15" s="33">
        <f>'Opex'!BQ13</f>
      </c>
      <c r="BR15" s="33">
        <f>'Opex'!BR13</f>
      </c>
      <c r="BS15" s="33">
        <f>'Opex'!BS13</f>
      </c>
      <c r="BT15" s="33">
        <f>'Opex'!BT13</f>
      </c>
      <c r="BU15" s="33">
        <f>'Opex'!BU13</f>
      </c>
      <c r="BV15" s="33">
        <f>'Opex'!BV13</f>
      </c>
      <c r="BW15" s="33">
        <f>'Opex'!BW13</f>
      </c>
      <c r="BX15" s="33">
        <f>'Opex'!BX13</f>
      </c>
      <c r="BY15" s="33">
        <f>'Opex'!BY13</f>
      </c>
      <c r="BZ15" s="33">
        <f>'Opex'!BZ13</f>
      </c>
      <c r="CA15" s="33">
        <f>'Opex'!CA13</f>
      </c>
      <c r="CB15" s="33">
        <f>'Opex'!CB13</f>
      </c>
      <c r="CC15" s="33">
        <f>'Opex'!CC13</f>
      </c>
      <c r="CD15" s="33">
        <f>'Opex'!CD13</f>
      </c>
      <c r="CE15" s="33">
        <f>'Opex'!CE13</f>
      </c>
      <c r="CF15" s="33">
        <f>'Opex'!CF13</f>
      </c>
      <c r="CG15" s="33">
        <f>'Opex'!CG13</f>
      </c>
      <c r="CH15" s="33">
        <f>'Opex'!CH13</f>
      </c>
      <c r="CI15" s="33">
        <f>'Opex'!CI13</f>
      </c>
      <c r="CJ15" s="33">
        <f>'Opex'!CJ13</f>
      </c>
      <c r="CK15" s="33">
        <f>'Opex'!CK13</f>
      </c>
      <c r="CL15" s="33">
        <f>'Opex'!CL13</f>
      </c>
    </row>
    <row r="16" spans="2:90" x14ac:dyDescent="0.25">
      <c r="B16" s="29" t="s">
        <v>278</v>
      </c>
      <c r="C16" s="30" t="s">
        <v>224</v>
      </c>
      <c r="D16" s="33">
        <f>SUM(E16:CL16)</f>
      </c>
      <c r="E16" s="33">
        <f>'Opex'!E14</f>
      </c>
      <c r="F16" s="33">
        <f>'Opex'!F14</f>
      </c>
      <c r="G16" s="33">
        <f>'Opex'!G14</f>
      </c>
      <c r="H16" s="33">
        <f>'Opex'!H14</f>
      </c>
      <c r="I16" s="33">
        <f>'Opex'!I14</f>
      </c>
      <c r="J16" s="33">
        <f>'Opex'!J14</f>
      </c>
      <c r="K16" s="33">
        <f>'Opex'!K14</f>
      </c>
      <c r="L16" s="33">
        <f>'Opex'!L14</f>
      </c>
      <c r="M16" s="33">
        <f>'Opex'!M14</f>
      </c>
      <c r="N16" s="33">
        <f>'Opex'!N14</f>
      </c>
      <c r="O16" s="33">
        <f>'Opex'!O14</f>
      </c>
      <c r="P16" s="33">
        <f>'Opex'!P14</f>
      </c>
      <c r="Q16" s="33">
        <f>'Opex'!Q14</f>
      </c>
      <c r="R16" s="33">
        <f>'Opex'!R14</f>
      </c>
      <c r="S16" s="33">
        <f>'Opex'!S14</f>
      </c>
      <c r="T16" s="33">
        <f>'Opex'!T14</f>
      </c>
      <c r="U16" s="33">
        <f>'Opex'!U14</f>
      </c>
      <c r="V16" s="33">
        <f>'Opex'!V14</f>
      </c>
      <c r="W16" s="33">
        <f>'Opex'!W14</f>
      </c>
      <c r="X16" s="33">
        <f>'Opex'!X14</f>
      </c>
      <c r="Y16" s="33">
        <f>'Opex'!Y14</f>
      </c>
      <c r="Z16" s="33">
        <f>'Opex'!Z14</f>
      </c>
      <c r="AA16" s="33">
        <f>'Opex'!AA14</f>
      </c>
      <c r="AB16" s="33">
        <f>'Opex'!AB14</f>
      </c>
      <c r="AC16" s="33">
        <f>'Opex'!AC14</f>
      </c>
      <c r="AD16" s="33">
        <f>'Opex'!AD14</f>
      </c>
      <c r="AE16" s="33">
        <f>'Opex'!AE14</f>
      </c>
      <c r="AF16" s="33">
        <f>'Opex'!AF14</f>
      </c>
      <c r="AG16" s="33">
        <f>'Opex'!AG14</f>
      </c>
      <c r="AH16" s="33">
        <f>'Opex'!AH14</f>
      </c>
      <c r="AI16" s="33">
        <f>'Opex'!AI14</f>
      </c>
      <c r="AJ16" s="33">
        <f>'Opex'!AJ14</f>
      </c>
      <c r="AK16" s="33">
        <f>'Opex'!AK14</f>
      </c>
      <c r="AL16" s="33">
        <f>'Opex'!AL14</f>
      </c>
      <c r="AM16" s="33">
        <f>'Opex'!AM14</f>
      </c>
      <c r="AN16" s="33">
        <f>'Opex'!AN14</f>
      </c>
      <c r="AO16" s="33">
        <f>'Opex'!AO14</f>
      </c>
      <c r="AP16" s="33">
        <f>'Opex'!AP14</f>
      </c>
      <c r="AQ16" s="33">
        <f>'Opex'!AQ14</f>
      </c>
      <c r="AR16" s="33">
        <f>'Opex'!AR14</f>
      </c>
      <c r="AS16" s="33">
        <f>'Opex'!AS14</f>
      </c>
      <c r="AT16" s="33">
        <f>'Opex'!AT14</f>
      </c>
      <c r="AU16" s="33">
        <f>'Opex'!AU14</f>
      </c>
      <c r="AV16" s="33">
        <f>'Opex'!AV14</f>
      </c>
      <c r="AW16" s="33">
        <f>'Opex'!AW14</f>
      </c>
      <c r="AX16" s="33">
        <f>'Opex'!AX14</f>
      </c>
      <c r="AY16" s="33">
        <f>'Opex'!AY14</f>
      </c>
      <c r="AZ16" s="33">
        <f>'Opex'!AZ14</f>
      </c>
      <c r="BA16" s="33">
        <f>'Opex'!BA14</f>
      </c>
      <c r="BB16" s="33">
        <f>'Opex'!BB14</f>
      </c>
      <c r="BC16" s="33">
        <f>'Opex'!BC14</f>
      </c>
      <c r="BD16" s="33">
        <f>'Opex'!BD14</f>
      </c>
      <c r="BE16" s="33">
        <f>'Opex'!BE14</f>
      </c>
      <c r="BF16" s="33">
        <f>'Opex'!BF14</f>
      </c>
      <c r="BG16" s="33">
        <f>'Opex'!BG14</f>
      </c>
      <c r="BH16" s="33">
        <f>'Opex'!BH14</f>
      </c>
      <c r="BI16" s="33">
        <f>'Opex'!BI14</f>
      </c>
      <c r="BJ16" s="33">
        <f>'Opex'!BJ14</f>
      </c>
      <c r="BK16" s="33">
        <f>'Opex'!BK14</f>
      </c>
      <c r="BL16" s="33">
        <f>'Opex'!BL14</f>
      </c>
      <c r="BM16" s="33">
        <f>'Opex'!BM14</f>
      </c>
      <c r="BN16" s="33">
        <f>'Opex'!BN14</f>
      </c>
      <c r="BO16" s="33">
        <f>'Opex'!BO14</f>
      </c>
      <c r="BP16" s="33">
        <f>'Opex'!BP14</f>
      </c>
      <c r="BQ16" s="33">
        <f>'Opex'!BQ14</f>
      </c>
      <c r="BR16" s="33">
        <f>'Opex'!BR14</f>
      </c>
      <c r="BS16" s="33">
        <f>'Opex'!BS14</f>
      </c>
      <c r="BT16" s="33">
        <f>'Opex'!BT14</f>
      </c>
      <c r="BU16" s="33">
        <f>'Opex'!BU14</f>
      </c>
      <c r="BV16" s="33">
        <f>'Opex'!BV14</f>
      </c>
      <c r="BW16" s="33">
        <f>'Opex'!BW14</f>
      </c>
      <c r="BX16" s="33">
        <f>'Opex'!BX14</f>
      </c>
      <c r="BY16" s="33">
        <f>'Opex'!BY14</f>
      </c>
      <c r="BZ16" s="33">
        <f>'Opex'!BZ14</f>
      </c>
      <c r="CA16" s="33">
        <f>'Opex'!CA14</f>
      </c>
      <c r="CB16" s="33">
        <f>'Opex'!CB14</f>
      </c>
      <c r="CC16" s="33">
        <f>'Opex'!CC14</f>
      </c>
      <c r="CD16" s="33">
        <f>'Opex'!CD14</f>
      </c>
      <c r="CE16" s="33">
        <f>'Opex'!CE14</f>
      </c>
      <c r="CF16" s="33">
        <f>'Opex'!CF14</f>
      </c>
      <c r="CG16" s="33">
        <f>'Opex'!CG14</f>
      </c>
      <c r="CH16" s="33">
        <f>'Opex'!CH14</f>
      </c>
      <c r="CI16" s="33">
        <f>'Opex'!CI14</f>
      </c>
      <c r="CJ16" s="33">
        <f>'Opex'!CJ14</f>
      </c>
      <c r="CK16" s="33">
        <f>'Opex'!CK14</f>
      </c>
      <c r="CL16" s="33">
        <f>'Opex'!CL14</f>
      </c>
    </row>
    <row r="17" spans="2:90" x14ac:dyDescent="0.25">
      <c r="B17" s="29" t="s">
        <v>279</v>
      </c>
      <c r="C17" s="30" t="s">
        <v>224</v>
      </c>
      <c r="D17" s="33">
        <f>SUM(E17:CL17)</f>
      </c>
      <c r="E17" s="33">
        <f>'Opex'!E15</f>
      </c>
      <c r="F17" s="33">
        <f>'Opex'!F15</f>
      </c>
      <c r="G17" s="33">
        <f>'Opex'!G15</f>
      </c>
      <c r="H17" s="33">
        <f>'Opex'!H15</f>
      </c>
      <c r="I17" s="33">
        <f>'Opex'!I15</f>
      </c>
      <c r="J17" s="33">
        <f>'Opex'!J15</f>
      </c>
      <c r="K17" s="33">
        <f>'Opex'!K15</f>
      </c>
      <c r="L17" s="33">
        <f>'Opex'!L15</f>
      </c>
      <c r="M17" s="33">
        <f>'Opex'!M15</f>
      </c>
      <c r="N17" s="33">
        <f>'Opex'!N15</f>
      </c>
      <c r="O17" s="33">
        <f>'Opex'!O15</f>
      </c>
      <c r="P17" s="33">
        <f>'Opex'!P15</f>
      </c>
      <c r="Q17" s="33">
        <f>'Opex'!Q15</f>
      </c>
      <c r="R17" s="33">
        <f>'Opex'!R15</f>
      </c>
      <c r="S17" s="33">
        <f>'Opex'!S15</f>
      </c>
      <c r="T17" s="33">
        <f>'Opex'!T15</f>
      </c>
      <c r="U17" s="33">
        <f>'Opex'!U15</f>
      </c>
      <c r="V17" s="33">
        <f>'Opex'!V15</f>
      </c>
      <c r="W17" s="33">
        <f>'Opex'!W15</f>
      </c>
      <c r="X17" s="33">
        <f>'Opex'!X15</f>
      </c>
      <c r="Y17" s="33">
        <f>'Opex'!Y15</f>
      </c>
      <c r="Z17" s="33">
        <f>'Opex'!Z15</f>
      </c>
      <c r="AA17" s="33">
        <f>'Opex'!AA15</f>
      </c>
      <c r="AB17" s="33">
        <f>'Opex'!AB15</f>
      </c>
      <c r="AC17" s="33">
        <f>'Opex'!AC15</f>
      </c>
      <c r="AD17" s="33">
        <f>'Opex'!AD15</f>
      </c>
      <c r="AE17" s="33">
        <f>'Opex'!AE15</f>
      </c>
      <c r="AF17" s="33">
        <f>'Opex'!AF15</f>
      </c>
      <c r="AG17" s="33">
        <f>'Opex'!AG15</f>
      </c>
      <c r="AH17" s="33">
        <f>'Opex'!AH15</f>
      </c>
      <c r="AI17" s="33">
        <f>'Opex'!AI15</f>
      </c>
      <c r="AJ17" s="33">
        <f>'Opex'!AJ15</f>
      </c>
      <c r="AK17" s="33">
        <f>'Opex'!AK15</f>
      </c>
      <c r="AL17" s="33">
        <f>'Opex'!AL15</f>
      </c>
      <c r="AM17" s="33">
        <f>'Opex'!AM15</f>
      </c>
      <c r="AN17" s="33">
        <f>'Opex'!AN15</f>
      </c>
      <c r="AO17" s="33">
        <f>'Opex'!AO15</f>
      </c>
      <c r="AP17" s="33">
        <f>'Opex'!AP15</f>
      </c>
      <c r="AQ17" s="33">
        <f>'Opex'!AQ15</f>
      </c>
      <c r="AR17" s="33">
        <f>'Opex'!AR15</f>
      </c>
      <c r="AS17" s="33">
        <f>'Opex'!AS15</f>
      </c>
      <c r="AT17" s="33">
        <f>'Opex'!AT15</f>
      </c>
      <c r="AU17" s="33">
        <f>'Opex'!AU15</f>
      </c>
      <c r="AV17" s="33">
        <f>'Opex'!AV15</f>
      </c>
      <c r="AW17" s="33">
        <f>'Opex'!AW15</f>
      </c>
      <c r="AX17" s="33">
        <f>'Opex'!AX15</f>
      </c>
      <c r="AY17" s="33">
        <f>'Opex'!AY15</f>
      </c>
      <c r="AZ17" s="33">
        <f>'Opex'!AZ15</f>
      </c>
      <c r="BA17" s="33">
        <f>'Opex'!BA15</f>
      </c>
      <c r="BB17" s="33">
        <f>'Opex'!BB15</f>
      </c>
      <c r="BC17" s="33">
        <f>'Opex'!BC15</f>
      </c>
      <c r="BD17" s="33">
        <f>'Opex'!BD15</f>
      </c>
      <c r="BE17" s="33">
        <f>'Opex'!BE15</f>
      </c>
      <c r="BF17" s="33">
        <f>'Opex'!BF15</f>
      </c>
      <c r="BG17" s="33">
        <f>'Opex'!BG15</f>
      </c>
      <c r="BH17" s="33">
        <f>'Opex'!BH15</f>
      </c>
      <c r="BI17" s="33">
        <f>'Opex'!BI15</f>
      </c>
      <c r="BJ17" s="33">
        <f>'Opex'!BJ15</f>
      </c>
      <c r="BK17" s="33">
        <f>'Opex'!BK15</f>
      </c>
      <c r="BL17" s="33">
        <f>'Opex'!BL15</f>
      </c>
      <c r="BM17" s="33">
        <f>'Opex'!BM15</f>
      </c>
      <c r="BN17" s="33">
        <f>'Opex'!BN15</f>
      </c>
      <c r="BO17" s="33">
        <f>'Opex'!BO15</f>
      </c>
      <c r="BP17" s="33">
        <f>'Opex'!BP15</f>
      </c>
      <c r="BQ17" s="33">
        <f>'Opex'!BQ15</f>
      </c>
      <c r="BR17" s="33">
        <f>'Opex'!BR15</f>
      </c>
      <c r="BS17" s="33">
        <f>'Opex'!BS15</f>
      </c>
      <c r="BT17" s="33">
        <f>'Opex'!BT15</f>
      </c>
      <c r="BU17" s="33">
        <f>'Opex'!BU15</f>
      </c>
      <c r="BV17" s="33">
        <f>'Opex'!BV15</f>
      </c>
      <c r="BW17" s="33">
        <f>'Opex'!BW15</f>
      </c>
      <c r="BX17" s="33">
        <f>'Opex'!BX15</f>
      </c>
      <c r="BY17" s="33">
        <f>'Opex'!BY15</f>
      </c>
      <c r="BZ17" s="33">
        <f>'Opex'!BZ15</f>
      </c>
      <c r="CA17" s="33">
        <f>'Opex'!CA15</f>
      </c>
      <c r="CB17" s="33">
        <f>'Opex'!CB15</f>
      </c>
      <c r="CC17" s="33">
        <f>'Opex'!CC15</f>
      </c>
      <c r="CD17" s="33">
        <f>'Opex'!CD15</f>
      </c>
      <c r="CE17" s="33">
        <f>'Opex'!CE15</f>
      </c>
      <c r="CF17" s="33">
        <f>'Opex'!CF15</f>
      </c>
      <c r="CG17" s="33">
        <f>'Opex'!CG15</f>
      </c>
      <c r="CH17" s="33">
        <f>'Opex'!CH15</f>
      </c>
      <c r="CI17" s="33">
        <f>'Opex'!CI15</f>
      </c>
      <c r="CJ17" s="33">
        <f>'Opex'!CJ15</f>
      </c>
      <c r="CK17" s="33">
        <f>'Opex'!CK15</f>
      </c>
      <c r="CL17" s="33">
        <f>'Opex'!CL15</f>
      </c>
    </row>
    <row r="18" spans="2:90" x14ac:dyDescent="0.25">
      <c r="B18" s="29" t="s">
        <v>280</v>
      </c>
      <c r="C18" s="30" t="s">
        <v>224</v>
      </c>
      <c r="D18" s="33">
        <f>SUM(E18:CL18)</f>
      </c>
      <c r="E18" s="33">
        <f>'Opex'!E16</f>
      </c>
      <c r="F18" s="33">
        <f>'Opex'!F16</f>
      </c>
      <c r="G18" s="33">
        <f>'Opex'!G16</f>
      </c>
      <c r="H18" s="33">
        <f>'Opex'!H16</f>
      </c>
      <c r="I18" s="33">
        <f>'Opex'!I16</f>
      </c>
      <c r="J18" s="33">
        <f>'Opex'!J16</f>
      </c>
      <c r="K18" s="33">
        <f>'Opex'!K16</f>
      </c>
      <c r="L18" s="33">
        <f>'Opex'!L16</f>
      </c>
      <c r="M18" s="33">
        <f>'Opex'!M16</f>
      </c>
      <c r="N18" s="33">
        <f>'Opex'!N16</f>
      </c>
      <c r="O18" s="33">
        <f>'Opex'!O16</f>
      </c>
      <c r="P18" s="33">
        <f>'Opex'!P16</f>
      </c>
      <c r="Q18" s="33">
        <f>'Opex'!Q16</f>
      </c>
      <c r="R18" s="33">
        <f>'Opex'!R16</f>
      </c>
      <c r="S18" s="33">
        <f>'Opex'!S16</f>
      </c>
      <c r="T18" s="33">
        <f>'Opex'!T16</f>
      </c>
      <c r="U18" s="33">
        <f>'Opex'!U16</f>
      </c>
      <c r="V18" s="33">
        <f>'Opex'!V16</f>
      </c>
      <c r="W18" s="33">
        <f>'Opex'!W16</f>
      </c>
      <c r="X18" s="33">
        <f>'Opex'!X16</f>
      </c>
      <c r="Y18" s="33">
        <f>'Opex'!Y16</f>
      </c>
      <c r="Z18" s="33">
        <f>'Opex'!Z16</f>
      </c>
      <c r="AA18" s="33">
        <f>'Opex'!AA16</f>
      </c>
      <c r="AB18" s="33">
        <f>'Opex'!AB16</f>
      </c>
      <c r="AC18" s="33">
        <f>'Opex'!AC16</f>
      </c>
      <c r="AD18" s="33">
        <f>'Opex'!AD16</f>
      </c>
      <c r="AE18" s="33">
        <f>'Opex'!AE16</f>
      </c>
      <c r="AF18" s="33">
        <f>'Opex'!AF16</f>
      </c>
      <c r="AG18" s="33">
        <f>'Opex'!AG16</f>
      </c>
      <c r="AH18" s="33">
        <f>'Opex'!AH16</f>
      </c>
      <c r="AI18" s="33">
        <f>'Opex'!AI16</f>
      </c>
      <c r="AJ18" s="33">
        <f>'Opex'!AJ16</f>
      </c>
      <c r="AK18" s="33">
        <f>'Opex'!AK16</f>
      </c>
      <c r="AL18" s="33">
        <f>'Opex'!AL16</f>
      </c>
      <c r="AM18" s="33">
        <f>'Opex'!AM16</f>
      </c>
      <c r="AN18" s="33">
        <f>'Opex'!AN16</f>
      </c>
      <c r="AO18" s="33">
        <f>'Opex'!AO16</f>
      </c>
      <c r="AP18" s="33">
        <f>'Opex'!AP16</f>
      </c>
      <c r="AQ18" s="33">
        <f>'Opex'!AQ16</f>
      </c>
      <c r="AR18" s="33">
        <f>'Opex'!AR16</f>
      </c>
      <c r="AS18" s="33">
        <f>'Opex'!AS16</f>
      </c>
      <c r="AT18" s="33">
        <f>'Opex'!AT16</f>
      </c>
      <c r="AU18" s="33">
        <f>'Opex'!AU16</f>
      </c>
      <c r="AV18" s="33">
        <f>'Opex'!AV16</f>
      </c>
      <c r="AW18" s="33">
        <f>'Opex'!AW16</f>
      </c>
      <c r="AX18" s="33">
        <f>'Opex'!AX16</f>
      </c>
      <c r="AY18" s="33">
        <f>'Opex'!AY16</f>
      </c>
      <c r="AZ18" s="33">
        <f>'Opex'!AZ16</f>
      </c>
      <c r="BA18" s="33">
        <f>'Opex'!BA16</f>
      </c>
      <c r="BB18" s="33">
        <f>'Opex'!BB16</f>
      </c>
      <c r="BC18" s="33">
        <f>'Opex'!BC16</f>
      </c>
      <c r="BD18" s="33">
        <f>'Opex'!BD16</f>
      </c>
      <c r="BE18" s="33">
        <f>'Opex'!BE16</f>
      </c>
      <c r="BF18" s="33">
        <f>'Opex'!BF16</f>
      </c>
      <c r="BG18" s="33">
        <f>'Opex'!BG16</f>
      </c>
      <c r="BH18" s="33">
        <f>'Opex'!BH16</f>
      </c>
      <c r="BI18" s="33">
        <f>'Opex'!BI16</f>
      </c>
      <c r="BJ18" s="33">
        <f>'Opex'!BJ16</f>
      </c>
      <c r="BK18" s="33">
        <f>'Opex'!BK16</f>
      </c>
      <c r="BL18" s="33">
        <f>'Opex'!BL16</f>
      </c>
      <c r="BM18" s="33">
        <f>'Opex'!BM16</f>
      </c>
      <c r="BN18" s="33">
        <f>'Opex'!BN16</f>
      </c>
      <c r="BO18" s="33">
        <f>'Opex'!BO16</f>
      </c>
      <c r="BP18" s="33">
        <f>'Opex'!BP16</f>
      </c>
      <c r="BQ18" s="33">
        <f>'Opex'!BQ16</f>
      </c>
      <c r="BR18" s="33">
        <f>'Opex'!BR16</f>
      </c>
      <c r="BS18" s="33">
        <f>'Opex'!BS16</f>
      </c>
      <c r="BT18" s="33">
        <f>'Opex'!BT16</f>
      </c>
      <c r="BU18" s="33">
        <f>'Opex'!BU16</f>
      </c>
      <c r="BV18" s="33">
        <f>'Opex'!BV16</f>
      </c>
      <c r="BW18" s="33">
        <f>'Opex'!BW16</f>
      </c>
      <c r="BX18" s="33">
        <f>'Opex'!BX16</f>
      </c>
      <c r="BY18" s="33">
        <f>'Opex'!BY16</f>
      </c>
      <c r="BZ18" s="33">
        <f>'Opex'!BZ16</f>
      </c>
      <c r="CA18" s="33">
        <f>'Opex'!CA16</f>
      </c>
      <c r="CB18" s="33">
        <f>'Opex'!CB16</f>
      </c>
      <c r="CC18" s="33">
        <f>'Opex'!CC16</f>
      </c>
      <c r="CD18" s="33">
        <f>'Opex'!CD16</f>
      </c>
      <c r="CE18" s="33">
        <f>'Opex'!CE16</f>
      </c>
      <c r="CF18" s="33">
        <f>'Opex'!CF16</f>
      </c>
      <c r="CG18" s="33">
        <f>'Opex'!CG16</f>
      </c>
      <c r="CH18" s="33">
        <f>'Opex'!CH16</f>
      </c>
      <c r="CI18" s="33">
        <f>'Opex'!CI16</f>
      </c>
      <c r="CJ18" s="33">
        <f>'Opex'!CJ16</f>
      </c>
      <c r="CK18" s="33">
        <f>'Opex'!CK16</f>
      </c>
      <c r="CL18" s="33">
        <f>'Opex'!CL16</f>
      </c>
    </row>
    <row r="19" spans="2:90" x14ac:dyDescent="0.25">
      <c r="B19" s="29" t="s">
        <v>281</v>
      </c>
      <c r="C19" s="30" t="s">
        <v>224</v>
      </c>
      <c r="D19" s="33">
        <f>SUM(E19:CL19)</f>
      </c>
      <c r="E19" s="33">
        <f>'Opex'!E17</f>
      </c>
      <c r="F19" s="33">
        <f>'Opex'!F17</f>
      </c>
      <c r="G19" s="33">
        <f>'Opex'!G17</f>
      </c>
      <c r="H19" s="33">
        <f>'Opex'!H17</f>
      </c>
      <c r="I19" s="33">
        <f>'Opex'!I17</f>
      </c>
      <c r="J19" s="33">
        <f>'Opex'!J17</f>
      </c>
      <c r="K19" s="33">
        <f>'Opex'!K17</f>
      </c>
      <c r="L19" s="33">
        <f>'Opex'!L17</f>
      </c>
      <c r="M19" s="33">
        <f>'Opex'!M17</f>
      </c>
      <c r="N19" s="33">
        <f>'Opex'!N17</f>
      </c>
      <c r="O19" s="33">
        <f>'Opex'!O17</f>
      </c>
      <c r="P19" s="33">
        <f>'Opex'!P17</f>
      </c>
      <c r="Q19" s="33">
        <f>'Opex'!Q17</f>
      </c>
      <c r="R19" s="33">
        <f>'Opex'!R17</f>
      </c>
      <c r="S19" s="33">
        <f>'Opex'!S17</f>
      </c>
      <c r="T19" s="33">
        <f>'Opex'!T17</f>
      </c>
      <c r="U19" s="33">
        <f>'Opex'!U17</f>
      </c>
      <c r="V19" s="33">
        <f>'Opex'!V17</f>
      </c>
      <c r="W19" s="33">
        <f>'Opex'!W17</f>
      </c>
      <c r="X19" s="33">
        <f>'Opex'!X17</f>
      </c>
      <c r="Y19" s="33">
        <f>'Opex'!Y17</f>
      </c>
      <c r="Z19" s="33">
        <f>'Opex'!Z17</f>
      </c>
      <c r="AA19" s="33">
        <f>'Opex'!AA17</f>
      </c>
      <c r="AB19" s="33">
        <f>'Opex'!AB17</f>
      </c>
      <c r="AC19" s="33">
        <f>'Opex'!AC17</f>
      </c>
      <c r="AD19" s="33">
        <f>'Opex'!AD17</f>
      </c>
      <c r="AE19" s="33">
        <f>'Opex'!AE17</f>
      </c>
      <c r="AF19" s="33">
        <f>'Opex'!AF17</f>
      </c>
      <c r="AG19" s="33">
        <f>'Opex'!AG17</f>
      </c>
      <c r="AH19" s="33">
        <f>'Opex'!AH17</f>
      </c>
      <c r="AI19" s="33">
        <f>'Opex'!AI17</f>
      </c>
      <c r="AJ19" s="33">
        <f>'Opex'!AJ17</f>
      </c>
      <c r="AK19" s="33">
        <f>'Opex'!AK17</f>
      </c>
      <c r="AL19" s="33">
        <f>'Opex'!AL17</f>
      </c>
      <c r="AM19" s="33">
        <f>'Opex'!AM17</f>
      </c>
      <c r="AN19" s="33">
        <f>'Opex'!AN17</f>
      </c>
      <c r="AO19" s="33">
        <f>'Opex'!AO17</f>
      </c>
      <c r="AP19" s="33">
        <f>'Opex'!AP17</f>
      </c>
      <c r="AQ19" s="33">
        <f>'Opex'!AQ17</f>
      </c>
      <c r="AR19" s="33">
        <f>'Opex'!AR17</f>
      </c>
      <c r="AS19" s="33">
        <f>'Opex'!AS17</f>
      </c>
      <c r="AT19" s="33">
        <f>'Opex'!AT17</f>
      </c>
      <c r="AU19" s="33">
        <f>'Opex'!AU17</f>
      </c>
      <c r="AV19" s="33">
        <f>'Opex'!AV17</f>
      </c>
      <c r="AW19" s="33">
        <f>'Opex'!AW17</f>
      </c>
      <c r="AX19" s="33">
        <f>'Opex'!AX17</f>
      </c>
      <c r="AY19" s="33">
        <f>'Opex'!AY17</f>
      </c>
      <c r="AZ19" s="33">
        <f>'Opex'!AZ17</f>
      </c>
      <c r="BA19" s="33">
        <f>'Opex'!BA17</f>
      </c>
      <c r="BB19" s="33">
        <f>'Opex'!BB17</f>
      </c>
      <c r="BC19" s="33">
        <f>'Opex'!BC17</f>
      </c>
      <c r="BD19" s="33">
        <f>'Opex'!BD17</f>
      </c>
      <c r="BE19" s="33">
        <f>'Opex'!BE17</f>
      </c>
      <c r="BF19" s="33">
        <f>'Opex'!BF17</f>
      </c>
      <c r="BG19" s="33">
        <f>'Opex'!BG17</f>
      </c>
      <c r="BH19" s="33">
        <f>'Opex'!BH17</f>
      </c>
      <c r="BI19" s="33">
        <f>'Opex'!BI17</f>
      </c>
      <c r="BJ19" s="33">
        <f>'Opex'!BJ17</f>
      </c>
      <c r="BK19" s="33">
        <f>'Opex'!BK17</f>
      </c>
      <c r="BL19" s="33">
        <f>'Opex'!BL17</f>
      </c>
      <c r="BM19" s="33">
        <f>'Opex'!BM17</f>
      </c>
      <c r="BN19" s="33">
        <f>'Opex'!BN17</f>
      </c>
      <c r="BO19" s="33">
        <f>'Opex'!BO17</f>
      </c>
      <c r="BP19" s="33">
        <f>'Opex'!BP17</f>
      </c>
      <c r="BQ19" s="33">
        <f>'Opex'!BQ17</f>
      </c>
      <c r="BR19" s="33">
        <f>'Opex'!BR17</f>
      </c>
      <c r="BS19" s="33">
        <f>'Opex'!BS17</f>
      </c>
      <c r="BT19" s="33">
        <f>'Opex'!BT17</f>
      </c>
      <c r="BU19" s="33">
        <f>'Opex'!BU17</f>
      </c>
      <c r="BV19" s="33">
        <f>'Opex'!BV17</f>
      </c>
      <c r="BW19" s="33">
        <f>'Opex'!BW17</f>
      </c>
      <c r="BX19" s="33">
        <f>'Opex'!BX17</f>
      </c>
      <c r="BY19" s="33">
        <f>'Opex'!BY17</f>
      </c>
      <c r="BZ19" s="33">
        <f>'Opex'!BZ17</f>
      </c>
      <c r="CA19" s="33">
        <f>'Opex'!CA17</f>
      </c>
      <c r="CB19" s="33">
        <f>'Opex'!CB17</f>
      </c>
      <c r="CC19" s="33">
        <f>'Opex'!CC17</f>
      </c>
      <c r="CD19" s="33">
        <f>'Opex'!CD17</f>
      </c>
      <c r="CE19" s="33">
        <f>'Opex'!CE17</f>
      </c>
      <c r="CF19" s="33">
        <f>'Opex'!CF17</f>
      </c>
      <c r="CG19" s="33">
        <f>'Opex'!CG17</f>
      </c>
      <c r="CH19" s="33">
        <f>'Opex'!CH17</f>
      </c>
      <c r="CI19" s="33">
        <f>'Opex'!CI17</f>
      </c>
      <c r="CJ19" s="33">
        <f>'Opex'!CJ17</f>
      </c>
      <c r="CK19" s="33">
        <f>'Opex'!CK17</f>
      </c>
      <c r="CL19" s="33">
        <f>'Opex'!CL17</f>
      </c>
    </row>
    <row r="20" spans="2:90" x14ac:dyDescent="0.25">
      <c r="B20" s="29" t="s">
        <v>282</v>
      </c>
      <c r="C20" s="30" t="s">
        <v>224</v>
      </c>
      <c r="D20" s="33">
        <f>SUM(E20:CL20)</f>
      </c>
      <c r="E20" s="33">
        <f>'Opex'!E18</f>
      </c>
      <c r="F20" s="33">
        <f>'Opex'!F18</f>
      </c>
      <c r="G20" s="33">
        <f>'Opex'!G18</f>
      </c>
      <c r="H20" s="33">
        <f>'Opex'!H18</f>
      </c>
      <c r="I20" s="33">
        <f>'Opex'!I18</f>
      </c>
      <c r="J20" s="33">
        <f>'Opex'!J18</f>
      </c>
      <c r="K20" s="33">
        <f>'Opex'!K18</f>
      </c>
      <c r="L20" s="33">
        <f>'Opex'!L18</f>
      </c>
      <c r="M20" s="33">
        <f>'Opex'!M18</f>
      </c>
      <c r="N20" s="33">
        <f>'Opex'!N18</f>
      </c>
      <c r="O20" s="33">
        <f>'Opex'!O18</f>
      </c>
      <c r="P20" s="33">
        <f>'Opex'!P18</f>
      </c>
      <c r="Q20" s="33">
        <f>'Opex'!Q18</f>
      </c>
      <c r="R20" s="33">
        <f>'Opex'!R18</f>
      </c>
      <c r="S20" s="33">
        <f>'Opex'!S18</f>
      </c>
      <c r="T20" s="33">
        <f>'Opex'!T18</f>
      </c>
      <c r="U20" s="33">
        <f>'Opex'!U18</f>
      </c>
      <c r="V20" s="33">
        <f>'Opex'!V18</f>
      </c>
      <c r="W20" s="33">
        <f>'Opex'!W18</f>
      </c>
      <c r="X20" s="33">
        <f>'Opex'!X18</f>
      </c>
      <c r="Y20" s="33">
        <f>'Opex'!Y18</f>
      </c>
      <c r="Z20" s="33">
        <f>'Opex'!Z18</f>
      </c>
      <c r="AA20" s="33">
        <f>'Opex'!AA18</f>
      </c>
      <c r="AB20" s="33">
        <f>'Opex'!AB18</f>
      </c>
      <c r="AC20" s="33">
        <f>'Opex'!AC18</f>
      </c>
      <c r="AD20" s="33">
        <f>'Opex'!AD18</f>
      </c>
      <c r="AE20" s="33">
        <f>'Opex'!AE18</f>
      </c>
      <c r="AF20" s="33">
        <f>'Opex'!AF18</f>
      </c>
      <c r="AG20" s="33">
        <f>'Opex'!AG18</f>
      </c>
      <c r="AH20" s="33">
        <f>'Opex'!AH18</f>
      </c>
      <c r="AI20" s="33">
        <f>'Opex'!AI18</f>
      </c>
      <c r="AJ20" s="33">
        <f>'Opex'!AJ18</f>
      </c>
      <c r="AK20" s="33">
        <f>'Opex'!AK18</f>
      </c>
      <c r="AL20" s="33">
        <f>'Opex'!AL18</f>
      </c>
      <c r="AM20" s="33">
        <f>'Opex'!AM18</f>
      </c>
      <c r="AN20" s="33">
        <f>'Opex'!AN18</f>
      </c>
      <c r="AO20" s="33">
        <f>'Opex'!AO18</f>
      </c>
      <c r="AP20" s="33">
        <f>'Opex'!AP18</f>
      </c>
      <c r="AQ20" s="33">
        <f>'Opex'!AQ18</f>
      </c>
      <c r="AR20" s="33">
        <f>'Opex'!AR18</f>
      </c>
      <c r="AS20" s="33">
        <f>'Opex'!AS18</f>
      </c>
      <c r="AT20" s="33">
        <f>'Opex'!AT18</f>
      </c>
      <c r="AU20" s="33">
        <f>'Opex'!AU18</f>
      </c>
      <c r="AV20" s="33">
        <f>'Opex'!AV18</f>
      </c>
      <c r="AW20" s="33">
        <f>'Opex'!AW18</f>
      </c>
      <c r="AX20" s="33">
        <f>'Opex'!AX18</f>
      </c>
      <c r="AY20" s="33">
        <f>'Opex'!AY18</f>
      </c>
      <c r="AZ20" s="33">
        <f>'Opex'!AZ18</f>
      </c>
      <c r="BA20" s="33">
        <f>'Opex'!BA18</f>
      </c>
      <c r="BB20" s="33">
        <f>'Opex'!BB18</f>
      </c>
      <c r="BC20" s="33">
        <f>'Opex'!BC18</f>
      </c>
      <c r="BD20" s="33">
        <f>'Opex'!BD18</f>
      </c>
      <c r="BE20" s="33">
        <f>'Opex'!BE18</f>
      </c>
      <c r="BF20" s="33">
        <f>'Opex'!BF18</f>
      </c>
      <c r="BG20" s="33">
        <f>'Opex'!BG18</f>
      </c>
      <c r="BH20" s="33">
        <f>'Opex'!BH18</f>
      </c>
      <c r="BI20" s="33">
        <f>'Opex'!BI18</f>
      </c>
      <c r="BJ20" s="33">
        <f>'Opex'!BJ18</f>
      </c>
      <c r="BK20" s="33">
        <f>'Opex'!BK18</f>
      </c>
      <c r="BL20" s="33">
        <f>'Opex'!BL18</f>
      </c>
      <c r="BM20" s="33">
        <f>'Opex'!BM18</f>
      </c>
      <c r="BN20" s="33">
        <f>'Opex'!BN18</f>
      </c>
      <c r="BO20" s="33">
        <f>'Opex'!BO18</f>
      </c>
      <c r="BP20" s="33">
        <f>'Opex'!BP18</f>
      </c>
      <c r="BQ20" s="33">
        <f>'Opex'!BQ18</f>
      </c>
      <c r="BR20" s="33">
        <f>'Opex'!BR18</f>
      </c>
      <c r="BS20" s="33">
        <f>'Opex'!BS18</f>
      </c>
      <c r="BT20" s="33">
        <f>'Opex'!BT18</f>
      </c>
      <c r="BU20" s="33">
        <f>'Opex'!BU18</f>
      </c>
      <c r="BV20" s="33">
        <f>'Opex'!BV18</f>
      </c>
      <c r="BW20" s="33">
        <f>'Opex'!BW18</f>
      </c>
      <c r="BX20" s="33">
        <f>'Opex'!BX18</f>
      </c>
      <c r="BY20" s="33">
        <f>'Opex'!BY18</f>
      </c>
      <c r="BZ20" s="33">
        <f>'Opex'!BZ18</f>
      </c>
      <c r="CA20" s="33">
        <f>'Opex'!CA18</f>
      </c>
      <c r="CB20" s="33">
        <f>'Opex'!CB18</f>
      </c>
      <c r="CC20" s="33">
        <f>'Opex'!CC18</f>
      </c>
      <c r="CD20" s="33">
        <f>'Opex'!CD18</f>
      </c>
      <c r="CE20" s="33">
        <f>'Opex'!CE18</f>
      </c>
      <c r="CF20" s="33">
        <f>'Opex'!CF18</f>
      </c>
      <c r="CG20" s="33">
        <f>'Opex'!CG18</f>
      </c>
      <c r="CH20" s="33">
        <f>'Opex'!CH18</f>
      </c>
      <c r="CI20" s="33">
        <f>'Opex'!CI18</f>
      </c>
      <c r="CJ20" s="33">
        <f>'Opex'!CJ18</f>
      </c>
      <c r="CK20" s="33">
        <f>'Opex'!CK18</f>
      </c>
      <c r="CL20" s="33">
        <f>'Opex'!CL18</f>
      </c>
    </row>
    <row r="21" spans="2:90" x14ac:dyDescent="0.25">
      <c r="B21" s="29" t="s">
        <v>283</v>
      </c>
      <c r="C21" s="30" t="s">
        <v>224</v>
      </c>
      <c r="D21" s="33">
        <f>SUM(E21:CL21)</f>
      </c>
      <c r="E21" s="33">
        <f>'Opex'!E19</f>
      </c>
      <c r="F21" s="33">
        <f>'Opex'!F19</f>
      </c>
      <c r="G21" s="33">
        <f>'Opex'!G19</f>
      </c>
      <c r="H21" s="33">
        <f>'Opex'!H19</f>
      </c>
      <c r="I21" s="33">
        <f>'Opex'!I19</f>
      </c>
      <c r="J21" s="33">
        <f>'Opex'!J19</f>
      </c>
      <c r="K21" s="33">
        <f>'Opex'!K19</f>
      </c>
      <c r="L21" s="33">
        <f>'Opex'!L19</f>
      </c>
      <c r="M21" s="33">
        <f>'Opex'!M19</f>
      </c>
      <c r="N21" s="33">
        <f>'Opex'!N19</f>
      </c>
      <c r="O21" s="33">
        <f>'Opex'!O19</f>
      </c>
      <c r="P21" s="33">
        <f>'Opex'!P19</f>
      </c>
      <c r="Q21" s="33">
        <f>'Opex'!Q19</f>
      </c>
      <c r="R21" s="33">
        <f>'Opex'!R19</f>
      </c>
      <c r="S21" s="33">
        <f>'Opex'!S19</f>
      </c>
      <c r="T21" s="33">
        <f>'Opex'!T19</f>
      </c>
      <c r="U21" s="33">
        <f>'Opex'!U19</f>
      </c>
      <c r="V21" s="33">
        <f>'Opex'!V19</f>
      </c>
      <c r="W21" s="33">
        <f>'Opex'!W19</f>
      </c>
      <c r="X21" s="33">
        <f>'Opex'!X19</f>
      </c>
      <c r="Y21" s="33">
        <f>'Opex'!Y19</f>
      </c>
      <c r="Z21" s="33">
        <f>'Opex'!Z19</f>
      </c>
      <c r="AA21" s="33">
        <f>'Opex'!AA19</f>
      </c>
      <c r="AB21" s="33">
        <f>'Opex'!AB19</f>
      </c>
      <c r="AC21" s="33">
        <f>'Opex'!AC19</f>
      </c>
      <c r="AD21" s="33">
        <f>'Opex'!AD19</f>
      </c>
      <c r="AE21" s="33">
        <f>'Opex'!AE19</f>
      </c>
      <c r="AF21" s="33">
        <f>'Opex'!AF19</f>
      </c>
      <c r="AG21" s="33">
        <f>'Opex'!AG19</f>
      </c>
      <c r="AH21" s="33">
        <f>'Opex'!AH19</f>
      </c>
      <c r="AI21" s="33">
        <f>'Opex'!AI19</f>
      </c>
      <c r="AJ21" s="33">
        <f>'Opex'!AJ19</f>
      </c>
      <c r="AK21" s="33">
        <f>'Opex'!AK19</f>
      </c>
      <c r="AL21" s="33">
        <f>'Opex'!AL19</f>
      </c>
      <c r="AM21" s="33">
        <f>'Opex'!AM19</f>
      </c>
      <c r="AN21" s="33">
        <f>'Opex'!AN19</f>
      </c>
      <c r="AO21" s="33">
        <f>'Opex'!AO19</f>
      </c>
      <c r="AP21" s="33">
        <f>'Opex'!AP19</f>
      </c>
      <c r="AQ21" s="33">
        <f>'Opex'!AQ19</f>
      </c>
      <c r="AR21" s="33">
        <f>'Opex'!AR19</f>
      </c>
      <c r="AS21" s="33">
        <f>'Opex'!AS19</f>
      </c>
      <c r="AT21" s="33">
        <f>'Opex'!AT19</f>
      </c>
      <c r="AU21" s="33">
        <f>'Opex'!AU19</f>
      </c>
      <c r="AV21" s="33">
        <f>'Opex'!AV19</f>
      </c>
      <c r="AW21" s="33">
        <f>'Opex'!AW19</f>
      </c>
      <c r="AX21" s="33">
        <f>'Opex'!AX19</f>
      </c>
      <c r="AY21" s="33">
        <f>'Opex'!AY19</f>
      </c>
      <c r="AZ21" s="33">
        <f>'Opex'!AZ19</f>
      </c>
      <c r="BA21" s="33">
        <f>'Opex'!BA19</f>
      </c>
      <c r="BB21" s="33">
        <f>'Opex'!BB19</f>
      </c>
      <c r="BC21" s="33">
        <f>'Opex'!BC19</f>
      </c>
      <c r="BD21" s="33">
        <f>'Opex'!BD19</f>
      </c>
      <c r="BE21" s="33">
        <f>'Opex'!BE19</f>
      </c>
      <c r="BF21" s="33">
        <f>'Opex'!BF19</f>
      </c>
      <c r="BG21" s="33">
        <f>'Opex'!BG19</f>
      </c>
      <c r="BH21" s="33">
        <f>'Opex'!BH19</f>
      </c>
      <c r="BI21" s="33">
        <f>'Opex'!BI19</f>
      </c>
      <c r="BJ21" s="33">
        <f>'Opex'!BJ19</f>
      </c>
      <c r="BK21" s="33">
        <f>'Opex'!BK19</f>
      </c>
      <c r="BL21" s="33">
        <f>'Opex'!BL19</f>
      </c>
      <c r="BM21" s="33">
        <f>'Opex'!BM19</f>
      </c>
      <c r="BN21" s="33">
        <f>'Opex'!BN19</f>
      </c>
      <c r="BO21" s="33">
        <f>'Opex'!BO19</f>
      </c>
      <c r="BP21" s="33">
        <f>'Opex'!BP19</f>
      </c>
      <c r="BQ21" s="33">
        <f>'Opex'!BQ19</f>
      </c>
      <c r="BR21" s="33">
        <f>'Opex'!BR19</f>
      </c>
      <c r="BS21" s="33">
        <f>'Opex'!BS19</f>
      </c>
      <c r="BT21" s="33">
        <f>'Opex'!BT19</f>
      </c>
      <c r="BU21" s="33">
        <f>'Opex'!BU19</f>
      </c>
      <c r="BV21" s="33">
        <f>'Opex'!BV19</f>
      </c>
      <c r="BW21" s="33">
        <f>'Opex'!BW19</f>
      </c>
      <c r="BX21" s="33">
        <f>'Opex'!BX19</f>
      </c>
      <c r="BY21" s="33">
        <f>'Opex'!BY19</f>
      </c>
      <c r="BZ21" s="33">
        <f>'Opex'!BZ19</f>
      </c>
      <c r="CA21" s="33">
        <f>'Opex'!CA19</f>
      </c>
      <c r="CB21" s="33">
        <f>'Opex'!CB19</f>
      </c>
      <c r="CC21" s="33">
        <f>'Opex'!CC19</f>
      </c>
      <c r="CD21" s="33">
        <f>'Opex'!CD19</f>
      </c>
      <c r="CE21" s="33">
        <f>'Opex'!CE19</f>
      </c>
      <c r="CF21" s="33">
        <f>'Opex'!CF19</f>
      </c>
      <c r="CG21" s="33">
        <f>'Opex'!CG19</f>
      </c>
      <c r="CH21" s="33">
        <f>'Opex'!CH19</f>
      </c>
      <c r="CI21" s="33">
        <f>'Opex'!CI19</f>
      </c>
      <c r="CJ21" s="33">
        <f>'Opex'!CJ19</f>
      </c>
      <c r="CK21" s="33">
        <f>'Opex'!CK19</f>
      </c>
      <c r="CL21" s="33">
        <f>'Opex'!CL19</f>
      </c>
    </row>
    <row r="22" spans="2:90" x14ac:dyDescent="0.25">
      <c r="B22" s="29" t="s">
        <v>284</v>
      </c>
      <c r="C22" s="30" t="s">
        <v>224</v>
      </c>
      <c r="D22" s="33">
        <f>SUM(E22:CL22)</f>
      </c>
      <c r="E22" s="33">
        <f>'Opex'!E20</f>
      </c>
      <c r="F22" s="33">
        <f>'Opex'!F20</f>
      </c>
      <c r="G22" s="33">
        <f>'Opex'!G20</f>
      </c>
      <c r="H22" s="33">
        <f>'Opex'!H20</f>
      </c>
      <c r="I22" s="33">
        <f>'Opex'!I20</f>
      </c>
      <c r="J22" s="33">
        <f>'Opex'!J20</f>
      </c>
      <c r="K22" s="33">
        <f>'Opex'!K20</f>
      </c>
      <c r="L22" s="33">
        <f>'Opex'!L20</f>
      </c>
      <c r="M22" s="33">
        <f>'Opex'!M20</f>
      </c>
      <c r="N22" s="33">
        <f>'Opex'!N20</f>
      </c>
      <c r="O22" s="33">
        <f>'Opex'!O20</f>
      </c>
      <c r="P22" s="33">
        <f>'Opex'!P20</f>
      </c>
      <c r="Q22" s="33">
        <f>'Opex'!Q20</f>
      </c>
      <c r="R22" s="33">
        <f>'Opex'!R20</f>
      </c>
      <c r="S22" s="33">
        <f>'Opex'!S20</f>
      </c>
      <c r="T22" s="33">
        <f>'Opex'!T20</f>
      </c>
      <c r="U22" s="33">
        <f>'Opex'!U20</f>
      </c>
      <c r="V22" s="33">
        <f>'Opex'!V20</f>
      </c>
      <c r="W22" s="33">
        <f>'Opex'!W20</f>
      </c>
      <c r="X22" s="33">
        <f>'Opex'!X20</f>
      </c>
      <c r="Y22" s="33">
        <f>'Opex'!Y20</f>
      </c>
      <c r="Z22" s="33">
        <f>'Opex'!Z20</f>
      </c>
      <c r="AA22" s="33">
        <f>'Opex'!AA20</f>
      </c>
      <c r="AB22" s="33">
        <f>'Opex'!AB20</f>
      </c>
      <c r="AC22" s="33">
        <f>'Opex'!AC20</f>
      </c>
      <c r="AD22" s="33">
        <f>'Opex'!AD20</f>
      </c>
      <c r="AE22" s="33">
        <f>'Opex'!AE20</f>
      </c>
      <c r="AF22" s="33">
        <f>'Opex'!AF20</f>
      </c>
      <c r="AG22" s="33">
        <f>'Opex'!AG20</f>
      </c>
      <c r="AH22" s="33">
        <f>'Opex'!AH20</f>
      </c>
      <c r="AI22" s="33">
        <f>'Opex'!AI20</f>
      </c>
      <c r="AJ22" s="33">
        <f>'Opex'!AJ20</f>
      </c>
      <c r="AK22" s="33">
        <f>'Opex'!AK20</f>
      </c>
      <c r="AL22" s="33">
        <f>'Opex'!AL20</f>
      </c>
      <c r="AM22" s="33">
        <f>'Opex'!AM20</f>
      </c>
      <c r="AN22" s="33">
        <f>'Opex'!AN20</f>
      </c>
      <c r="AO22" s="33">
        <f>'Opex'!AO20</f>
      </c>
      <c r="AP22" s="33">
        <f>'Opex'!AP20</f>
      </c>
      <c r="AQ22" s="33">
        <f>'Opex'!AQ20</f>
      </c>
      <c r="AR22" s="33">
        <f>'Opex'!AR20</f>
      </c>
      <c r="AS22" s="33">
        <f>'Opex'!AS20</f>
      </c>
      <c r="AT22" s="33">
        <f>'Opex'!AT20</f>
      </c>
      <c r="AU22" s="33">
        <f>'Opex'!AU20</f>
      </c>
      <c r="AV22" s="33">
        <f>'Opex'!AV20</f>
      </c>
      <c r="AW22" s="33">
        <f>'Opex'!AW20</f>
      </c>
      <c r="AX22" s="33">
        <f>'Opex'!AX20</f>
      </c>
      <c r="AY22" s="33">
        <f>'Opex'!AY20</f>
      </c>
      <c r="AZ22" s="33">
        <f>'Opex'!AZ20</f>
      </c>
      <c r="BA22" s="33">
        <f>'Opex'!BA20</f>
      </c>
      <c r="BB22" s="33">
        <f>'Opex'!BB20</f>
      </c>
      <c r="BC22" s="33">
        <f>'Opex'!BC20</f>
      </c>
      <c r="BD22" s="33">
        <f>'Opex'!BD20</f>
      </c>
      <c r="BE22" s="33">
        <f>'Opex'!BE20</f>
      </c>
      <c r="BF22" s="33">
        <f>'Opex'!BF20</f>
      </c>
      <c r="BG22" s="33">
        <f>'Opex'!BG20</f>
      </c>
      <c r="BH22" s="33">
        <f>'Opex'!BH20</f>
      </c>
      <c r="BI22" s="33">
        <f>'Opex'!BI20</f>
      </c>
      <c r="BJ22" s="33">
        <f>'Opex'!BJ20</f>
      </c>
      <c r="BK22" s="33">
        <f>'Opex'!BK20</f>
      </c>
      <c r="BL22" s="33">
        <f>'Opex'!BL20</f>
      </c>
      <c r="BM22" s="33">
        <f>'Opex'!BM20</f>
      </c>
      <c r="BN22" s="33">
        <f>'Opex'!BN20</f>
      </c>
      <c r="BO22" s="33">
        <f>'Opex'!BO20</f>
      </c>
      <c r="BP22" s="33">
        <f>'Opex'!BP20</f>
      </c>
      <c r="BQ22" s="33">
        <f>'Opex'!BQ20</f>
      </c>
      <c r="BR22" s="33">
        <f>'Opex'!BR20</f>
      </c>
      <c r="BS22" s="33">
        <f>'Opex'!BS20</f>
      </c>
      <c r="BT22" s="33">
        <f>'Opex'!BT20</f>
      </c>
      <c r="BU22" s="33">
        <f>'Opex'!BU20</f>
      </c>
      <c r="BV22" s="33">
        <f>'Opex'!BV20</f>
      </c>
      <c r="BW22" s="33">
        <f>'Opex'!BW20</f>
      </c>
      <c r="BX22" s="33">
        <f>'Opex'!BX20</f>
      </c>
      <c r="BY22" s="33">
        <f>'Opex'!BY20</f>
      </c>
      <c r="BZ22" s="33">
        <f>'Opex'!BZ20</f>
      </c>
      <c r="CA22" s="33">
        <f>'Opex'!CA20</f>
      </c>
      <c r="CB22" s="33">
        <f>'Opex'!CB20</f>
      </c>
      <c r="CC22" s="33">
        <f>'Opex'!CC20</f>
      </c>
      <c r="CD22" s="33">
        <f>'Opex'!CD20</f>
      </c>
      <c r="CE22" s="33">
        <f>'Opex'!CE20</f>
      </c>
      <c r="CF22" s="33">
        <f>'Opex'!CF20</f>
      </c>
      <c r="CG22" s="33">
        <f>'Opex'!CG20</f>
      </c>
      <c r="CH22" s="33">
        <f>'Opex'!CH20</f>
      </c>
      <c r="CI22" s="33">
        <f>'Opex'!CI20</f>
      </c>
      <c r="CJ22" s="33">
        <f>'Opex'!CJ20</f>
      </c>
      <c r="CK22" s="33">
        <f>'Opex'!CK20</f>
      </c>
      <c r="CL22" s="33">
        <f>'Opex'!CL20</f>
      </c>
    </row>
    <row r="23" spans="2:90" x14ac:dyDescent="0.25">
      <c r="B23" s="43" t="s">
        <v>287</v>
      </c>
      <c r="C23" s="30" t="s">
        <v>224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1" t="s">
        <v>292</v>
      </c>
      <c r="C25" s="45" t="s">
        <v>224</v>
      </c>
      <c r="D25" s="40">
        <f>SUM(E25:CL25)</f>
      </c>
      <c r="E25" s="40">
        <f>E8+E23</f>
      </c>
      <c r="F25" s="40">
        <f>F8+F23</f>
      </c>
      <c r="G25" s="40">
        <f>G8+G23</f>
      </c>
      <c r="H25" s="40">
        <f>H8+H23</f>
      </c>
      <c r="I25" s="40">
        <f>I8+I23</f>
      </c>
      <c r="J25" s="40">
        <f>J8+J23</f>
      </c>
      <c r="K25" s="40">
        <f>K8+K23</f>
      </c>
      <c r="L25" s="40">
        <f>L8+L23</f>
      </c>
      <c r="M25" s="40">
        <f>M8+M23</f>
      </c>
      <c r="N25" s="40">
        <f>N8+N23</f>
      </c>
      <c r="O25" s="40">
        <f>O8+O23</f>
      </c>
      <c r="P25" s="40">
        <f>P8+P23</f>
      </c>
      <c r="Q25" s="40">
        <f>Q8+Q23</f>
      </c>
      <c r="R25" s="40">
        <f>R8+R23</f>
      </c>
      <c r="S25" s="40">
        <f>S8+S23</f>
      </c>
      <c r="T25" s="40">
        <f>T8+T23</f>
      </c>
      <c r="U25" s="40">
        <f>U8+U23</f>
      </c>
      <c r="V25" s="40">
        <f>V8+V23</f>
      </c>
      <c r="W25" s="40">
        <f>W8+W23</f>
      </c>
      <c r="X25" s="40">
        <f>X8+X23</f>
      </c>
      <c r="Y25" s="40">
        <f>Y8+Y23</f>
      </c>
      <c r="Z25" s="40">
        <f>Z8+Z23</f>
      </c>
      <c r="AA25" s="40">
        <f>AA8+AA23</f>
      </c>
      <c r="AB25" s="40">
        <f>AB8+AB23</f>
      </c>
      <c r="AC25" s="40">
        <f>AC8+AC23</f>
      </c>
      <c r="AD25" s="40">
        <f>AD8+AD23</f>
      </c>
      <c r="AE25" s="40">
        <f>AE8+AE23</f>
      </c>
      <c r="AF25" s="40">
        <f>AF8+AF23</f>
      </c>
      <c r="AG25" s="40">
        <f>AG8+AG23</f>
      </c>
      <c r="AH25" s="40">
        <f>AH8+AH23</f>
      </c>
      <c r="AI25" s="40">
        <f>AI8+AI23</f>
      </c>
      <c r="AJ25" s="40">
        <f>AJ8+AJ23</f>
      </c>
      <c r="AK25" s="40">
        <f>AK8+AK23</f>
      </c>
      <c r="AL25" s="40">
        <f>AL8+AL23</f>
      </c>
      <c r="AM25" s="40">
        <f>AM8+AM23</f>
      </c>
      <c r="AN25" s="40">
        <f>AN8+AN23</f>
      </c>
      <c r="AO25" s="40">
        <f>AO8+AO23</f>
      </c>
      <c r="AP25" s="40">
        <f>AP8+AP23</f>
      </c>
      <c r="AQ25" s="40">
        <f>AQ8+AQ23</f>
      </c>
      <c r="AR25" s="40">
        <f>AR8+AR23</f>
      </c>
      <c r="AS25" s="40">
        <f>AS8+AS23</f>
      </c>
      <c r="AT25" s="40">
        <f>AT8+AT23</f>
      </c>
      <c r="AU25" s="40">
        <f>AU8+AU23</f>
      </c>
      <c r="AV25" s="40">
        <f>AV8+AV23</f>
      </c>
      <c r="AW25" s="40">
        <f>AW8+AW23</f>
      </c>
      <c r="AX25" s="40">
        <f>AX8+AX23</f>
      </c>
      <c r="AY25" s="40">
        <f>AY8+AY23</f>
      </c>
      <c r="AZ25" s="40">
        <f>AZ8+AZ23</f>
      </c>
      <c r="BA25" s="40">
        <f>BA8+BA23</f>
      </c>
      <c r="BB25" s="40">
        <f>BB8+BB23</f>
      </c>
      <c r="BC25" s="40">
        <f>BC8+BC23</f>
      </c>
      <c r="BD25" s="40">
        <f>BD8+BD23</f>
      </c>
      <c r="BE25" s="40">
        <f>BE8+BE23</f>
      </c>
      <c r="BF25" s="40">
        <f>BF8+BF23</f>
      </c>
      <c r="BG25" s="40">
        <f>BG8+BG23</f>
      </c>
      <c r="BH25" s="40">
        <f>BH8+BH23</f>
      </c>
      <c r="BI25" s="40">
        <f>BI8+BI23</f>
      </c>
      <c r="BJ25" s="40">
        <f>BJ8+BJ23</f>
      </c>
      <c r="BK25" s="40">
        <f>BK8+BK23</f>
      </c>
      <c r="BL25" s="40">
        <f>BL8+BL23</f>
      </c>
      <c r="BM25" s="40">
        <f>BM8+BM23</f>
      </c>
      <c r="BN25" s="40">
        <f>BN8+BN23</f>
      </c>
      <c r="BO25" s="40">
        <f>BO8+BO23</f>
      </c>
      <c r="BP25" s="40">
        <f>BP8+BP23</f>
      </c>
      <c r="BQ25" s="40">
        <f>BQ8+BQ23</f>
      </c>
      <c r="BR25" s="40">
        <f>BR8+BR23</f>
      </c>
      <c r="BS25" s="40">
        <f>BS8+BS23</f>
      </c>
      <c r="BT25" s="40">
        <f>BT8+BT23</f>
      </c>
      <c r="BU25" s="40">
        <f>BU8+BU23</f>
      </c>
      <c r="BV25" s="40">
        <f>BV8+BV23</f>
      </c>
      <c r="BW25" s="40">
        <f>BW8+BW23</f>
      </c>
      <c r="BX25" s="40">
        <f>BX8+BX23</f>
      </c>
      <c r="BY25" s="40">
        <f>BY8+BY23</f>
      </c>
      <c r="BZ25" s="40">
        <f>BZ8+BZ23</f>
      </c>
      <c r="CA25" s="40">
        <f>CA8+CA23</f>
      </c>
      <c r="CB25" s="40">
        <f>CB8+CB23</f>
      </c>
      <c r="CC25" s="40">
        <f>CC8+CC23</f>
      </c>
      <c r="CD25" s="40">
        <f>CD8+CD23</f>
      </c>
      <c r="CE25" s="40">
        <f>CE8+CE23</f>
      </c>
      <c r="CF25" s="40">
        <f>CF8+CF23</f>
      </c>
      <c r="CG25" s="40">
        <f>CG8+CG23</f>
      </c>
      <c r="CH25" s="40">
        <f>CH8+CH23</f>
      </c>
      <c r="CI25" s="40">
        <f>CI8+CI23</f>
      </c>
      <c r="CJ25" s="40">
        <f>CJ8+CJ23</f>
      </c>
      <c r="CK25" s="40">
        <f>CK8+CK23</f>
      </c>
      <c r="CL25" s="40">
        <f>CL8+CL23</f>
      </c>
      <c r="CM25" s="42"/>
    </row>
    <row r="26" spans="2:90" x14ac:dyDescent="0.25">
      <c r="B26" s="29" t="s">
        <v>293</v>
      </c>
      <c r="C26" s="30" t="s">
        <v>294</v>
      </c>
      <c r="E26" s="36"/>
      <c r="F26" s="36"/>
      <c r="G26" s="36"/>
      <c r="H26" s="36"/>
      <c r="I26" s="36"/>
      <c r="J26" s="36"/>
      <c r="K26" s="36">
        <v>0.7999169466409959</v>
      </c>
      <c r="L26" s="36">
        <v>0.8040685422003435</v>
      </c>
      <c r="M26" s="36">
        <v>0.6956428117809025</v>
      </c>
      <c r="N26" s="36">
        <v>0.7865217357792232</v>
      </c>
      <c r="O26" s="36">
        <v>0.7972331588514079</v>
      </c>
      <c r="P26" s="36">
        <v>0.801440736634151</v>
      </c>
      <c r="Q26" s="36">
        <v>0.6928260674648677</v>
      </c>
      <c r="R26" s="36">
        <v>0.7836573201620505</v>
      </c>
      <c r="S26" s="36">
        <v>0.7944941016388662</v>
      </c>
      <c r="T26" s="36">
        <v>0.7987588145324258</v>
      </c>
      <c r="U26" s="36">
        <v>0.6899592511046639</v>
      </c>
      <c r="V26" s="36">
        <v>0.7807339153062817</v>
      </c>
      <c r="W26" s="36">
        <v>0.7932215059554072</v>
      </c>
      <c r="X26" s="36">
        <v>0.797512764441029</v>
      </c>
      <c r="Y26" s="36">
        <v>0.6882105494573922</v>
      </c>
      <c r="Z26" s="36">
        <v>0.7793756697087019</v>
      </c>
      <c r="AA26" s="36">
        <v>0.7903756790414872</v>
      </c>
      <c r="AB26" s="36">
        <v>0.7947262997906449</v>
      </c>
      <c r="AC26" s="36">
        <v>0.685246131383919</v>
      </c>
      <c r="AD26" s="36">
        <v>0.7763383091962096</v>
      </c>
      <c r="AE26" s="36">
        <v>0.7884963718365546</v>
      </c>
      <c r="AF26" s="36">
        <v>0.7928861938206924</v>
      </c>
      <c r="AG26" s="36">
        <v>0.6830157597646477</v>
      </c>
      <c r="AH26" s="36">
        <v>0.7743325183776664</v>
      </c>
      <c r="AI26" s="36">
        <v>0.7855358763829849</v>
      </c>
      <c r="AJ26" s="36">
        <v>0.7899874525484653</v>
      </c>
      <c r="AK26" s="36">
        <v>0.6799471910465202</v>
      </c>
      <c r="AL26" s="36">
        <v>0.7711727717521419</v>
      </c>
      <c r="AM26" s="36">
        <v>0.7825132739863138</v>
      </c>
      <c r="AN26" s="36">
        <v>0.7870278998471775</v>
      </c>
      <c r="AO26" s="36">
        <v>0.6768226947831731</v>
      </c>
      <c r="AP26" s="36">
        <v>0.7679467381800696</v>
      </c>
      <c r="AQ26" s="36">
        <v>0.7794270570833507</v>
      </c>
      <c r="AR26" s="36">
        <v>0.7840060596005131</v>
      </c>
      <c r="AS26" s="36">
        <v>0.6736409847178494</v>
      </c>
      <c r="AT26" s="36">
        <v>0.7646528086342512</v>
      </c>
      <c r="AU26" s="36">
        <v>0.7762756771676924</v>
      </c>
      <c r="AV26" s="36">
        <v>0.7809204156029954</v>
      </c>
      <c r="AW26" s="36">
        <v>0.6704007404617679</v>
      </c>
      <c r="AX26" s="36">
        <v>0.7612893303886625</v>
      </c>
      <c r="AY26" s="36">
        <v>0.77305754354539</v>
      </c>
      <c r="AZ26" s="36">
        <v>0.7777694103416087</v>
      </c>
      <c r="BA26" s="36">
        <v>0.6671006064677921</v>
      </c>
      <c r="BB26" s="36">
        <v>0.7578546056903706</v>
      </c>
      <c r="BC26" s="36">
        <v>0.7697710220480836</v>
      </c>
      <c r="BD26" s="36">
        <v>0.7745514437357771</v>
      </c>
      <c r="BE26" s="36">
        <v>0.663739190969187</v>
      </c>
      <c r="BF26" s="36">
        <v>0.7543468903860604</v>
      </c>
      <c r="BG26" s="36">
        <v>0.7664144337019627</v>
      </c>
      <c r="BH26" s="36">
        <v>0.7712648718340894</v>
      </c>
      <c r="BI26" s="36">
        <v>0.6603150648821287</v>
      </c>
      <c r="BJ26" s="36">
        <v>0.7507643925014102</v>
      </c>
      <c r="BK26" s="36">
        <v>0.762986053350845</v>
      </c>
      <c r="BL26" s="36">
        <v>0.7679080054660989</v>
      </c>
      <c r="BM26" s="36">
        <v>0.6568267606705579</v>
      </c>
      <c r="BN26" s="36">
        <v>0.7471052707714997</v>
      </c>
      <c r="BO26" s="36">
        <v>0.7594841082315823</v>
      </c>
      <c r="BP26" s="36">
        <v>0.7644791088474466</v>
      </c>
      <c r="BQ26" s="36">
        <v>0.6532727711719197</v>
      </c>
      <c r="BR26" s="36">
        <v>0.7433676331203357</v>
      </c>
      <c r="BS26" s="36">
        <v>0.7559067764999371</v>
      </c>
      <c r="BT26" s="36">
        <v>0.7609763981364865</v>
      </c>
      <c r="BU26" s="36">
        <v>0.6496515483822646</v>
      </c>
      <c r="BV26" s="36">
        <v>0.7395495350875156</v>
      </c>
      <c r="BW26" s="36">
        <v>0.7522521857049765</v>
      </c>
      <c r="BX26" s="36">
        <v>0.7573980399405029</v>
      </c>
      <c r="BY26" s="36">
        <v>0.645961502199111</v>
      </c>
      <c r="BZ26" s="36">
        <v>0.7356489781999429</v>
      </c>
      <c r="CA26" s="36">
        <v>0.748518411209956</v>
      </c>
      <c r="CB26" s="36">
        <v>0.753742149769534</v>
      </c>
      <c r="CC26" s="36">
        <v>0.6422009991204123</v>
      </c>
      <c r="CD26" s="36">
        <v>0.7316639082864308</v>
      </c>
      <c r="CE26" s="36">
        <v>0.7447034745575686</v>
      </c>
      <c r="CF26" s="36">
        <v>0.7500067904357193</v>
      </c>
      <c r="CG26" s="36">
        <v>0.6383683608978866</v>
      </c>
      <c r="CH26" s="36">
        <v>0.7275922137329277</v>
      </c>
      <c r="CI26" s="36">
        <v>0.7408053417773405</v>
      </c>
      <c r="CJ26" s="36">
        <v>0.7461899703960049</v>
      </c>
      <c r="CK26" s="36">
        <v>0.7176105010772146</v>
      </c>
      <c r="CL26" s="36">
        <v>0.7234317236759947</v>
      </c>
    </row>
    <row r="28" spans="2:90" x14ac:dyDescent="0.25">
      <c r="B28" s="29" t="s">
        <v>295</v>
      </c>
      <c r="C28" s="30" t="s">
        <v>224</v>
      </c>
      <c r="D28" s="33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f>-(('입력값'!C15)/'입력값'!C16*(3/12))</f>
      </c>
      <c r="L28" s="33">
        <f>-(('입력값'!C15)/'입력값'!C16*(3/12))</f>
      </c>
      <c r="M28" s="33">
        <f>-(('입력값'!C15)/'입력값'!C16*(3/12))</f>
      </c>
      <c r="N28" s="33">
        <f>-(('입력값'!C15)/'입력값'!C16*(3/12))</f>
      </c>
      <c r="O28" s="33">
        <f>-(('입력값'!C15)/'입력값'!C16*(3/12))</f>
      </c>
      <c r="P28" s="33">
        <f>-(('입력값'!C15)/'입력값'!C16*(3/12))</f>
      </c>
      <c r="Q28" s="33">
        <f>-(('입력값'!C15)/'입력값'!C16*(3/12))</f>
      </c>
      <c r="R28" s="33">
        <f>-(('입력값'!C15)/'입력값'!C16*(3/12))</f>
      </c>
      <c r="S28" s="33">
        <f>-(('입력값'!C15)/'입력값'!C16*(3/12))</f>
      </c>
      <c r="T28" s="33">
        <f>-(('입력값'!C15)/'입력값'!C16*(3/12))</f>
      </c>
      <c r="U28" s="33">
        <f>-(('입력값'!C15)/'입력값'!C16*(3/12))</f>
      </c>
      <c r="V28" s="33">
        <f>-(('입력값'!C15)/'입력값'!C16*(3/12))</f>
      </c>
      <c r="W28" s="33">
        <f>-(('입력값'!C15)/'입력값'!C16*(3/12))</f>
      </c>
      <c r="X28" s="33">
        <f>-(('입력값'!C15)/'입력값'!C16*(3/12))</f>
      </c>
      <c r="Y28" s="33">
        <f>-(('입력값'!C15)/'입력값'!C16*(3/12))</f>
      </c>
      <c r="Z28" s="33">
        <f>-(('입력값'!C15)/'입력값'!C16*(3/12))</f>
      </c>
      <c r="AA28" s="33">
        <f>-(('입력값'!C15)/'입력값'!C16*(3/12))</f>
      </c>
      <c r="AB28" s="33">
        <f>-(('입력값'!C15)/'입력값'!C16*(3/12))</f>
      </c>
      <c r="AC28" s="33">
        <f>-(('입력값'!C15)/'입력값'!C16*(3/12))</f>
      </c>
      <c r="AD28" s="33">
        <f>-(('입력값'!C15)/'입력값'!C16*(3/12))</f>
      </c>
      <c r="AE28" s="33">
        <f>-(('입력값'!C15)/'입력값'!C16*(3/12))</f>
      </c>
      <c r="AF28" s="33">
        <f>-(('입력값'!C15)/'입력값'!C16*(3/12))</f>
      </c>
      <c r="AG28" s="33">
        <f>-(('입력값'!C15)/'입력값'!C16*(3/12))</f>
      </c>
      <c r="AH28" s="33">
        <f>-(('입력값'!C15)/'입력값'!C16*(3/12))</f>
      </c>
      <c r="AI28" s="33">
        <f>-(('입력값'!C15)/'입력값'!C16*(3/12))</f>
      </c>
      <c r="AJ28" s="33">
        <f>-(('입력값'!C15)/'입력값'!C16*(3/12))</f>
      </c>
      <c r="AK28" s="33">
        <f>-(('입력값'!C15)/'입력값'!C16*(3/12))</f>
      </c>
      <c r="AL28" s="33">
        <f>-(('입력값'!C15)/'입력값'!C16*(3/12))</f>
      </c>
      <c r="AM28" s="33">
        <f>-(('입력값'!C15)/'입력값'!C16*(3/12))</f>
      </c>
      <c r="AN28" s="33">
        <f>-(('입력값'!C15)/'입력값'!C16*(3/12))</f>
      </c>
      <c r="AO28" s="33">
        <f>-(('입력값'!C15)/'입력값'!C16*(3/12))</f>
      </c>
      <c r="AP28" s="33">
        <f>-(('입력값'!C15)/'입력값'!C16*(3/12))</f>
      </c>
      <c r="AQ28" s="33">
        <f>-(('입력값'!C15)/'입력값'!C16*(3/12))</f>
      </c>
      <c r="AR28" s="33">
        <f>-(('입력값'!C15)/'입력값'!C16*(3/12))</f>
      </c>
      <c r="AS28" s="33">
        <f>-(('입력값'!C15)/'입력값'!C16*(3/12))</f>
      </c>
      <c r="AT28" s="33">
        <f>-(('입력값'!C15)/'입력값'!C16*(3/12))</f>
      </c>
      <c r="AU28" s="33">
        <f>-(('입력값'!C15)/'입력값'!C16*(3/12))</f>
      </c>
      <c r="AV28" s="33">
        <f>-(('입력값'!C15)/'입력값'!C16*(3/12))</f>
      </c>
      <c r="AW28" s="33">
        <f>-(('입력값'!C15)/'입력값'!C16*(3/12))</f>
      </c>
      <c r="AX28" s="33">
        <f>-(('입력값'!C15)/'입력값'!C16*(3/12))</f>
      </c>
      <c r="AY28" s="33">
        <f>-(('입력값'!C15)/'입력값'!C16*(3/12))</f>
      </c>
      <c r="AZ28" s="33">
        <f>-(('입력값'!C15)/'입력값'!C16*(3/12))</f>
      </c>
      <c r="BA28" s="33">
        <f>-(('입력값'!C15)/'입력값'!C16*(3/12))</f>
      </c>
      <c r="BB28" s="33">
        <f>-(('입력값'!C15)/'입력값'!C16*(3/12))</f>
      </c>
      <c r="BC28" s="33">
        <f>-(('입력값'!C15)/'입력값'!C16*(3/12))</f>
      </c>
      <c r="BD28" s="33">
        <f>-(('입력값'!C15)/'입력값'!C16*(3/12))</f>
      </c>
      <c r="BE28" s="33">
        <f>-(('입력값'!C15)/'입력값'!C16*(3/12))</f>
      </c>
      <c r="BF28" s="33">
        <f>-(('입력값'!C15)/'입력값'!C16*(3/12))</f>
      </c>
      <c r="BG28" s="33">
        <f>-(('입력값'!C15)/'입력값'!C16*(3/12))</f>
      </c>
      <c r="BH28" s="33">
        <f>-(('입력값'!C15)/'입력값'!C16*(3/12))</f>
      </c>
      <c r="BI28" s="33">
        <f>-(('입력값'!C15)/'입력값'!C16*(3/12))</f>
      </c>
      <c r="BJ28" s="33">
        <f>-(('입력값'!C15)/'입력값'!C16*(3/12))</f>
      </c>
      <c r="BK28" s="33">
        <f>-(('입력값'!C15)/'입력값'!C16*(3/12))</f>
      </c>
      <c r="BL28" s="33">
        <f>-(('입력값'!C15)/'입력값'!C16*(3/12))</f>
      </c>
      <c r="BM28" s="33">
        <f>-(('입력값'!C15)/'입력값'!C16*(3/12))</f>
      </c>
      <c r="BN28" s="33">
        <f>-(('입력값'!C15)/'입력값'!C16*(3/12))</f>
      </c>
      <c r="BO28" s="33">
        <f>-(('입력값'!C15)/'입력값'!C16*(3/12))</f>
      </c>
      <c r="BP28" s="33">
        <f>-(('입력값'!C15)/'입력값'!C16*(3/12))</f>
      </c>
      <c r="BQ28" s="33">
        <f>-(('입력값'!C15)/'입력값'!C16*(3/12))</f>
      </c>
      <c r="BR28" s="33">
        <f>-(('입력값'!C15)/'입력값'!C16*(3/12))</f>
      </c>
      <c r="BS28" s="33">
        <f>-(('입력값'!C15)/'입력값'!C16*(3/12))</f>
      </c>
      <c r="BT28" s="33">
        <f>-(('입력값'!C15)/'입력값'!C16*(3/12))</f>
      </c>
      <c r="BU28" s="33">
        <f>-(('입력값'!C15)/'입력값'!C16*(3/12))</f>
      </c>
      <c r="BV28" s="33">
        <f>-(('입력값'!C15)/'입력값'!C16*(3/12))</f>
      </c>
      <c r="BW28" s="33">
        <f>-(('입력값'!C15)/'입력값'!C16*(3/12))</f>
      </c>
      <c r="BX28" s="33">
        <f>-(('입력값'!C15)/'입력값'!C16*(3/12))</f>
      </c>
      <c r="BY28" s="33">
        <f>-(('입력값'!C15)/'입력값'!C16*(3/12))</f>
      </c>
      <c r="BZ28" s="33">
        <f>-(('입력값'!C15)/'입력값'!C16*(3/12))</f>
      </c>
      <c r="CA28" s="33">
        <f>-(('입력값'!C15)/'입력값'!C16*(3/12))</f>
      </c>
      <c r="CB28" s="33">
        <f>-(('입력값'!C15)/'입력값'!C16*(3/12))</f>
      </c>
      <c r="CC28" s="33">
        <f>-(('입력값'!C15)/'입력값'!C16*(3/12))</f>
      </c>
      <c r="CD28" s="33">
        <f>-(('입력값'!C15)/'입력값'!C16*(3/12))</f>
      </c>
      <c r="CE28" s="33">
        <f>-(('입력값'!C15)/'입력값'!C16*(3/12))</f>
      </c>
      <c r="CF28" s="33">
        <f>-(('입력값'!C15)/'입력값'!C16*(3/12))</f>
      </c>
      <c r="CG28" s="33">
        <f>-(('입력값'!C15)/'입력값'!C16*(3/12))</f>
      </c>
      <c r="CH28" s="33">
        <f>-(('입력값'!C15)/'입력값'!C16*(3/12))</f>
      </c>
      <c r="CI28" s="33">
        <f>-(('입력값'!C15)/'입력값'!C16*(3/12))</f>
      </c>
      <c r="CJ28" s="33">
        <f>-(('입력값'!C15)/'입력값'!C16*(3/12))</f>
      </c>
      <c r="CK28" s="33">
        <f>-(('입력값'!C15)/'입력값'!C16*(3/12))</f>
      </c>
      <c r="CL28" s="33">
        <f>-(('입력값'!C15)/'입력값'!C16*(3/12))</f>
      </c>
    </row>
    <row r="29" spans="2:90" x14ac:dyDescent="0.25">
      <c r="B29" s="29" t="s">
        <v>296</v>
      </c>
      <c r="C29" s="30" t="s">
        <v>224</v>
      </c>
      <c r="D29" s="33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-25</v>
      </c>
      <c r="L29" s="33">
        <v>-25</v>
      </c>
      <c r="M29" s="33">
        <v>-25</v>
      </c>
      <c r="N29" s="33">
        <v>-25</v>
      </c>
      <c r="O29" s="33">
        <v>-25</v>
      </c>
      <c r="P29" s="33">
        <v>-25</v>
      </c>
      <c r="Q29" s="33">
        <v>-25</v>
      </c>
      <c r="R29" s="33">
        <v>-25</v>
      </c>
      <c r="S29" s="33">
        <v>-25</v>
      </c>
      <c r="T29" s="33">
        <v>-25</v>
      </c>
      <c r="U29" s="33">
        <v>-25</v>
      </c>
      <c r="V29" s="33">
        <v>-25</v>
      </c>
      <c r="W29" s="33">
        <v>-25</v>
      </c>
      <c r="X29" s="33">
        <v>-25</v>
      </c>
      <c r="Y29" s="33">
        <v>-25</v>
      </c>
      <c r="Z29" s="33">
        <v>-25</v>
      </c>
      <c r="AA29" s="33">
        <v>-25</v>
      </c>
      <c r="AB29" s="33">
        <v>-25</v>
      </c>
      <c r="AC29" s="33">
        <v>-25</v>
      </c>
      <c r="AD29" s="33">
        <v>-25</v>
      </c>
      <c r="AE29" s="33">
        <v>-25</v>
      </c>
      <c r="AF29" s="33">
        <v>-25</v>
      </c>
      <c r="AG29" s="33">
        <v>-25</v>
      </c>
      <c r="AH29" s="33">
        <v>-25</v>
      </c>
      <c r="AI29" s="33">
        <v>-25</v>
      </c>
      <c r="AJ29" s="33">
        <v>-25</v>
      </c>
      <c r="AK29" s="33">
        <v>-25</v>
      </c>
      <c r="AL29" s="33">
        <v>-25</v>
      </c>
      <c r="AM29" s="33">
        <v>-25</v>
      </c>
      <c r="AN29" s="33">
        <v>-25</v>
      </c>
      <c r="AO29" s="33">
        <v>-25</v>
      </c>
      <c r="AP29" s="33">
        <v>-25</v>
      </c>
      <c r="AQ29" s="33">
        <v>-25</v>
      </c>
      <c r="AR29" s="33">
        <v>-25</v>
      </c>
      <c r="AS29" s="33">
        <v>-25</v>
      </c>
      <c r="AT29" s="33">
        <v>-25</v>
      </c>
      <c r="AU29" s="33">
        <v>-25</v>
      </c>
      <c r="AV29" s="33">
        <v>-25</v>
      </c>
      <c r="AW29" s="33">
        <v>-25</v>
      </c>
      <c r="AX29" s="33">
        <v>-25</v>
      </c>
      <c r="AY29" s="33">
        <v>-25</v>
      </c>
      <c r="AZ29" s="33">
        <v>-25</v>
      </c>
      <c r="BA29" s="33">
        <v>-25</v>
      </c>
      <c r="BB29" s="33">
        <v>-25</v>
      </c>
      <c r="BC29" s="33">
        <v>-25</v>
      </c>
      <c r="BD29" s="33">
        <v>-25</v>
      </c>
      <c r="BE29" s="33">
        <v>-25</v>
      </c>
      <c r="BF29" s="33">
        <v>-25</v>
      </c>
      <c r="BG29" s="33">
        <v>-25</v>
      </c>
      <c r="BH29" s="33">
        <v>-25</v>
      </c>
      <c r="BI29" s="33">
        <v>-25</v>
      </c>
      <c r="BJ29" s="33">
        <v>-25</v>
      </c>
      <c r="BK29" s="33">
        <v>-25</v>
      </c>
      <c r="BL29" s="33">
        <v>-25</v>
      </c>
      <c r="BM29" s="33">
        <v>-25</v>
      </c>
      <c r="BN29" s="33">
        <v>-25</v>
      </c>
      <c r="BO29" s="33">
        <v>-25</v>
      </c>
      <c r="BP29" s="33">
        <v>-25</v>
      </c>
      <c r="BQ29" s="33">
        <v>-25</v>
      </c>
      <c r="BR29" s="33">
        <v>-25</v>
      </c>
      <c r="BS29" s="33">
        <v>-25</v>
      </c>
      <c r="BT29" s="33">
        <v>-25</v>
      </c>
      <c r="BU29" s="33">
        <v>-25</v>
      </c>
      <c r="BV29" s="33">
        <v>-25</v>
      </c>
      <c r="BW29" s="33">
        <v>-25</v>
      </c>
      <c r="BX29" s="33">
        <v>-25</v>
      </c>
      <c r="BY29" s="33">
        <v>-25</v>
      </c>
      <c r="BZ29" s="33">
        <v>-25</v>
      </c>
      <c r="CA29" s="33">
        <v>-25</v>
      </c>
      <c r="CB29" s="33">
        <v>-25</v>
      </c>
      <c r="CC29" s="33">
        <v>-25</v>
      </c>
      <c r="CD29" s="33">
        <v>-25</v>
      </c>
      <c r="CE29" s="33">
        <v>-25</v>
      </c>
      <c r="CF29" s="33">
        <v>-25</v>
      </c>
      <c r="CG29" s="33">
        <v>-25</v>
      </c>
      <c r="CH29" s="33">
        <v>-25</v>
      </c>
      <c r="CI29" s="33">
        <v>-25</v>
      </c>
      <c r="CJ29" s="33">
        <v>-25</v>
      </c>
      <c r="CK29" s="33">
        <v>-25</v>
      </c>
      <c r="CL29" s="33">
        <v>-25</v>
      </c>
    </row>
    <row r="30" spans="2:90" x14ac:dyDescent="0.25">
      <c r="B30" s="29" t="s">
        <v>297</v>
      </c>
      <c r="C30" s="30" t="s">
        <v>224</v>
      </c>
      <c r="D30" s="33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-'입력값'!K114</f>
      </c>
      <c r="L30" s="33">
        <f>-'입력값'!L114</f>
      </c>
      <c r="M30" s="33">
        <f>-'입력값'!M114</f>
      </c>
      <c r="N30" s="33">
        <f>-'입력값'!N114</f>
      </c>
      <c r="O30" s="33">
        <f>-'입력값'!O114</f>
      </c>
      <c r="P30" s="33">
        <f>-'입력값'!P114</f>
      </c>
      <c r="Q30" s="33">
        <f>-'입력값'!Q114</f>
      </c>
      <c r="R30" s="33">
        <f>-'입력값'!R114</f>
      </c>
      <c r="S30" s="33">
        <f>-'입력값'!S114</f>
      </c>
      <c r="T30" s="33">
        <f>-'입력값'!T114</f>
      </c>
      <c r="U30" s="33">
        <f>-'입력값'!U114</f>
      </c>
      <c r="V30" s="33">
        <f>-'입력값'!V114</f>
      </c>
      <c r="W30" s="33">
        <f>-'입력값'!W114</f>
      </c>
      <c r="X30" s="33">
        <f>-'입력값'!X114</f>
      </c>
      <c r="Y30" s="33">
        <f>-'입력값'!Y114</f>
      </c>
      <c r="Z30" s="33">
        <f>-'입력값'!Z114</f>
      </c>
      <c r="AA30" s="33">
        <f>-'입력값'!AA114</f>
      </c>
      <c r="AB30" s="33">
        <f>-'입력값'!AB114</f>
      </c>
      <c r="AC30" s="33">
        <f>-'입력값'!AC114</f>
      </c>
      <c r="AD30" s="33">
        <f>-'입력값'!AD114</f>
      </c>
      <c r="AE30" s="33">
        <f>-'입력값'!AE114</f>
      </c>
      <c r="AF30" s="33">
        <f>-'입력값'!AF114</f>
      </c>
      <c r="AG30" s="33">
        <f>-'입력값'!AG114</f>
      </c>
      <c r="AH30" s="33">
        <f>-'입력값'!AH114</f>
      </c>
      <c r="AI30" s="33">
        <f>-'입력값'!AI114</f>
      </c>
      <c r="AJ30" s="33">
        <f>-'입력값'!AJ114</f>
      </c>
      <c r="AK30" s="33">
        <f>-'입력값'!AK114</f>
      </c>
      <c r="AL30" s="33">
        <f>-'입력값'!AL114</f>
      </c>
      <c r="AM30" s="33">
        <f>-'입력값'!AM114</f>
      </c>
      <c r="AN30" s="33">
        <f>-'입력값'!AN114</f>
      </c>
      <c r="AO30" s="33">
        <f>-'입력값'!AO114</f>
      </c>
      <c r="AP30" s="33">
        <f>-'입력값'!AP114</f>
      </c>
      <c r="AQ30" s="33">
        <f>-'입력값'!AQ114</f>
      </c>
      <c r="AR30" s="33">
        <f>-'입력값'!AR114</f>
      </c>
      <c r="AS30" s="33">
        <f>-'입력값'!AS114</f>
      </c>
      <c r="AT30" s="33">
        <f>-'입력값'!AT114</f>
      </c>
      <c r="AU30" s="33">
        <f>-'입력값'!AU114</f>
      </c>
      <c r="AV30" s="33">
        <f>-'입력값'!AV114</f>
      </c>
      <c r="AW30" s="33">
        <f>-'입력값'!AW114</f>
      </c>
      <c r="AX30" s="33">
        <f>-'입력값'!AX114</f>
      </c>
      <c r="AY30" s="33">
        <f>-'입력값'!AY114</f>
      </c>
      <c r="AZ30" s="33">
        <f>-'입력값'!AZ114</f>
      </c>
      <c r="BA30" s="33">
        <f>-'입력값'!BA114</f>
      </c>
      <c r="BB30" s="33">
        <f>-'입력값'!BB114</f>
      </c>
      <c r="BC30" s="33">
        <f>-'입력값'!BC114</f>
      </c>
      <c r="BD30" s="33">
        <f>-'입력값'!BD114</f>
      </c>
      <c r="BE30" s="33">
        <f>-'입력값'!BE114</f>
      </c>
      <c r="BF30" s="33">
        <f>-'입력값'!BF114</f>
      </c>
      <c r="BG30" s="33">
        <f>-'입력값'!BG114</f>
      </c>
      <c r="BH30" s="33">
        <f>-'입력값'!BH114</f>
      </c>
      <c r="BI30" s="33">
        <f>-'입력값'!BI114</f>
      </c>
      <c r="BJ30" s="33">
        <f>-'입력값'!BJ114</f>
      </c>
      <c r="BK30" s="33">
        <f>-'입력값'!BK114</f>
      </c>
      <c r="BL30" s="33">
        <f>-'입력값'!BL114</f>
      </c>
      <c r="BM30" s="33">
        <f>-'입력값'!BM114</f>
      </c>
      <c r="BN30" s="33">
        <f>-'입력값'!BN114</f>
      </c>
      <c r="BO30" s="33">
        <f>-'입력값'!BO114</f>
      </c>
      <c r="BP30" s="33">
        <f>-'입력값'!BP114</f>
      </c>
      <c r="BQ30" s="33">
        <f>-'입력값'!BQ114</f>
      </c>
      <c r="BR30" s="33">
        <f>-'입력값'!BR114</f>
      </c>
      <c r="BS30" s="33">
        <f>-'입력값'!BS114</f>
      </c>
      <c r="BT30" s="33">
        <f>-'입력값'!BT114</f>
      </c>
      <c r="BU30" s="33">
        <f>-'입력값'!BU114</f>
      </c>
      <c r="BV30" s="33">
        <f>-'입력값'!BV114</f>
      </c>
      <c r="BW30" s="33">
        <f>-'입력값'!BW114</f>
      </c>
      <c r="BX30" s="33">
        <f>-'입력값'!BX114</f>
      </c>
      <c r="BY30" s="33">
        <f>-'입력값'!BY114</f>
      </c>
      <c r="BZ30" s="33">
        <f>-'입력값'!BZ114</f>
      </c>
      <c r="CA30" s="33">
        <f>-'입력값'!CA114</f>
      </c>
      <c r="CB30" s="33">
        <f>-'입력값'!CB114</f>
      </c>
      <c r="CC30" s="33">
        <f>-'입력값'!CC114</f>
      </c>
      <c r="CD30" s="33">
        <f>-'입력값'!CD114</f>
      </c>
      <c r="CE30" s="33">
        <f>-'입력값'!CE114</f>
      </c>
      <c r="CF30" s="33">
        <f>-'입력값'!CF114</f>
      </c>
      <c r="CG30" s="33">
        <f>-'입력값'!CG114</f>
      </c>
      <c r="CH30" s="33">
        <f>-'입력값'!CH114</f>
      </c>
      <c r="CI30" s="33">
        <f>-'입력값'!CI114</f>
      </c>
      <c r="CJ30" s="33">
        <f>-'입력값'!CJ114</f>
      </c>
      <c r="CK30" s="33">
        <f>-'입력값'!CK114</f>
      </c>
      <c r="CL30" s="33">
        <f>-'입력값'!CL114</f>
      </c>
    </row>
    <row r="31" spans="2:90" x14ac:dyDescent="0.25">
      <c r="B31" s="29" t="s">
        <v>298</v>
      </c>
      <c r="C31" s="30" t="s">
        <v>224</v>
      </c>
      <c r="D31" s="33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f>-'입력값'!K113</f>
      </c>
      <c r="L31" s="33">
        <f>-'입력값'!L113</f>
      </c>
      <c r="M31" s="33">
        <f>-'입력값'!M113</f>
      </c>
      <c r="N31" s="33">
        <f>-'입력값'!N113</f>
      </c>
      <c r="O31" s="33">
        <f>-'입력값'!O113</f>
      </c>
      <c r="P31" s="33">
        <f>-'입력값'!P113</f>
      </c>
      <c r="Q31" s="33">
        <f>-'입력값'!Q113</f>
      </c>
      <c r="R31" s="33">
        <f>-'입력값'!R113</f>
      </c>
      <c r="S31" s="33">
        <f>-'입력값'!S113</f>
      </c>
      <c r="T31" s="33">
        <f>-'입력값'!T113</f>
      </c>
      <c r="U31" s="33">
        <f>-'입력값'!U113</f>
      </c>
      <c r="V31" s="33">
        <f>-'입력값'!V113</f>
      </c>
      <c r="W31" s="33">
        <f>-'입력값'!W113</f>
      </c>
      <c r="X31" s="33">
        <f>-'입력값'!X113</f>
      </c>
      <c r="Y31" s="33">
        <f>-'입력값'!Y113</f>
      </c>
      <c r="Z31" s="33">
        <f>-'입력값'!Z113</f>
      </c>
      <c r="AA31" s="33">
        <f>-'입력값'!AA113</f>
      </c>
      <c r="AB31" s="33">
        <f>-'입력값'!AB113</f>
      </c>
      <c r="AC31" s="33">
        <f>-'입력값'!AC113</f>
      </c>
      <c r="AD31" s="33">
        <f>-'입력값'!AD113</f>
      </c>
      <c r="AE31" s="33">
        <f>-'입력값'!AE113</f>
      </c>
      <c r="AF31" s="33">
        <f>-'입력값'!AF113</f>
      </c>
      <c r="AG31" s="33">
        <f>-'입력값'!AG113</f>
      </c>
      <c r="AH31" s="33">
        <f>-'입력값'!AH113</f>
      </c>
      <c r="AI31" s="33">
        <f>-'입력값'!AI113</f>
      </c>
      <c r="AJ31" s="33">
        <f>-'입력값'!AJ113</f>
      </c>
      <c r="AK31" s="33">
        <f>-'입력값'!AK113</f>
      </c>
      <c r="AL31" s="33">
        <f>-'입력값'!AL113</f>
      </c>
      <c r="AM31" s="33">
        <f>-'입력값'!AM113</f>
      </c>
      <c r="AN31" s="33">
        <f>-'입력값'!AN113</f>
      </c>
      <c r="AO31" s="33">
        <f>-'입력값'!AO113</f>
      </c>
      <c r="AP31" s="33">
        <f>-'입력값'!AP113</f>
      </c>
      <c r="AQ31" s="33">
        <f>-'입력값'!AQ113</f>
      </c>
      <c r="AR31" s="33">
        <f>-'입력값'!AR113</f>
      </c>
      <c r="AS31" s="33">
        <f>-'입력값'!AS113</f>
      </c>
      <c r="AT31" s="33">
        <f>-'입력값'!AT113</f>
      </c>
      <c r="AU31" s="33">
        <f>-'입력값'!AU113</f>
      </c>
      <c r="AV31" s="33">
        <f>-'입력값'!AV113</f>
      </c>
      <c r="AW31" s="33">
        <f>-'입력값'!AW113</f>
      </c>
      <c r="AX31" s="33">
        <f>-'입력값'!AX113</f>
      </c>
      <c r="AY31" s="33">
        <f>-'입력값'!AY113</f>
      </c>
      <c r="AZ31" s="33">
        <f>-'입력값'!AZ113</f>
      </c>
      <c r="BA31" s="33">
        <f>-'입력값'!BA113</f>
      </c>
      <c r="BB31" s="33">
        <f>-'입력값'!BB113</f>
      </c>
      <c r="BC31" s="33">
        <f>-'입력값'!BC113</f>
      </c>
      <c r="BD31" s="33">
        <f>-'입력값'!BD113</f>
      </c>
      <c r="BE31" s="33">
        <f>-'입력값'!BE113</f>
      </c>
      <c r="BF31" s="33">
        <f>-'입력값'!BF113</f>
      </c>
      <c r="BG31" s="33">
        <f>-'입력값'!BG113</f>
      </c>
      <c r="BH31" s="33">
        <f>-'입력값'!BH113</f>
      </c>
      <c r="BI31" s="33">
        <f>-'입력값'!BI113</f>
      </c>
      <c r="BJ31" s="33">
        <f>-'입력값'!BJ113</f>
      </c>
      <c r="BK31" s="33">
        <f>-'입력값'!BK113</f>
      </c>
      <c r="BL31" s="33">
        <f>-'입력값'!BL113</f>
      </c>
      <c r="BM31" s="33">
        <f>-'입력값'!BM113</f>
      </c>
      <c r="BN31" s="33">
        <f>-'입력값'!BN113</f>
      </c>
      <c r="BO31" s="33">
        <f>-'입력값'!BO113</f>
      </c>
      <c r="BP31" s="33">
        <f>-'입력값'!BP113</f>
      </c>
      <c r="BQ31" s="33">
        <f>-'입력값'!BQ113</f>
      </c>
      <c r="BR31" s="33">
        <f>-'입력값'!BR113</f>
      </c>
      <c r="BS31" s="33">
        <f>-'입력값'!BS113</f>
      </c>
      <c r="BT31" s="33">
        <f>-'입력값'!BT113</f>
      </c>
      <c r="BU31" s="33">
        <f>-'입력값'!BU113</f>
      </c>
      <c r="BV31" s="33">
        <f>-'입력값'!BV113</f>
      </c>
      <c r="BW31" s="33">
        <f>-'입력값'!BW113</f>
      </c>
      <c r="BX31" s="33">
        <f>-'입력값'!BX113</f>
      </c>
      <c r="BY31" s="33">
        <f>-'입력값'!BY113</f>
      </c>
      <c r="BZ31" s="33">
        <f>-'입력값'!BZ113</f>
      </c>
      <c r="CA31" s="33">
        <f>-'입력값'!CA113</f>
      </c>
      <c r="CB31" s="33">
        <f>-'입력값'!CB113</f>
      </c>
      <c r="CC31" s="33">
        <f>-'입력값'!CC113</f>
      </c>
      <c r="CD31" s="33">
        <f>-'입력값'!CD113</f>
      </c>
      <c r="CE31" s="33">
        <f>-'입력값'!CE113</f>
      </c>
      <c r="CF31" s="33">
        <f>-'입력값'!CF113</f>
      </c>
      <c r="CG31" s="33">
        <f>-'입력값'!CG113</f>
      </c>
      <c r="CH31" s="33">
        <f>-'입력값'!CH113</f>
      </c>
      <c r="CI31" s="33">
        <f>-'입력값'!CI113</f>
      </c>
      <c r="CJ31" s="33">
        <f>-'입력값'!CJ113</f>
      </c>
      <c r="CK31" s="33">
        <f>-'입력값'!CK113</f>
      </c>
      <c r="CL31" s="33">
        <f>-'입력값'!CL113</f>
      </c>
    </row>
    <row r="32" spans="2:90" x14ac:dyDescent="0.25">
      <c r="B32" s="43" t="s">
        <v>299</v>
      </c>
      <c r="C32" s="30" t="s">
        <v>224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29" t="s">
        <v>300</v>
      </c>
      <c r="C33" s="30" t="s">
        <v>294</v>
      </c>
      <c r="E33" s="36"/>
      <c r="F33" s="36"/>
      <c r="G33" s="36"/>
      <c r="H33" s="36"/>
      <c r="I33" s="36"/>
      <c r="J33" s="36"/>
      <c r="K33" s="36">
        <v>0.3841677977350652</v>
      </c>
      <c r="L33" s="36">
        <v>0.3969916742478117</v>
      </c>
      <c r="M33" s="36">
        <v>0.5238806264879</v>
      </c>
      <c r="N33" s="36">
        <v>0.3427912889933119</v>
      </c>
      <c r="O33" s="36">
        <v>0.3793948182424325</v>
      </c>
      <c r="P33" s="36">
        <v>0.3923182562798476</v>
      </c>
      <c r="Q33" s="36">
        <v>0.5202007556126039</v>
      </c>
      <c r="R33" s="36">
        <v>0.3376970721360091</v>
      </c>
      <c r="S33" s="36">
        <v>0.3745454663803504</v>
      </c>
      <c r="T33" s="36">
        <v>0.3875700590248176</v>
      </c>
      <c r="U33" s="36">
        <v>0.5164620942430452</v>
      </c>
      <c r="V33" s="36">
        <v>0.3325213427952602</v>
      </c>
      <c r="W33" s="36">
        <v>0.3711411517361884</v>
      </c>
      <c r="X33" s="36">
        <v>0.3842367563673925</v>
      </c>
      <c r="Y33" s="36">
        <v>0.5138326963680497</v>
      </c>
      <c r="Z33" s="36">
        <v>0.32888790647427407</v>
      </c>
      <c r="AA33" s="36">
        <v>0.3661418536272724</v>
      </c>
      <c r="AB33" s="36">
        <v>0.37934174065540827</v>
      </c>
      <c r="AC33" s="36">
        <v>0.5099785953706513</v>
      </c>
      <c r="AD33" s="36">
        <v>0.3235521390065042</v>
      </c>
      <c r="AE33" s="36">
        <v>0.36208698834329256</v>
      </c>
      <c r="AF33" s="36">
        <v>0.37537145745912115</v>
      </c>
      <c r="AG33" s="36">
        <v>0.5068494158743888</v>
      </c>
      <c r="AH33" s="36">
        <v>0.3192243678280138</v>
      </c>
      <c r="AI33" s="36">
        <v>0.3569285063768709</v>
      </c>
      <c r="AJ33" s="36">
        <v>0.37032057837059723</v>
      </c>
      <c r="AK33" s="36">
        <v>0.5028727732186826</v>
      </c>
      <c r="AL33" s="36">
        <v>0.313718702900687</v>
      </c>
      <c r="AM33" s="36">
        <v>0.3516851404050385</v>
      </c>
      <c r="AN33" s="36">
        <v>0.36518658590672987</v>
      </c>
      <c r="AO33" s="36">
        <v>0.49883079292513954</v>
      </c>
      <c r="AP33" s="36">
        <v>0.3081224409925969</v>
      </c>
      <c r="AQ33" s="36">
        <v>0.34635502697300624</v>
      </c>
      <c r="AR33" s="36">
        <v>0.35996765548329224</v>
      </c>
      <c r="AS33" s="36">
        <v>0.4947220417043052</v>
      </c>
      <c r="AT33" s="36">
        <v>0.30243359323226016</v>
      </c>
      <c r="AU33" s="36">
        <v>0.3409362542295452</v>
      </c>
      <c r="AV33" s="36">
        <v>0.35466191512914</v>
      </c>
      <c r="AW33" s="36">
        <v>0.4905450490554827</v>
      </c>
      <c r="AX33" s="36">
        <v>0.2966501190945145</v>
      </c>
      <c r="AY33" s="36">
        <v>0.33542686048651565</v>
      </c>
      <c r="AZ33" s="36">
        <v>0.3492674440757856</v>
      </c>
      <c r="BA33" s="36">
        <v>0.48629830615936837</v>
      </c>
      <c r="BB33" s="36">
        <v>0.29076992486309555</v>
      </c>
      <c r="BC33" s="36">
        <v>0.3298248327296384</v>
      </c>
      <c r="BD33" s="36">
        <v>0.34378227129923533</v>
      </c>
      <c r="BE33" s="36">
        <v>0.4819802647332056</v>
      </c>
      <c r="BF33" s="36">
        <v>0.28479086204118065</v>
      </c>
      <c r="BG33" s="36">
        <v>0.32412810507863243</v>
      </c>
      <c r="BH33" s="36">
        <v>0.33820437401224707</v>
      </c>
      <c r="BI33" s="36">
        <v>0.4775893358470197</v>
      </c>
      <c r="BJ33" s="36">
        <v>0.27871072570788763</v>
      </c>
      <c r="BK33" s="36">
        <v>0.31833455719476955</v>
      </c>
      <c r="BL33" s="36">
        <v>0.3325316761051022</v>
      </c>
      <c r="BM33" s="36">
        <v>0.4731238886994322</v>
      </c>
      <c r="BN33" s="36">
        <v>0.27252725281865336</v>
      </c>
      <c r="BO33" s="36">
        <v>0.3124420126338075</v>
      </c>
      <c r="BP33" s="36">
        <v>0.32676204653289626</v>
      </c>
      <c r="BQ33" s="36">
        <v>0.46858224935148707</v>
      </c>
      <c r="BR33" s="36">
        <v>0.2662381204473129</v>
      </c>
      <c r="BS33" s="36">
        <v>0.3064482371421744</v>
      </c>
      <c r="BT33" s="36">
        <v>0.32089329764726293</v>
      </c>
      <c r="BU33" s="36">
        <v>0.4639626994168565</v>
      </c>
      <c r="BV33" s="36">
        <v>0.25984094396761154</v>
      </c>
      <c r="BW33" s="36">
        <v>0.3003509368941824</v>
      </c>
      <c r="BX33" s="36">
        <v>0.3149231834703595</v>
      </c>
      <c r="BY33" s="36">
        <v>0.46260196260958125</v>
      </c>
      <c r="BZ33" s="36">
        <v>0.2533332751717785</v>
      </c>
      <c r="CA33" s="36">
        <v>0.29414775666795534</v>
      </c>
      <c r="CB33" s="36">
        <v>0.30884939790884336</v>
      </c>
      <c r="CC33" s="36">
        <v>0.4578394948336719</v>
      </c>
      <c r="CD33" s="36">
        <v>0.24671260032368608</v>
      </c>
      <c r="CE33" s="36">
        <v>0.2878362779576448</v>
      </c>
      <c r="CF33" s="36">
        <v>0.3026695729054644</v>
      </c>
      <c r="CG33" s="36">
        <v>0.4577052986073792</v>
      </c>
      <c r="CH33" s="36">
        <v>0.2596254550189421</v>
      </c>
      <c r="CI33" s="36">
        <v>0.2999257888533212</v>
      </c>
      <c r="CJ33" s="36">
        <v>0.3145069037657699</v>
      </c>
      <c r="CK33" s="36">
        <v>0.4622755568353249</v>
      </c>
      <c r="CL33" s="36">
        <v>0.2528795132564071</v>
      </c>
    </row>
    <row r="35" spans="2:2" x14ac:dyDescent="0.25">
      <c r="B35" s="43" t="s">
        <v>301</v>
      </c>
    </row>
    <row r="36" spans="2:90" x14ac:dyDescent="0.25">
      <c r="B36" s="29" t="s">
        <v>302</v>
      </c>
      <c r="C36" s="30" t="s">
        <v>224</v>
      </c>
      <c r="D36" s="33">
        <f>SUM(E36:CL36)</f>
      </c>
      <c r="E36" s="33">
        <f>-'Debt'!E12</f>
      </c>
      <c r="F36" s="33">
        <f>-'Debt'!F12</f>
      </c>
      <c r="G36" s="33">
        <f>-'Debt'!G12</f>
      </c>
      <c r="H36" s="33">
        <f>-'Debt'!H12</f>
      </c>
      <c r="I36" s="33">
        <f>-'Debt'!I12</f>
      </c>
      <c r="J36" s="33">
        <f>-'Debt'!J12</f>
      </c>
      <c r="K36" s="33">
        <f>-'Debt'!K12</f>
      </c>
      <c r="L36" s="33">
        <f>-'Debt'!L12</f>
      </c>
      <c r="M36" s="33">
        <f>-'Debt'!M12</f>
      </c>
      <c r="N36" s="33">
        <f>-'Debt'!N12</f>
      </c>
      <c r="O36" s="33">
        <f>-'Debt'!O12</f>
      </c>
      <c r="P36" s="33">
        <f>-'Debt'!P12</f>
      </c>
      <c r="Q36" s="33">
        <f>-'Debt'!Q12</f>
      </c>
      <c r="R36" s="33">
        <f>-'Debt'!R12</f>
      </c>
      <c r="S36" s="33">
        <f>-'Debt'!S12</f>
      </c>
      <c r="T36" s="33">
        <f>-'Debt'!T12</f>
      </c>
      <c r="U36" s="33">
        <f>-'Debt'!U12</f>
      </c>
      <c r="V36" s="33">
        <f>-'Debt'!V12</f>
      </c>
      <c r="W36" s="33">
        <f>-'Debt'!W12</f>
      </c>
      <c r="X36" s="33">
        <f>-'Debt'!X12</f>
      </c>
      <c r="Y36" s="33">
        <f>-'Debt'!Y12</f>
      </c>
      <c r="Z36" s="33">
        <f>-'Debt'!Z12</f>
      </c>
      <c r="AA36" s="33">
        <f>-'Debt'!AA12</f>
      </c>
      <c r="AB36" s="33">
        <f>-'Debt'!AB12</f>
      </c>
      <c r="AC36" s="33">
        <f>-'Debt'!AC12</f>
      </c>
      <c r="AD36" s="33">
        <f>-'Debt'!AD12</f>
      </c>
      <c r="AE36" s="33">
        <f>-'Debt'!AE12</f>
      </c>
      <c r="AF36" s="33">
        <f>-'Debt'!AF12</f>
      </c>
      <c r="AG36" s="33">
        <f>-'Debt'!AG12</f>
      </c>
      <c r="AH36" s="33">
        <f>-'Debt'!AH12</f>
      </c>
      <c r="AI36" s="33">
        <f>-'Debt'!AI12</f>
      </c>
      <c r="AJ36" s="33">
        <f>-'Debt'!AJ12</f>
      </c>
      <c r="AK36" s="33">
        <f>-'Debt'!AK12</f>
      </c>
      <c r="AL36" s="33">
        <f>-'Debt'!AL12</f>
      </c>
      <c r="AM36" s="33">
        <f>-'Debt'!AM12</f>
      </c>
      <c r="AN36" s="33">
        <f>-'Debt'!AN12</f>
      </c>
      <c r="AO36" s="33">
        <f>-'Debt'!AO12</f>
      </c>
      <c r="AP36" s="33">
        <f>-'Debt'!AP12</f>
      </c>
      <c r="AQ36" s="33">
        <f>-'Debt'!AQ12</f>
      </c>
      <c r="AR36" s="33">
        <f>-'Debt'!AR12</f>
      </c>
      <c r="AS36" s="33">
        <f>-'Debt'!AS12</f>
      </c>
      <c r="AT36" s="33">
        <f>-'Debt'!AT12</f>
      </c>
      <c r="AU36" s="33">
        <f>-'Debt'!AU12</f>
      </c>
      <c r="AV36" s="33">
        <f>-'Debt'!AV12</f>
      </c>
      <c r="AW36" s="33">
        <f>-'Debt'!AW12</f>
      </c>
      <c r="AX36" s="33">
        <f>-'Debt'!AX12</f>
      </c>
      <c r="AY36" s="33">
        <f>-'Debt'!AY12</f>
      </c>
      <c r="AZ36" s="33">
        <f>-'Debt'!AZ12</f>
      </c>
      <c r="BA36" s="33">
        <f>-'Debt'!BA12</f>
      </c>
      <c r="BB36" s="33">
        <f>-'Debt'!BB12</f>
      </c>
      <c r="BC36" s="33">
        <f>-'Debt'!BC12</f>
      </c>
      <c r="BD36" s="33">
        <f>-'Debt'!BD12</f>
      </c>
      <c r="BE36" s="33">
        <f>-'Debt'!BE12</f>
      </c>
      <c r="BF36" s="33">
        <f>-'Debt'!BF12</f>
      </c>
      <c r="BG36" s="33">
        <f>-'Debt'!BG12</f>
      </c>
      <c r="BH36" s="33">
        <f>-'Debt'!BH12</f>
      </c>
      <c r="BI36" s="33">
        <f>-'Debt'!BI12</f>
      </c>
      <c r="BJ36" s="33">
        <f>-'Debt'!BJ12</f>
      </c>
      <c r="BK36" s="33">
        <f>-'Debt'!BK12</f>
      </c>
      <c r="BL36" s="33">
        <f>-'Debt'!BL12</f>
      </c>
      <c r="BM36" s="33">
        <f>-'Debt'!BM12</f>
      </c>
      <c r="BN36" s="33">
        <f>-'Debt'!BN12</f>
      </c>
      <c r="BO36" s="33">
        <f>-'Debt'!BO12</f>
      </c>
      <c r="BP36" s="33">
        <f>-'Debt'!BP12</f>
      </c>
      <c r="BQ36" s="33">
        <f>-'Debt'!BQ12</f>
      </c>
      <c r="BR36" s="33">
        <f>-'Debt'!BR12</f>
      </c>
      <c r="BS36" s="33">
        <f>-'Debt'!BS12</f>
      </c>
      <c r="BT36" s="33">
        <f>-'Debt'!BT12</f>
      </c>
      <c r="BU36" s="33">
        <f>-'Debt'!BU12</f>
      </c>
      <c r="BV36" s="33">
        <f>-'Debt'!BV12</f>
      </c>
      <c r="BW36" s="33">
        <f>-'Debt'!BW12</f>
      </c>
      <c r="BX36" s="33">
        <f>-'Debt'!BX12</f>
      </c>
      <c r="BY36" s="33">
        <f>-'Debt'!BY12</f>
      </c>
      <c r="BZ36" s="33">
        <f>-'Debt'!BZ12</f>
      </c>
      <c r="CA36" s="33">
        <f>-'Debt'!CA12</f>
      </c>
      <c r="CB36" s="33">
        <f>-'Debt'!CB12</f>
      </c>
      <c r="CC36" s="33">
        <f>-'Debt'!CC12</f>
      </c>
      <c r="CD36" s="33">
        <f>-'Debt'!CD12</f>
      </c>
      <c r="CE36" s="33">
        <f>-'Debt'!CE12</f>
      </c>
      <c r="CF36" s="33">
        <f>-'Debt'!CF12</f>
      </c>
      <c r="CG36" s="33">
        <f>-'Debt'!CG12</f>
      </c>
      <c r="CH36" s="33">
        <f>-'Debt'!CH12</f>
      </c>
      <c r="CI36" s="33">
        <f>-'Debt'!CI12</f>
      </c>
      <c r="CJ36" s="33">
        <f>-'Debt'!CJ12</f>
      </c>
      <c r="CK36" s="33">
        <f>-'Debt'!CK12</f>
      </c>
      <c r="CL36" s="33">
        <f>-'Debt'!CL12</f>
      </c>
    </row>
    <row r="37" spans="2:90" x14ac:dyDescent="0.25">
      <c r="B37" s="29" t="s">
        <v>303</v>
      </c>
      <c r="C37" s="30" t="s">
        <v>224</v>
      </c>
      <c r="D37" s="33">
        <f>SUM(E37:CL37)</f>
      </c>
      <c r="E37" s="33">
        <f>-'Debt'!E21</f>
      </c>
      <c r="F37" s="33">
        <f>-'Debt'!F21</f>
      </c>
      <c r="G37" s="33">
        <f>-'Debt'!G21</f>
      </c>
      <c r="H37" s="33">
        <f>-'Debt'!H21</f>
      </c>
      <c r="I37" s="33">
        <f>-'Debt'!I21</f>
      </c>
      <c r="J37" s="33">
        <f>-'Debt'!J21</f>
      </c>
      <c r="K37" s="33">
        <f>-'Debt'!K21</f>
      </c>
      <c r="L37" s="33">
        <f>-'Debt'!L21</f>
      </c>
      <c r="M37" s="33">
        <f>-'Debt'!M21</f>
      </c>
      <c r="N37" s="33">
        <f>-'Debt'!N21</f>
      </c>
      <c r="O37" s="33">
        <f>-'Debt'!O21</f>
      </c>
      <c r="P37" s="33">
        <f>-'Debt'!P21</f>
      </c>
      <c r="Q37" s="33">
        <f>-'Debt'!Q21</f>
      </c>
      <c r="R37" s="33">
        <f>-'Debt'!R21</f>
      </c>
      <c r="S37" s="33">
        <f>-'Debt'!S21</f>
      </c>
      <c r="T37" s="33">
        <f>-'Debt'!T21</f>
      </c>
      <c r="U37" s="33">
        <f>-'Debt'!U21</f>
      </c>
      <c r="V37" s="33">
        <f>-'Debt'!V21</f>
      </c>
      <c r="W37" s="33">
        <f>-'Debt'!W21</f>
      </c>
      <c r="X37" s="33">
        <f>-'Debt'!X21</f>
      </c>
      <c r="Y37" s="33">
        <f>-'Debt'!Y21</f>
      </c>
      <c r="Z37" s="33">
        <f>-'Debt'!Z21</f>
      </c>
      <c r="AA37" s="33">
        <f>-'Debt'!AA21</f>
      </c>
      <c r="AB37" s="33">
        <f>-'Debt'!AB21</f>
      </c>
      <c r="AC37" s="33">
        <f>-'Debt'!AC21</f>
      </c>
      <c r="AD37" s="33">
        <f>-'Debt'!AD21</f>
      </c>
      <c r="AE37" s="33">
        <f>-'Debt'!AE21</f>
      </c>
      <c r="AF37" s="33">
        <f>-'Debt'!AF21</f>
      </c>
      <c r="AG37" s="33">
        <f>-'Debt'!AG21</f>
      </c>
      <c r="AH37" s="33">
        <f>-'Debt'!AH21</f>
      </c>
      <c r="AI37" s="33">
        <f>-'Debt'!AI21</f>
      </c>
      <c r="AJ37" s="33">
        <f>-'Debt'!AJ21</f>
      </c>
      <c r="AK37" s="33">
        <f>-'Debt'!AK21</f>
      </c>
      <c r="AL37" s="33">
        <f>-'Debt'!AL21</f>
      </c>
      <c r="AM37" s="33">
        <f>-'Debt'!AM21</f>
      </c>
      <c r="AN37" s="33">
        <f>-'Debt'!AN21</f>
      </c>
      <c r="AO37" s="33">
        <f>-'Debt'!AO21</f>
      </c>
      <c r="AP37" s="33">
        <f>-'Debt'!AP21</f>
      </c>
      <c r="AQ37" s="33">
        <f>-'Debt'!AQ21</f>
      </c>
      <c r="AR37" s="33">
        <f>-'Debt'!AR21</f>
      </c>
      <c r="AS37" s="33">
        <f>-'Debt'!AS21</f>
      </c>
      <c r="AT37" s="33">
        <f>-'Debt'!AT21</f>
      </c>
      <c r="AU37" s="33">
        <f>-'Debt'!AU21</f>
      </c>
      <c r="AV37" s="33">
        <f>-'Debt'!AV21</f>
      </c>
      <c r="AW37" s="33">
        <f>-'Debt'!AW21</f>
      </c>
      <c r="AX37" s="33">
        <f>-'Debt'!AX21</f>
      </c>
      <c r="AY37" s="33">
        <f>-'Debt'!AY21</f>
      </c>
      <c r="AZ37" s="33">
        <f>-'Debt'!AZ21</f>
      </c>
      <c r="BA37" s="33">
        <f>-'Debt'!BA21</f>
      </c>
      <c r="BB37" s="33">
        <f>-'Debt'!BB21</f>
      </c>
      <c r="BC37" s="33">
        <f>-'Debt'!BC21</f>
      </c>
      <c r="BD37" s="33">
        <f>-'Debt'!BD21</f>
      </c>
      <c r="BE37" s="33">
        <f>-'Debt'!BE21</f>
      </c>
      <c r="BF37" s="33">
        <f>-'Debt'!BF21</f>
      </c>
      <c r="BG37" s="33">
        <f>-'Debt'!BG21</f>
      </c>
      <c r="BH37" s="33">
        <f>-'Debt'!BH21</f>
      </c>
      <c r="BI37" s="33">
        <f>-'Debt'!BI21</f>
      </c>
      <c r="BJ37" s="33">
        <f>-'Debt'!BJ21</f>
      </c>
      <c r="BK37" s="33">
        <f>-'Debt'!BK21</f>
      </c>
      <c r="BL37" s="33">
        <f>-'Debt'!BL21</f>
      </c>
      <c r="BM37" s="33">
        <f>-'Debt'!BM21</f>
      </c>
      <c r="BN37" s="33">
        <f>-'Debt'!BN21</f>
      </c>
      <c r="BO37" s="33">
        <f>-'Debt'!BO21</f>
      </c>
      <c r="BP37" s="33">
        <f>-'Debt'!BP21</f>
      </c>
      <c r="BQ37" s="33">
        <f>-'Debt'!BQ21</f>
      </c>
      <c r="BR37" s="33">
        <f>-'Debt'!BR21</f>
      </c>
      <c r="BS37" s="33">
        <f>-'Debt'!BS21</f>
      </c>
      <c r="BT37" s="33">
        <f>-'Debt'!BT21</f>
      </c>
      <c r="BU37" s="33">
        <f>-'Debt'!BU21</f>
      </c>
      <c r="BV37" s="33">
        <f>-'Debt'!BV21</f>
      </c>
      <c r="BW37" s="33">
        <f>-'Debt'!BW21</f>
      </c>
      <c r="BX37" s="33">
        <f>-'Debt'!BX21</f>
      </c>
      <c r="BY37" s="33">
        <f>-'Debt'!BY21</f>
      </c>
      <c r="BZ37" s="33">
        <f>-'Debt'!BZ21</f>
      </c>
      <c r="CA37" s="33">
        <f>-'Debt'!CA21</f>
      </c>
      <c r="CB37" s="33">
        <f>-'Debt'!CB21</f>
      </c>
      <c r="CC37" s="33">
        <f>-'Debt'!CC21</f>
      </c>
      <c r="CD37" s="33">
        <f>-'Debt'!CD21</f>
      </c>
      <c r="CE37" s="33">
        <f>-'Debt'!CE21</f>
      </c>
      <c r="CF37" s="33">
        <f>-'Debt'!CF21</f>
      </c>
      <c r="CG37" s="33">
        <f>-'Debt'!CG21</f>
      </c>
      <c r="CH37" s="33">
        <f>-'Debt'!CH21</f>
      </c>
      <c r="CI37" s="33">
        <f>-'Debt'!CI21</f>
      </c>
      <c r="CJ37" s="33">
        <f>-'Debt'!CJ21</f>
      </c>
      <c r="CK37" s="33">
        <f>-'Debt'!CK21</f>
      </c>
      <c r="CL37" s="33">
        <f>-'Debt'!CL21</f>
      </c>
    </row>
    <row r="38" spans="2:90" x14ac:dyDescent="0.25">
      <c r="B38" s="29" t="s">
        <v>304</v>
      </c>
      <c r="C38" s="30" t="s">
        <v>224</v>
      </c>
      <c r="D38" s="33">
        <f>SUM(E38:CL38)</f>
      </c>
      <c r="E38" s="33">
        <f>-'Debt'!E30</f>
      </c>
      <c r="F38" s="33">
        <f>-'Debt'!F30</f>
      </c>
      <c r="G38" s="33">
        <f>-'Debt'!G30</f>
      </c>
      <c r="H38" s="33">
        <f>-'Debt'!H30</f>
      </c>
      <c r="I38" s="33">
        <f>-'Debt'!I30</f>
      </c>
      <c r="J38" s="33">
        <f>-'Debt'!J30</f>
      </c>
      <c r="K38" s="33">
        <f>-'Debt'!K30</f>
      </c>
      <c r="L38" s="33">
        <f>-'Debt'!L30</f>
      </c>
      <c r="M38" s="33">
        <f>-'Debt'!M30</f>
      </c>
      <c r="N38" s="33">
        <f>-'Debt'!N30</f>
      </c>
      <c r="O38" s="33">
        <f>-'Debt'!O30</f>
      </c>
      <c r="P38" s="33">
        <f>-'Debt'!P30</f>
      </c>
      <c r="Q38" s="33">
        <f>-'Debt'!Q30</f>
      </c>
      <c r="R38" s="33">
        <f>-'Debt'!R30</f>
      </c>
      <c r="S38" s="33">
        <f>-'Debt'!S30</f>
      </c>
      <c r="T38" s="33">
        <f>-'Debt'!T30</f>
      </c>
      <c r="U38" s="33">
        <f>-'Debt'!U30</f>
      </c>
      <c r="V38" s="33">
        <f>-'Debt'!V30</f>
      </c>
      <c r="W38" s="33">
        <f>-'Debt'!W30</f>
      </c>
      <c r="X38" s="33">
        <f>-'Debt'!X30</f>
      </c>
      <c r="Y38" s="33">
        <f>-'Debt'!Y30</f>
      </c>
      <c r="Z38" s="33">
        <f>-'Debt'!Z30</f>
      </c>
      <c r="AA38" s="33">
        <f>-'Debt'!AA30</f>
      </c>
      <c r="AB38" s="33">
        <f>-'Debt'!AB30</f>
      </c>
      <c r="AC38" s="33">
        <f>-'Debt'!AC30</f>
      </c>
      <c r="AD38" s="33">
        <f>-'Debt'!AD30</f>
      </c>
      <c r="AE38" s="33">
        <f>-'Debt'!AE30</f>
      </c>
      <c r="AF38" s="33">
        <f>-'Debt'!AF30</f>
      </c>
      <c r="AG38" s="33">
        <f>-'Debt'!AG30</f>
      </c>
      <c r="AH38" s="33">
        <f>-'Debt'!AH30</f>
      </c>
      <c r="AI38" s="33">
        <f>-'Debt'!AI30</f>
      </c>
      <c r="AJ38" s="33">
        <f>-'Debt'!AJ30</f>
      </c>
      <c r="AK38" s="33">
        <f>-'Debt'!AK30</f>
      </c>
      <c r="AL38" s="33">
        <f>-'Debt'!AL30</f>
      </c>
      <c r="AM38" s="33">
        <f>-'Debt'!AM30</f>
      </c>
      <c r="AN38" s="33">
        <f>-'Debt'!AN30</f>
      </c>
      <c r="AO38" s="33">
        <f>-'Debt'!AO30</f>
      </c>
      <c r="AP38" s="33">
        <f>-'Debt'!AP30</f>
      </c>
      <c r="AQ38" s="33">
        <f>-'Debt'!AQ30</f>
      </c>
      <c r="AR38" s="33">
        <f>-'Debt'!AR30</f>
      </c>
      <c r="AS38" s="33">
        <f>-'Debt'!AS30</f>
      </c>
      <c r="AT38" s="33">
        <f>-'Debt'!AT30</f>
      </c>
      <c r="AU38" s="33">
        <f>-'Debt'!AU30</f>
      </c>
      <c r="AV38" s="33">
        <f>-'Debt'!AV30</f>
      </c>
      <c r="AW38" s="33">
        <f>-'Debt'!AW30</f>
      </c>
      <c r="AX38" s="33">
        <f>-'Debt'!AX30</f>
      </c>
      <c r="AY38" s="33">
        <f>-'Debt'!AY30</f>
      </c>
      <c r="AZ38" s="33">
        <f>-'Debt'!AZ30</f>
      </c>
      <c r="BA38" s="33">
        <f>-'Debt'!BA30</f>
      </c>
      <c r="BB38" s="33">
        <f>-'Debt'!BB30</f>
      </c>
      <c r="BC38" s="33">
        <f>-'Debt'!BC30</f>
      </c>
      <c r="BD38" s="33">
        <f>-'Debt'!BD30</f>
      </c>
      <c r="BE38" s="33">
        <f>-'Debt'!BE30</f>
      </c>
      <c r="BF38" s="33">
        <f>-'Debt'!BF30</f>
      </c>
      <c r="BG38" s="33">
        <f>-'Debt'!BG30</f>
      </c>
      <c r="BH38" s="33">
        <f>-'Debt'!BH30</f>
      </c>
      <c r="BI38" s="33">
        <f>-'Debt'!BI30</f>
      </c>
      <c r="BJ38" s="33">
        <f>-'Debt'!BJ30</f>
      </c>
      <c r="BK38" s="33">
        <f>-'Debt'!BK30</f>
      </c>
      <c r="BL38" s="33">
        <f>-'Debt'!BL30</f>
      </c>
      <c r="BM38" s="33">
        <f>-'Debt'!BM30</f>
      </c>
      <c r="BN38" s="33">
        <f>-'Debt'!BN30</f>
      </c>
      <c r="BO38" s="33">
        <f>-'Debt'!BO30</f>
      </c>
      <c r="BP38" s="33">
        <f>-'Debt'!BP30</f>
      </c>
      <c r="BQ38" s="33">
        <f>-'Debt'!BQ30</f>
      </c>
      <c r="BR38" s="33">
        <f>-'Debt'!BR30</f>
      </c>
      <c r="BS38" s="33">
        <f>-'Debt'!BS30</f>
      </c>
      <c r="BT38" s="33">
        <f>-'Debt'!BT30</f>
      </c>
      <c r="BU38" s="33">
        <f>-'Debt'!BU30</f>
      </c>
      <c r="BV38" s="33">
        <f>-'Debt'!BV30</f>
      </c>
      <c r="BW38" s="33">
        <f>-'Debt'!BW30</f>
      </c>
      <c r="BX38" s="33">
        <f>-'Debt'!BX30</f>
      </c>
      <c r="BY38" s="33">
        <f>-'Debt'!BY30</f>
      </c>
      <c r="BZ38" s="33">
        <f>-'Debt'!BZ30</f>
      </c>
      <c r="CA38" s="33">
        <f>-'Debt'!CA30</f>
      </c>
      <c r="CB38" s="33">
        <f>-'Debt'!CB30</f>
      </c>
      <c r="CC38" s="33">
        <f>-'Debt'!CC30</f>
      </c>
      <c r="CD38" s="33">
        <f>-'Debt'!CD30</f>
      </c>
      <c r="CE38" s="33">
        <f>-'Debt'!CE30</f>
      </c>
      <c r="CF38" s="33">
        <f>-'Debt'!CF30</f>
      </c>
      <c r="CG38" s="33">
        <f>-'Debt'!CG30</f>
      </c>
      <c r="CH38" s="33">
        <f>-'Debt'!CH30</f>
      </c>
      <c r="CI38" s="33">
        <f>-'Debt'!CI30</f>
      </c>
      <c r="CJ38" s="33">
        <f>-'Debt'!CJ30</f>
      </c>
      <c r="CK38" s="33">
        <f>-'Debt'!CK30</f>
      </c>
      <c r="CL38" s="33">
        <f>-'Debt'!CL30</f>
      </c>
    </row>
    <row r="39" spans="2:90" x14ac:dyDescent="0.25">
      <c r="B39" s="29" t="s">
        <v>305</v>
      </c>
      <c r="C39" s="30" t="s">
        <v>224</v>
      </c>
      <c r="D39" s="33">
        <f>SUM(E39:CL39)</f>
      </c>
      <c r="E39" s="33">
        <f>-'Debt'!E39</f>
      </c>
      <c r="F39" s="33">
        <f>-'Debt'!F39</f>
      </c>
      <c r="G39" s="33">
        <f>-'Debt'!G39</f>
      </c>
      <c r="H39" s="33">
        <f>-'Debt'!H39</f>
      </c>
      <c r="I39" s="33">
        <f>-'Debt'!I39</f>
      </c>
      <c r="J39" s="33">
        <f>-'Debt'!J39</f>
      </c>
      <c r="K39" s="33">
        <f>-'Debt'!K39</f>
      </c>
      <c r="L39" s="33">
        <f>-'Debt'!L39</f>
      </c>
      <c r="M39" s="33">
        <f>-'Debt'!M39</f>
      </c>
      <c r="N39" s="33">
        <f>-'Debt'!N39</f>
      </c>
      <c r="O39" s="33">
        <f>-'Debt'!O39</f>
      </c>
      <c r="P39" s="33">
        <f>-'Debt'!P39</f>
      </c>
      <c r="Q39" s="33">
        <f>-'Debt'!Q39</f>
      </c>
      <c r="R39" s="33">
        <f>-'Debt'!R39</f>
      </c>
      <c r="S39" s="33">
        <f>-'Debt'!S39</f>
      </c>
      <c r="T39" s="33">
        <f>-'Debt'!T39</f>
      </c>
      <c r="U39" s="33">
        <f>-'Debt'!U39</f>
      </c>
      <c r="V39" s="33">
        <f>-'Debt'!V39</f>
      </c>
      <c r="W39" s="33">
        <f>-'Debt'!W39</f>
      </c>
      <c r="X39" s="33">
        <f>-'Debt'!X39</f>
      </c>
      <c r="Y39" s="33">
        <f>-'Debt'!Y39</f>
      </c>
      <c r="Z39" s="33">
        <f>-'Debt'!Z39</f>
      </c>
      <c r="AA39" s="33">
        <f>-'Debt'!AA39</f>
      </c>
      <c r="AB39" s="33">
        <f>-'Debt'!AB39</f>
      </c>
      <c r="AC39" s="33">
        <f>-'Debt'!AC39</f>
      </c>
      <c r="AD39" s="33">
        <f>-'Debt'!AD39</f>
      </c>
      <c r="AE39" s="33">
        <f>-'Debt'!AE39</f>
      </c>
      <c r="AF39" s="33">
        <f>-'Debt'!AF39</f>
      </c>
      <c r="AG39" s="33">
        <f>-'Debt'!AG39</f>
      </c>
      <c r="AH39" s="33">
        <f>-'Debt'!AH39</f>
      </c>
      <c r="AI39" s="33">
        <f>-'Debt'!AI39</f>
      </c>
      <c r="AJ39" s="33">
        <f>-'Debt'!AJ39</f>
      </c>
      <c r="AK39" s="33">
        <f>-'Debt'!AK39</f>
      </c>
      <c r="AL39" s="33">
        <f>-'Debt'!AL39</f>
      </c>
      <c r="AM39" s="33">
        <f>-'Debt'!AM39</f>
      </c>
      <c r="AN39" s="33">
        <f>-'Debt'!AN39</f>
      </c>
      <c r="AO39" s="33">
        <f>-'Debt'!AO39</f>
      </c>
      <c r="AP39" s="33">
        <f>-'Debt'!AP39</f>
      </c>
      <c r="AQ39" s="33">
        <f>-'Debt'!AQ39</f>
      </c>
      <c r="AR39" s="33">
        <f>-'Debt'!AR39</f>
      </c>
      <c r="AS39" s="33">
        <f>-'Debt'!AS39</f>
      </c>
      <c r="AT39" s="33">
        <f>-'Debt'!AT39</f>
      </c>
      <c r="AU39" s="33">
        <f>-'Debt'!AU39</f>
      </c>
      <c r="AV39" s="33">
        <f>-'Debt'!AV39</f>
      </c>
      <c r="AW39" s="33">
        <f>-'Debt'!AW39</f>
      </c>
      <c r="AX39" s="33">
        <f>-'Debt'!AX39</f>
      </c>
      <c r="AY39" s="33">
        <f>-'Debt'!AY39</f>
      </c>
      <c r="AZ39" s="33">
        <f>-'Debt'!AZ39</f>
      </c>
      <c r="BA39" s="33">
        <f>-'Debt'!BA39</f>
      </c>
      <c r="BB39" s="33">
        <f>-'Debt'!BB39</f>
      </c>
      <c r="BC39" s="33">
        <f>-'Debt'!BC39</f>
      </c>
      <c r="BD39" s="33">
        <f>-'Debt'!BD39</f>
      </c>
      <c r="BE39" s="33">
        <f>-'Debt'!BE39</f>
      </c>
      <c r="BF39" s="33">
        <f>-'Debt'!BF39</f>
      </c>
      <c r="BG39" s="33">
        <f>-'Debt'!BG39</f>
      </c>
      <c r="BH39" s="33">
        <f>-'Debt'!BH39</f>
      </c>
      <c r="BI39" s="33">
        <f>-'Debt'!BI39</f>
      </c>
      <c r="BJ39" s="33">
        <f>-'Debt'!BJ39</f>
      </c>
      <c r="BK39" s="33">
        <f>-'Debt'!BK39</f>
      </c>
      <c r="BL39" s="33">
        <f>-'Debt'!BL39</f>
      </c>
      <c r="BM39" s="33">
        <f>-'Debt'!BM39</f>
      </c>
      <c r="BN39" s="33">
        <f>-'Debt'!BN39</f>
      </c>
      <c r="BO39" s="33">
        <f>-'Debt'!BO39</f>
      </c>
      <c r="BP39" s="33">
        <f>-'Debt'!BP39</f>
      </c>
      <c r="BQ39" s="33">
        <f>-'Debt'!BQ39</f>
      </c>
      <c r="BR39" s="33">
        <f>-'Debt'!BR39</f>
      </c>
      <c r="BS39" s="33">
        <f>-'Debt'!BS39</f>
      </c>
      <c r="BT39" s="33">
        <f>-'Debt'!BT39</f>
      </c>
      <c r="BU39" s="33">
        <f>-'Debt'!BU39</f>
      </c>
      <c r="BV39" s="33">
        <f>-'Debt'!BV39</f>
      </c>
      <c r="BW39" s="33">
        <f>-'Debt'!BW39</f>
      </c>
      <c r="BX39" s="33">
        <f>-'Debt'!BX39</f>
      </c>
      <c r="BY39" s="33">
        <f>-'Debt'!BY39</f>
      </c>
      <c r="BZ39" s="33">
        <f>-'Debt'!BZ39</f>
      </c>
      <c r="CA39" s="33">
        <f>-'Debt'!CA39</f>
      </c>
      <c r="CB39" s="33">
        <f>-'Debt'!CB39</f>
      </c>
      <c r="CC39" s="33">
        <f>-'Debt'!CC39</f>
      </c>
      <c r="CD39" s="33">
        <f>-'Debt'!CD39</f>
      </c>
      <c r="CE39" s="33">
        <f>-'Debt'!CE39</f>
      </c>
      <c r="CF39" s="33">
        <f>-'Debt'!CF39</f>
      </c>
      <c r="CG39" s="33">
        <f>-'Debt'!CG39</f>
      </c>
      <c r="CH39" s="33">
        <f>-'Debt'!CH39</f>
      </c>
      <c r="CI39" s="33">
        <f>-'Debt'!CI39</f>
      </c>
      <c r="CJ39" s="33">
        <f>-'Debt'!CJ39</f>
      </c>
      <c r="CK39" s="33">
        <f>-'Debt'!CK39</f>
      </c>
      <c r="CL39" s="33">
        <f>-'Debt'!CL39</f>
      </c>
    </row>
    <row r="40" spans="2:90" x14ac:dyDescent="0.25">
      <c r="B40" s="29" t="s">
        <v>306</v>
      </c>
      <c r="C40" s="30" t="s">
        <v>224</v>
      </c>
      <c r="D40" s="33">
        <f>SUM(E40:CL40)</f>
      </c>
      <c r="E40" s="33">
        <f>-'Debt'!E48</f>
      </c>
      <c r="F40" s="33">
        <f>-'Debt'!F48</f>
      </c>
      <c r="G40" s="33">
        <f>-'Debt'!G48</f>
      </c>
      <c r="H40" s="33">
        <f>-'Debt'!H48</f>
      </c>
      <c r="I40" s="33">
        <f>-'Debt'!I48</f>
      </c>
      <c r="J40" s="33">
        <f>-'Debt'!J48</f>
      </c>
      <c r="K40" s="33">
        <f>-'Debt'!K48</f>
      </c>
      <c r="L40" s="33">
        <f>-'Debt'!L48</f>
      </c>
      <c r="M40" s="33">
        <f>-'Debt'!M48</f>
      </c>
      <c r="N40" s="33">
        <f>-'Debt'!N48</f>
      </c>
      <c r="O40" s="33">
        <f>-'Debt'!O48</f>
      </c>
      <c r="P40" s="33">
        <f>-'Debt'!P48</f>
      </c>
      <c r="Q40" s="33">
        <f>-'Debt'!Q48</f>
      </c>
      <c r="R40" s="33">
        <f>-'Debt'!R48</f>
      </c>
      <c r="S40" s="33">
        <f>-'Debt'!S48</f>
      </c>
      <c r="T40" s="33">
        <f>-'Debt'!T48</f>
      </c>
      <c r="U40" s="33">
        <f>-'Debt'!U48</f>
      </c>
      <c r="V40" s="33">
        <f>-'Debt'!V48</f>
      </c>
      <c r="W40" s="33">
        <f>-'Debt'!W48</f>
      </c>
      <c r="X40" s="33">
        <f>-'Debt'!X48</f>
      </c>
      <c r="Y40" s="33">
        <f>-'Debt'!Y48</f>
      </c>
      <c r="Z40" s="33">
        <f>-'Debt'!Z48</f>
      </c>
      <c r="AA40" s="33">
        <f>-'Debt'!AA48</f>
      </c>
      <c r="AB40" s="33">
        <f>-'Debt'!AB48</f>
      </c>
      <c r="AC40" s="33">
        <f>-'Debt'!AC48</f>
      </c>
      <c r="AD40" s="33">
        <f>-'Debt'!AD48</f>
      </c>
      <c r="AE40" s="33">
        <f>-'Debt'!AE48</f>
      </c>
      <c r="AF40" s="33">
        <f>-'Debt'!AF48</f>
      </c>
      <c r="AG40" s="33">
        <f>-'Debt'!AG48</f>
      </c>
      <c r="AH40" s="33">
        <f>-'Debt'!AH48</f>
      </c>
      <c r="AI40" s="33">
        <f>-'Debt'!AI48</f>
      </c>
      <c r="AJ40" s="33">
        <f>-'Debt'!AJ48</f>
      </c>
      <c r="AK40" s="33">
        <f>-'Debt'!AK48</f>
      </c>
      <c r="AL40" s="33">
        <f>-'Debt'!AL48</f>
      </c>
      <c r="AM40" s="33">
        <f>-'Debt'!AM48</f>
      </c>
      <c r="AN40" s="33">
        <f>-'Debt'!AN48</f>
      </c>
      <c r="AO40" s="33">
        <f>-'Debt'!AO48</f>
      </c>
      <c r="AP40" s="33">
        <f>-'Debt'!AP48</f>
      </c>
      <c r="AQ40" s="33">
        <f>-'Debt'!AQ48</f>
      </c>
      <c r="AR40" s="33">
        <f>-'Debt'!AR48</f>
      </c>
      <c r="AS40" s="33">
        <f>-'Debt'!AS48</f>
      </c>
      <c r="AT40" s="33">
        <f>-'Debt'!AT48</f>
      </c>
      <c r="AU40" s="33">
        <f>-'Debt'!AU48</f>
      </c>
      <c r="AV40" s="33">
        <f>-'Debt'!AV48</f>
      </c>
      <c r="AW40" s="33">
        <f>-'Debt'!AW48</f>
      </c>
      <c r="AX40" s="33">
        <f>-'Debt'!AX48</f>
      </c>
      <c r="AY40" s="33">
        <f>-'Debt'!AY48</f>
      </c>
      <c r="AZ40" s="33">
        <f>-'Debt'!AZ48</f>
      </c>
      <c r="BA40" s="33">
        <f>-'Debt'!BA48</f>
      </c>
      <c r="BB40" s="33">
        <f>-'Debt'!BB48</f>
      </c>
      <c r="BC40" s="33">
        <f>-'Debt'!BC48</f>
      </c>
      <c r="BD40" s="33">
        <f>-'Debt'!BD48</f>
      </c>
      <c r="BE40" s="33">
        <f>-'Debt'!BE48</f>
      </c>
      <c r="BF40" s="33">
        <f>-'Debt'!BF48</f>
      </c>
      <c r="BG40" s="33">
        <f>-'Debt'!BG48</f>
      </c>
      <c r="BH40" s="33">
        <f>-'Debt'!BH48</f>
      </c>
      <c r="BI40" s="33">
        <f>-'Debt'!BI48</f>
      </c>
      <c r="BJ40" s="33">
        <f>-'Debt'!BJ48</f>
      </c>
      <c r="BK40" s="33">
        <f>-'Debt'!BK48</f>
      </c>
      <c r="BL40" s="33">
        <f>-'Debt'!BL48</f>
      </c>
      <c r="BM40" s="33">
        <f>-'Debt'!BM48</f>
      </c>
      <c r="BN40" s="33">
        <f>-'Debt'!BN48</f>
      </c>
      <c r="BO40" s="33">
        <f>-'Debt'!BO48</f>
      </c>
      <c r="BP40" s="33">
        <f>-'Debt'!BP48</f>
      </c>
      <c r="BQ40" s="33">
        <f>-'Debt'!BQ48</f>
      </c>
      <c r="BR40" s="33">
        <f>-'Debt'!BR48</f>
      </c>
      <c r="BS40" s="33">
        <f>-'Debt'!BS48</f>
      </c>
      <c r="BT40" s="33">
        <f>-'Debt'!BT48</f>
      </c>
      <c r="BU40" s="33">
        <f>-'Debt'!BU48</f>
      </c>
      <c r="BV40" s="33">
        <f>-'Debt'!BV48</f>
      </c>
      <c r="BW40" s="33">
        <f>-'Debt'!BW48</f>
      </c>
      <c r="BX40" s="33">
        <f>-'Debt'!BX48</f>
      </c>
      <c r="BY40" s="33">
        <f>-'Debt'!BY48</f>
      </c>
      <c r="BZ40" s="33">
        <f>-'Debt'!BZ48</f>
      </c>
      <c r="CA40" s="33">
        <f>-'Debt'!CA48</f>
      </c>
      <c r="CB40" s="33">
        <f>-'Debt'!CB48</f>
      </c>
      <c r="CC40" s="33">
        <f>-'Debt'!CC48</f>
      </c>
      <c r="CD40" s="33">
        <f>-'Debt'!CD48</f>
      </c>
      <c r="CE40" s="33">
        <f>-'Debt'!CE48</f>
      </c>
      <c r="CF40" s="33">
        <f>-'Debt'!CF48</f>
      </c>
      <c r="CG40" s="33">
        <f>-'Debt'!CG48</f>
      </c>
      <c r="CH40" s="33">
        <f>-'Debt'!CH48</f>
      </c>
      <c r="CI40" s="33">
        <f>-'Debt'!CI48</f>
      </c>
      <c r="CJ40" s="33">
        <f>-'Debt'!CJ48</f>
      </c>
      <c r="CK40" s="33">
        <f>-'Debt'!CK48</f>
      </c>
      <c r="CL40" s="33">
        <f>-'Debt'!CL48</f>
      </c>
    </row>
    <row r="41" spans="2:90" x14ac:dyDescent="0.25">
      <c r="B41" s="43" t="s">
        <v>307</v>
      </c>
      <c r="C41" s="30" t="s">
        <v>224</v>
      </c>
      <c r="D41" s="14">
        <f>SUM(E41:CL41)</f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-1868.7499931823168</v>
      </c>
      <c r="L41" s="14">
        <v>-1868.7499931823168</v>
      </c>
      <c r="M41" s="14">
        <v>-1868.7499931823168</v>
      </c>
      <c r="N41" s="14">
        <v>-1868.7499931823168</v>
      </c>
      <c r="O41" s="14">
        <v>-1811.5195246411083</v>
      </c>
      <c r="P41" s="14">
        <v>-1772.2757747842797</v>
      </c>
      <c r="Q41" s="14">
        <v>-1747.9820248729097</v>
      </c>
      <c r="R41" s="14">
        <v>-1723.6882749615397</v>
      </c>
      <c r="S41" s="14">
        <v>-1697.5257750569872</v>
      </c>
      <c r="T41" s="14">
        <v>-1671.3632751524347</v>
      </c>
      <c r="U41" s="14">
        <v>-1645.2007752478821</v>
      </c>
      <c r="V41" s="14">
        <v>-1619.0382753433298</v>
      </c>
      <c r="W41" s="14">
        <v>-1592.8757754387775</v>
      </c>
      <c r="X41" s="14">
        <v>-1566.7132755342252</v>
      </c>
      <c r="Y41" s="14">
        <v>-1540.5507756296724</v>
      </c>
      <c r="Z41" s="14">
        <v>-1512.5195257319378</v>
      </c>
      <c r="AA41" s="14">
        <v>-1484.488275834203</v>
      </c>
      <c r="AB41" s="14">
        <v>-1456.4570259364682</v>
      </c>
      <c r="AC41" s="14">
        <v>-1428.4257760387336</v>
      </c>
      <c r="AD41" s="14">
        <v>-1400.3945261409988</v>
      </c>
      <c r="AE41" s="14">
        <v>-1372.3632762432642</v>
      </c>
      <c r="AF41" s="14">
        <v>-1343.1640575997903</v>
      </c>
      <c r="AG41" s="14">
        <v>-1313.9648389563167</v>
      </c>
      <c r="AH41" s="14">
        <v>-1284.7656203128429</v>
      </c>
      <c r="AI41" s="14">
        <v>-1255.5664016693693</v>
      </c>
      <c r="AJ41" s="14">
        <v>-1226.3671830258954</v>
      </c>
      <c r="AK41" s="14">
        <v>-1197.1679643824218</v>
      </c>
      <c r="AL41" s="14">
        <v>-1167.9687457389482</v>
      </c>
      <c r="AM41" s="14">
        <v>-1138.7695270954744</v>
      </c>
      <c r="AN41" s="14">
        <v>-1109.5703084520007</v>
      </c>
      <c r="AO41" s="14">
        <v>-1080.371089808527</v>
      </c>
      <c r="AP41" s="14">
        <v>-1051.1718711650533</v>
      </c>
      <c r="AQ41" s="14">
        <v>-1021.9726525215796</v>
      </c>
      <c r="AR41" s="14">
        <v>-992.7734338781058</v>
      </c>
      <c r="AS41" s="14">
        <v>-963.5742152346322</v>
      </c>
      <c r="AT41" s="14">
        <v>-934.3749965911585</v>
      </c>
      <c r="AU41" s="14">
        <v>-905.1757779476848</v>
      </c>
      <c r="AV41" s="14">
        <v>-875.976559304211</v>
      </c>
      <c r="AW41" s="14">
        <v>-846.7773406607373</v>
      </c>
      <c r="AX41" s="14">
        <v>-817.5781220172637</v>
      </c>
      <c r="AY41" s="14">
        <v>-788.37890337379</v>
      </c>
      <c r="AZ41" s="14">
        <v>-759.1796847303162</v>
      </c>
      <c r="BA41" s="14">
        <v>-729.9804660868425</v>
      </c>
      <c r="BB41" s="14">
        <v>-700.7812474433688</v>
      </c>
      <c r="BC41" s="14">
        <v>-671.5820287998952</v>
      </c>
      <c r="BD41" s="14">
        <v>-642.3828101564214</v>
      </c>
      <c r="BE41" s="14">
        <v>-613.1835915129477</v>
      </c>
      <c r="BF41" s="14">
        <v>-583.984372869474</v>
      </c>
      <c r="BG41" s="14">
        <v>-554.7851542260003</v>
      </c>
      <c r="BH41" s="14">
        <v>-525.5859355825266</v>
      </c>
      <c r="BI41" s="14">
        <v>-496.3867169390529</v>
      </c>
      <c r="BJ41" s="14">
        <v>-467.1874982955792</v>
      </c>
      <c r="BK41" s="14">
        <v>-437.98827965210546</v>
      </c>
      <c r="BL41" s="14">
        <v>-408.7890610086318</v>
      </c>
      <c r="BM41" s="14">
        <v>-379.58984236515806</v>
      </c>
      <c r="BN41" s="14">
        <v>-350.3906237216844</v>
      </c>
      <c r="BO41" s="14">
        <v>-321.19140507821066</v>
      </c>
      <c r="BP41" s="14">
        <v>-291.99218643473694</v>
      </c>
      <c r="BQ41" s="14">
        <v>-262.79296779126327</v>
      </c>
      <c r="BR41" s="14">
        <v>-233.59374914778954</v>
      </c>
      <c r="BS41" s="14">
        <v>-204.39453050431584</v>
      </c>
      <c r="BT41" s="14">
        <v>-175.19531186084214</v>
      </c>
      <c r="BU41" s="14">
        <v>-145.99609321736844</v>
      </c>
      <c r="BV41" s="14">
        <v>-116.79687457389474</v>
      </c>
      <c r="BW41" s="14">
        <v>-87.59765593042104</v>
      </c>
      <c r="BX41" s="14">
        <v>-58.39843728694735</v>
      </c>
      <c r="BY41" s="14">
        <v>-29.19921864347365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</row>
    <row r="43" spans="2:90" x14ac:dyDescent="0.25">
      <c r="B43" s="43" t="s">
        <v>308</v>
      </c>
      <c r="C43" s="30" t="s">
        <v>224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29" t="s">
        <v>309</v>
      </c>
      <c r="C44" s="30" t="s">
        <v>224</v>
      </c>
      <c r="D44" s="33">
        <f>SUM(E44:CL44)</f>
      </c>
      <c r="E44" s="33">
        <f>IF(AND(E43&gt;0,E67&gt;0),-E66*E43/E67,0)</f>
      </c>
      <c r="F44" s="33">
        <f>IF(AND(F43&gt;0,E67&gt;0),-E66*F43/E67,0)</f>
      </c>
      <c r="G44" s="33">
        <f>IF(AND(G43&gt;0,E67&gt;0),-E66*G43/E67,0)</f>
      </c>
      <c r="H44" s="33">
        <f>IF(AND(H43&gt;0,F67&gt;0),-F66*H43/F67,0)</f>
      </c>
      <c r="I44" s="33">
        <f>IF(AND(I43&gt;0,F67&gt;0),-F66*I43/F67,0)</f>
      </c>
      <c r="J44" s="33">
        <f>IF(AND(J43&gt;0,F67&gt;0),-F66*J43/F67,0)</f>
      </c>
      <c r="K44" s="33">
        <f>IF(AND(K43&gt;0,F67&gt;0),-F66*K43/F67,0)</f>
      </c>
      <c r="L44" s="33">
        <f>IF(AND(L43&gt;0,G67&gt;0),-G66*L43/G67,0)</f>
      </c>
      <c r="M44" s="33">
        <f>IF(AND(M43&gt;0,G67&gt;0),-G66*M43/G67,0)</f>
      </c>
      <c r="N44" s="33">
        <f>IF(AND(N43&gt;0,G67&gt;0),-G66*N43/G67,0)</f>
      </c>
      <c r="O44" s="33">
        <f>IF(AND(O43&gt;0,G67&gt;0),-G66*O43/G67,0)</f>
      </c>
      <c r="P44" s="33">
        <f>IF(AND(P43&gt;0,H67&gt;0),-H66*P43/H67,0)</f>
      </c>
      <c r="Q44" s="33">
        <f>IF(AND(Q43&gt;0,H67&gt;0),-H66*Q43/H67,0)</f>
      </c>
      <c r="R44" s="33">
        <f>IF(AND(R43&gt;0,H67&gt;0),-H66*R43/H67,0)</f>
      </c>
      <c r="S44" s="33">
        <f>IF(AND(S43&gt;0,H67&gt;0),-H66*S43/H67,0)</f>
      </c>
      <c r="T44" s="33">
        <f>IF(AND(T43&gt;0,I67&gt;0),-I66*T43/I67,0)</f>
      </c>
      <c r="U44" s="33">
        <f>IF(AND(U43&gt;0,I67&gt;0),-I66*U43/I67,0)</f>
      </c>
      <c r="V44" s="33">
        <f>IF(AND(V43&gt;0,I67&gt;0),-I66*V43/I67,0)</f>
      </c>
      <c r="W44" s="33">
        <f>IF(AND(W43&gt;0,I67&gt;0),-I66*W43/I67,0)</f>
      </c>
      <c r="X44" s="33">
        <f>IF(AND(X43&gt;0,J67&gt;0),-J66*X43/J67,0)</f>
      </c>
      <c r="Y44" s="33">
        <f>IF(AND(Y43&gt;0,J67&gt;0),-J66*Y43/J67,0)</f>
      </c>
      <c r="Z44" s="33">
        <f>IF(AND(Z43&gt;0,J67&gt;0),-J66*Z43/J67,0)</f>
      </c>
      <c r="AA44" s="33">
        <f>IF(AND(AA43&gt;0,J67&gt;0),-J66*AA43/J67,0)</f>
      </c>
      <c r="AB44" s="33">
        <f>IF(AND(AB43&gt;0,K67&gt;0),-K66*AB43/K67,0)</f>
      </c>
      <c r="AC44" s="33">
        <f>IF(AND(AC43&gt;0,K67&gt;0),-K66*AC43/K67,0)</f>
      </c>
      <c r="AD44" s="33">
        <f>IF(AND(AD43&gt;0,K67&gt;0),-K66*AD43/K67,0)</f>
      </c>
      <c r="AE44" s="33">
        <f>IF(AND(AE43&gt;0,K67&gt;0),-K66*AE43/K67,0)</f>
      </c>
      <c r="AF44" s="33">
        <f>IF(AND(AF43&gt;0,L67&gt;0),-L66*AF43/L67,0)</f>
      </c>
      <c r="AG44" s="33">
        <f>IF(AND(AG43&gt;0,L67&gt;0),-L66*AG43/L67,0)</f>
      </c>
      <c r="AH44" s="33">
        <f>IF(AND(AH43&gt;0,L67&gt;0),-L66*AH43/L67,0)</f>
      </c>
      <c r="AI44" s="33">
        <f>IF(AND(AI43&gt;0,L67&gt;0),-L66*AI43/L67,0)</f>
      </c>
      <c r="AJ44" s="33">
        <f>IF(AND(AJ43&gt;0,M67&gt;0),-M66*AJ43/M67,0)</f>
      </c>
      <c r="AK44" s="33">
        <f>IF(AND(AK43&gt;0,M67&gt;0),-M66*AK43/M67,0)</f>
      </c>
      <c r="AL44" s="33">
        <f>IF(AND(AL43&gt;0,M67&gt;0),-M66*AL43/M67,0)</f>
      </c>
      <c r="AM44" s="33">
        <f>IF(AND(AM43&gt;0,M67&gt;0),-M66*AM43/M67,0)</f>
      </c>
      <c r="AN44" s="33">
        <f>IF(AND(AN43&gt;0,N67&gt;0),-N66*AN43/N67,0)</f>
      </c>
      <c r="AO44" s="33">
        <f>IF(AND(AO43&gt;0,N67&gt;0),-N66*AO43/N67,0)</f>
      </c>
      <c r="AP44" s="33">
        <f>IF(AND(AP43&gt;0,N67&gt;0),-N66*AP43/N67,0)</f>
      </c>
      <c r="AQ44" s="33">
        <f>IF(AND(AQ43&gt;0,N67&gt;0),-N66*AQ43/N67,0)</f>
      </c>
      <c r="AR44" s="33">
        <f>IF(AND(AR43&gt;0,O67&gt;0),-O66*AR43/O67,0)</f>
      </c>
      <c r="AS44" s="33">
        <f>IF(AND(AS43&gt;0,O67&gt;0),-O66*AS43/O67,0)</f>
      </c>
      <c r="AT44" s="33">
        <f>IF(AND(AT43&gt;0,O67&gt;0),-O66*AT43/O67,0)</f>
      </c>
      <c r="AU44" s="33">
        <f>IF(AND(AU43&gt;0,O67&gt;0),-O66*AU43/O67,0)</f>
      </c>
      <c r="AV44" s="33">
        <f>IF(AND(AV43&gt;0,P67&gt;0),-P66*AV43/P67,0)</f>
      </c>
      <c r="AW44" s="33">
        <f>IF(AND(AW43&gt;0,P67&gt;0),-P66*AW43/P67,0)</f>
      </c>
      <c r="AX44" s="33">
        <f>IF(AND(AX43&gt;0,P67&gt;0),-P66*AX43/P67,0)</f>
      </c>
      <c r="AY44" s="33">
        <f>IF(AND(AY43&gt;0,P67&gt;0),-P66*AY43/P67,0)</f>
      </c>
      <c r="AZ44" s="33">
        <f>IF(AND(AZ43&gt;0,Q67&gt;0),-Q66*AZ43/Q67,0)</f>
      </c>
      <c r="BA44" s="33">
        <f>IF(AND(BA43&gt;0,Q67&gt;0),-Q66*BA43/Q67,0)</f>
      </c>
      <c r="BB44" s="33">
        <f>IF(AND(BB43&gt;0,Q67&gt;0),-Q66*BB43/Q67,0)</f>
      </c>
      <c r="BC44" s="33">
        <f>IF(AND(BC43&gt;0,Q67&gt;0),-Q66*BC43/Q67,0)</f>
      </c>
      <c r="BD44" s="33">
        <f>IF(AND(BD43&gt;0,R67&gt;0),-R66*BD43/R67,0)</f>
      </c>
      <c r="BE44" s="33">
        <f>IF(AND(BE43&gt;0,R67&gt;0),-R66*BE43/R67,0)</f>
      </c>
      <c r="BF44" s="33">
        <f>IF(AND(BF43&gt;0,R67&gt;0),-R66*BF43/R67,0)</f>
      </c>
      <c r="BG44" s="33">
        <f>IF(AND(BG43&gt;0,R67&gt;0),-R66*BG43/R67,0)</f>
      </c>
      <c r="BH44" s="33">
        <f>IF(AND(BH43&gt;0,S67&gt;0),-S66*BH43/S67,0)</f>
      </c>
      <c r="BI44" s="33">
        <f>IF(AND(BI43&gt;0,S67&gt;0),-S66*BI43/S67,0)</f>
      </c>
      <c r="BJ44" s="33">
        <f>IF(AND(BJ43&gt;0,S67&gt;0),-S66*BJ43/S67,0)</f>
      </c>
      <c r="BK44" s="33">
        <f>IF(AND(BK43&gt;0,S67&gt;0),-S66*BK43/S67,0)</f>
      </c>
      <c r="BL44" s="33">
        <f>IF(AND(BL43&gt;0,T67&gt;0),-T66*BL43/T67,0)</f>
      </c>
      <c r="BM44" s="33">
        <f>IF(AND(BM43&gt;0,T67&gt;0),-T66*BM43/T67,0)</f>
      </c>
      <c r="BN44" s="33">
        <f>IF(AND(BN43&gt;0,T67&gt;0),-T66*BN43/T67,0)</f>
      </c>
      <c r="BO44" s="33">
        <f>IF(AND(BO43&gt;0,T67&gt;0),-T66*BO43/T67,0)</f>
      </c>
      <c r="BP44" s="33">
        <f>IF(AND(BP43&gt;0,U67&gt;0),-U66*BP43/U67,0)</f>
      </c>
      <c r="BQ44" s="33">
        <f>IF(AND(BQ43&gt;0,U67&gt;0),-U66*BQ43/U67,0)</f>
      </c>
      <c r="BR44" s="33">
        <f>IF(AND(BR43&gt;0,U67&gt;0),-U66*BR43/U67,0)</f>
      </c>
      <c r="BS44" s="33">
        <f>IF(AND(BS43&gt;0,U67&gt;0),-U66*BS43/U67,0)</f>
      </c>
      <c r="BT44" s="33">
        <f>IF(AND(BT43&gt;0,V67&gt;0),-V66*BT43/V67,0)</f>
      </c>
      <c r="BU44" s="33">
        <f>IF(AND(BU43&gt;0,V67&gt;0),-V66*BU43/V67,0)</f>
      </c>
      <c r="BV44" s="33">
        <f>IF(AND(BV43&gt;0,V67&gt;0),-V66*BV43/V67,0)</f>
      </c>
      <c r="BW44" s="33">
        <f>IF(AND(BW43&gt;0,V67&gt;0),-V66*BW43/V67,0)</f>
      </c>
      <c r="BX44" s="33">
        <f>IF(AND(BX43&gt;0,W67&gt;0),-W66*BX43/W67,0)</f>
      </c>
      <c r="BY44" s="33">
        <f>IF(AND(BY43&gt;0,W67&gt;0),-W66*BY43/W67,0)</f>
      </c>
      <c r="BZ44" s="33">
        <f>IF(AND(BZ43&gt;0,W67&gt;0),-W66*BZ43/W67,0)</f>
      </c>
      <c r="CA44" s="33">
        <f>IF(AND(CA43&gt;0,W67&gt;0),-W66*CA43/W67,0)</f>
      </c>
      <c r="CB44" s="33">
        <f>IF(AND(CB43&gt;0,X67&gt;0),-X66*CB43/X67,0)</f>
      </c>
      <c r="CC44" s="33">
        <f>IF(AND(CC43&gt;0,X67&gt;0),-X66*CC43/X67,0)</f>
      </c>
      <c r="CD44" s="33">
        <f>IF(AND(CD43&gt;0,X67&gt;0),-X66*CD43/X67,0)</f>
      </c>
      <c r="CE44" s="33">
        <f>IF(AND(CE43&gt;0,X67&gt;0),-X66*CE43/X67,0)</f>
      </c>
      <c r="CF44" s="33">
        <f>IF(AND(CF43&gt;0,Y67&gt;0),-Y66*CF43/Y67,0)</f>
      </c>
      <c r="CG44" s="33">
        <f>IF(AND(CG43&gt;0,Y67&gt;0),-Y66*CG43/Y67,0)</f>
      </c>
      <c r="CH44" s="33">
        <f>IF(AND(CH43&gt;0,Y67&gt;0),-Y66*CH43/Y67,0)</f>
      </c>
      <c r="CI44" s="33">
        <f>IF(AND(CI43&gt;0,Y67&gt;0),-Y66*CI43/Y67,0)</f>
      </c>
      <c r="CJ44" s="33">
        <f>IF(AND(CJ43&gt;0,Z67&gt;0),-Z66*CJ43/Z67,0)</f>
      </c>
      <c r="CK44" s="33">
        <f>IF(AND(CK43&gt;0,Z67&gt;0),-Z66*CK43/Z67,0)</f>
      </c>
      <c r="CL44" s="33">
        <f>IF(AND(CL43&gt;0,Z67&gt;0),-Z66*CL43/Z67,0)</f>
      </c>
    </row>
    <row r="45" spans="2:91" x14ac:dyDescent="0.25">
      <c r="B45" s="41" t="s">
        <v>310</v>
      </c>
      <c r="C45" s="45" t="s">
        <v>224</v>
      </c>
      <c r="D45" s="40">
        <f>SUM(E45:CL45)</f>
      </c>
      <c r="E45" s="40">
        <f>E43+E44</f>
      </c>
      <c r="F45" s="40">
        <f>F43+F44</f>
      </c>
      <c r="G45" s="40">
        <f>G43+G44</f>
      </c>
      <c r="H45" s="40">
        <f>H43+H44</f>
      </c>
      <c r="I45" s="40">
        <f>I43+I44</f>
      </c>
      <c r="J45" s="40">
        <f>J43+J44</f>
      </c>
      <c r="K45" s="40">
        <f>K43+K44</f>
      </c>
      <c r="L45" s="40">
        <f>L43+L44</f>
      </c>
      <c r="M45" s="40">
        <f>M43+M44</f>
      </c>
      <c r="N45" s="40">
        <f>N43+N44</f>
      </c>
      <c r="O45" s="40">
        <f>O43+O44</f>
      </c>
      <c r="P45" s="40">
        <f>P43+P44</f>
      </c>
      <c r="Q45" s="40">
        <f>Q43+Q44</f>
      </c>
      <c r="R45" s="40">
        <f>R43+R44</f>
      </c>
      <c r="S45" s="40">
        <f>S43+S44</f>
      </c>
      <c r="T45" s="40">
        <f>T43+T44</f>
      </c>
      <c r="U45" s="40">
        <f>U43+U44</f>
      </c>
      <c r="V45" s="40">
        <f>V43+V44</f>
      </c>
      <c r="W45" s="40">
        <f>W43+W44</f>
      </c>
      <c r="X45" s="40">
        <f>X43+X44</f>
      </c>
      <c r="Y45" s="40">
        <f>Y43+Y44</f>
      </c>
      <c r="Z45" s="40">
        <f>Z43+Z44</f>
      </c>
      <c r="AA45" s="40">
        <f>AA43+AA44</f>
      </c>
      <c r="AB45" s="40">
        <f>AB43+AB44</f>
      </c>
      <c r="AC45" s="40">
        <f>AC43+AC44</f>
      </c>
      <c r="AD45" s="40">
        <f>AD43+AD44</f>
      </c>
      <c r="AE45" s="40">
        <f>AE43+AE44</f>
      </c>
      <c r="AF45" s="40">
        <f>AF43+AF44</f>
      </c>
      <c r="AG45" s="40">
        <f>AG43+AG44</f>
      </c>
      <c r="AH45" s="40">
        <f>AH43+AH44</f>
      </c>
      <c r="AI45" s="40">
        <f>AI43+AI44</f>
      </c>
      <c r="AJ45" s="40">
        <f>AJ43+AJ44</f>
      </c>
      <c r="AK45" s="40">
        <f>AK43+AK44</f>
      </c>
      <c r="AL45" s="40">
        <f>AL43+AL44</f>
      </c>
      <c r="AM45" s="40">
        <f>AM43+AM44</f>
      </c>
      <c r="AN45" s="40">
        <f>AN43+AN44</f>
      </c>
      <c r="AO45" s="40">
        <f>AO43+AO44</f>
      </c>
      <c r="AP45" s="40">
        <f>AP43+AP44</f>
      </c>
      <c r="AQ45" s="40">
        <f>AQ43+AQ44</f>
      </c>
      <c r="AR45" s="40">
        <f>AR43+AR44</f>
      </c>
      <c r="AS45" s="40">
        <f>AS43+AS44</f>
      </c>
      <c r="AT45" s="40">
        <f>AT43+AT44</f>
      </c>
      <c r="AU45" s="40">
        <f>AU43+AU44</f>
      </c>
      <c r="AV45" s="40">
        <f>AV43+AV44</f>
      </c>
      <c r="AW45" s="40">
        <f>AW43+AW44</f>
      </c>
      <c r="AX45" s="40">
        <f>AX43+AX44</f>
      </c>
      <c r="AY45" s="40">
        <f>AY43+AY44</f>
      </c>
      <c r="AZ45" s="40">
        <f>AZ43+AZ44</f>
      </c>
      <c r="BA45" s="40">
        <f>BA43+BA44</f>
      </c>
      <c r="BB45" s="40">
        <f>BB43+BB44</f>
      </c>
      <c r="BC45" s="40">
        <f>BC43+BC44</f>
      </c>
      <c r="BD45" s="40">
        <f>BD43+BD44</f>
      </c>
      <c r="BE45" s="40">
        <f>BE43+BE44</f>
      </c>
      <c r="BF45" s="40">
        <f>BF43+BF44</f>
      </c>
      <c r="BG45" s="40">
        <f>BG43+BG44</f>
      </c>
      <c r="BH45" s="40">
        <f>BH43+BH44</f>
      </c>
      <c r="BI45" s="40">
        <f>BI43+BI44</f>
      </c>
      <c r="BJ45" s="40">
        <f>BJ43+BJ44</f>
      </c>
      <c r="BK45" s="40">
        <f>BK43+BK44</f>
      </c>
      <c r="BL45" s="40">
        <f>BL43+BL44</f>
      </c>
      <c r="BM45" s="40">
        <f>BM43+BM44</f>
      </c>
      <c r="BN45" s="40">
        <f>BN43+BN44</f>
      </c>
      <c r="BO45" s="40">
        <f>BO43+BO44</f>
      </c>
      <c r="BP45" s="40">
        <f>BP43+BP44</f>
      </c>
      <c r="BQ45" s="40">
        <f>BQ43+BQ44</f>
      </c>
      <c r="BR45" s="40">
        <f>BR43+BR44</f>
      </c>
      <c r="BS45" s="40">
        <f>BS43+BS44</f>
      </c>
      <c r="BT45" s="40">
        <f>BT43+BT44</f>
      </c>
      <c r="BU45" s="40">
        <f>BU43+BU44</f>
      </c>
      <c r="BV45" s="40">
        <f>BV43+BV44</f>
      </c>
      <c r="BW45" s="40">
        <f>BW43+BW44</f>
      </c>
      <c r="BX45" s="40">
        <f>BX43+BX44</f>
      </c>
      <c r="BY45" s="40">
        <f>BY43+BY44</f>
      </c>
      <c r="BZ45" s="40">
        <f>BZ43+BZ44</f>
      </c>
      <c r="CA45" s="40">
        <f>CA43+CA44</f>
      </c>
      <c r="CB45" s="40">
        <f>CB43+CB44</f>
      </c>
      <c r="CC45" s="40">
        <f>CC43+CC44</f>
      </c>
      <c r="CD45" s="40">
        <f>CD43+CD44</f>
      </c>
      <c r="CE45" s="40">
        <f>CE43+CE44</f>
      </c>
      <c r="CF45" s="40">
        <f>CF43+CF44</f>
      </c>
      <c r="CG45" s="40">
        <f>CG43+CG44</f>
      </c>
      <c r="CH45" s="40">
        <f>CH43+CH44</f>
      </c>
      <c r="CI45" s="40">
        <f>CI43+CI44</f>
      </c>
      <c r="CJ45" s="40">
        <f>CJ43+CJ44</f>
      </c>
      <c r="CK45" s="40">
        <f>CK43+CK44</f>
      </c>
      <c r="CL45" s="40">
        <f>CL43+CL44</f>
      </c>
      <c r="CM45" s="42"/>
    </row>
    <row r="48" spans="2:91" x14ac:dyDescent="0.25">
      <c r="B48" s="9" t="s">
        <v>311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29" t="s">
        <v>312</v>
      </c>
      <c r="C50" s="30" t="s">
        <v>224</v>
      </c>
      <c r="D50" s="33">
        <f>SUM(E50:CL50)</f>
      </c>
      <c r="E50" s="33">
        <f>E43-E29-(0)</f>
      </c>
      <c r="F50" s="33">
        <f>F43-F29-(0)</f>
      </c>
      <c r="G50" s="33">
        <f>G43-G29-(0)</f>
      </c>
      <c r="H50" s="33">
        <f>H43-H29-(0)</f>
      </c>
      <c r="I50" s="33">
        <f>I43-I29-(0)</f>
      </c>
      <c r="J50" s="33">
        <f>J43-J29-(0)</f>
      </c>
      <c r="K50" s="33">
        <f>K43-K29-(0)</f>
      </c>
      <c r="L50" s="33">
        <f>L43-L29-(0)</f>
      </c>
      <c r="M50" s="33">
        <f>M43-M29-(0)</f>
      </c>
      <c r="N50" s="33">
        <f>N43-N29-(0)</f>
      </c>
      <c r="O50" s="33">
        <f>O43-O29-(0)</f>
      </c>
      <c r="P50" s="33">
        <f>P43-P29-(0)</f>
      </c>
      <c r="Q50" s="33">
        <f>Q43-Q29-(0)</f>
      </c>
      <c r="R50" s="33">
        <f>R43-R29-(0)</f>
      </c>
      <c r="S50" s="33">
        <f>S43-S29-(0)</f>
      </c>
      <c r="T50" s="33">
        <f>T43-T29-(0)</f>
      </c>
      <c r="U50" s="33">
        <f>U43-U29-(0)</f>
      </c>
      <c r="V50" s="33">
        <f>V43-V29-(0)</f>
      </c>
      <c r="W50" s="33">
        <f>W43-W29-(0)</f>
      </c>
      <c r="X50" s="33">
        <f>X43-X29-(0)</f>
      </c>
      <c r="Y50" s="33">
        <f>Y43-Y29-(0)</f>
      </c>
      <c r="Z50" s="33">
        <f>Z43-Z29-(0)</f>
      </c>
      <c r="AA50" s="33">
        <f>AA43-AA29-(0)</f>
      </c>
      <c r="AB50" s="33">
        <f>AB43-AB29-(0)</f>
      </c>
      <c r="AC50" s="33">
        <f>AC43-AC29-(0)</f>
      </c>
      <c r="AD50" s="33">
        <f>AD43-AD29-(0)</f>
      </c>
      <c r="AE50" s="33">
        <f>AE43-AE29-(0)</f>
      </c>
      <c r="AF50" s="33">
        <f>AF43-AF29-(0)</f>
      </c>
      <c r="AG50" s="33">
        <f>AG43-AG29-(0)</f>
      </c>
      <c r="AH50" s="33">
        <f>AH43-AH29-(0)</f>
      </c>
      <c r="AI50" s="33">
        <f>AI43-AI29-(0)</f>
      </c>
      <c r="AJ50" s="33">
        <f>AJ43-AJ29-(0)</f>
      </c>
      <c r="AK50" s="33">
        <f>AK43-AK29-(0)</f>
      </c>
      <c r="AL50" s="33">
        <f>AL43-AL29-(0)</f>
      </c>
      <c r="AM50" s="33">
        <f>AM43-AM29-(0)</f>
      </c>
      <c r="AN50" s="33">
        <f>AN43-AN29-(0)</f>
      </c>
      <c r="AO50" s="33">
        <f>AO43-AO29-(0)</f>
      </c>
      <c r="AP50" s="33">
        <f>AP43-AP29-(0)</f>
      </c>
      <c r="AQ50" s="33">
        <f>AQ43-AQ29-(0)</f>
      </c>
      <c r="AR50" s="33">
        <f>AR43-AR29-(0)</f>
      </c>
      <c r="AS50" s="33">
        <f>AS43-AS29-(0)</f>
      </c>
      <c r="AT50" s="33">
        <f>AT43-AT29-(0)</f>
      </c>
      <c r="AU50" s="33">
        <f>AU43-AU29-(0)</f>
      </c>
      <c r="AV50" s="33">
        <f>AV43-AV29-(0)</f>
      </c>
      <c r="AW50" s="33">
        <f>AW43-AW29-(0)</f>
      </c>
      <c r="AX50" s="33">
        <f>AX43-AX29-(0)</f>
      </c>
      <c r="AY50" s="33">
        <f>AY43-AY29-(0)</f>
      </c>
      <c r="AZ50" s="33">
        <f>AZ43-AZ29-(0)</f>
      </c>
      <c r="BA50" s="33">
        <f>BA43-BA29-(0)</f>
      </c>
      <c r="BB50" s="33">
        <f>BB43-BB29-(0)</f>
      </c>
      <c r="BC50" s="33">
        <f>BC43-BC29-(0)</f>
      </c>
      <c r="BD50" s="33">
        <f>BD43-BD29-(0)</f>
      </c>
      <c r="BE50" s="33">
        <f>BE43-BE29-(0)</f>
      </c>
      <c r="BF50" s="33">
        <f>BF43-BF29-(0)</f>
      </c>
      <c r="BG50" s="33">
        <f>BG43-BG29-(0)</f>
      </c>
      <c r="BH50" s="33">
        <f>BH43-BH29-(0)</f>
      </c>
      <c r="BI50" s="33">
        <f>BI43-BI29-(0)</f>
      </c>
      <c r="BJ50" s="33">
        <f>BJ43-BJ29-(0)</f>
      </c>
      <c r="BK50" s="33">
        <f>BK43-BK29-(0)</f>
      </c>
      <c r="BL50" s="33">
        <f>BL43-BL29-(0)</f>
      </c>
      <c r="BM50" s="33">
        <f>BM43-BM29-(0)</f>
      </c>
      <c r="BN50" s="33">
        <f>BN43-BN29-(0)</f>
      </c>
      <c r="BO50" s="33">
        <f>BO43-BO29-(0)</f>
      </c>
      <c r="BP50" s="33">
        <f>BP43-BP29-(0)</f>
      </c>
      <c r="BQ50" s="33">
        <f>BQ43-BQ29-(0)</f>
      </c>
      <c r="BR50" s="33">
        <f>BR43-BR29-(0)</f>
      </c>
      <c r="BS50" s="33">
        <f>BS43-BS29-(0)</f>
      </c>
      <c r="BT50" s="33">
        <f>BT43-BT29-(0)</f>
      </c>
      <c r="BU50" s="33">
        <f>BU43-BU29-(0)</f>
      </c>
      <c r="BV50" s="33">
        <f>BV43-BV29-(0)</f>
      </c>
      <c r="BW50" s="33">
        <f>BW43-BW29-(0)</f>
      </c>
      <c r="BX50" s="33">
        <f>BX43-BX29-(0)</f>
      </c>
      <c r="BY50" s="33">
        <f>BY43-BY29-(0)</f>
      </c>
      <c r="BZ50" s="33">
        <f>BZ43-BZ29-(0)</f>
      </c>
      <c r="CA50" s="33">
        <f>CA43-CA29-(0)</f>
      </c>
      <c r="CB50" s="33">
        <f>CB43-CB29-(0)</f>
      </c>
      <c r="CC50" s="33">
        <f>CC43-CC29-(0)</f>
      </c>
      <c r="CD50" s="33">
        <f>CD43-CD29-(0)</f>
      </c>
      <c r="CE50" s="33">
        <f>CE43-CE29-(0)</f>
      </c>
      <c r="CF50" s="33">
        <f>CF43-CF29-(0)</f>
      </c>
      <c r="CG50" s="33">
        <f>CG43-CG29-(0)</f>
      </c>
      <c r="CH50" s="33">
        <f>CH43-CH29-(0)</f>
      </c>
      <c r="CI50" s="33">
        <f>CI43-CI29-(0)</f>
      </c>
      <c r="CJ50" s="33">
        <f>CJ43-CJ29-(0)</f>
      </c>
      <c r="CK50" s="33">
        <f>CK43-CK29-(0)</f>
      </c>
      <c r="CL50" s="33">
        <f>CL43-CL29-('입력값'!C17*100)</f>
      </c>
    </row>
    <row r="52" spans="2:26" x14ac:dyDescent="0.25">
      <c r="B52" s="29" t="s">
        <v>75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29" t="s">
        <v>313</v>
      </c>
      <c r="C53" s="30" t="s">
        <v>224</v>
      </c>
      <c r="E53" s="33">
        <f>E50+F50+G50-'입력값'!C39</f>
      </c>
      <c r="F53" s="33">
        <f>H50+I50+J50+K50-'입력값'!C40</f>
      </c>
      <c r="G53" s="33">
        <f>L50+M50+N50+O50</f>
      </c>
      <c r="H53" s="33">
        <f>P50+Q50+R50+S50</f>
      </c>
      <c r="I53" s="33">
        <f>T50+U50+V50+W50</f>
      </c>
      <c r="J53" s="33">
        <f>X50+Y50+Z50+AA50</f>
      </c>
      <c r="K53" s="33">
        <f>AB50+AC50+AD50+AE50</f>
      </c>
      <c r="L53" s="33">
        <f>AF50+AG50+AH50+AI50</f>
      </c>
      <c r="M53" s="33">
        <f>AJ50+AK50+AL50+AM50</f>
      </c>
      <c r="N53" s="33">
        <f>AN50+AO50+AP50+AQ50</f>
      </c>
      <c r="O53" s="33">
        <f>AR50+AS50+AT50+AU50</f>
      </c>
      <c r="P53" s="33">
        <f>AV50+AW50+AX50+AY50</f>
      </c>
      <c r="Q53" s="33">
        <f>AZ50+BA50+BB50+BC50</f>
      </c>
      <c r="R53" s="33">
        <f>BD50+BE50+BF50+BG50</f>
      </c>
      <c r="S53" s="33">
        <f>BH50+BI50+BJ50+BK50</f>
      </c>
      <c r="T53" s="33">
        <f>BL50+BM50+BN50+BO50</f>
      </c>
      <c r="U53" s="33">
        <f>BP50+BQ50+BR50+BS50</f>
      </c>
      <c r="V53" s="33">
        <f>BT50+BU50+BV50+BW50</f>
      </c>
      <c r="W53" s="33">
        <f>BX50+BY50+BZ50+CA50</f>
      </c>
      <c r="X53" s="33">
        <f>CB50+CC50+CD50+CE50</f>
      </c>
      <c r="Y53" s="33">
        <f>CF50+CG50+CH50+CI50</f>
      </c>
      <c r="Z53" s="33">
        <f>CJ50+CK50+CL50</f>
      </c>
    </row>
    <row r="54" spans="2:26" x14ac:dyDescent="0.25">
      <c r="B54" s="29" t="s">
        <v>314</v>
      </c>
      <c r="C54" s="30" t="s">
        <v>224</v>
      </c>
      <c r="E54" s="33">
        <f>0</f>
      </c>
      <c r="F54" s="33">
        <f>E56</f>
      </c>
      <c r="G54" s="33">
        <f>F56</f>
      </c>
      <c r="H54" s="33">
        <f>G56</f>
      </c>
      <c r="I54" s="33">
        <f>H56</f>
      </c>
      <c r="J54" s="33">
        <f>I56</f>
      </c>
      <c r="K54" s="33">
        <f>J56</f>
      </c>
      <c r="L54" s="33">
        <f>K56</f>
      </c>
      <c r="M54" s="33">
        <f>L56</f>
      </c>
      <c r="N54" s="33">
        <f>M56</f>
      </c>
      <c r="O54" s="33">
        <f>N56</f>
      </c>
      <c r="P54" s="33">
        <f>O56</f>
      </c>
      <c r="Q54" s="33">
        <f>P56</f>
      </c>
      <c r="R54" s="33">
        <f>Q56</f>
      </c>
      <c r="S54" s="33">
        <f>R56</f>
      </c>
      <c r="T54" s="33">
        <f>S56</f>
      </c>
      <c r="U54" s="33">
        <f>T56</f>
      </c>
      <c r="V54" s="33">
        <f>U56</f>
      </c>
      <c r="W54" s="33">
        <f>V56</f>
      </c>
      <c r="X54" s="33">
        <f>W56</f>
      </c>
      <c r="Y54" s="33">
        <f>X56</f>
      </c>
      <c r="Z54" s="33">
        <f>Y56</f>
      </c>
    </row>
    <row r="55" spans="2:26" x14ac:dyDescent="0.25">
      <c r="B55" s="29" t="s">
        <v>315</v>
      </c>
      <c r="C55" s="30" t="s">
        <v>224</v>
      </c>
      <c r="E55" s="33">
        <f>IF(E53&lt;=0,0,MIN(E54,E53*'입력값'!C30/100))</f>
      </c>
      <c r="F55" s="33">
        <f>IF(F53&lt;=0,0,MIN(F54,F53*'입력값'!C30/100))</f>
      </c>
      <c r="G55" s="33">
        <f>IF(G53&lt;=0,0,MIN(G54,G53*'입력값'!C30/100))</f>
      </c>
      <c r="H55" s="33">
        <f>IF(H53&lt;=0,0,MIN(H54,H53*'입력값'!C30/100))</f>
      </c>
      <c r="I55" s="33">
        <f>IF(I53&lt;=0,0,MIN(I54,I53*'입력값'!C30/100))</f>
      </c>
      <c r="J55" s="33">
        <f>IF(J53&lt;=0,0,MIN(J54,J53*'입력값'!C30/100))</f>
      </c>
      <c r="K55" s="33">
        <f>IF(K53&lt;=0,0,MIN(K54,K53*'입력값'!C30/100))</f>
      </c>
      <c r="L55" s="33">
        <f>IF(L53&lt;=0,0,MIN(L54,L53*'입력값'!C30/100))</f>
      </c>
      <c r="M55" s="33">
        <f>IF(M53&lt;=0,0,MIN(M54,M53*'입력값'!C30/100))</f>
      </c>
      <c r="N55" s="33">
        <f>IF(N53&lt;=0,0,MIN(N54,N53*'입력값'!C30/100))</f>
      </c>
      <c r="O55" s="33">
        <f>IF(O53&lt;=0,0,MIN(O54,O53*'입력값'!C30/100))</f>
      </c>
      <c r="P55" s="33">
        <f>IF(P53&lt;=0,0,MIN(P54,P53*'입력값'!C30/100))</f>
      </c>
      <c r="Q55" s="33">
        <f>IF(Q53&lt;=0,0,MIN(Q54,Q53*'입력값'!C30/100))</f>
      </c>
      <c r="R55" s="33">
        <f>IF(R53&lt;=0,0,MIN(R54,R53*'입력값'!C30/100))</f>
      </c>
      <c r="S55" s="33">
        <f>IF(S53&lt;=0,0,MIN(S54,S53*'입력값'!C30/100))</f>
      </c>
      <c r="T55" s="33">
        <f>IF(T53&lt;=0,0,MIN(T54,T53*'입력값'!C30/100))</f>
      </c>
      <c r="U55" s="33">
        <f>IF(U53&lt;=0,0,MIN(U54,U53*'입력값'!C30/100))</f>
      </c>
      <c r="V55" s="33">
        <f>IF(V53&lt;=0,0,MIN(V54,V53*'입력값'!C30/100))</f>
      </c>
      <c r="W55" s="33">
        <f>IF(W53&lt;=0,0,MIN(W54,W53*'입력값'!C30/100))</f>
      </c>
      <c r="X55" s="33">
        <f>IF(X53&lt;=0,0,MIN(X54,X53*'입력값'!C30/100))</f>
      </c>
      <c r="Y55" s="33">
        <f>IF(Y53&lt;=0,0,MIN(Y54,Y53*'입력값'!C30/100))</f>
      </c>
      <c r="Z55" s="33">
        <f>IF(Z53&lt;=0,0,MIN(Z54,Z53*'입력값'!C30/100))</f>
      </c>
    </row>
    <row r="56" spans="2:26" x14ac:dyDescent="0.25">
      <c r="B56" s="29" t="s">
        <v>316</v>
      </c>
      <c r="C56" s="30" t="s">
        <v>224</v>
      </c>
      <c r="E56" s="33">
        <f>IF(E53&lt;=0,E54-E53,E54-E55)</f>
      </c>
      <c r="F56" s="33">
        <f>IF(F53&lt;=0,F54-F53,F54-F55)</f>
      </c>
      <c r="G56" s="33">
        <f>IF(G53&lt;=0,G54-G53,G54-G55)</f>
      </c>
      <c r="H56" s="33">
        <f>IF(H53&lt;=0,H54-H53,H54-H55)</f>
      </c>
      <c r="I56" s="33">
        <f>IF(I53&lt;=0,I54-I53,I54-I55)</f>
      </c>
      <c r="J56" s="33">
        <f>IF(J53&lt;=0,J54-J53,J54-J55)</f>
      </c>
      <c r="K56" s="33">
        <f>IF(K53&lt;=0,K54-K53,K54-K55)</f>
      </c>
      <c r="L56" s="33">
        <f>IF(L53&lt;=0,L54-L53,L54-L55)</f>
      </c>
      <c r="M56" s="33">
        <f>IF(M53&lt;=0,M54-M53,M54-M55)</f>
      </c>
      <c r="N56" s="33">
        <f>IF(N53&lt;=0,N54-N53,N54-N55)</f>
      </c>
      <c r="O56" s="33">
        <f>IF(O53&lt;=0,O54-O53,O54-O55)</f>
      </c>
      <c r="P56" s="33">
        <f>IF(P53&lt;=0,P54-P53,P54-P55)</f>
      </c>
      <c r="Q56" s="33">
        <f>IF(Q53&lt;=0,Q54-Q53,Q54-Q55)</f>
      </c>
      <c r="R56" s="33">
        <f>IF(R53&lt;=0,R54-R53,R54-R55)</f>
      </c>
      <c r="S56" s="33">
        <f>IF(S53&lt;=0,S54-S53,S54-S55)</f>
      </c>
      <c r="T56" s="33">
        <f>IF(T53&lt;=0,T54-T53,T54-T55)</f>
      </c>
      <c r="U56" s="33">
        <f>IF(U53&lt;=0,U54-U53,U54-U55)</f>
      </c>
      <c r="V56" s="33">
        <f>IF(V53&lt;=0,V54-V53,V54-V55)</f>
      </c>
      <c r="W56" s="33">
        <f>IF(W53&lt;=0,W54-W53,W54-W55)</f>
      </c>
      <c r="X56" s="33">
        <f>IF(X53&lt;=0,X54-X53,X54-X55)</f>
      </c>
      <c r="Y56" s="33">
        <f>IF(Y53&lt;=0,Y54-Y53,Y54-Y55)</f>
      </c>
      <c r="Z56" s="33">
        <f>IF(Z53&lt;=0,Z54-Z53,Z54-Z55)</f>
      </c>
    </row>
    <row r="57" spans="2:26" x14ac:dyDescent="0.25">
      <c r="B57" s="29" t="s">
        <v>317</v>
      </c>
      <c r="C57" s="30" t="s">
        <v>224</v>
      </c>
      <c r="E57" s="33">
        <f>MAX(0,E53-E55)</f>
      </c>
      <c r="F57" s="33">
        <f>MAX(0,F53-F55)</f>
      </c>
      <c r="G57" s="33">
        <f>MAX(0,G53-G55)</f>
      </c>
      <c r="H57" s="33">
        <f>MAX(0,H53-H55)</f>
      </c>
      <c r="I57" s="33">
        <f>MAX(0,I53-I55)</f>
      </c>
      <c r="J57" s="33">
        <f>MAX(0,J53-J55)</f>
      </c>
      <c r="K57" s="33">
        <f>MAX(0,K53-K55)</f>
      </c>
      <c r="L57" s="33">
        <f>MAX(0,L53-L55)</f>
      </c>
      <c r="M57" s="33">
        <f>MAX(0,M53-M55)</f>
      </c>
      <c r="N57" s="33">
        <f>MAX(0,N53-N55)</f>
      </c>
      <c r="O57" s="33">
        <f>MAX(0,O53-O55)</f>
      </c>
      <c r="P57" s="33">
        <f>MAX(0,P53-P55)</f>
      </c>
      <c r="Q57" s="33">
        <f>MAX(0,Q53-Q55)</f>
      </c>
      <c r="R57" s="33">
        <f>MAX(0,R53-R55)</f>
      </c>
      <c r="S57" s="33">
        <f>MAX(0,S53-S55)</f>
      </c>
      <c r="T57" s="33">
        <f>MAX(0,T53-T55)</f>
      </c>
      <c r="U57" s="33">
        <f>MAX(0,U53-U55)</f>
      </c>
      <c r="V57" s="33">
        <f>MAX(0,V53-V55)</f>
      </c>
      <c r="W57" s="33">
        <f>MAX(0,W53-W55)</f>
      </c>
      <c r="X57" s="33">
        <f>MAX(0,X53-X55)</f>
      </c>
      <c r="Y57" s="33">
        <f>MAX(0,Y53-Y55)</f>
      </c>
      <c r="Z57" s="33">
        <f>MAX(0,Z53-Z55)</f>
      </c>
    </row>
    <row r="58" spans="2:26" x14ac:dyDescent="0.25">
      <c r="B58" s="29" t="s">
        <v>318</v>
      </c>
      <c r="C58" s="30" t="s">
        <v>224</v>
      </c>
      <c r="E58" s="33">
        <f>IF(E53&lt;=0,0,MIN(MAX(E57,0),200)*0.09+MIN(MAX(E57-200,0),19800)*0.19+MIN(MAX(E57-20000,0),280000)*0.21+MAX(E57-300000,0)*0.24)</f>
      </c>
      <c r="F58" s="33">
        <f>IF(F53&lt;=0,0,MIN(MAX(F57,0),200)*0.09+MIN(MAX(F57-200,0),19800)*0.19+MIN(MAX(F57-20000,0),280000)*0.21+MAX(F57-300000,0)*0.24)</f>
      </c>
      <c r="G58" s="33">
        <f>IF(G53&lt;=0,0,MIN(MAX(G57,0),200)*0.09+MIN(MAX(G57-200,0),19800)*0.19+MIN(MAX(G57-20000,0),280000)*0.21+MAX(G57-300000,0)*0.24)</f>
      </c>
      <c r="H58" s="33">
        <f>IF(H53&lt;=0,0,MIN(MAX(H57,0),200)*0.09+MIN(MAX(H57-200,0),19800)*0.19+MIN(MAX(H57-20000,0),280000)*0.21+MAX(H57-300000,0)*0.24)</f>
      </c>
      <c r="I58" s="33">
        <f>IF(I53&lt;=0,0,MIN(MAX(I57,0),200)*0.09+MIN(MAX(I57-200,0),19800)*0.19+MIN(MAX(I57-20000,0),280000)*0.21+MAX(I57-300000,0)*0.24)</f>
      </c>
      <c r="J58" s="33">
        <f>IF(J53&lt;=0,0,MIN(MAX(J57,0),200)*0.09+MIN(MAX(J57-200,0),19800)*0.19+MIN(MAX(J57-20000,0),280000)*0.21+MAX(J57-300000,0)*0.24)</f>
      </c>
      <c r="K58" s="33">
        <f>IF(K53&lt;=0,0,MIN(MAX(K57,0),200)*0.09+MIN(MAX(K57-200,0),19800)*0.19+MIN(MAX(K57-20000,0),280000)*0.21+MAX(K57-300000,0)*0.24)</f>
      </c>
      <c r="L58" s="33">
        <f>IF(L53&lt;=0,0,MIN(MAX(L57,0),200)*0.09+MIN(MAX(L57-200,0),19800)*0.19+MIN(MAX(L57-20000,0),280000)*0.21+MAX(L57-300000,0)*0.24)</f>
      </c>
      <c r="M58" s="33">
        <f>IF(M53&lt;=0,0,MIN(MAX(M57,0),200)*0.09+MIN(MAX(M57-200,0),19800)*0.19+MIN(MAX(M57-20000,0),280000)*0.21+MAX(M57-300000,0)*0.24)</f>
      </c>
      <c r="N58" s="33">
        <f>IF(N53&lt;=0,0,MIN(MAX(N57,0),200)*0.09+MIN(MAX(N57-200,0),19800)*0.19+MIN(MAX(N57-20000,0),280000)*0.21+MAX(N57-300000,0)*0.24)</f>
      </c>
      <c r="O58" s="33">
        <f>IF(O53&lt;=0,0,MIN(MAX(O57,0),200)*0.09+MIN(MAX(O57-200,0),19800)*0.19+MIN(MAX(O57-20000,0),280000)*0.21+MAX(O57-300000,0)*0.24)</f>
      </c>
      <c r="P58" s="33">
        <f>IF(P53&lt;=0,0,MIN(MAX(P57,0),200)*0.09+MIN(MAX(P57-200,0),19800)*0.19+MIN(MAX(P57-20000,0),280000)*0.21+MAX(P57-300000,0)*0.24)</f>
      </c>
      <c r="Q58" s="33">
        <f>IF(Q53&lt;=0,0,MIN(MAX(Q57,0),200)*0.09+MIN(MAX(Q57-200,0),19800)*0.19+MIN(MAX(Q57-20000,0),280000)*0.21+MAX(Q57-300000,0)*0.24)</f>
      </c>
      <c r="R58" s="33">
        <f>IF(R53&lt;=0,0,MIN(MAX(R57,0),200)*0.09+MIN(MAX(R57-200,0),19800)*0.19+MIN(MAX(R57-20000,0),280000)*0.21+MAX(R57-300000,0)*0.24)</f>
      </c>
      <c r="S58" s="33">
        <f>IF(S53&lt;=0,0,MIN(MAX(S57,0),200)*0.09+MIN(MAX(S57-200,0),19800)*0.19+MIN(MAX(S57-20000,0),280000)*0.21+MAX(S57-300000,0)*0.24)</f>
      </c>
      <c r="T58" s="33">
        <f>IF(T53&lt;=0,0,MIN(MAX(T57,0),200)*0.09+MIN(MAX(T57-200,0),19800)*0.19+MIN(MAX(T57-20000,0),280000)*0.21+MAX(T57-300000,0)*0.24)</f>
      </c>
      <c r="U58" s="33">
        <f>IF(U53&lt;=0,0,MIN(MAX(U57,0),200)*0.09+MIN(MAX(U57-200,0),19800)*0.19+MIN(MAX(U57-20000,0),280000)*0.21+MAX(U57-300000,0)*0.24)</f>
      </c>
      <c r="V58" s="33">
        <f>IF(V53&lt;=0,0,MIN(MAX(V57,0),200)*0.09+MIN(MAX(V57-200,0),19800)*0.19+MIN(MAX(V57-20000,0),280000)*0.21+MAX(V57-300000,0)*0.24)</f>
      </c>
      <c r="W58" s="33">
        <f>IF(W53&lt;=0,0,MIN(MAX(W57,0),200)*0.09+MIN(MAX(W57-200,0),19800)*0.19+MIN(MAX(W57-20000,0),280000)*0.21+MAX(W57-300000,0)*0.24)</f>
      </c>
      <c r="X58" s="33">
        <f>IF(X53&lt;=0,0,MIN(MAX(X57,0),200)*0.09+MIN(MAX(X57-200,0),19800)*0.19+MIN(MAX(X57-20000,0),280000)*0.21+MAX(X57-300000,0)*0.24)</f>
      </c>
      <c r="Y58" s="33">
        <f>IF(Y53&lt;=0,0,MIN(MAX(Y57,0),200)*0.09+MIN(MAX(Y57-200,0),19800)*0.19+MIN(MAX(Y57-20000,0),280000)*0.21+MAX(Y57-300000,0)*0.24)</f>
      </c>
      <c r="Z58" s="33">
        <f>IF(Z53&lt;=0,0,MIN(MAX(Z57,0),200)*0.09+MIN(MAX(Z57-200,0),19800)*0.19+MIN(MAX(Z57-20000,0),280000)*0.21+MAX(Z57-300000,0)*0.24)</f>
      </c>
    </row>
    <row r="59" spans="2:26" x14ac:dyDescent="0.25">
      <c r="B59" s="29" t="s">
        <v>319</v>
      </c>
      <c r="C59" s="30" t="s">
        <v>224</v>
      </c>
      <c r="E59" s="33">
        <f>E57*'입력값'!C31/100</f>
      </c>
      <c r="F59" s="33">
        <f>F57*'입력값'!C31/100</f>
      </c>
      <c r="G59" s="33">
        <f>G57*'입력값'!C31/100</f>
      </c>
      <c r="H59" s="33">
        <f>H57*'입력값'!C31/100</f>
      </c>
      <c r="I59" s="33">
        <f>I57*'입력값'!C31/100</f>
      </c>
      <c r="J59" s="33">
        <f>J57*'입력값'!C31/100</f>
      </c>
      <c r="K59" s="33">
        <f>K57*'입력값'!C31/100</f>
      </c>
      <c r="L59" s="33">
        <f>L57*'입력값'!C31/100</f>
      </c>
      <c r="M59" s="33">
        <f>M57*'입력값'!C31/100</f>
      </c>
      <c r="N59" s="33">
        <f>N57*'입력값'!C31/100</f>
      </c>
      <c r="O59" s="33">
        <f>O57*'입력값'!C31/100</f>
      </c>
      <c r="P59" s="33">
        <f>P57*'입력값'!C31/100</f>
      </c>
      <c r="Q59" s="33">
        <f>Q57*'입력값'!C31/100</f>
      </c>
      <c r="R59" s="33">
        <f>R57*'입력값'!C31/100</f>
      </c>
      <c r="S59" s="33">
        <f>S57*'입력값'!C31/100</f>
      </c>
      <c r="T59" s="33">
        <f>T57*'입력값'!C31/100</f>
      </c>
      <c r="U59" s="33">
        <f>U57*'입력값'!C31/100</f>
      </c>
      <c r="V59" s="33">
        <f>V57*'입력값'!C31/100</f>
      </c>
      <c r="W59" s="33">
        <f>W57*'입력값'!C31/100</f>
      </c>
      <c r="X59" s="33">
        <f>X57*'입력값'!C31/100</f>
      </c>
      <c r="Y59" s="33">
        <f>Y57*'입력값'!C31/100</f>
      </c>
      <c r="Z59" s="33">
        <f>Z57*'입력값'!C31/100</f>
      </c>
    </row>
    <row r="60" spans="2:26" x14ac:dyDescent="0.25">
      <c r="B60" s="29" t="s">
        <v>320</v>
      </c>
      <c r="C60" s="30" t="s">
        <v>224</v>
      </c>
      <c r="E60" s="33">
        <f>0</f>
      </c>
      <c r="F60" s="33">
        <f>E65</f>
      </c>
      <c r="G60" s="33">
        <f>F65</f>
      </c>
      <c r="H60" s="33">
        <f>G65</f>
      </c>
      <c r="I60" s="33">
        <f>H65</f>
      </c>
      <c r="J60" s="33">
        <f>I65</f>
      </c>
      <c r="K60" s="33">
        <f>J65</f>
      </c>
      <c r="L60" s="33">
        <f>K65</f>
      </c>
      <c r="M60" s="33">
        <f>L65</f>
      </c>
      <c r="N60" s="33">
        <f>M65</f>
      </c>
      <c r="O60" s="33">
        <f>N65</f>
      </c>
      <c r="P60" s="33">
        <f>O65</f>
      </c>
      <c r="Q60" s="33">
        <f>P65</f>
      </c>
      <c r="R60" s="33">
        <f>Q65</f>
      </c>
      <c r="S60" s="33">
        <f>R65</f>
      </c>
      <c r="T60" s="33">
        <f>S65</f>
      </c>
      <c r="U60" s="33">
        <f>T65</f>
      </c>
      <c r="V60" s="33">
        <f>U65</f>
      </c>
      <c r="W60" s="33">
        <f>V65</f>
      </c>
      <c r="X60" s="33">
        <f>W65</f>
      </c>
      <c r="Y60" s="33">
        <f>X65</f>
      </c>
      <c r="Z60" s="33">
        <f>Y65</f>
      </c>
    </row>
    <row r="61" spans="2:26" x14ac:dyDescent="0.25">
      <c r="B61" s="29" t="s">
        <v>321</v>
      </c>
      <c r="C61" s="30" t="s">
        <v>224</v>
      </c>
      <c r="E61" s="33">
        <f>('입력값'!C45)*'입력값'!C32/100</f>
      </c>
      <c r="F61" s="33">
        <f>('입력값'!C46)*'입력값'!C32/100</f>
      </c>
      <c r="G61" s="33">
        <f>(0)*'입력값'!C32/100</f>
      </c>
      <c r="H61" s="33">
        <f>(0)*'입력값'!C32/100</f>
      </c>
      <c r="I61" s="33">
        <f>(0)*'입력값'!C32/100</f>
      </c>
      <c r="J61" s="33">
        <f>(0)*'입력값'!C32/100</f>
      </c>
      <c r="K61" s="33">
        <f>(0)*'입력값'!C32/100</f>
      </c>
      <c r="L61" s="33">
        <f>(0)*'입력값'!C32/100</f>
      </c>
      <c r="M61" s="33">
        <f>(0)*'입력값'!C32/100</f>
      </c>
      <c r="N61" s="33">
        <f>(0)*'입력값'!C32/100</f>
      </c>
      <c r="O61" s="33">
        <f>(0)*'입력값'!C32/100</f>
      </c>
      <c r="P61" s="33">
        <f>(0)*'입력값'!C32/100</f>
      </c>
      <c r="Q61" s="33">
        <f>(0)*'입력값'!C32/100</f>
      </c>
      <c r="R61" s="33">
        <f>(0)*'입력값'!C32/100</f>
      </c>
      <c r="S61" s="33">
        <f>(0)*'입력값'!C32/100</f>
      </c>
      <c r="T61" s="33">
        <f>(0)*'입력값'!C32/100</f>
      </c>
      <c r="U61" s="33">
        <f>(0)*'입력값'!C32/100</f>
      </c>
      <c r="V61" s="33">
        <f>(0)*'입력값'!C32/100</f>
      </c>
      <c r="W61" s="33">
        <f>(0)*'입력값'!C32/100</f>
      </c>
      <c r="X61" s="33">
        <f>(0)*'입력값'!C32/100</f>
      </c>
      <c r="Y61" s="33">
        <f>(0)*'입력값'!C32/100</f>
      </c>
      <c r="Z61" s="33">
        <f>(0)*'입력값'!C32/100</f>
      </c>
    </row>
    <row r="62" spans="2:26" x14ac:dyDescent="0.25">
      <c r="B62" s="29" t="s">
        <v>322</v>
      </c>
      <c r="C62" s="30" t="s">
        <v>224</v>
      </c>
      <c r="E62" s="33">
        <f>MAX(0,E58-(E60+E61))</f>
      </c>
      <c r="F62" s="33">
        <f>MAX(0,F58-(F60+F61))</f>
      </c>
      <c r="G62" s="33">
        <f>MAX(0,G58-(G60+G61))</f>
      </c>
      <c r="H62" s="33">
        <f>MAX(0,H58-(H60+H61))</f>
      </c>
      <c r="I62" s="33">
        <f>MAX(0,I58-(I60+I61))</f>
      </c>
      <c r="J62" s="33">
        <f>MAX(0,J58-(J60+J61))</f>
      </c>
      <c r="K62" s="33">
        <f>MAX(0,K58-(K60+K61))</f>
      </c>
      <c r="L62" s="33">
        <f>MAX(0,L58-(L60+L61))</f>
      </c>
      <c r="M62" s="33">
        <f>MAX(0,M58-(M60+M61))</f>
      </c>
      <c r="N62" s="33">
        <f>MAX(0,N58-(N60+N61))</f>
      </c>
      <c r="O62" s="33">
        <f>MAX(0,O58-(O60+O61))</f>
      </c>
      <c r="P62" s="33">
        <f>MAX(0,P58-(P60+P61))</f>
      </c>
      <c r="Q62" s="33">
        <f>MAX(0,Q58-(Q60+Q61))</f>
      </c>
      <c r="R62" s="33">
        <f>MAX(0,R58-(R60+R61))</f>
      </c>
      <c r="S62" s="33">
        <f>MAX(0,S58-(S60+S61))</f>
      </c>
      <c r="T62" s="33">
        <f>MAX(0,T58-(T60+T61))</f>
      </c>
      <c r="U62" s="33">
        <f>MAX(0,U58-(U60+U61))</f>
      </c>
      <c r="V62" s="33">
        <f>MAX(0,V58-(V60+V61))</f>
      </c>
      <c r="W62" s="33">
        <f>MAX(0,W58-(W60+W61))</f>
      </c>
      <c r="X62" s="33">
        <f>MAX(0,X58-(X60+X61))</f>
      </c>
      <c r="Y62" s="33">
        <f>MAX(0,Y58-(Y60+Y61))</f>
      </c>
      <c r="Z62" s="33">
        <f>MAX(0,Z58-(Z60+Z61))</f>
      </c>
    </row>
    <row r="63" spans="2:26" x14ac:dyDescent="0.25">
      <c r="B63" s="29" t="s">
        <v>323</v>
      </c>
      <c r="C63" s="30" t="s">
        <v>224</v>
      </c>
      <c r="E63" s="33">
        <f>IF(E53&lt;=0,0,MAX(E59,E62))</f>
      </c>
      <c r="F63" s="33">
        <f>IF(F53&lt;=0,0,MAX(F59,F62))</f>
      </c>
      <c r="G63" s="33">
        <f>IF(G53&lt;=0,0,MAX(G59,G62))</f>
      </c>
      <c r="H63" s="33">
        <f>IF(H53&lt;=0,0,MAX(H59,H62))</f>
      </c>
      <c r="I63" s="33">
        <f>IF(I53&lt;=0,0,MAX(I59,I62))</f>
      </c>
      <c r="J63" s="33">
        <f>IF(J53&lt;=0,0,MAX(J59,J62))</f>
      </c>
      <c r="K63" s="33">
        <f>IF(K53&lt;=0,0,MAX(K59,K62))</f>
      </c>
      <c r="L63" s="33">
        <f>IF(L53&lt;=0,0,MAX(L59,L62))</f>
      </c>
      <c r="M63" s="33">
        <f>IF(M53&lt;=0,0,MAX(M59,M62))</f>
      </c>
      <c r="N63" s="33">
        <f>IF(N53&lt;=0,0,MAX(N59,N62))</f>
      </c>
      <c r="O63" s="33">
        <f>IF(O53&lt;=0,0,MAX(O59,O62))</f>
      </c>
      <c r="P63" s="33">
        <f>IF(P53&lt;=0,0,MAX(P59,P62))</f>
      </c>
      <c r="Q63" s="33">
        <f>IF(Q53&lt;=0,0,MAX(Q59,Q62))</f>
      </c>
      <c r="R63" s="33">
        <f>IF(R53&lt;=0,0,MAX(R59,R62))</f>
      </c>
      <c r="S63" s="33">
        <f>IF(S53&lt;=0,0,MAX(S59,S62))</f>
      </c>
      <c r="T63" s="33">
        <f>IF(T53&lt;=0,0,MAX(T59,T62))</f>
      </c>
      <c r="U63" s="33">
        <f>IF(U53&lt;=0,0,MAX(U59,U62))</f>
      </c>
      <c r="V63" s="33">
        <f>IF(V53&lt;=0,0,MAX(V59,V62))</f>
      </c>
      <c r="W63" s="33">
        <f>IF(W53&lt;=0,0,MAX(W59,W62))</f>
      </c>
      <c r="X63" s="33">
        <f>IF(X53&lt;=0,0,MAX(X59,X62))</f>
      </c>
      <c r="Y63" s="33">
        <f>IF(Y53&lt;=0,0,MAX(Y59,Y62))</f>
      </c>
      <c r="Z63" s="33">
        <f>IF(Z53&lt;=0,0,MAX(Z59,Z62))</f>
      </c>
    </row>
    <row r="64" spans="2:26" x14ac:dyDescent="0.25">
      <c r="B64" s="29" t="s">
        <v>324</v>
      </c>
      <c r="C64" s="30" t="s">
        <v>224</v>
      </c>
      <c r="E64" s="33">
        <f>E58-E63</f>
      </c>
      <c r="F64" s="33">
        <f>F58-F63</f>
      </c>
      <c r="G64" s="33">
        <f>G58-G63</f>
      </c>
      <c r="H64" s="33">
        <f>H58-H63</f>
      </c>
      <c r="I64" s="33">
        <f>I58-I63</f>
      </c>
      <c r="J64" s="33">
        <f>J58-J63</f>
      </c>
      <c r="K64" s="33">
        <f>K58-K63</f>
      </c>
      <c r="L64" s="33">
        <f>L58-L63</f>
      </c>
      <c r="M64" s="33">
        <f>M58-M63</f>
      </c>
      <c r="N64" s="33">
        <f>N58-N63</f>
      </c>
      <c r="O64" s="33">
        <f>O58-O63</f>
      </c>
      <c r="P64" s="33">
        <f>P58-P63</f>
      </c>
      <c r="Q64" s="33">
        <f>Q58-Q63</f>
      </c>
      <c r="R64" s="33">
        <f>R58-R63</f>
      </c>
      <c r="S64" s="33">
        <f>S58-S63</f>
      </c>
      <c r="T64" s="33">
        <f>T58-T63</f>
      </c>
      <c r="U64" s="33">
        <f>U58-U63</f>
      </c>
      <c r="V64" s="33">
        <f>V58-V63</f>
      </c>
      <c r="W64" s="33">
        <f>W58-W63</f>
      </c>
      <c r="X64" s="33">
        <f>X58-X63</f>
      </c>
      <c r="Y64" s="33">
        <f>Y58-Y63</f>
      </c>
      <c r="Z64" s="33">
        <f>Z58-Z63</f>
      </c>
    </row>
    <row r="65" spans="2:26" x14ac:dyDescent="0.25">
      <c r="B65" s="29" t="s">
        <v>325</v>
      </c>
      <c r="C65" s="30" t="s">
        <v>224</v>
      </c>
      <c r="E65" s="33">
        <f>E60+E61-E64</f>
      </c>
      <c r="F65" s="33">
        <f>F60+F61-F64</f>
      </c>
      <c r="G65" s="33">
        <f>G60+G61-G64</f>
      </c>
      <c r="H65" s="33">
        <f>H60+H61-H64</f>
      </c>
      <c r="I65" s="33">
        <f>I60+I61-I64</f>
      </c>
      <c r="J65" s="33">
        <f>J60+J61-J64</f>
      </c>
      <c r="K65" s="33">
        <f>K60+K61-K64</f>
      </c>
      <c r="L65" s="33">
        <f>L60+L61-L64</f>
      </c>
      <c r="M65" s="33">
        <f>M60+M61-M64</f>
      </c>
      <c r="N65" s="33">
        <f>N60+N61-N64</f>
      </c>
      <c r="O65" s="33">
        <f>O60+O61-O64</f>
      </c>
      <c r="P65" s="33">
        <f>P60+P61-P64</f>
      </c>
      <c r="Q65" s="33">
        <f>Q60+Q61-Q64</f>
      </c>
      <c r="R65" s="33">
        <f>R60+R61-R64</f>
      </c>
      <c r="S65" s="33">
        <f>S60+S61-S64</f>
      </c>
      <c r="T65" s="33">
        <f>T60+T61-T64</f>
      </c>
      <c r="U65" s="33">
        <f>U60+U61-U64</f>
      </c>
      <c r="V65" s="33">
        <f>V60+V61-V64</f>
      </c>
      <c r="W65" s="33">
        <f>W60+W61-W64</f>
      </c>
      <c r="X65" s="33">
        <f>X60+X61-X64</f>
      </c>
      <c r="Y65" s="33">
        <f>Y60+Y61-Y64</f>
      </c>
      <c r="Z65" s="33">
        <f>Z60+Z61-Z64</f>
      </c>
    </row>
    <row r="66" spans="2:26" x14ac:dyDescent="0.25">
      <c r="B66" s="43" t="s">
        <v>326</v>
      </c>
      <c r="C66" s="30" t="s">
        <v>224</v>
      </c>
      <c r="E66" s="14">
        <f>E63*(1+'입력값'!C33/100)+E64*'입력값'!C34/100</f>
      </c>
      <c r="F66" s="14">
        <f>F63*(1+'입력값'!C33/100)+F64*'입력값'!C34/100</f>
      </c>
      <c r="G66" s="14">
        <f>G63*(1+'입력값'!C33/100)+G64*'입력값'!C34/100</f>
      </c>
      <c r="H66" s="14">
        <f>H63*(1+'입력값'!C33/100)+H64*'입력값'!C34/100</f>
      </c>
      <c r="I66" s="14">
        <f>I63*(1+'입력값'!C33/100)+I64*'입력값'!C34/100</f>
      </c>
      <c r="J66" s="14">
        <f>J63*(1+'입력값'!C33/100)+J64*'입력값'!C34/100</f>
      </c>
      <c r="K66" s="14">
        <f>K63*(1+'입력값'!C33/100)+K64*'입력값'!C34/100</f>
      </c>
      <c r="L66" s="14">
        <f>L63*(1+'입력값'!C33/100)+L64*'입력값'!C34/100</f>
      </c>
      <c r="M66" s="14">
        <f>M63*(1+'입력값'!C33/100)+M64*'입력값'!C34/100</f>
      </c>
      <c r="N66" s="14">
        <f>N63*(1+'입력값'!C33/100)+N64*'입력값'!C34/100</f>
      </c>
      <c r="O66" s="14">
        <f>O63*(1+'입력값'!C33/100)+O64*'입력값'!C34/100</f>
      </c>
      <c r="P66" s="14">
        <f>P63*(1+'입력값'!C33/100)+P64*'입력값'!C34/100</f>
      </c>
      <c r="Q66" s="14">
        <f>Q63*(1+'입력값'!C33/100)+Q64*'입력값'!C34/100</f>
      </c>
      <c r="R66" s="14">
        <f>R63*(1+'입력값'!C33/100)+R64*'입력값'!C34/100</f>
      </c>
      <c r="S66" s="14">
        <f>S63*(1+'입력값'!C33/100)+S64*'입력값'!C34/100</f>
      </c>
      <c r="T66" s="14">
        <f>T63*(1+'입력값'!C33/100)+T64*'입력값'!C34/100</f>
      </c>
      <c r="U66" s="14">
        <f>U63*(1+'입력값'!C33/100)+U64*'입력값'!C34/100</f>
      </c>
      <c r="V66" s="14">
        <f>V63*(1+'입력값'!C33/100)+V64*'입력값'!C34/100</f>
      </c>
      <c r="W66" s="14">
        <f>W63*(1+'입력값'!C33/100)+W64*'입력값'!C34/100</f>
      </c>
      <c r="X66" s="14">
        <f>X63*(1+'입력값'!C33/100)+X64*'입력값'!C34/100</f>
      </c>
      <c r="Y66" s="14">
        <f>Y63*(1+'입력값'!C33/100)+Y64*'입력값'!C34/100</f>
      </c>
      <c r="Z66" s="14">
        <f>Z63*(1+'입력값'!C33/100)+Z64*'입력값'!C34/100</f>
      </c>
    </row>
    <row r="67" spans="2:26" x14ac:dyDescent="0.25">
      <c r="B67" s="29" t="s">
        <v>327</v>
      </c>
      <c r="C67" s="30" t="s">
        <v>224</v>
      </c>
      <c r="E67" s="33">
        <f>MAX(0,E43)+MAX(0,F43)+MAX(0,G43)</f>
      </c>
      <c r="F67" s="33">
        <f>MAX(0,H43)+MAX(0,I43)+MAX(0,J43)+MAX(0,K43)</f>
      </c>
      <c r="G67" s="33">
        <f>MAX(0,L43)+MAX(0,M43)+MAX(0,N43)+MAX(0,O43)</f>
      </c>
      <c r="H67" s="33">
        <f>MAX(0,P43)+MAX(0,Q43)+MAX(0,R43)+MAX(0,S43)</f>
      </c>
      <c r="I67" s="33">
        <f>MAX(0,T43)+MAX(0,U43)+MAX(0,V43)+MAX(0,W43)</f>
      </c>
      <c r="J67" s="33">
        <f>MAX(0,X43)+MAX(0,Y43)+MAX(0,Z43)+MAX(0,AA43)</f>
      </c>
      <c r="K67" s="33">
        <f>MAX(0,AB43)+MAX(0,AC43)+MAX(0,AD43)+MAX(0,AE43)</f>
      </c>
      <c r="L67" s="33">
        <f>MAX(0,AF43)+MAX(0,AG43)+MAX(0,AH43)+MAX(0,AI43)</f>
      </c>
      <c r="M67" s="33">
        <f>MAX(0,AJ43)+MAX(0,AK43)+MAX(0,AL43)+MAX(0,AM43)</f>
      </c>
      <c r="N67" s="33">
        <f>MAX(0,AN43)+MAX(0,AO43)+MAX(0,AP43)+MAX(0,AQ43)</f>
      </c>
      <c r="O67" s="33">
        <f>MAX(0,AR43)+MAX(0,AS43)+MAX(0,AT43)+MAX(0,AU43)</f>
      </c>
      <c r="P67" s="33">
        <f>MAX(0,AV43)+MAX(0,AW43)+MAX(0,AX43)+MAX(0,AY43)</f>
      </c>
      <c r="Q67" s="33">
        <f>MAX(0,AZ43)+MAX(0,BA43)+MAX(0,BB43)+MAX(0,BC43)</f>
      </c>
      <c r="R67" s="33">
        <f>MAX(0,BD43)+MAX(0,BE43)+MAX(0,BF43)+MAX(0,BG43)</f>
      </c>
      <c r="S67" s="33">
        <f>MAX(0,BH43)+MAX(0,BI43)+MAX(0,BJ43)+MAX(0,BK43)</f>
      </c>
      <c r="T67" s="33">
        <f>MAX(0,BL43)+MAX(0,BM43)+MAX(0,BN43)+MAX(0,BO43)</f>
      </c>
      <c r="U67" s="33">
        <f>MAX(0,BP43)+MAX(0,BQ43)+MAX(0,BR43)+MAX(0,BS43)</f>
      </c>
      <c r="V67" s="33">
        <f>MAX(0,BT43)+MAX(0,BU43)+MAX(0,BV43)+MAX(0,BW43)</f>
      </c>
      <c r="W67" s="33">
        <f>MAX(0,BX43)+MAX(0,BY43)+MAX(0,BZ43)+MAX(0,CA43)</f>
      </c>
      <c r="X67" s="33">
        <f>MAX(0,CB43)+MAX(0,CC43)+MAX(0,CD43)+MAX(0,CE43)</f>
      </c>
      <c r="Y67" s="33">
        <f>MAX(0,CF43)+MAX(0,CG43)+MAX(0,CH43)+MAX(0,CI43)</f>
      </c>
      <c r="Z67" s="33">
        <f>MAX(0,CJ43)+MAX(0,CK43)+MAX(0,CL43)</f>
      </c>
    </row>
    <row r="69" spans="2:2" x14ac:dyDescent="0.25">
      <c r="B69" s="34" t="s">
        <v>328</v>
      </c>
    </row>
    <row r="70" spans="2:2" x14ac:dyDescent="0.25">
      <c r="B70" s="34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8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330</v>
      </c>
    </row>
    <row r="4" spans="2:91" x14ac:dyDescent="0.25">
      <c r="B4" s="9" t="s">
        <v>331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100</v>
      </c>
      <c r="C6" s="26" t="s">
        <v>101</v>
      </c>
      <c r="D6" s="26" t="s">
        <v>102</v>
      </c>
      <c r="E6" s="28" t="s">
        <v>103</v>
      </c>
      <c r="F6" s="28" t="s">
        <v>104</v>
      </c>
      <c r="G6" s="28" t="s">
        <v>105</v>
      </c>
      <c r="H6" s="28" t="s">
        <v>106</v>
      </c>
      <c r="I6" s="28" t="s">
        <v>107</v>
      </c>
      <c r="J6" s="28" t="s">
        <v>108</v>
      </c>
      <c r="K6" s="28" t="s">
        <v>109</v>
      </c>
      <c r="L6" s="28" t="s">
        <v>110</v>
      </c>
      <c r="M6" s="28" t="s">
        <v>111</v>
      </c>
      <c r="N6" s="28" t="s">
        <v>112</v>
      </c>
      <c r="O6" s="28" t="s">
        <v>113</v>
      </c>
      <c r="P6" s="28" t="s">
        <v>114</v>
      </c>
      <c r="Q6" s="28" t="s">
        <v>115</v>
      </c>
      <c r="R6" s="28" t="s">
        <v>116</v>
      </c>
      <c r="S6" s="28" t="s">
        <v>117</v>
      </c>
      <c r="T6" s="28" t="s">
        <v>118</v>
      </c>
      <c r="U6" s="28" t="s">
        <v>119</v>
      </c>
      <c r="V6" s="28" t="s">
        <v>120</v>
      </c>
      <c r="W6" s="28" t="s">
        <v>121</v>
      </c>
      <c r="X6" s="28" t="s">
        <v>122</v>
      </c>
      <c r="Y6" s="28" t="s">
        <v>123</v>
      </c>
      <c r="Z6" s="28" t="s">
        <v>124</v>
      </c>
      <c r="AA6" s="28" t="s">
        <v>125</v>
      </c>
      <c r="AB6" s="28" t="s">
        <v>126</v>
      </c>
      <c r="AC6" s="28" t="s">
        <v>127</v>
      </c>
      <c r="AD6" s="28" t="s">
        <v>128</v>
      </c>
      <c r="AE6" s="28" t="s">
        <v>129</v>
      </c>
      <c r="AF6" s="28" t="s">
        <v>130</v>
      </c>
      <c r="AG6" s="28" t="s">
        <v>131</v>
      </c>
      <c r="AH6" s="28" t="s">
        <v>132</v>
      </c>
      <c r="AI6" s="28" t="s">
        <v>133</v>
      </c>
      <c r="AJ6" s="28" t="s">
        <v>134</v>
      </c>
      <c r="AK6" s="28" t="s">
        <v>135</v>
      </c>
      <c r="AL6" s="28" t="s">
        <v>136</v>
      </c>
      <c r="AM6" s="28" t="s">
        <v>137</v>
      </c>
      <c r="AN6" s="28" t="s">
        <v>138</v>
      </c>
      <c r="AO6" s="28" t="s">
        <v>139</v>
      </c>
      <c r="AP6" s="28" t="s">
        <v>140</v>
      </c>
      <c r="AQ6" s="28" t="s">
        <v>141</v>
      </c>
      <c r="AR6" s="28" t="s">
        <v>142</v>
      </c>
      <c r="AS6" s="28" t="s">
        <v>143</v>
      </c>
      <c r="AT6" s="28" t="s">
        <v>144</v>
      </c>
      <c r="AU6" s="28" t="s">
        <v>145</v>
      </c>
      <c r="AV6" s="28" t="s">
        <v>146</v>
      </c>
      <c r="AW6" s="28" t="s">
        <v>147</v>
      </c>
      <c r="AX6" s="28" t="s">
        <v>148</v>
      </c>
      <c r="AY6" s="28" t="s">
        <v>149</v>
      </c>
      <c r="AZ6" s="28" t="s">
        <v>150</v>
      </c>
      <c r="BA6" s="28" t="s">
        <v>151</v>
      </c>
      <c r="BB6" s="28" t="s">
        <v>152</v>
      </c>
      <c r="BC6" s="28" t="s">
        <v>153</v>
      </c>
      <c r="BD6" s="28" t="s">
        <v>154</v>
      </c>
      <c r="BE6" s="28" t="s">
        <v>155</v>
      </c>
      <c r="BF6" s="28" t="s">
        <v>156</v>
      </c>
      <c r="BG6" s="28" t="s">
        <v>157</v>
      </c>
      <c r="BH6" s="28" t="s">
        <v>158</v>
      </c>
      <c r="BI6" s="28" t="s">
        <v>159</v>
      </c>
      <c r="BJ6" s="28" t="s">
        <v>160</v>
      </c>
      <c r="BK6" s="28" t="s">
        <v>161</v>
      </c>
      <c r="BL6" s="28" t="s">
        <v>162</v>
      </c>
      <c r="BM6" s="28" t="s">
        <v>163</v>
      </c>
      <c r="BN6" s="28" t="s">
        <v>164</v>
      </c>
      <c r="BO6" s="28" t="s">
        <v>165</v>
      </c>
      <c r="BP6" s="28" t="s">
        <v>166</v>
      </c>
      <c r="BQ6" s="28" t="s">
        <v>167</v>
      </c>
      <c r="BR6" s="28" t="s">
        <v>168</v>
      </c>
      <c r="BS6" s="28" t="s">
        <v>169</v>
      </c>
      <c r="BT6" s="28" t="s">
        <v>170</v>
      </c>
      <c r="BU6" s="28" t="s">
        <v>171</v>
      </c>
      <c r="BV6" s="28" t="s">
        <v>172</v>
      </c>
      <c r="BW6" s="28" t="s">
        <v>173</v>
      </c>
      <c r="BX6" s="28" t="s">
        <v>174</v>
      </c>
      <c r="BY6" s="28" t="s">
        <v>175</v>
      </c>
      <c r="BZ6" s="28" t="s">
        <v>176</v>
      </c>
      <c r="CA6" s="28" t="s">
        <v>177</v>
      </c>
      <c r="CB6" s="28" t="s">
        <v>178</v>
      </c>
      <c r="CC6" s="28" t="s">
        <v>179</v>
      </c>
      <c r="CD6" s="28" t="s">
        <v>180</v>
      </c>
      <c r="CE6" s="28" t="s">
        <v>181</v>
      </c>
      <c r="CF6" s="28" t="s">
        <v>182</v>
      </c>
      <c r="CG6" s="28" t="s">
        <v>183</v>
      </c>
      <c r="CH6" s="28" t="s">
        <v>184</v>
      </c>
      <c r="CI6" s="28" t="s">
        <v>185</v>
      </c>
      <c r="CJ6" s="28" t="s">
        <v>186</v>
      </c>
      <c r="CK6" s="28" t="s">
        <v>187</v>
      </c>
      <c r="CL6" s="28" t="s">
        <v>188</v>
      </c>
    </row>
    <row r="9" spans="2:91" x14ac:dyDescent="0.25">
      <c r="B9" s="41" t="s">
        <v>332</v>
      </c>
      <c r="C9" s="45" t="s">
        <v>224</v>
      </c>
      <c r="D9" s="40">
        <f>SUM(E9:CL9)</f>
      </c>
      <c r="E9" s="40">
        <f>'Revenue'!E12-'Opex'!E22+'IS(Q)'!E44+'IS(Q)'!E31</f>
      </c>
      <c r="F9" s="40">
        <f>'Revenue'!F12-'Opex'!F22+'IS(Q)'!F44+'IS(Q)'!F31</f>
      </c>
      <c r="G9" s="40">
        <f>'Revenue'!G12-'Opex'!G22+'IS(Q)'!G44+'IS(Q)'!G31</f>
      </c>
      <c r="H9" s="40">
        <f>'Revenue'!H12-'Opex'!H22+'IS(Q)'!H44+'IS(Q)'!H31</f>
      </c>
      <c r="I9" s="40">
        <f>'Revenue'!I12-'Opex'!I22+'IS(Q)'!I44+'IS(Q)'!I31</f>
      </c>
      <c r="J9" s="40">
        <f>'Revenue'!J12-'Opex'!J22+'IS(Q)'!J44+'IS(Q)'!J31</f>
      </c>
      <c r="K9" s="40">
        <f>'Revenue'!K12-'Opex'!K22+'IS(Q)'!K44+'IS(Q)'!K31+'입력값'!K117</f>
      </c>
      <c r="L9" s="40">
        <f>'Revenue'!L12-'Opex'!L22+'IS(Q)'!L44+'IS(Q)'!L31+'입력값'!L117</f>
      </c>
      <c r="M9" s="40">
        <f>'Revenue'!M12-'Opex'!M22+'IS(Q)'!M44+'IS(Q)'!M31+'입력값'!M117</f>
      </c>
      <c r="N9" s="40">
        <f>'Revenue'!N12-'Opex'!N22+'IS(Q)'!N44+'IS(Q)'!N31+'입력값'!N117</f>
      </c>
      <c r="O9" s="40">
        <f>'Revenue'!O12-'Opex'!O22+'IS(Q)'!O44+'IS(Q)'!O31+'입력값'!O117</f>
      </c>
      <c r="P9" s="40">
        <f>'Revenue'!P12-'Opex'!P22+'IS(Q)'!P44+'IS(Q)'!P31+'입력값'!P117</f>
      </c>
      <c r="Q9" s="40">
        <f>'Revenue'!Q12-'Opex'!Q22+'IS(Q)'!Q44+'IS(Q)'!Q31+'입력값'!Q117</f>
      </c>
      <c r="R9" s="40">
        <f>'Revenue'!R12-'Opex'!R22+'IS(Q)'!R44+'IS(Q)'!R31+'입력값'!R117</f>
      </c>
      <c r="S9" s="40">
        <f>'Revenue'!S12-'Opex'!S22+'IS(Q)'!S44+'IS(Q)'!S31+'입력값'!S117</f>
      </c>
      <c r="T9" s="40">
        <f>'Revenue'!T12-'Opex'!T22+'IS(Q)'!T44+'IS(Q)'!T31+'입력값'!T117</f>
      </c>
      <c r="U9" s="40">
        <f>'Revenue'!U12-'Opex'!U22+'IS(Q)'!U44+'IS(Q)'!U31+'입력값'!U117</f>
      </c>
      <c r="V9" s="40">
        <f>'Revenue'!V12-'Opex'!V22+'IS(Q)'!V44+'IS(Q)'!V31+'입력값'!V117</f>
      </c>
      <c r="W9" s="40">
        <f>'Revenue'!W12-'Opex'!W22+'IS(Q)'!W44+'IS(Q)'!W31+'입력값'!W117</f>
      </c>
      <c r="X9" s="40">
        <f>'Revenue'!X12-'Opex'!X22+'IS(Q)'!X44+'IS(Q)'!X31+'입력값'!X117</f>
      </c>
      <c r="Y9" s="40">
        <f>'Revenue'!Y12-'Opex'!Y22+'IS(Q)'!Y44+'IS(Q)'!Y31+'입력값'!Y117</f>
      </c>
      <c r="Z9" s="40">
        <f>'Revenue'!Z12-'Opex'!Z22+'IS(Q)'!Z44+'IS(Q)'!Z31+'입력값'!Z117</f>
      </c>
      <c r="AA9" s="40">
        <f>'Revenue'!AA12-'Opex'!AA22+'IS(Q)'!AA44+'IS(Q)'!AA31+'입력값'!AA117</f>
      </c>
      <c r="AB9" s="40">
        <f>'Revenue'!AB12-'Opex'!AB22+'IS(Q)'!AB44+'IS(Q)'!AB31+'입력값'!AB117</f>
      </c>
      <c r="AC9" s="40">
        <f>'Revenue'!AC12-'Opex'!AC22+'IS(Q)'!AC44+'IS(Q)'!AC31+'입력값'!AC117</f>
      </c>
      <c r="AD9" s="40">
        <f>'Revenue'!AD12-'Opex'!AD22+'IS(Q)'!AD44+'IS(Q)'!AD31+'입력값'!AD117</f>
      </c>
      <c r="AE9" s="40">
        <f>'Revenue'!AE12-'Opex'!AE22+'IS(Q)'!AE44+'IS(Q)'!AE31+'입력값'!AE117</f>
      </c>
      <c r="AF9" s="40">
        <f>'Revenue'!AF12-'Opex'!AF22+'IS(Q)'!AF44+'IS(Q)'!AF31+'입력값'!AF117</f>
      </c>
      <c r="AG9" s="40">
        <f>'Revenue'!AG12-'Opex'!AG22+'IS(Q)'!AG44+'IS(Q)'!AG31+'입력값'!AG117</f>
      </c>
      <c r="AH9" s="40">
        <f>'Revenue'!AH12-'Opex'!AH22+'IS(Q)'!AH44+'IS(Q)'!AH31+'입력값'!AH117</f>
      </c>
      <c r="AI9" s="40">
        <f>'Revenue'!AI12-'Opex'!AI22+'IS(Q)'!AI44+'IS(Q)'!AI31+'입력값'!AI117</f>
      </c>
      <c r="AJ9" s="40">
        <f>'Revenue'!AJ12-'Opex'!AJ22+'IS(Q)'!AJ44+'IS(Q)'!AJ31+'입력값'!AJ117</f>
      </c>
      <c r="AK9" s="40">
        <f>'Revenue'!AK12-'Opex'!AK22+'IS(Q)'!AK44+'IS(Q)'!AK31+'입력값'!AK117</f>
      </c>
      <c r="AL9" s="40">
        <f>'Revenue'!AL12-'Opex'!AL22+'IS(Q)'!AL44+'IS(Q)'!AL31+'입력값'!AL117</f>
      </c>
      <c r="AM9" s="40">
        <f>'Revenue'!AM12-'Opex'!AM22+'IS(Q)'!AM44+'IS(Q)'!AM31+'입력값'!AM117</f>
      </c>
      <c r="AN9" s="40">
        <f>'Revenue'!AN12-'Opex'!AN22+'IS(Q)'!AN44+'IS(Q)'!AN31+'입력값'!AN117</f>
      </c>
      <c r="AO9" s="40">
        <f>'Revenue'!AO12-'Opex'!AO22+'IS(Q)'!AO44+'IS(Q)'!AO31+'입력값'!AO117</f>
      </c>
      <c r="AP9" s="40">
        <f>'Revenue'!AP12-'Opex'!AP22+'IS(Q)'!AP44+'IS(Q)'!AP31+'입력값'!AP117</f>
      </c>
      <c r="AQ9" s="40">
        <f>'Revenue'!AQ12-'Opex'!AQ22+'IS(Q)'!AQ44+'IS(Q)'!AQ31+'입력값'!AQ117</f>
      </c>
      <c r="AR9" s="40">
        <f>'Revenue'!AR12-'Opex'!AR22+'IS(Q)'!AR44+'IS(Q)'!AR31+'입력값'!AR117</f>
      </c>
      <c r="AS9" s="40">
        <f>'Revenue'!AS12-'Opex'!AS22+'IS(Q)'!AS44+'IS(Q)'!AS31+'입력값'!AS117</f>
      </c>
      <c r="AT9" s="40">
        <f>'Revenue'!AT12-'Opex'!AT22+'IS(Q)'!AT44+'IS(Q)'!AT31+'입력값'!AT117</f>
      </c>
      <c r="AU9" s="40">
        <f>'Revenue'!AU12-'Opex'!AU22+'IS(Q)'!AU44+'IS(Q)'!AU31+'입력값'!AU117</f>
      </c>
      <c r="AV9" s="40">
        <f>'Revenue'!AV12-'Opex'!AV22+'IS(Q)'!AV44+'IS(Q)'!AV31+'입력값'!AV117</f>
      </c>
      <c r="AW9" s="40">
        <f>'Revenue'!AW12-'Opex'!AW22+'IS(Q)'!AW44+'IS(Q)'!AW31+'입력값'!AW117</f>
      </c>
      <c r="AX9" s="40">
        <f>'Revenue'!AX12-'Opex'!AX22+'IS(Q)'!AX44+'IS(Q)'!AX31+'입력값'!AX117</f>
      </c>
      <c r="AY9" s="40">
        <f>'Revenue'!AY12-'Opex'!AY22+'IS(Q)'!AY44+'IS(Q)'!AY31+'입력값'!AY117</f>
      </c>
      <c r="AZ9" s="40">
        <f>'Revenue'!AZ12-'Opex'!AZ22+'IS(Q)'!AZ44+'IS(Q)'!AZ31+'입력값'!AZ117</f>
      </c>
      <c r="BA9" s="40">
        <f>'Revenue'!BA12-'Opex'!BA22+'IS(Q)'!BA44+'IS(Q)'!BA31+'입력값'!BA117</f>
      </c>
      <c r="BB9" s="40">
        <f>'Revenue'!BB12-'Opex'!BB22+'IS(Q)'!BB44+'IS(Q)'!BB31+'입력값'!BB117</f>
      </c>
      <c r="BC9" s="40">
        <f>'Revenue'!BC12-'Opex'!BC22+'IS(Q)'!BC44+'IS(Q)'!BC31+'입력값'!BC117</f>
      </c>
      <c r="BD9" s="40">
        <f>'Revenue'!BD12-'Opex'!BD22+'IS(Q)'!BD44+'IS(Q)'!BD31+'입력값'!BD117</f>
      </c>
      <c r="BE9" s="40">
        <f>'Revenue'!BE12-'Opex'!BE22+'IS(Q)'!BE44+'IS(Q)'!BE31+'입력값'!BE117</f>
      </c>
      <c r="BF9" s="40">
        <f>'Revenue'!BF12-'Opex'!BF22+'IS(Q)'!BF44+'IS(Q)'!BF31+'입력값'!BF117</f>
      </c>
      <c r="BG9" s="40">
        <f>'Revenue'!BG12-'Opex'!BG22+'IS(Q)'!BG44+'IS(Q)'!BG31+'입력값'!BG117</f>
      </c>
      <c r="BH9" s="40">
        <f>'Revenue'!BH12-'Opex'!BH22+'IS(Q)'!BH44+'IS(Q)'!BH31+'입력값'!BH117</f>
      </c>
      <c r="BI9" s="40">
        <f>'Revenue'!BI12-'Opex'!BI22+'IS(Q)'!BI44+'IS(Q)'!BI31+'입력값'!BI117</f>
      </c>
      <c r="BJ9" s="40">
        <f>'Revenue'!BJ12-'Opex'!BJ22+'IS(Q)'!BJ44+'IS(Q)'!BJ31+'입력값'!BJ117</f>
      </c>
      <c r="BK9" s="40">
        <f>'Revenue'!BK12-'Opex'!BK22+'IS(Q)'!BK44+'IS(Q)'!BK31+'입력값'!BK117</f>
      </c>
      <c r="BL9" s="40">
        <f>'Revenue'!BL12-'Opex'!BL22+'IS(Q)'!BL44+'IS(Q)'!BL31+'입력값'!BL117</f>
      </c>
      <c r="BM9" s="40">
        <f>'Revenue'!BM12-'Opex'!BM22+'IS(Q)'!BM44+'IS(Q)'!BM31+'입력값'!BM117</f>
      </c>
      <c r="BN9" s="40">
        <f>'Revenue'!BN12-'Opex'!BN22+'IS(Q)'!BN44+'IS(Q)'!BN31+'입력값'!BN117</f>
      </c>
      <c r="BO9" s="40">
        <f>'Revenue'!BO12-'Opex'!BO22+'IS(Q)'!BO44+'IS(Q)'!BO31+'입력값'!BO117</f>
      </c>
      <c r="BP9" s="40">
        <f>'Revenue'!BP12-'Opex'!BP22+'IS(Q)'!BP44+'IS(Q)'!BP31+'입력값'!BP117</f>
      </c>
      <c r="BQ9" s="40">
        <f>'Revenue'!BQ12-'Opex'!BQ22+'IS(Q)'!BQ44+'IS(Q)'!BQ31+'입력값'!BQ117</f>
      </c>
      <c r="BR9" s="40">
        <f>'Revenue'!BR12-'Opex'!BR22+'IS(Q)'!BR44+'IS(Q)'!BR31+'입력값'!BR117</f>
      </c>
      <c r="BS9" s="40">
        <f>'Revenue'!BS12-'Opex'!BS22+'IS(Q)'!BS44+'IS(Q)'!BS31+'입력값'!BS117</f>
      </c>
      <c r="BT9" s="40">
        <f>'Revenue'!BT12-'Opex'!BT22+'IS(Q)'!BT44+'IS(Q)'!BT31+'입력값'!BT117</f>
      </c>
      <c r="BU9" s="40">
        <f>'Revenue'!BU12-'Opex'!BU22+'IS(Q)'!BU44+'IS(Q)'!BU31+'입력값'!BU117</f>
      </c>
      <c r="BV9" s="40">
        <f>'Revenue'!BV12-'Opex'!BV22+'IS(Q)'!BV44+'IS(Q)'!BV31+'입력값'!BV117</f>
      </c>
      <c r="BW9" s="40">
        <f>'Revenue'!BW12-'Opex'!BW22+'IS(Q)'!BW44+'IS(Q)'!BW31+'입력값'!BW117</f>
      </c>
      <c r="BX9" s="40">
        <f>'Revenue'!BX12-'Opex'!BX22+'IS(Q)'!BX44+'IS(Q)'!BX31+'입력값'!BX117</f>
      </c>
      <c r="BY9" s="40">
        <f>'Revenue'!BY12-'Opex'!BY22+'IS(Q)'!BY44+'IS(Q)'!BY31+'입력값'!BY117</f>
      </c>
      <c r="BZ9" s="40">
        <f>'Revenue'!BZ12-'Opex'!BZ22+'IS(Q)'!BZ44+'IS(Q)'!BZ31+'입력값'!BZ117</f>
      </c>
      <c r="CA9" s="40">
        <f>'Revenue'!CA12-'Opex'!CA22+'IS(Q)'!CA44+'IS(Q)'!CA31+'입력값'!CA117</f>
      </c>
      <c r="CB9" s="40">
        <f>'Revenue'!CB12-'Opex'!CB22+'IS(Q)'!CB44+'IS(Q)'!CB31+'입력값'!CB117</f>
      </c>
      <c r="CC9" s="40">
        <f>'Revenue'!CC12-'Opex'!CC22+'IS(Q)'!CC44+'IS(Q)'!CC31+'입력값'!CC117</f>
      </c>
      <c r="CD9" s="40">
        <f>'Revenue'!CD12-'Opex'!CD22+'IS(Q)'!CD44+'IS(Q)'!CD31+'입력값'!CD117</f>
      </c>
      <c r="CE9" s="40">
        <f>'Revenue'!CE12-'Opex'!CE22+'IS(Q)'!CE44+'IS(Q)'!CE31+'입력값'!CE117</f>
      </c>
      <c r="CF9" s="40">
        <f>'Revenue'!CF12-'Opex'!CF22+'IS(Q)'!CF44+'IS(Q)'!CF31+'입력값'!CF117</f>
      </c>
      <c r="CG9" s="40">
        <f>'Revenue'!CG12-'Opex'!CG22+'IS(Q)'!CG44+'IS(Q)'!CG31+'입력값'!CG117</f>
      </c>
      <c r="CH9" s="40">
        <f>'Revenue'!CH12-'Opex'!CH22+'IS(Q)'!CH44+'IS(Q)'!CH31+'입력값'!CH117</f>
      </c>
      <c r="CI9" s="40">
        <f>'Revenue'!CI12-'Opex'!CI22+'IS(Q)'!CI44+'IS(Q)'!CI31+'입력값'!CI117</f>
      </c>
      <c r="CJ9" s="40">
        <f>'Revenue'!CJ12-'Opex'!CJ22+'IS(Q)'!CJ44+'IS(Q)'!CJ31+'입력값'!CJ117</f>
      </c>
      <c r="CK9" s="40">
        <f>'Revenue'!CK12-'Opex'!CK22+'IS(Q)'!CK44+'IS(Q)'!CK31+'입력값'!CK117</f>
      </c>
      <c r="CL9" s="40">
        <f>'Revenue'!CL12-'Opex'!CL22+'IS(Q)'!CL44+'IS(Q)'!CL31+'입력값'!CL117</f>
      </c>
      <c r="CM9" s="42"/>
    </row>
    <row r="10" spans="2:90" x14ac:dyDescent="0.25">
      <c r="B10" s="29" t="s">
        <v>260</v>
      </c>
      <c r="C10" s="30" t="s">
        <v>224</v>
      </c>
      <c r="D10" s="33">
        <f>SUM(E10:CL10)</f>
      </c>
      <c r="E10" s="33">
        <f>'Debt'!E57</f>
      </c>
      <c r="F10" s="33">
        <f>'Debt'!F57</f>
      </c>
      <c r="G10" s="33">
        <f>'Debt'!G57</f>
      </c>
      <c r="H10" s="33">
        <f>'Debt'!H57</f>
      </c>
      <c r="I10" s="33">
        <f>'Debt'!I57</f>
      </c>
      <c r="J10" s="33">
        <f>'Debt'!J57</f>
      </c>
      <c r="K10" s="33">
        <f>'Debt'!K57</f>
      </c>
      <c r="L10" s="33">
        <f>'Debt'!L57</f>
      </c>
      <c r="M10" s="33">
        <f>'Debt'!M57</f>
      </c>
      <c r="N10" s="33">
        <f>'Debt'!N57</f>
      </c>
      <c r="O10" s="33">
        <f>'Debt'!O57</f>
      </c>
      <c r="P10" s="33">
        <f>'Debt'!P57</f>
      </c>
      <c r="Q10" s="33">
        <f>'Debt'!Q57</f>
      </c>
      <c r="R10" s="33">
        <f>'Debt'!R57</f>
      </c>
      <c r="S10" s="33">
        <f>'Debt'!S57</f>
      </c>
      <c r="T10" s="33">
        <f>'Debt'!T57</f>
      </c>
      <c r="U10" s="33">
        <f>'Debt'!U57</f>
      </c>
      <c r="V10" s="33">
        <f>'Debt'!V57</f>
      </c>
      <c r="W10" s="33">
        <f>'Debt'!W57</f>
      </c>
      <c r="X10" s="33">
        <f>'Debt'!X57</f>
      </c>
      <c r="Y10" s="33">
        <f>'Debt'!Y57</f>
      </c>
      <c r="Z10" s="33">
        <f>'Debt'!Z57</f>
      </c>
      <c r="AA10" s="33">
        <f>'Debt'!AA57</f>
      </c>
      <c r="AB10" s="33">
        <f>'Debt'!AB57</f>
      </c>
      <c r="AC10" s="33">
        <f>'Debt'!AC57</f>
      </c>
      <c r="AD10" s="33">
        <f>'Debt'!AD57</f>
      </c>
      <c r="AE10" s="33">
        <f>'Debt'!AE57</f>
      </c>
      <c r="AF10" s="33">
        <f>'Debt'!AF57</f>
      </c>
      <c r="AG10" s="33">
        <f>'Debt'!AG57</f>
      </c>
      <c r="AH10" s="33">
        <f>'Debt'!AH57</f>
      </c>
      <c r="AI10" s="33">
        <f>'Debt'!AI57</f>
      </c>
      <c r="AJ10" s="33">
        <f>'Debt'!AJ57</f>
      </c>
      <c r="AK10" s="33">
        <f>'Debt'!AK57</f>
      </c>
      <c r="AL10" s="33">
        <f>'Debt'!AL57</f>
      </c>
      <c r="AM10" s="33">
        <f>'Debt'!AM57</f>
      </c>
      <c r="AN10" s="33">
        <f>'Debt'!AN57</f>
      </c>
      <c r="AO10" s="33">
        <f>'Debt'!AO57</f>
      </c>
      <c r="AP10" s="33">
        <f>'Debt'!AP57</f>
      </c>
      <c r="AQ10" s="33">
        <f>'Debt'!AQ57</f>
      </c>
      <c r="AR10" s="33">
        <f>'Debt'!AR57</f>
      </c>
      <c r="AS10" s="33">
        <f>'Debt'!AS57</f>
      </c>
      <c r="AT10" s="33">
        <f>'Debt'!AT57</f>
      </c>
      <c r="AU10" s="33">
        <f>'Debt'!AU57</f>
      </c>
      <c r="AV10" s="33">
        <f>'Debt'!AV57</f>
      </c>
      <c r="AW10" s="33">
        <f>'Debt'!AW57</f>
      </c>
      <c r="AX10" s="33">
        <f>'Debt'!AX57</f>
      </c>
      <c r="AY10" s="33">
        <f>'Debt'!AY57</f>
      </c>
      <c r="AZ10" s="33">
        <f>'Debt'!AZ57</f>
      </c>
      <c r="BA10" s="33">
        <f>'Debt'!BA57</f>
      </c>
      <c r="BB10" s="33">
        <f>'Debt'!BB57</f>
      </c>
      <c r="BC10" s="33">
        <f>'Debt'!BC57</f>
      </c>
      <c r="BD10" s="33">
        <f>'Debt'!BD57</f>
      </c>
      <c r="BE10" s="33">
        <f>'Debt'!BE57</f>
      </c>
      <c r="BF10" s="33">
        <f>'Debt'!BF57</f>
      </c>
      <c r="BG10" s="33">
        <f>'Debt'!BG57</f>
      </c>
      <c r="BH10" s="33">
        <f>'Debt'!BH57</f>
      </c>
      <c r="BI10" s="33">
        <f>'Debt'!BI57</f>
      </c>
      <c r="BJ10" s="33">
        <f>'Debt'!BJ57</f>
      </c>
      <c r="BK10" s="33">
        <f>'Debt'!BK57</f>
      </c>
      <c r="BL10" s="33">
        <f>'Debt'!BL57</f>
      </c>
      <c r="BM10" s="33">
        <f>'Debt'!BM57</f>
      </c>
      <c r="BN10" s="33">
        <f>'Debt'!BN57</f>
      </c>
      <c r="BO10" s="33">
        <f>'Debt'!BO57</f>
      </c>
      <c r="BP10" s="33">
        <f>'Debt'!BP57</f>
      </c>
      <c r="BQ10" s="33">
        <f>'Debt'!BQ57</f>
      </c>
      <c r="BR10" s="33">
        <f>'Debt'!BR57</f>
      </c>
      <c r="BS10" s="33">
        <f>'Debt'!BS57</f>
      </c>
      <c r="BT10" s="33">
        <f>'Debt'!BT57</f>
      </c>
      <c r="BU10" s="33">
        <f>'Debt'!BU57</f>
      </c>
      <c r="BV10" s="33">
        <f>'Debt'!BV57</f>
      </c>
      <c r="BW10" s="33">
        <f>'Debt'!BW57</f>
      </c>
      <c r="BX10" s="33">
        <f>'Debt'!BX57</f>
      </c>
      <c r="BY10" s="33">
        <f>'Debt'!BY57</f>
      </c>
      <c r="BZ10" s="33">
        <f>'Debt'!BZ57</f>
      </c>
      <c r="CA10" s="33">
        <f>'Debt'!CA57</f>
      </c>
      <c r="CB10" s="33">
        <f>'Debt'!CB57</f>
      </c>
      <c r="CC10" s="33">
        <f>'Debt'!CC57</f>
      </c>
      <c r="CD10" s="33">
        <f>'Debt'!CD57</f>
      </c>
      <c r="CE10" s="33">
        <f>'Debt'!CE57</f>
      </c>
      <c r="CF10" s="33">
        <f>'Debt'!CF57</f>
      </c>
      <c r="CG10" s="33">
        <f>'Debt'!CG57</f>
      </c>
      <c r="CH10" s="33">
        <f>'Debt'!CH57</f>
      </c>
      <c r="CI10" s="33">
        <f>'Debt'!CI57</f>
      </c>
      <c r="CJ10" s="33">
        <f>'Debt'!CJ57</f>
      </c>
      <c r="CK10" s="33">
        <f>'Debt'!CK57</f>
      </c>
      <c r="CL10" s="33">
        <f>'Debt'!CL57</f>
      </c>
    </row>
    <row r="11" spans="2:90" x14ac:dyDescent="0.25">
      <c r="B11" s="43" t="s">
        <v>333</v>
      </c>
      <c r="C11" s="30" t="s">
        <v>334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3" t="s">
        <v>335</v>
      </c>
      <c r="C13" s="30" t="s">
        <v>224</v>
      </c>
      <c r="D13" s="14">
        <f>SUM(E13:CL13)</f>
      </c>
      <c r="E13" s="14">
        <f>E9-E10-E14-'Opex'!E23+E19</f>
      </c>
      <c r="F13" s="14">
        <f>F9-F10-F14-'Opex'!F23+F19</f>
      </c>
      <c r="G13" s="14">
        <f>G9-G10-G14-'Opex'!G23+G19</f>
      </c>
      <c r="H13" s="14">
        <f>H9-H10-H14-'Opex'!H23+H19</f>
      </c>
      <c r="I13" s="14">
        <f>I9-I10-I14-'Opex'!I23+I19</f>
      </c>
      <c r="J13" s="14">
        <f>J9-J10-J14-'Opex'!J23+J19</f>
      </c>
      <c r="K13" s="14">
        <f>K9-K10+'입력값'!K116-'Opex'!K23+K19</f>
      </c>
      <c r="L13" s="14">
        <f>L9-L10+'입력값'!L116-'Opex'!L23+L19</f>
      </c>
      <c r="M13" s="14">
        <f>M9-M10+'입력값'!M116-'Opex'!M23+M19</f>
      </c>
      <c r="N13" s="14">
        <f>N9-N10+'입력값'!N116-'Opex'!N23+N19</f>
      </c>
      <c r="O13" s="14">
        <f>O9-O10+'입력값'!O116-'Opex'!O23+O19</f>
      </c>
      <c r="P13" s="14">
        <f>P9-P10+'입력값'!P116-'Opex'!P23+P19</f>
      </c>
      <c r="Q13" s="14">
        <f>Q9-Q10+'입력값'!Q116-'Opex'!Q23+Q19</f>
      </c>
      <c r="R13" s="14">
        <f>R9-R10+'입력값'!R116-'Opex'!R23+R19</f>
      </c>
      <c r="S13" s="14">
        <f>S9-S10+'입력값'!S116-'Opex'!S23+S19</f>
      </c>
      <c r="T13" s="14">
        <f>T9-T10+'입력값'!T116-'Opex'!T23+T19</f>
      </c>
      <c r="U13" s="14">
        <f>U9-U10+'입력값'!U116-'Opex'!U23+U19</f>
      </c>
      <c r="V13" s="14">
        <f>V9-V10+'입력값'!V116-'Opex'!V23+V19</f>
      </c>
      <c r="W13" s="14">
        <f>W9-W10+'입력값'!W116-'Opex'!W23+W19</f>
      </c>
      <c r="X13" s="14">
        <f>X9-X10+'입력값'!X116-'Opex'!X23+X19</f>
      </c>
      <c r="Y13" s="14">
        <f>Y9-Y10+'입력값'!Y116-'Opex'!Y23+Y19</f>
      </c>
      <c r="Z13" s="14">
        <f>Z9-Z10+'입력값'!Z116-'Opex'!Z23+Z19</f>
      </c>
      <c r="AA13" s="14">
        <f>AA9-AA10+'입력값'!AA116-'Opex'!AA23+AA19</f>
      </c>
      <c r="AB13" s="14">
        <f>AB9-AB10+'입력값'!AB116-'Opex'!AB23+AB19</f>
      </c>
      <c r="AC13" s="14">
        <f>AC9-AC10+'입력값'!AC116-'Opex'!AC23+AC19</f>
      </c>
      <c r="AD13" s="14">
        <f>AD9-AD10+'입력값'!AD116-'Opex'!AD23+AD19</f>
      </c>
      <c r="AE13" s="14">
        <f>AE9-AE10+'입력값'!AE116-'Opex'!AE23+AE19</f>
      </c>
      <c r="AF13" s="14">
        <f>AF9-AF10+'입력값'!AF116-'Opex'!AF23+AF19</f>
      </c>
      <c r="AG13" s="14">
        <f>AG9-AG10+'입력값'!AG116-'Opex'!AG23+AG19</f>
      </c>
      <c r="AH13" s="14">
        <f>AH9-AH10+'입력값'!AH116-'Opex'!AH23+AH19</f>
      </c>
      <c r="AI13" s="14">
        <f>AI9-AI10+'입력값'!AI116-'Opex'!AI23+AI19</f>
      </c>
      <c r="AJ13" s="14">
        <f>AJ9-AJ10+'입력값'!AJ116-'Opex'!AJ23+AJ19</f>
      </c>
      <c r="AK13" s="14">
        <f>AK9-AK10+'입력값'!AK116-'Opex'!AK23+AK19</f>
      </c>
      <c r="AL13" s="14">
        <f>AL9-AL10+'입력값'!AL116-'Opex'!AL23+AL19</f>
      </c>
      <c r="AM13" s="14">
        <f>AM9-AM10+'입력값'!AM116-'Opex'!AM23+AM19</f>
      </c>
      <c r="AN13" s="14">
        <f>AN9-AN10+'입력값'!AN116-'Opex'!AN23+AN19</f>
      </c>
      <c r="AO13" s="14">
        <f>AO9-AO10+'입력값'!AO116-'Opex'!AO23+AO19</f>
      </c>
      <c r="AP13" s="14">
        <f>AP9-AP10+'입력값'!AP116-'Opex'!AP23+AP19</f>
      </c>
      <c r="AQ13" s="14">
        <f>AQ9-AQ10+'입력값'!AQ116-'Opex'!AQ23+AQ19</f>
      </c>
      <c r="AR13" s="14">
        <f>AR9-AR10+'입력값'!AR116-'Opex'!AR23+AR19</f>
      </c>
      <c r="AS13" s="14">
        <f>AS9-AS10+'입력값'!AS116-'Opex'!AS23+AS19</f>
      </c>
      <c r="AT13" s="14">
        <f>AT9-AT10+'입력값'!AT116-'Opex'!AT23+AT19</f>
      </c>
      <c r="AU13" s="14">
        <f>AU9-AU10+'입력값'!AU116-'Opex'!AU23+AU19</f>
      </c>
      <c r="AV13" s="14">
        <f>AV9-AV10+'입력값'!AV116-'Opex'!AV23+AV19</f>
      </c>
      <c r="AW13" s="14">
        <f>AW9-AW10+'입력값'!AW116-'Opex'!AW23+AW19</f>
      </c>
      <c r="AX13" s="14">
        <f>AX9-AX10+'입력값'!AX116-'Opex'!AX23+AX19</f>
      </c>
      <c r="AY13" s="14">
        <f>AY9-AY10+'입력값'!AY116-'Opex'!AY23+AY19</f>
      </c>
      <c r="AZ13" s="14">
        <f>AZ9-AZ10+'입력값'!AZ116-'Opex'!AZ23+AZ19</f>
      </c>
      <c r="BA13" s="14">
        <f>BA9-BA10+'입력값'!BA116-'Opex'!BA23+BA19</f>
      </c>
      <c r="BB13" s="14">
        <f>BB9-BB10+'입력값'!BB116-'Opex'!BB23+BB19</f>
      </c>
      <c r="BC13" s="14">
        <f>BC9-BC10+'입력값'!BC116-'Opex'!BC23+BC19</f>
      </c>
      <c r="BD13" s="14">
        <f>BD9-BD10+'입력값'!BD116-'Opex'!BD23+BD19</f>
      </c>
      <c r="BE13" s="14">
        <f>BE9-BE10+'입력값'!BE116-'Opex'!BE23+BE19</f>
      </c>
      <c r="BF13" s="14">
        <f>BF9-BF10+'입력값'!BF116-'Opex'!BF23+BF19</f>
      </c>
      <c r="BG13" s="14">
        <f>BG9-BG10+'입력값'!BG116-'Opex'!BG23+BG19</f>
      </c>
      <c r="BH13" s="14">
        <f>BH9-BH10+'입력값'!BH116-'Opex'!BH23+BH19</f>
      </c>
      <c r="BI13" s="14">
        <f>BI9-BI10+'입력값'!BI116-'Opex'!BI23+BI19</f>
      </c>
      <c r="BJ13" s="14">
        <f>BJ9-BJ10+'입력값'!BJ116-'Opex'!BJ23+BJ19</f>
      </c>
      <c r="BK13" s="14">
        <f>BK9-BK10+'입력값'!BK116-'Opex'!BK23+BK19</f>
      </c>
      <c r="BL13" s="14">
        <f>BL9-BL10+'입력값'!BL116-'Opex'!BL23+BL19</f>
      </c>
      <c r="BM13" s="14">
        <f>BM9-BM10+'입력값'!BM116-'Opex'!BM23+BM19</f>
      </c>
      <c r="BN13" s="14">
        <f>BN9-BN10+'입력값'!BN116-'Opex'!BN23+BN19</f>
      </c>
      <c r="BO13" s="14">
        <f>BO9-BO10+'입력값'!BO116-'Opex'!BO23+BO19</f>
      </c>
      <c r="BP13" s="14">
        <f>BP9-BP10+'입력값'!BP116-'Opex'!BP23+BP19</f>
      </c>
      <c r="BQ13" s="14">
        <f>BQ9-BQ10+'입력값'!BQ116-'Opex'!BQ23+BQ19</f>
      </c>
      <c r="BR13" s="14">
        <f>BR9-BR10+'입력값'!BR116-'Opex'!BR23+BR19</f>
      </c>
      <c r="BS13" s="14">
        <f>BS9-BS10+'입력값'!BS116-'Opex'!BS23+BS19</f>
      </c>
      <c r="BT13" s="14">
        <f>BT9-BT10+'입력값'!BT116-'Opex'!BT23+BT19</f>
      </c>
      <c r="BU13" s="14">
        <f>BU9-BU10+'입력값'!BU116-'Opex'!BU23+BU19</f>
      </c>
      <c r="BV13" s="14">
        <f>BV9-BV10+'입력값'!BV116-'Opex'!BV23+BV19</f>
      </c>
      <c r="BW13" s="14">
        <f>BW9-BW10+'입력값'!BW116-'Opex'!BW23+BW19</f>
      </c>
      <c r="BX13" s="14">
        <f>BX9-BX10+'입력값'!BX116-'Opex'!BX23+BX19</f>
      </c>
      <c r="BY13" s="14">
        <f>BY9-BY10+'입력값'!BY116-'Opex'!BY23+BY19</f>
      </c>
      <c r="BZ13" s="14">
        <f>BZ9-BZ10+'입력값'!BZ116-'Opex'!BZ23+BZ19</f>
      </c>
      <c r="CA13" s="14">
        <f>CA9-CA10+'입력값'!CA116-'Opex'!CA23+CA19</f>
      </c>
      <c r="CB13" s="14">
        <f>CB9-CB10+'입력값'!CB116-'Opex'!CB23+CB19</f>
      </c>
      <c r="CC13" s="14">
        <f>CC9-CC10+'입력값'!CC116-'Opex'!CC23+CC19</f>
      </c>
      <c r="CD13" s="14">
        <f>CD9-CD10+'입력값'!CD116-'Opex'!CD23+CD19</f>
      </c>
      <c r="CE13" s="14">
        <f>CE9-CE10+'입력값'!CE116-'Opex'!CE23+CE19</f>
      </c>
      <c r="CF13" s="14">
        <f>CF9-CF10+'입력값'!CF116-'Opex'!CF23+CF19</f>
      </c>
      <c r="CG13" s="14">
        <f>CG9-CG10+'입력값'!CG116-'Opex'!CG23+CG19</f>
      </c>
      <c r="CH13" s="14">
        <f>CH9-CH10+'입력값'!CH116-'Opex'!CH23+CH19</f>
      </c>
      <c r="CI13" s="14">
        <f>CI9-CI10+'입력값'!CI116-'Opex'!CI23+CI19</f>
      </c>
      <c r="CJ13" s="14">
        <f>CJ9-CJ10+'입력값'!CJ116-'Opex'!CJ23+CJ19</f>
      </c>
      <c r="CK13" s="14">
        <f>CK9-CK10+'입력값'!CK116-'Opex'!CK23+CK19</f>
      </c>
      <c r="CL13" s="14">
        <f>CL9-CL10+'입력값'!CL116-'Opex'!CL23-'입력값'!C17*100+CL19</f>
      </c>
    </row>
    <row r="14" spans="2:90" x14ac:dyDescent="0.25">
      <c r="B14" s="29" t="s">
        <v>336</v>
      </c>
      <c r="C14" s="30" t="s">
        <v>224</v>
      </c>
      <c r="D14" s="33">
        <f>SUM(E14:CL14)</f>
      </c>
      <c r="E14" s="33">
        <f>E21-E20</f>
      </c>
      <c r="F14" s="33">
        <f>F21-F20</f>
      </c>
      <c r="G14" s="33">
        <f>G21-G20</f>
      </c>
      <c r="H14" s="33">
        <f>H21-H20</f>
      </c>
      <c r="I14" s="33">
        <f>I21-I20</f>
      </c>
      <c r="J14" s="33">
        <f>J21-J20</f>
      </c>
      <c r="K14" s="33">
        <f>K21-K20</f>
      </c>
      <c r="L14" s="33">
        <f>L21-L20</f>
      </c>
      <c r="M14" s="33">
        <f>M21-M20</f>
      </c>
      <c r="N14" s="33">
        <f>N21-N20</f>
      </c>
      <c r="O14" s="33">
        <f>O21-O20</f>
      </c>
      <c r="P14" s="33">
        <f>P21-P20</f>
      </c>
      <c r="Q14" s="33">
        <f>Q21-Q20</f>
      </c>
      <c r="R14" s="33">
        <f>R21-R20</f>
      </c>
      <c r="S14" s="33">
        <f>S21-S20</f>
      </c>
      <c r="T14" s="33">
        <f>T21-T20</f>
      </c>
      <c r="U14" s="33">
        <f>U21-U20</f>
      </c>
      <c r="V14" s="33">
        <f>V21-V20</f>
      </c>
      <c r="W14" s="33">
        <f>W21-W20</f>
      </c>
      <c r="X14" s="33">
        <f>X21-X20</f>
      </c>
      <c r="Y14" s="33">
        <f>Y21-Y20</f>
      </c>
      <c r="Z14" s="33">
        <f>Z21-Z20</f>
      </c>
      <c r="AA14" s="33">
        <f>AA21-AA20</f>
      </c>
      <c r="AB14" s="33">
        <f>AB21-AB20</f>
      </c>
      <c r="AC14" s="33">
        <f>AC21-AC20</f>
      </c>
      <c r="AD14" s="33">
        <f>AD21-AD20</f>
      </c>
      <c r="AE14" s="33">
        <f>AE21-AE20</f>
      </c>
      <c r="AF14" s="33">
        <f>AF21-AF20</f>
      </c>
      <c r="AG14" s="33">
        <f>AG21-AG20</f>
      </c>
      <c r="AH14" s="33">
        <f>AH21-AH20</f>
      </c>
      <c r="AI14" s="33">
        <f>AI21-AI20</f>
      </c>
      <c r="AJ14" s="33">
        <f>AJ21-AJ20</f>
      </c>
      <c r="AK14" s="33">
        <f>AK21-AK20</f>
      </c>
      <c r="AL14" s="33">
        <f>AL21-AL20</f>
      </c>
      <c r="AM14" s="33">
        <f>AM21-AM20</f>
      </c>
      <c r="AN14" s="33">
        <f>AN21-AN20</f>
      </c>
      <c r="AO14" s="33">
        <f>AO21-AO20</f>
      </c>
      <c r="AP14" s="33">
        <f>AP21-AP20</f>
      </c>
      <c r="AQ14" s="33">
        <f>AQ21-AQ20</f>
      </c>
      <c r="AR14" s="33">
        <f>AR21-AR20</f>
      </c>
      <c r="AS14" s="33">
        <f>AS21-AS20</f>
      </c>
      <c r="AT14" s="33">
        <f>AT21-AT20</f>
      </c>
      <c r="AU14" s="33">
        <f>AU21-AU20</f>
      </c>
      <c r="AV14" s="33">
        <f>AV21-AV20</f>
      </c>
      <c r="AW14" s="33">
        <f>AW21-AW20</f>
      </c>
      <c r="AX14" s="33">
        <f>AX21-AX20</f>
      </c>
      <c r="AY14" s="33">
        <f>AY21-AY20</f>
      </c>
      <c r="AZ14" s="33">
        <f>AZ21-AZ20</f>
      </c>
      <c r="BA14" s="33">
        <f>BA21-BA20</f>
      </c>
      <c r="BB14" s="33">
        <f>BB21-BB20</f>
      </c>
      <c r="BC14" s="33">
        <f>BC21-BC20</f>
      </c>
      <c r="BD14" s="33">
        <f>BD21-BD20</f>
      </c>
      <c r="BE14" s="33">
        <f>BE21-BE20</f>
      </c>
      <c r="BF14" s="33">
        <f>BF21-BF20</f>
      </c>
      <c r="BG14" s="33">
        <f>BG21-BG20</f>
      </c>
      <c r="BH14" s="33">
        <f>BH21-BH20</f>
      </c>
      <c r="BI14" s="33">
        <f>BI21-BI20</f>
      </c>
      <c r="BJ14" s="33">
        <f>BJ21-BJ20</f>
      </c>
      <c r="BK14" s="33">
        <f>BK21-BK20</f>
      </c>
      <c r="BL14" s="33">
        <f>BL21-BL20</f>
      </c>
      <c r="BM14" s="33">
        <f>BM21-BM20</f>
      </c>
      <c r="BN14" s="33">
        <f>BN21-BN20</f>
      </c>
      <c r="BO14" s="33">
        <f>BO21-BO20</f>
      </c>
      <c r="BP14" s="33">
        <f>BP21-BP20</f>
      </c>
      <c r="BQ14" s="33">
        <f>BQ21-BQ20</f>
      </c>
      <c r="BR14" s="33">
        <f>BR21-BR20</f>
      </c>
      <c r="BS14" s="33">
        <f>BS21-BS20</f>
      </c>
      <c r="BT14" s="33">
        <f>BT21-BT20</f>
      </c>
      <c r="BU14" s="33">
        <f>BU21-BU20</f>
      </c>
      <c r="BV14" s="33">
        <f>BV21-BV20</f>
      </c>
      <c r="BW14" s="33">
        <f>BW21-BW20</f>
      </c>
      <c r="BX14" s="33">
        <f>BX21-BX20</f>
      </c>
      <c r="BY14" s="33">
        <f>BY21-BY20</f>
      </c>
      <c r="BZ14" s="33">
        <f>BZ21-BZ20</f>
      </c>
      <c r="CA14" s="33">
        <f>CA21-CA20</f>
      </c>
      <c r="CB14" s="33">
        <f>CB21-CB20</f>
      </c>
      <c r="CC14" s="33">
        <f>CC21-CC20</f>
      </c>
      <c r="CD14" s="33">
        <f>CD21-CD20</f>
      </c>
      <c r="CE14" s="33">
        <f>CE21-CE20</f>
      </c>
      <c r="CF14" s="33">
        <f>CF21-CF20</f>
      </c>
      <c r="CG14" s="33">
        <f>CG21-CG20</f>
      </c>
      <c r="CH14" s="33">
        <f>CH21-CH20</f>
      </c>
      <c r="CI14" s="33">
        <f>CI21-CI20</f>
      </c>
      <c r="CJ14" s="33">
        <f>CJ21-CJ20</f>
      </c>
      <c r="CK14" s="33">
        <f>CK21-CK20</f>
      </c>
      <c r="CL14" s="33">
        <f>CL21-CL20</f>
      </c>
    </row>
    <row r="15" spans="2:90" x14ac:dyDescent="0.25">
      <c r="B15" s="29" t="s">
        <v>337</v>
      </c>
      <c r="C15" s="30" t="s">
        <v>224</v>
      </c>
      <c r="E15" s="33">
        <f>0</f>
      </c>
      <c r="F15" s="33">
        <f>E17</f>
      </c>
      <c r="G15" s="33">
        <f>F17</f>
      </c>
      <c r="H15" s="33">
        <f>G17</f>
      </c>
      <c r="I15" s="33">
        <f>H17</f>
      </c>
      <c r="J15" s="33">
        <f>I17</f>
      </c>
      <c r="K15" s="33">
        <f>J17</f>
      </c>
      <c r="L15" s="33">
        <f>K17</f>
      </c>
      <c r="M15" s="33">
        <f>L17</f>
      </c>
      <c r="N15" s="33">
        <f>M17</f>
      </c>
      <c r="O15" s="33">
        <f>N17</f>
      </c>
      <c r="P15" s="33">
        <f>O17</f>
      </c>
      <c r="Q15" s="33">
        <f>P17</f>
      </c>
      <c r="R15" s="33">
        <f>Q17</f>
      </c>
      <c r="S15" s="33">
        <f>R17</f>
      </c>
      <c r="T15" s="33">
        <f>S17</f>
      </c>
      <c r="U15" s="33">
        <f>T17</f>
      </c>
      <c r="V15" s="33">
        <f>U17</f>
      </c>
      <c r="W15" s="33">
        <f>V17</f>
      </c>
      <c r="X15" s="33">
        <f>W17</f>
      </c>
      <c r="Y15" s="33">
        <f>X17</f>
      </c>
      <c r="Z15" s="33">
        <f>Y17</f>
      </c>
      <c r="AA15" s="33">
        <f>Z17</f>
      </c>
      <c r="AB15" s="33">
        <f>AA17</f>
      </c>
      <c r="AC15" s="33">
        <f>AB17</f>
      </c>
      <c r="AD15" s="33">
        <f>AC17</f>
      </c>
      <c r="AE15" s="33">
        <f>AD17</f>
      </c>
      <c r="AF15" s="33">
        <f>AE17</f>
      </c>
      <c r="AG15" s="33">
        <f>AF17</f>
      </c>
      <c r="AH15" s="33">
        <f>AG17</f>
      </c>
      <c r="AI15" s="33">
        <f>AH17</f>
      </c>
      <c r="AJ15" s="33">
        <f>AI17</f>
      </c>
      <c r="AK15" s="33">
        <f>AJ17</f>
      </c>
      <c r="AL15" s="33">
        <f>AK17</f>
      </c>
      <c r="AM15" s="33">
        <f>AL17</f>
      </c>
      <c r="AN15" s="33">
        <f>AM17</f>
      </c>
      <c r="AO15" s="33">
        <f>AN17</f>
      </c>
      <c r="AP15" s="33">
        <f>AO17</f>
      </c>
      <c r="AQ15" s="33">
        <f>AP17</f>
      </c>
      <c r="AR15" s="33">
        <f>AQ17</f>
      </c>
      <c r="AS15" s="33">
        <f>AR17</f>
      </c>
      <c r="AT15" s="33">
        <f>AS17</f>
      </c>
      <c r="AU15" s="33">
        <f>AT17</f>
      </c>
      <c r="AV15" s="33">
        <f>AU17</f>
      </c>
      <c r="AW15" s="33">
        <f>AV17</f>
      </c>
      <c r="AX15" s="33">
        <f>AW17</f>
      </c>
      <c r="AY15" s="33">
        <f>AX17</f>
      </c>
      <c r="AZ15" s="33">
        <f>AY17</f>
      </c>
      <c r="BA15" s="33">
        <f>AZ17</f>
      </c>
      <c r="BB15" s="33">
        <f>BA17</f>
      </c>
      <c r="BC15" s="33">
        <f>BB17</f>
      </c>
      <c r="BD15" s="33">
        <f>BC17</f>
      </c>
      <c r="BE15" s="33">
        <f>BD17</f>
      </c>
      <c r="BF15" s="33">
        <f>BE17</f>
      </c>
      <c r="BG15" s="33">
        <f>BF17</f>
      </c>
      <c r="BH15" s="33">
        <f>BG17</f>
      </c>
      <c r="BI15" s="33">
        <f>BH17</f>
      </c>
      <c r="BJ15" s="33">
        <f>BI17</f>
      </c>
      <c r="BK15" s="33">
        <f>BJ17</f>
      </c>
      <c r="BL15" s="33">
        <f>BK17</f>
      </c>
      <c r="BM15" s="33">
        <f>BL17</f>
      </c>
      <c r="BN15" s="33">
        <f>BM17</f>
      </c>
      <c r="BO15" s="33">
        <f>BN17</f>
      </c>
      <c r="BP15" s="33">
        <f>BO17</f>
      </c>
      <c r="BQ15" s="33">
        <f>BP17</f>
      </c>
      <c r="BR15" s="33">
        <f>BQ17</f>
      </c>
      <c r="BS15" s="33">
        <f>BR17</f>
      </c>
      <c r="BT15" s="33">
        <f>BS17</f>
      </c>
      <c r="BU15" s="33">
        <f>BT17</f>
      </c>
      <c r="BV15" s="33">
        <f>BU17</f>
      </c>
      <c r="BW15" s="33">
        <f>BV17</f>
      </c>
      <c r="BX15" s="33">
        <f>BW17</f>
      </c>
      <c r="BY15" s="33">
        <f>BX17</f>
      </c>
      <c r="BZ15" s="33">
        <f>BY17</f>
      </c>
      <c r="CA15" s="33">
        <f>BZ17</f>
      </c>
      <c r="CB15" s="33">
        <f>CA17</f>
      </c>
      <c r="CC15" s="33">
        <f>CB17</f>
      </c>
      <c r="CD15" s="33">
        <f>CC17</f>
      </c>
      <c r="CE15" s="33">
        <f>CD17</f>
      </c>
      <c r="CF15" s="33">
        <f>CE17</f>
      </c>
      <c r="CG15" s="33">
        <f>CF17</f>
      </c>
      <c r="CH15" s="33">
        <f>CG17</f>
      </c>
      <c r="CI15" s="33">
        <f>CH17</f>
      </c>
      <c r="CJ15" s="33">
        <f>CI17</f>
      </c>
      <c r="CK15" s="33">
        <f>CJ17</f>
      </c>
      <c r="CL15" s="33">
        <f>CK17</f>
      </c>
    </row>
    <row r="16" spans="2:91" x14ac:dyDescent="0.25">
      <c r="B16" s="41" t="s">
        <v>338</v>
      </c>
      <c r="C16" s="45" t="s">
        <v>224</v>
      </c>
      <c r="D16" s="40">
        <f>SUM(E16:CL16)</f>
      </c>
      <c r="E16" s="40">
        <f>0</f>
      </c>
      <c r="F16" s="40">
        <f>0</f>
      </c>
      <c r="G16" s="40">
        <f>0</f>
      </c>
      <c r="H16" s="40">
        <f>G24</f>
      </c>
      <c r="I16" s="40">
        <f>0</f>
      </c>
      <c r="J16" s="40">
        <f>0</f>
      </c>
      <c r="K16" s="40">
        <f>0</f>
      </c>
      <c r="L16" s="40">
        <f>K24</f>
      </c>
      <c r="M16" s="40">
        <f>0</f>
      </c>
      <c r="N16" s="40">
        <f>0</f>
      </c>
      <c r="O16" s="40">
        <f>0</f>
      </c>
      <c r="P16" s="40">
        <f>O24</f>
      </c>
      <c r="Q16" s="40">
        <f>0</f>
      </c>
      <c r="R16" s="40">
        <f>0</f>
      </c>
      <c r="S16" s="40">
        <f>0</f>
      </c>
      <c r="T16" s="40">
        <f>S24</f>
      </c>
      <c r="U16" s="40">
        <f>0</f>
      </c>
      <c r="V16" s="40">
        <f>0</f>
      </c>
      <c r="W16" s="40">
        <f>0</f>
      </c>
      <c r="X16" s="40">
        <f>W24</f>
      </c>
      <c r="Y16" s="40">
        <f>0</f>
      </c>
      <c r="Z16" s="40">
        <f>0</f>
      </c>
      <c r="AA16" s="40">
        <f>0</f>
      </c>
      <c r="AB16" s="40">
        <f>AA24</f>
      </c>
      <c r="AC16" s="40">
        <f>0</f>
      </c>
      <c r="AD16" s="40">
        <f>0</f>
      </c>
      <c r="AE16" s="40">
        <f>0</f>
      </c>
      <c r="AF16" s="40">
        <f>AE24</f>
      </c>
      <c r="AG16" s="40">
        <f>0</f>
      </c>
      <c r="AH16" s="40">
        <f>0</f>
      </c>
      <c r="AI16" s="40">
        <f>0</f>
      </c>
      <c r="AJ16" s="40">
        <f>AI24</f>
      </c>
      <c r="AK16" s="40">
        <f>0</f>
      </c>
      <c r="AL16" s="40">
        <f>0</f>
      </c>
      <c r="AM16" s="40">
        <f>0</f>
      </c>
      <c r="AN16" s="40">
        <f>AM24</f>
      </c>
      <c r="AO16" s="40">
        <f>0</f>
      </c>
      <c r="AP16" s="40">
        <f>0</f>
      </c>
      <c r="AQ16" s="40">
        <f>0</f>
      </c>
      <c r="AR16" s="40">
        <f>AQ24</f>
      </c>
      <c r="AS16" s="40">
        <f>0</f>
      </c>
      <c r="AT16" s="40">
        <f>0</f>
      </c>
      <c r="AU16" s="40">
        <f>0</f>
      </c>
      <c r="AV16" s="40">
        <f>AU24</f>
      </c>
      <c r="AW16" s="40">
        <f>0</f>
      </c>
      <c r="AX16" s="40">
        <f>0</f>
      </c>
      <c r="AY16" s="40">
        <f>0</f>
      </c>
      <c r="AZ16" s="40">
        <f>AY24</f>
      </c>
      <c r="BA16" s="40">
        <f>0</f>
      </c>
      <c r="BB16" s="40">
        <f>0</f>
      </c>
      <c r="BC16" s="40">
        <f>0</f>
      </c>
      <c r="BD16" s="40">
        <f>BC24</f>
      </c>
      <c r="BE16" s="40">
        <f>0</f>
      </c>
      <c r="BF16" s="40">
        <f>0</f>
      </c>
      <c r="BG16" s="40">
        <f>0</f>
      </c>
      <c r="BH16" s="40">
        <f>BG24</f>
      </c>
      <c r="BI16" s="40">
        <f>0</f>
      </c>
      <c r="BJ16" s="40">
        <f>0</f>
      </c>
      <c r="BK16" s="40">
        <f>0</f>
      </c>
      <c r="BL16" s="40">
        <f>BK24</f>
      </c>
      <c r="BM16" s="40">
        <f>0</f>
      </c>
      <c r="BN16" s="40">
        <f>0</f>
      </c>
      <c r="BO16" s="40">
        <f>0</f>
      </c>
      <c r="BP16" s="40">
        <f>BO24</f>
      </c>
      <c r="BQ16" s="40">
        <f>0</f>
      </c>
      <c r="BR16" s="40">
        <f>0</f>
      </c>
      <c r="BS16" s="40">
        <f>0</f>
      </c>
      <c r="BT16" s="40">
        <f>BS24</f>
      </c>
      <c r="BU16" s="40">
        <f>0</f>
      </c>
      <c r="BV16" s="40">
        <f>0</f>
      </c>
      <c r="BW16" s="40">
        <f>0</f>
      </c>
      <c r="BX16" s="40">
        <f>BW24</f>
      </c>
      <c r="BY16" s="40">
        <f>0</f>
      </c>
      <c r="BZ16" s="40">
        <f>0</f>
      </c>
      <c r="CA16" s="40">
        <f>0</f>
      </c>
      <c r="CB16" s="40">
        <f>CA24</f>
      </c>
      <c r="CC16" s="40">
        <f>0</f>
      </c>
      <c r="CD16" s="40">
        <f>0</f>
      </c>
      <c r="CE16" s="40">
        <f>0</f>
      </c>
      <c r="CF16" s="40">
        <f>CE24</f>
      </c>
      <c r="CG16" s="40">
        <f>0</f>
      </c>
      <c r="CH16" s="40">
        <f>0</f>
      </c>
      <c r="CI16" s="40">
        <f>0</f>
      </c>
      <c r="CJ16" s="40">
        <f>CI24</f>
      </c>
      <c r="CK16" s="40">
        <f>0</f>
      </c>
      <c r="CL16" s="40">
        <f>CL18</f>
      </c>
      <c r="CM16" s="42"/>
    </row>
    <row r="17" spans="2:90" x14ac:dyDescent="0.25">
      <c r="B17" s="29" t="s">
        <v>339</v>
      </c>
      <c r="C17" s="30" t="s">
        <v>224</v>
      </c>
      <c r="E17" s="33">
        <f>E18-E16</f>
      </c>
      <c r="F17" s="33">
        <f>F18-F16</f>
      </c>
      <c r="G17" s="33">
        <f>G18-G16</f>
      </c>
      <c r="H17" s="33">
        <f>H18-H16</f>
      </c>
      <c r="I17" s="33">
        <f>I18-I16</f>
      </c>
      <c r="J17" s="33">
        <f>J18-J16</f>
      </c>
      <c r="K17" s="33">
        <f>K18-K16</f>
      </c>
      <c r="L17" s="33">
        <f>L18-L16</f>
      </c>
      <c r="M17" s="33">
        <f>M18-M16</f>
      </c>
      <c r="N17" s="33">
        <f>N18-N16</f>
      </c>
      <c r="O17" s="33">
        <f>O18-O16</f>
      </c>
      <c r="P17" s="33">
        <f>P18-P16</f>
      </c>
      <c r="Q17" s="33">
        <f>Q18-Q16</f>
      </c>
      <c r="R17" s="33">
        <f>R18-R16</f>
      </c>
      <c r="S17" s="33">
        <f>S18-S16</f>
      </c>
      <c r="T17" s="33">
        <f>T18-T16</f>
      </c>
      <c r="U17" s="33">
        <f>U18-U16</f>
      </c>
      <c r="V17" s="33">
        <f>V18-V16</f>
      </c>
      <c r="W17" s="33">
        <f>W18-W16</f>
      </c>
      <c r="X17" s="33">
        <f>X18-X16</f>
      </c>
      <c r="Y17" s="33">
        <f>Y18-Y16</f>
      </c>
      <c r="Z17" s="33">
        <f>Z18-Z16</f>
      </c>
      <c r="AA17" s="33">
        <f>AA18-AA16</f>
      </c>
      <c r="AB17" s="33">
        <f>AB18-AB16</f>
      </c>
      <c r="AC17" s="33">
        <f>AC18-AC16</f>
      </c>
      <c r="AD17" s="33">
        <f>AD18-AD16</f>
      </c>
      <c r="AE17" s="33">
        <f>AE18-AE16</f>
      </c>
      <c r="AF17" s="33">
        <f>AF18-AF16</f>
      </c>
      <c r="AG17" s="33">
        <f>AG18-AG16</f>
      </c>
      <c r="AH17" s="33">
        <f>AH18-AH16</f>
      </c>
      <c r="AI17" s="33">
        <f>AI18-AI16</f>
      </c>
      <c r="AJ17" s="33">
        <f>AJ18-AJ16</f>
      </c>
      <c r="AK17" s="33">
        <f>AK18-AK16</f>
      </c>
      <c r="AL17" s="33">
        <f>AL18-AL16</f>
      </c>
      <c r="AM17" s="33">
        <f>AM18-AM16</f>
      </c>
      <c r="AN17" s="33">
        <f>AN18-AN16</f>
      </c>
      <c r="AO17" s="33">
        <f>AO18-AO16</f>
      </c>
      <c r="AP17" s="33">
        <f>AP18-AP16</f>
      </c>
      <c r="AQ17" s="33">
        <f>AQ18-AQ16</f>
      </c>
      <c r="AR17" s="33">
        <f>AR18-AR16</f>
      </c>
      <c r="AS17" s="33">
        <f>AS18-AS16</f>
      </c>
      <c r="AT17" s="33">
        <f>AT18-AT16</f>
      </c>
      <c r="AU17" s="33">
        <f>AU18-AU16</f>
      </c>
      <c r="AV17" s="33">
        <f>AV18-AV16</f>
      </c>
      <c r="AW17" s="33">
        <f>AW18-AW16</f>
      </c>
      <c r="AX17" s="33">
        <f>AX18-AX16</f>
      </c>
      <c r="AY17" s="33">
        <f>AY18-AY16</f>
      </c>
      <c r="AZ17" s="33">
        <f>AZ18-AZ16</f>
      </c>
      <c r="BA17" s="33">
        <f>BA18-BA16</f>
      </c>
      <c r="BB17" s="33">
        <f>BB18-BB16</f>
      </c>
      <c r="BC17" s="33">
        <f>BC18-BC16</f>
      </c>
      <c r="BD17" s="33">
        <f>BD18-BD16</f>
      </c>
      <c r="BE17" s="33">
        <f>BE18-BE16</f>
      </c>
      <c r="BF17" s="33">
        <f>BF18-BF16</f>
      </c>
      <c r="BG17" s="33">
        <f>BG18-BG16</f>
      </c>
      <c r="BH17" s="33">
        <f>BH18-BH16</f>
      </c>
      <c r="BI17" s="33">
        <f>BI18-BI16</f>
      </c>
      <c r="BJ17" s="33">
        <f>BJ18-BJ16</f>
      </c>
      <c r="BK17" s="33">
        <f>BK18-BK16</f>
      </c>
      <c r="BL17" s="33">
        <f>BL18-BL16</f>
      </c>
      <c r="BM17" s="33">
        <f>BM18-BM16</f>
      </c>
      <c r="BN17" s="33">
        <f>BN18-BN16</f>
      </c>
      <c r="BO17" s="33">
        <f>BO18-BO16</f>
      </c>
      <c r="BP17" s="33">
        <f>BP18-BP16</f>
      </c>
      <c r="BQ17" s="33">
        <f>BQ18-BQ16</f>
      </c>
      <c r="BR17" s="33">
        <f>BR18-BR16</f>
      </c>
      <c r="BS17" s="33">
        <f>BS18-BS16</f>
      </c>
      <c r="BT17" s="33">
        <f>BT18-BT16</f>
      </c>
      <c r="BU17" s="33">
        <f>BU18-BU16</f>
      </c>
      <c r="BV17" s="33">
        <f>BV18-BV16</f>
      </c>
      <c r="BW17" s="33">
        <f>BW18-BW16</f>
      </c>
      <c r="BX17" s="33">
        <f>BX18-BX16</f>
      </c>
      <c r="BY17" s="33">
        <f>BY18-BY16</f>
      </c>
      <c r="BZ17" s="33">
        <f>BZ18-BZ16</f>
      </c>
      <c r="CA17" s="33">
        <f>CA18-CA16</f>
      </c>
      <c r="CB17" s="33">
        <f>CB18-CB16</f>
      </c>
      <c r="CC17" s="33">
        <f>CC18-CC16</f>
      </c>
      <c r="CD17" s="33">
        <f>CD18-CD16</f>
      </c>
      <c r="CE17" s="33">
        <f>CE18-CE16</f>
      </c>
      <c r="CF17" s="33">
        <f>CF18-CF16</f>
      </c>
      <c r="CG17" s="33">
        <f>CG18-CG16</f>
      </c>
      <c r="CH17" s="33">
        <f>CH18-CH16</f>
      </c>
      <c r="CI17" s="33">
        <f>CI18-CI16</f>
      </c>
      <c r="CJ17" s="33">
        <f>CJ18-CJ16</f>
      </c>
      <c r="CK17" s="33">
        <f>CK18-CK16</f>
      </c>
      <c r="CL17" s="33">
        <f>CL18-CL16</f>
      </c>
    </row>
    <row r="18" spans="2:90" x14ac:dyDescent="0.25">
      <c r="B18" s="29" t="s">
        <v>340</v>
      </c>
      <c r="C18" s="30" t="s">
        <v>224</v>
      </c>
      <c r="E18" s="33">
        <f>E15+E13</f>
      </c>
      <c r="F18" s="33">
        <f>F15+F13</f>
      </c>
      <c r="G18" s="33">
        <f>G15+G13</f>
      </c>
      <c r="H18" s="33">
        <f>H15+H13</f>
      </c>
      <c r="I18" s="33">
        <f>I15+I13</f>
      </c>
      <c r="J18" s="33">
        <f>J15+J13</f>
      </c>
      <c r="K18" s="33">
        <f>K15+K13</f>
      </c>
      <c r="L18" s="33">
        <f>L15+L13</f>
      </c>
      <c r="M18" s="33">
        <f>M15+M13</f>
      </c>
      <c r="N18" s="33">
        <f>N15+N13</f>
      </c>
      <c r="O18" s="33">
        <f>O15+O13</f>
      </c>
      <c r="P18" s="33">
        <f>P15+P13</f>
      </c>
      <c r="Q18" s="33">
        <f>Q15+Q13</f>
      </c>
      <c r="R18" s="33">
        <f>R15+R13</f>
      </c>
      <c r="S18" s="33">
        <f>S15+S13</f>
      </c>
      <c r="T18" s="33">
        <f>T15+T13</f>
      </c>
      <c r="U18" s="33">
        <f>U15+U13</f>
      </c>
      <c r="V18" s="33">
        <f>V15+V13</f>
      </c>
      <c r="W18" s="33">
        <f>W15+W13</f>
      </c>
      <c r="X18" s="33">
        <f>X15+X13</f>
      </c>
      <c r="Y18" s="33">
        <f>Y15+Y13</f>
      </c>
      <c r="Z18" s="33">
        <f>Z15+Z13</f>
      </c>
      <c r="AA18" s="33">
        <f>AA15+AA13</f>
      </c>
      <c r="AB18" s="33">
        <f>AB15+AB13</f>
      </c>
      <c r="AC18" s="33">
        <f>AC15+AC13</f>
      </c>
      <c r="AD18" s="33">
        <f>AD15+AD13</f>
      </c>
      <c r="AE18" s="33">
        <f>AE15+AE13</f>
      </c>
      <c r="AF18" s="33">
        <f>AF15+AF13</f>
      </c>
      <c r="AG18" s="33">
        <f>AG15+AG13</f>
      </c>
      <c r="AH18" s="33">
        <f>AH15+AH13</f>
      </c>
      <c r="AI18" s="33">
        <f>AI15+AI13</f>
      </c>
      <c r="AJ18" s="33">
        <f>AJ15+AJ13</f>
      </c>
      <c r="AK18" s="33">
        <f>AK15+AK13</f>
      </c>
      <c r="AL18" s="33">
        <f>AL15+AL13</f>
      </c>
      <c r="AM18" s="33">
        <f>AM15+AM13</f>
      </c>
      <c r="AN18" s="33">
        <f>AN15+AN13</f>
      </c>
      <c r="AO18" s="33">
        <f>AO15+AO13</f>
      </c>
      <c r="AP18" s="33">
        <f>AP15+AP13</f>
      </c>
      <c r="AQ18" s="33">
        <f>AQ15+AQ13</f>
      </c>
      <c r="AR18" s="33">
        <f>AR15+AR13</f>
      </c>
      <c r="AS18" s="33">
        <f>AS15+AS13</f>
      </c>
      <c r="AT18" s="33">
        <f>AT15+AT13</f>
      </c>
      <c r="AU18" s="33">
        <f>AU15+AU13</f>
      </c>
      <c r="AV18" s="33">
        <f>AV15+AV13</f>
      </c>
      <c r="AW18" s="33">
        <f>AW15+AW13</f>
      </c>
      <c r="AX18" s="33">
        <f>AX15+AX13</f>
      </c>
      <c r="AY18" s="33">
        <f>AY15+AY13</f>
      </c>
      <c r="AZ18" s="33">
        <f>AZ15+AZ13</f>
      </c>
      <c r="BA18" s="33">
        <f>BA15+BA13</f>
      </c>
      <c r="BB18" s="33">
        <f>BB15+BB13</f>
      </c>
      <c r="BC18" s="33">
        <f>BC15+BC13</f>
      </c>
      <c r="BD18" s="33">
        <f>BD15+BD13</f>
      </c>
      <c r="BE18" s="33">
        <f>BE15+BE13</f>
      </c>
      <c r="BF18" s="33">
        <f>BF15+BF13</f>
      </c>
      <c r="BG18" s="33">
        <f>BG15+BG13</f>
      </c>
      <c r="BH18" s="33">
        <f>BH15+BH13</f>
      </c>
      <c r="BI18" s="33">
        <f>BI15+BI13</f>
      </c>
      <c r="BJ18" s="33">
        <f>BJ15+BJ13</f>
      </c>
      <c r="BK18" s="33">
        <f>BK15+BK13</f>
      </c>
      <c r="BL18" s="33">
        <f>BL15+BL13</f>
      </c>
      <c r="BM18" s="33">
        <f>BM15+BM13</f>
      </c>
      <c r="BN18" s="33">
        <f>BN15+BN13</f>
      </c>
      <c r="BO18" s="33">
        <f>BO15+BO13</f>
      </c>
      <c r="BP18" s="33">
        <f>BP15+BP13</f>
      </c>
      <c r="BQ18" s="33">
        <f>BQ15+BQ13</f>
      </c>
      <c r="BR18" s="33">
        <f>BR15+BR13</f>
      </c>
      <c r="BS18" s="33">
        <f>BS15+BS13</f>
      </c>
      <c r="BT18" s="33">
        <f>BT15+BT13</f>
      </c>
      <c r="BU18" s="33">
        <f>BU15+BU13</f>
      </c>
      <c r="BV18" s="33">
        <f>BV15+BV13</f>
      </c>
      <c r="BW18" s="33">
        <f>BW15+BW13</f>
      </c>
      <c r="BX18" s="33">
        <f>BX15+BX13</f>
      </c>
      <c r="BY18" s="33">
        <f>BY15+BY13</f>
      </c>
      <c r="BZ18" s="33">
        <f>BZ15+BZ13</f>
      </c>
      <c r="CA18" s="33">
        <f>CA15+CA13</f>
      </c>
      <c r="CB18" s="33">
        <f>CB15+CB13</f>
      </c>
      <c r="CC18" s="33">
        <f>CC15+CC13</f>
      </c>
      <c r="CD18" s="33">
        <f>CD15+CD13</f>
      </c>
      <c r="CE18" s="33">
        <f>CE15+CE13</f>
      </c>
      <c r="CF18" s="33">
        <f>CF15+CF13</f>
      </c>
      <c r="CG18" s="33">
        <f>CG15+CG13</f>
      </c>
      <c r="CH18" s="33">
        <f>CH15+CH13</f>
      </c>
      <c r="CI18" s="33">
        <f>CI15+CI13</f>
      </c>
      <c r="CJ18" s="33">
        <f>CJ15+CJ13</f>
      </c>
      <c r="CK18" s="33">
        <f>CK15+CK13</f>
      </c>
      <c r="CL18" s="33">
        <f>CL15+CL13</f>
      </c>
    </row>
    <row r="19" spans="2:90" x14ac:dyDescent="0.25">
      <c r="B19" s="29" t="s">
        <v>341</v>
      </c>
      <c r="C19" s="30" t="s">
        <v>224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-'IS(Q)'!K44-'입력값'!K115</f>
      </c>
      <c r="L19" s="33">
        <f>-'IS(Q)'!L44-'입력값'!L115</f>
      </c>
      <c r="M19" s="33">
        <f>-'IS(Q)'!M44-'입력값'!M115</f>
      </c>
      <c r="N19" s="33">
        <f>-'IS(Q)'!N44-'입력값'!N115</f>
      </c>
      <c r="O19" s="33">
        <f>-'IS(Q)'!O44-'입력값'!O115</f>
      </c>
      <c r="P19" s="33">
        <f>-'IS(Q)'!P44-'입력값'!P115</f>
      </c>
      <c r="Q19" s="33">
        <f>-'IS(Q)'!Q44-'입력값'!Q115</f>
      </c>
      <c r="R19" s="33">
        <f>-'IS(Q)'!R44-'입력값'!R115</f>
      </c>
      <c r="S19" s="33">
        <f>-'IS(Q)'!S44-'입력값'!S115</f>
      </c>
      <c r="T19" s="33">
        <f>-'IS(Q)'!T44-'입력값'!T115</f>
      </c>
      <c r="U19" s="33">
        <f>-'IS(Q)'!U44-'입력값'!U115</f>
      </c>
      <c r="V19" s="33">
        <f>-'IS(Q)'!V44-'입력값'!V115</f>
      </c>
      <c r="W19" s="33">
        <f>-'IS(Q)'!W44-'입력값'!W115</f>
      </c>
      <c r="X19" s="33">
        <f>-'IS(Q)'!X44-'입력값'!X115</f>
      </c>
      <c r="Y19" s="33">
        <f>-'IS(Q)'!Y44-'입력값'!Y115</f>
      </c>
      <c r="Z19" s="33">
        <f>-'IS(Q)'!Z44-'입력값'!Z115</f>
      </c>
      <c r="AA19" s="33">
        <f>-'IS(Q)'!AA44-'입력값'!AA115</f>
      </c>
      <c r="AB19" s="33">
        <f>-'IS(Q)'!AB44-'입력값'!AB115</f>
      </c>
      <c r="AC19" s="33">
        <f>-'IS(Q)'!AC44-'입력값'!AC115</f>
      </c>
      <c r="AD19" s="33">
        <f>-'IS(Q)'!AD44-'입력값'!AD115</f>
      </c>
      <c r="AE19" s="33">
        <f>-'IS(Q)'!AE44-'입력값'!AE115</f>
      </c>
      <c r="AF19" s="33">
        <f>-'IS(Q)'!AF44-'입력값'!AF115</f>
      </c>
      <c r="AG19" s="33">
        <f>-'IS(Q)'!AG44-'입력값'!AG115</f>
      </c>
      <c r="AH19" s="33">
        <f>-'IS(Q)'!AH44-'입력값'!AH115</f>
      </c>
      <c r="AI19" s="33">
        <f>-'IS(Q)'!AI44-'입력값'!AI115</f>
      </c>
      <c r="AJ19" s="33">
        <f>-'IS(Q)'!AJ44-'입력값'!AJ115</f>
      </c>
      <c r="AK19" s="33">
        <f>-'IS(Q)'!AK44-'입력값'!AK115</f>
      </c>
      <c r="AL19" s="33">
        <f>-'IS(Q)'!AL44-'입력값'!AL115</f>
      </c>
      <c r="AM19" s="33">
        <f>-'IS(Q)'!AM44-'입력값'!AM115</f>
      </c>
      <c r="AN19" s="33">
        <f>-'IS(Q)'!AN44-'입력값'!AN115</f>
      </c>
      <c r="AO19" s="33">
        <f>-'IS(Q)'!AO44-'입력값'!AO115</f>
      </c>
      <c r="AP19" s="33">
        <f>-'IS(Q)'!AP44-'입력값'!AP115</f>
      </c>
      <c r="AQ19" s="33">
        <f>-'IS(Q)'!AQ44-'입력값'!AQ115</f>
      </c>
      <c r="AR19" s="33">
        <f>-'IS(Q)'!AR44-'입력값'!AR115</f>
      </c>
      <c r="AS19" s="33">
        <f>-'IS(Q)'!AS44-'입력값'!AS115</f>
      </c>
      <c r="AT19" s="33">
        <f>-'IS(Q)'!AT44-'입력값'!AT115</f>
      </c>
      <c r="AU19" s="33">
        <f>-'IS(Q)'!AU44-'입력값'!AU115</f>
      </c>
      <c r="AV19" s="33">
        <f>-'IS(Q)'!AV44-'입력값'!AV115</f>
      </c>
      <c r="AW19" s="33">
        <f>-'IS(Q)'!AW44-'입력값'!AW115</f>
      </c>
      <c r="AX19" s="33">
        <f>-'IS(Q)'!AX44-'입력값'!AX115</f>
      </c>
      <c r="AY19" s="33">
        <f>-'IS(Q)'!AY44-'입력값'!AY115</f>
      </c>
      <c r="AZ19" s="33">
        <f>-'IS(Q)'!AZ44-'입력값'!AZ115</f>
      </c>
      <c r="BA19" s="33">
        <f>-'IS(Q)'!BA44-'입력값'!BA115</f>
      </c>
      <c r="BB19" s="33">
        <f>-'IS(Q)'!BB44-'입력값'!BB115</f>
      </c>
      <c r="BC19" s="33">
        <f>-'IS(Q)'!BC44-'입력값'!BC115</f>
      </c>
      <c r="BD19" s="33">
        <f>-'IS(Q)'!BD44-'입력값'!BD115</f>
      </c>
      <c r="BE19" s="33">
        <f>-'IS(Q)'!BE44-'입력값'!BE115</f>
      </c>
      <c r="BF19" s="33">
        <f>-'IS(Q)'!BF44-'입력값'!BF115</f>
      </c>
      <c r="BG19" s="33">
        <f>-'IS(Q)'!BG44-'입력값'!BG115</f>
      </c>
      <c r="BH19" s="33">
        <f>-'IS(Q)'!BH44-'입력값'!BH115</f>
      </c>
      <c r="BI19" s="33">
        <f>-'IS(Q)'!BI44-'입력값'!BI115</f>
      </c>
      <c r="BJ19" s="33">
        <f>-'IS(Q)'!BJ44-'입력값'!BJ115</f>
      </c>
      <c r="BK19" s="33">
        <f>-'IS(Q)'!BK44-'입력값'!BK115</f>
      </c>
      <c r="BL19" s="33">
        <f>-'IS(Q)'!BL44-'입력값'!BL115</f>
      </c>
      <c r="BM19" s="33">
        <f>-'IS(Q)'!BM44-'입력값'!BM115</f>
      </c>
      <c r="BN19" s="33">
        <f>-'IS(Q)'!BN44-'입력값'!BN115</f>
      </c>
      <c r="BO19" s="33">
        <f>-'IS(Q)'!BO44-'입력값'!BO115</f>
      </c>
      <c r="BP19" s="33">
        <f>-'IS(Q)'!BP44-'입력값'!BP115</f>
      </c>
      <c r="BQ19" s="33">
        <f>-'IS(Q)'!BQ44-'입력값'!BQ115</f>
      </c>
      <c r="BR19" s="33">
        <f>-'IS(Q)'!BR44-'입력값'!BR115</f>
      </c>
      <c r="BS19" s="33">
        <f>-'IS(Q)'!BS44-'입력값'!BS115</f>
      </c>
      <c r="BT19" s="33">
        <f>-'IS(Q)'!BT44-'입력값'!BT115</f>
      </c>
      <c r="BU19" s="33">
        <f>-'IS(Q)'!BU44-'입력값'!BU115</f>
      </c>
      <c r="BV19" s="33">
        <f>-'IS(Q)'!BV44-'입력값'!BV115</f>
      </c>
      <c r="BW19" s="33">
        <f>-'IS(Q)'!BW44-'입력값'!BW115</f>
      </c>
      <c r="BX19" s="33">
        <f>-'IS(Q)'!BX44-'입력값'!BX115</f>
      </c>
      <c r="BY19" s="33">
        <f>-'IS(Q)'!BY44-'입력값'!BY115</f>
      </c>
      <c r="BZ19" s="33">
        <f>-'IS(Q)'!BZ44-'입력값'!BZ115</f>
      </c>
      <c r="CA19" s="33">
        <f>-'IS(Q)'!CA44-'입력값'!CA115</f>
      </c>
      <c r="CB19" s="33">
        <f>-'IS(Q)'!CB44-'입력값'!CB115</f>
      </c>
      <c r="CC19" s="33">
        <f>-'IS(Q)'!CC44-'입력값'!CC115</f>
      </c>
      <c r="CD19" s="33">
        <f>-'IS(Q)'!CD44-'입력값'!CD115</f>
      </c>
      <c r="CE19" s="33">
        <f>-'IS(Q)'!CE44-'입력값'!CE115</f>
      </c>
      <c r="CF19" s="33">
        <f>-'IS(Q)'!CF44-'입력값'!CF115</f>
      </c>
      <c r="CG19" s="33">
        <f>-'IS(Q)'!CG44-'입력값'!CG115</f>
      </c>
      <c r="CH19" s="33">
        <f>-'IS(Q)'!CH44-'입력값'!CH115</f>
      </c>
      <c r="CI19" s="33">
        <f>-'IS(Q)'!CI44-'입력값'!CI115</f>
      </c>
      <c r="CJ19" s="33">
        <f>-'IS(Q)'!CJ44-'입력값'!CJ115</f>
      </c>
      <c r="CK19" s="33">
        <f>-'IS(Q)'!CK44-'입력값'!CK115</f>
      </c>
      <c r="CL19" s="33">
        <f>-'IS(Q)'!CL44-'입력값'!CL115</f>
      </c>
    </row>
    <row r="20" spans="2:90" x14ac:dyDescent="0.25">
      <c r="B20" s="29" t="s">
        <v>342</v>
      </c>
      <c r="C20" s="30" t="s">
        <v>224</v>
      </c>
      <c r="E20" s="33">
        <f>0</f>
      </c>
      <c r="F20" s="33">
        <f>E21</f>
      </c>
      <c r="G20" s="33">
        <f>F21</f>
      </c>
      <c r="H20" s="33">
        <f>G21</f>
      </c>
      <c r="I20" s="33">
        <f>H21</f>
      </c>
      <c r="J20" s="33">
        <f>'입력값'!C20*100</f>
      </c>
      <c r="K20" s="33">
        <f>J21</f>
      </c>
      <c r="L20" s="33">
        <f>K21</f>
      </c>
      <c r="M20" s="33">
        <f>L21</f>
      </c>
      <c r="N20" s="33">
        <f>M21</f>
      </c>
      <c r="O20" s="33">
        <f>N21</f>
      </c>
      <c r="P20" s="33">
        <f>O21</f>
      </c>
      <c r="Q20" s="33">
        <f>P21</f>
      </c>
      <c r="R20" s="33">
        <f>Q21</f>
      </c>
      <c r="S20" s="33">
        <f>R21</f>
      </c>
      <c r="T20" s="33">
        <f>S21</f>
      </c>
      <c r="U20" s="33">
        <f>T21</f>
      </c>
      <c r="V20" s="33">
        <f>U21</f>
      </c>
      <c r="W20" s="33">
        <f>V21</f>
      </c>
      <c r="X20" s="33">
        <f>W21</f>
      </c>
      <c r="Y20" s="33">
        <f>X21</f>
      </c>
      <c r="Z20" s="33">
        <f>Y21</f>
      </c>
      <c r="AA20" s="33">
        <f>Z21</f>
      </c>
      <c r="AB20" s="33">
        <f>AA21</f>
      </c>
      <c r="AC20" s="33">
        <f>AB21</f>
      </c>
      <c r="AD20" s="33">
        <f>AC21</f>
      </c>
      <c r="AE20" s="33">
        <f>AD21</f>
      </c>
      <c r="AF20" s="33">
        <f>AE21</f>
      </c>
      <c r="AG20" s="33">
        <f>AF21</f>
      </c>
      <c r="AH20" s="33">
        <f>AG21</f>
      </c>
      <c r="AI20" s="33">
        <f>AH21</f>
      </c>
      <c r="AJ20" s="33">
        <f>AI21</f>
      </c>
      <c r="AK20" s="33">
        <f>AJ21</f>
      </c>
      <c r="AL20" s="33">
        <f>AK21</f>
      </c>
      <c r="AM20" s="33">
        <f>AL21</f>
      </c>
      <c r="AN20" s="33">
        <f>AM21</f>
      </c>
      <c r="AO20" s="33">
        <f>AN21</f>
      </c>
      <c r="AP20" s="33">
        <f>AO21</f>
      </c>
      <c r="AQ20" s="33">
        <f>AP21</f>
      </c>
      <c r="AR20" s="33">
        <f>AQ21</f>
      </c>
      <c r="AS20" s="33">
        <f>AR21</f>
      </c>
      <c r="AT20" s="33">
        <f>AS21</f>
      </c>
      <c r="AU20" s="33">
        <f>AT21</f>
      </c>
      <c r="AV20" s="33">
        <f>AU21</f>
      </c>
      <c r="AW20" s="33">
        <f>AV21</f>
      </c>
      <c r="AX20" s="33">
        <f>AW21</f>
      </c>
      <c r="AY20" s="33">
        <f>AX21</f>
      </c>
      <c r="AZ20" s="33">
        <f>AY21</f>
      </c>
      <c r="BA20" s="33">
        <f>AZ21</f>
      </c>
      <c r="BB20" s="33">
        <f>BA21</f>
      </c>
      <c r="BC20" s="33">
        <f>BB21</f>
      </c>
      <c r="BD20" s="33">
        <f>BC21</f>
      </c>
      <c r="BE20" s="33">
        <f>BD21</f>
      </c>
      <c r="BF20" s="33">
        <f>BE21</f>
      </c>
      <c r="BG20" s="33">
        <f>BF21</f>
      </c>
      <c r="BH20" s="33">
        <f>BG21</f>
      </c>
      <c r="BI20" s="33">
        <f>BH21</f>
      </c>
      <c r="BJ20" s="33">
        <f>BI21</f>
      </c>
      <c r="BK20" s="33">
        <f>BJ21</f>
      </c>
      <c r="BL20" s="33">
        <f>BK21</f>
      </c>
      <c r="BM20" s="33">
        <f>BL21</f>
      </c>
      <c r="BN20" s="33">
        <f>BM21</f>
      </c>
      <c r="BO20" s="33">
        <f>BN21</f>
      </c>
      <c r="BP20" s="33">
        <f>BO21</f>
      </c>
      <c r="BQ20" s="33">
        <f>BP21</f>
      </c>
      <c r="BR20" s="33">
        <f>BQ21</f>
      </c>
      <c r="BS20" s="33">
        <f>BR21</f>
      </c>
      <c r="BT20" s="33">
        <f>BS21</f>
      </c>
      <c r="BU20" s="33">
        <f>BT21</f>
      </c>
      <c r="BV20" s="33">
        <f>BU21</f>
      </c>
      <c r="BW20" s="33">
        <f>BV21</f>
      </c>
      <c r="BX20" s="33">
        <f>BW21</f>
      </c>
      <c r="BY20" s="33">
        <f>BX21</f>
      </c>
      <c r="BZ20" s="33">
        <f>BY21</f>
      </c>
      <c r="CA20" s="33">
        <f>BZ21</f>
      </c>
      <c r="CB20" s="33">
        <f>CA21</f>
      </c>
      <c r="CC20" s="33">
        <f>CB21</f>
      </c>
      <c r="CD20" s="33">
        <f>CC21</f>
      </c>
      <c r="CE20" s="33">
        <f>CD21</f>
      </c>
      <c r="CF20" s="33">
        <f>CE21</f>
      </c>
      <c r="CG20" s="33">
        <f>CF21</f>
      </c>
      <c r="CH20" s="33">
        <f>CG21</f>
      </c>
      <c r="CI20" s="33">
        <f>CH21</f>
      </c>
      <c r="CJ20" s="33">
        <f>CI21</f>
      </c>
      <c r="CK20" s="33">
        <f>CJ21</f>
      </c>
      <c r="CL20" s="33">
        <f>CK21</f>
      </c>
    </row>
    <row r="21" spans="2:90" x14ac:dyDescent="0.25">
      <c r="B21" s="29" t="s">
        <v>343</v>
      </c>
      <c r="C21" s="30" t="s">
        <v>224</v>
      </c>
      <c r="E21" s="33">
        <f>E20</f>
      </c>
      <c r="F21" s="33">
        <f>F20</f>
      </c>
      <c r="G21" s="33">
        <f>G20</f>
      </c>
      <c r="H21" s="33">
        <f>H20</f>
      </c>
      <c r="I21" s="33">
        <f>I20</f>
      </c>
      <c r="J21" s="33">
        <f>J20</f>
      </c>
      <c r="K21" s="33">
        <f>L10+M10</f>
      </c>
      <c r="L21" s="33">
        <f>M10+N10</f>
      </c>
      <c r="M21" s="33">
        <f>N10+O10</f>
      </c>
      <c r="N21" s="33">
        <f>O10+P10</f>
      </c>
      <c r="O21" s="33">
        <f>P10+Q10</f>
      </c>
      <c r="P21" s="33">
        <f>Q10+R10</f>
      </c>
      <c r="Q21" s="33">
        <f>R10+S10</f>
      </c>
      <c r="R21" s="33">
        <f>S10+T10</f>
      </c>
      <c r="S21" s="33">
        <f>T10+U10</f>
      </c>
      <c r="T21" s="33">
        <f>U10+V10</f>
      </c>
      <c r="U21" s="33">
        <f>V10+W10</f>
      </c>
      <c r="V21" s="33">
        <f>W10+X10</f>
      </c>
      <c r="W21" s="33">
        <f>X10+Y10</f>
      </c>
      <c r="X21" s="33">
        <f>Y10+Z10</f>
      </c>
      <c r="Y21" s="33">
        <f>Z10+AA10</f>
      </c>
      <c r="Z21" s="33">
        <f>AA10+AB10</f>
      </c>
      <c r="AA21" s="33">
        <f>AB10+AC10</f>
      </c>
      <c r="AB21" s="33">
        <f>AC10+AD10</f>
      </c>
      <c r="AC21" s="33">
        <f>AD10+AE10</f>
      </c>
      <c r="AD21" s="33">
        <f>AE10+AF10</f>
      </c>
      <c r="AE21" s="33">
        <f>AF10+AG10</f>
      </c>
      <c r="AF21" s="33">
        <f>AG10+AH10</f>
      </c>
      <c r="AG21" s="33">
        <f>AH10+AI10</f>
      </c>
      <c r="AH21" s="33">
        <f>AI10+AJ10</f>
      </c>
      <c r="AI21" s="33">
        <f>AJ10+AK10</f>
      </c>
      <c r="AJ21" s="33">
        <f>AK10+AL10</f>
      </c>
      <c r="AK21" s="33">
        <f>AL10+AM10</f>
      </c>
      <c r="AL21" s="33">
        <f>AM10+AN10</f>
      </c>
      <c r="AM21" s="33">
        <f>AN10+AO10</f>
      </c>
      <c r="AN21" s="33">
        <f>AO10+AP10</f>
      </c>
      <c r="AO21" s="33">
        <f>AP10+AQ10</f>
      </c>
      <c r="AP21" s="33">
        <f>AQ10+AR10</f>
      </c>
      <c r="AQ21" s="33">
        <f>AR10+AS10</f>
      </c>
      <c r="AR21" s="33">
        <f>AS10+AT10</f>
      </c>
      <c r="AS21" s="33">
        <f>AT10+AU10</f>
      </c>
      <c r="AT21" s="33">
        <f>AU10+AV10</f>
      </c>
      <c r="AU21" s="33">
        <f>AV10+AW10</f>
      </c>
      <c r="AV21" s="33">
        <f>AW10+AX10</f>
      </c>
      <c r="AW21" s="33">
        <f>AX10+AY10</f>
      </c>
      <c r="AX21" s="33">
        <f>AY10+AZ10</f>
      </c>
      <c r="AY21" s="33">
        <f>AZ10+BA10</f>
      </c>
      <c r="AZ21" s="33">
        <f>BA10+BB10</f>
      </c>
      <c r="BA21" s="33">
        <f>BB10+BC10</f>
      </c>
      <c r="BB21" s="33">
        <f>BC10+BD10</f>
      </c>
      <c r="BC21" s="33">
        <f>BD10+BE10</f>
      </c>
      <c r="BD21" s="33">
        <f>BE10+BF10</f>
      </c>
      <c r="BE21" s="33">
        <f>BF10+BG10</f>
      </c>
      <c r="BF21" s="33">
        <f>BG10+BH10</f>
      </c>
      <c r="BG21" s="33">
        <f>BH10+BI10</f>
      </c>
      <c r="BH21" s="33">
        <f>BI10+BJ10</f>
      </c>
      <c r="BI21" s="33">
        <f>BJ10+BK10</f>
      </c>
      <c r="BJ21" s="33">
        <f>BK10+BL10</f>
      </c>
      <c r="BK21" s="33">
        <f>BL10+BM10</f>
      </c>
      <c r="BL21" s="33">
        <f>BM10+BN10</f>
      </c>
      <c r="BM21" s="33">
        <f>BN10+BO10</f>
      </c>
      <c r="BN21" s="33">
        <f>BO10+BP10</f>
      </c>
      <c r="BO21" s="33">
        <f>BP10+BQ10</f>
      </c>
      <c r="BP21" s="33">
        <f>BQ10+BR10</f>
      </c>
      <c r="BQ21" s="33">
        <f>BR10+BS10</f>
      </c>
      <c r="BR21" s="33">
        <f>BS10+BT10</f>
      </c>
      <c r="BS21" s="33">
        <f>BT10+BU10</f>
      </c>
      <c r="BT21" s="33">
        <f>BU10+BV10</f>
      </c>
      <c r="BU21" s="33">
        <f>BV10+BW10</f>
      </c>
      <c r="BV21" s="33">
        <f>BW10+BX10</f>
      </c>
      <c r="BW21" s="33">
        <f>BX10+BY10</f>
      </c>
      <c r="BX21" s="33">
        <f>BY10+BZ10</f>
      </c>
      <c r="BY21" s="33">
        <f>BZ10+CA10</f>
      </c>
      <c r="BZ21" s="33">
        <f>CA10+CB10</f>
      </c>
      <c r="CA21" s="33">
        <f>CB10+CC10</f>
      </c>
      <c r="CB21" s="33">
        <f>CC10+CD10</f>
      </c>
      <c r="CC21" s="33">
        <f>CD10+CE10</f>
      </c>
      <c r="CD21" s="33">
        <f>CE10+CF10</f>
      </c>
      <c r="CE21" s="33">
        <f>CF10+CG10</f>
      </c>
      <c r="CF21" s="33">
        <f>CG10+CH10</f>
      </c>
      <c r="CG21" s="33">
        <f>CH10+CI10</f>
      </c>
      <c r="CH21" s="33">
        <f>CI10+CJ10</f>
      </c>
      <c r="CI21" s="33">
        <f>CJ10+CK10</f>
      </c>
      <c r="CJ21" s="33">
        <f>CK10+CL10</f>
      </c>
      <c r="CK21" s="33">
        <f>CL10</f>
      </c>
      <c r="CL21" s="33">
        <f>0</f>
      </c>
    </row>
    <row r="22" spans="2:90" x14ac:dyDescent="0.25">
      <c r="B22" s="29" t="s">
        <v>344</v>
      </c>
      <c r="C22" s="30" t="s">
        <v>224</v>
      </c>
      <c r="E22" s="33">
        <f>0</f>
      </c>
      <c r="F22" s="33">
        <f>E22</f>
      </c>
      <c r="G22" s="33">
        <f>F22</f>
      </c>
      <c r="H22" s="33">
        <f>G22</f>
      </c>
      <c r="I22" s="33">
        <f>H22</f>
      </c>
      <c r="J22" s="33">
        <f>I22</f>
      </c>
      <c r="K22" s="33">
        <f>J22+'IS(Q)'!K45-(E42+E43)</f>
      </c>
      <c r="L22" s="33">
        <f>K22+'IS(Q)'!L45</f>
      </c>
      <c r="M22" s="33">
        <f>L22+'IS(Q)'!M45</f>
      </c>
      <c r="N22" s="33">
        <f>M22+'IS(Q)'!N45</f>
      </c>
      <c r="O22" s="33">
        <f>N22+'IS(Q)'!O45-(F42+F43)</f>
      </c>
      <c r="P22" s="33">
        <f>O22+'IS(Q)'!P45</f>
      </c>
      <c r="Q22" s="33">
        <f>P22+'IS(Q)'!Q45</f>
      </c>
      <c r="R22" s="33">
        <f>Q22+'IS(Q)'!R45</f>
      </c>
      <c r="S22" s="33">
        <f>R22+'IS(Q)'!S45-(G42+G43)</f>
      </c>
      <c r="T22" s="33">
        <f>S22+'IS(Q)'!T45</f>
      </c>
      <c r="U22" s="33">
        <f>T22+'IS(Q)'!U45</f>
      </c>
      <c r="V22" s="33">
        <f>U22+'IS(Q)'!V45</f>
      </c>
      <c r="W22" s="33">
        <f>V22+'IS(Q)'!W45-(H42+H43)</f>
      </c>
      <c r="X22" s="33">
        <f>W22+'IS(Q)'!X45</f>
      </c>
      <c r="Y22" s="33">
        <f>X22+'IS(Q)'!Y45</f>
      </c>
      <c r="Z22" s="33">
        <f>Y22+'IS(Q)'!Z45</f>
      </c>
      <c r="AA22" s="33">
        <f>Z22+'IS(Q)'!AA45-(I42+I43)</f>
      </c>
      <c r="AB22" s="33">
        <f>AA22+'IS(Q)'!AB45</f>
      </c>
      <c r="AC22" s="33">
        <f>AB22+'IS(Q)'!AC45</f>
      </c>
      <c r="AD22" s="33">
        <f>AC22+'IS(Q)'!AD45</f>
      </c>
      <c r="AE22" s="33">
        <f>AD22+'IS(Q)'!AE45-(J42+J43)</f>
      </c>
      <c r="AF22" s="33">
        <f>AE22+'IS(Q)'!AF45</f>
      </c>
      <c r="AG22" s="33">
        <f>AF22+'IS(Q)'!AG45</f>
      </c>
      <c r="AH22" s="33">
        <f>AG22+'IS(Q)'!AH45</f>
      </c>
      <c r="AI22" s="33">
        <f>AH22+'IS(Q)'!AI45-(K42+K43)</f>
      </c>
      <c r="AJ22" s="33">
        <f>AI22+'IS(Q)'!AJ45</f>
      </c>
      <c r="AK22" s="33">
        <f>AJ22+'IS(Q)'!AK45</f>
      </c>
      <c r="AL22" s="33">
        <f>AK22+'IS(Q)'!AL45</f>
      </c>
      <c r="AM22" s="33">
        <f>AL22+'IS(Q)'!AM45-(L42+L43)</f>
      </c>
      <c r="AN22" s="33">
        <f>AM22+'IS(Q)'!AN45</f>
      </c>
      <c r="AO22" s="33">
        <f>AN22+'IS(Q)'!AO45</f>
      </c>
      <c r="AP22" s="33">
        <f>AO22+'IS(Q)'!AP45</f>
      </c>
      <c r="AQ22" s="33">
        <f>AP22+'IS(Q)'!AQ45-(M42+M43)</f>
      </c>
      <c r="AR22" s="33">
        <f>AQ22+'IS(Q)'!AR45</f>
      </c>
      <c r="AS22" s="33">
        <f>AR22+'IS(Q)'!AS45</f>
      </c>
      <c r="AT22" s="33">
        <f>AS22+'IS(Q)'!AT45</f>
      </c>
      <c r="AU22" s="33">
        <f>AT22+'IS(Q)'!AU45-(N42+N43)</f>
      </c>
      <c r="AV22" s="33">
        <f>AU22+'IS(Q)'!AV45</f>
      </c>
      <c r="AW22" s="33">
        <f>AV22+'IS(Q)'!AW45</f>
      </c>
      <c r="AX22" s="33">
        <f>AW22+'IS(Q)'!AX45</f>
      </c>
      <c r="AY22" s="33">
        <f>AX22+'IS(Q)'!AY45-(O42+O43)</f>
      </c>
      <c r="AZ22" s="33">
        <f>AY22+'IS(Q)'!AZ45</f>
      </c>
      <c r="BA22" s="33">
        <f>AZ22+'IS(Q)'!BA45</f>
      </c>
      <c r="BB22" s="33">
        <f>BA22+'IS(Q)'!BB45</f>
      </c>
      <c r="BC22" s="33">
        <f>BB22+'IS(Q)'!BC45-(P42+P43)</f>
      </c>
      <c r="BD22" s="33">
        <f>BC22+'IS(Q)'!BD45</f>
      </c>
      <c r="BE22" s="33">
        <f>BD22+'IS(Q)'!BE45</f>
      </c>
      <c r="BF22" s="33">
        <f>BE22+'IS(Q)'!BF45</f>
      </c>
      <c r="BG22" s="33">
        <f>BF22+'IS(Q)'!BG45-(Q42+Q43)</f>
      </c>
      <c r="BH22" s="33">
        <f>BG22+'IS(Q)'!BH45</f>
      </c>
      <c r="BI22" s="33">
        <f>BH22+'IS(Q)'!BI45</f>
      </c>
      <c r="BJ22" s="33">
        <f>BI22+'IS(Q)'!BJ45</f>
      </c>
      <c r="BK22" s="33">
        <f>BJ22+'IS(Q)'!BK45-(R42+R43)</f>
      </c>
      <c r="BL22" s="33">
        <f>BK22+'IS(Q)'!BL45</f>
      </c>
      <c r="BM22" s="33">
        <f>BL22+'IS(Q)'!BM45</f>
      </c>
      <c r="BN22" s="33">
        <f>BM22+'IS(Q)'!BN45</f>
      </c>
      <c r="BO22" s="33">
        <f>BN22+'IS(Q)'!BO45-(S42+S43)</f>
      </c>
      <c r="BP22" s="33">
        <f>BO22+'IS(Q)'!BP45</f>
      </c>
      <c r="BQ22" s="33">
        <f>BP22+'IS(Q)'!BQ45</f>
      </c>
      <c r="BR22" s="33">
        <f>BQ22+'IS(Q)'!BR45</f>
      </c>
      <c r="BS22" s="33">
        <f>BR22+'IS(Q)'!BS45-(T42+T43)</f>
      </c>
      <c r="BT22" s="33">
        <f>BS22+'IS(Q)'!BT45</f>
      </c>
      <c r="BU22" s="33">
        <f>BT22+'IS(Q)'!BU45</f>
      </c>
      <c r="BV22" s="33">
        <f>BU22+'IS(Q)'!BV45</f>
      </c>
      <c r="BW22" s="33">
        <f>BV22+'IS(Q)'!BW45-(U42+U43)</f>
      </c>
      <c r="BX22" s="33">
        <f>BW22+'IS(Q)'!BX45</f>
      </c>
      <c r="BY22" s="33">
        <f>BX22+'IS(Q)'!BY45</f>
      </c>
      <c r="BZ22" s="33">
        <f>BY22+'IS(Q)'!BZ45</f>
      </c>
      <c r="CA22" s="33">
        <f>BZ22+'IS(Q)'!CA45-(V42+V43)</f>
      </c>
      <c r="CB22" s="33">
        <f>CA22+'IS(Q)'!CB45</f>
      </c>
      <c r="CC22" s="33">
        <f>CB22+'IS(Q)'!CC45</f>
      </c>
      <c r="CD22" s="33">
        <f>CC22+'IS(Q)'!CD45</f>
      </c>
      <c r="CE22" s="33">
        <f>CD22+'IS(Q)'!CE45-(W42+W43)</f>
      </c>
      <c r="CF22" s="33">
        <f>CE22+'IS(Q)'!CF45</f>
      </c>
      <c r="CG22" s="33">
        <f>CF22+'IS(Q)'!CG45</f>
      </c>
      <c r="CH22" s="33">
        <f>CG22+'IS(Q)'!CH45</f>
      </c>
      <c r="CI22" s="33">
        <f>CH22+'IS(Q)'!CI45-(X42+X43)</f>
      </c>
      <c r="CJ22" s="33">
        <f>CI22+'IS(Q)'!CJ45</f>
      </c>
      <c r="CK22" s="33">
        <f>CJ22+'IS(Q)'!CK45</f>
      </c>
      <c r="CL22" s="33">
        <f>CK22+'IS(Q)'!CL45</f>
      </c>
    </row>
    <row r="23" spans="2:90" x14ac:dyDescent="0.25">
      <c r="B23" s="29" t="s">
        <v>345</v>
      </c>
      <c r="C23" s="30" t="s">
        <v>224</v>
      </c>
      <c r="E23" s="33">
        <f>0</f>
      </c>
      <c r="F23" s="33">
        <f>E23</f>
      </c>
      <c r="G23" s="33">
        <f>F23</f>
      </c>
      <c r="H23" s="33">
        <f>G23</f>
      </c>
      <c r="I23" s="33">
        <f>H23</f>
      </c>
      <c r="J23" s="33">
        <f>I23</f>
      </c>
      <c r="K23" s="33">
        <f>J23+E43</f>
      </c>
      <c r="L23" s="33">
        <f>K23</f>
      </c>
      <c r="M23" s="33">
        <f>L23</f>
      </c>
      <c r="N23" s="33">
        <f>M23</f>
      </c>
      <c r="O23" s="33">
        <f>N23+F43</f>
      </c>
      <c r="P23" s="33">
        <f>O23</f>
      </c>
      <c r="Q23" s="33">
        <f>P23</f>
      </c>
      <c r="R23" s="33">
        <f>Q23</f>
      </c>
      <c r="S23" s="33">
        <f>R23+G43</f>
      </c>
      <c r="T23" s="33">
        <f>S23</f>
      </c>
      <c r="U23" s="33">
        <f>T23</f>
      </c>
      <c r="V23" s="33">
        <f>U23</f>
      </c>
      <c r="W23" s="33">
        <f>V23+H43</f>
      </c>
      <c r="X23" s="33">
        <f>W23</f>
      </c>
      <c r="Y23" s="33">
        <f>X23</f>
      </c>
      <c r="Z23" s="33">
        <f>Y23</f>
      </c>
      <c r="AA23" s="33">
        <f>Z23+I43</f>
      </c>
      <c r="AB23" s="33">
        <f>AA23</f>
      </c>
      <c r="AC23" s="33">
        <f>AB23</f>
      </c>
      <c r="AD23" s="33">
        <f>AC23</f>
      </c>
      <c r="AE23" s="33">
        <f>AD23+J43</f>
      </c>
      <c r="AF23" s="33">
        <f>AE23</f>
      </c>
      <c r="AG23" s="33">
        <f>AF23</f>
      </c>
      <c r="AH23" s="33">
        <f>AG23</f>
      </c>
      <c r="AI23" s="33">
        <f>AH23+K43</f>
      </c>
      <c r="AJ23" s="33">
        <f>AI23</f>
      </c>
      <c r="AK23" s="33">
        <f>AJ23</f>
      </c>
      <c r="AL23" s="33">
        <f>AK23</f>
      </c>
      <c r="AM23" s="33">
        <f>AL23+L43</f>
      </c>
      <c r="AN23" s="33">
        <f>AM23</f>
      </c>
      <c r="AO23" s="33">
        <f>AN23</f>
      </c>
      <c r="AP23" s="33">
        <f>AO23</f>
      </c>
      <c r="AQ23" s="33">
        <f>AP23+M43</f>
      </c>
      <c r="AR23" s="33">
        <f>AQ23</f>
      </c>
      <c r="AS23" s="33">
        <f>AR23</f>
      </c>
      <c r="AT23" s="33">
        <f>AS23</f>
      </c>
      <c r="AU23" s="33">
        <f>AT23+N43</f>
      </c>
      <c r="AV23" s="33">
        <f>AU23</f>
      </c>
      <c r="AW23" s="33">
        <f>AV23</f>
      </c>
      <c r="AX23" s="33">
        <f>AW23</f>
      </c>
      <c r="AY23" s="33">
        <f>AX23+O43</f>
      </c>
      <c r="AZ23" s="33">
        <f>AY23</f>
      </c>
      <c r="BA23" s="33">
        <f>AZ23</f>
      </c>
      <c r="BB23" s="33">
        <f>BA23</f>
      </c>
      <c r="BC23" s="33">
        <f>BB23+P43</f>
      </c>
      <c r="BD23" s="33">
        <f>BC23</f>
      </c>
      <c r="BE23" s="33">
        <f>BD23</f>
      </c>
      <c r="BF23" s="33">
        <f>BE23</f>
      </c>
      <c r="BG23" s="33">
        <f>BF23+Q43</f>
      </c>
      <c r="BH23" s="33">
        <f>BG23</f>
      </c>
      <c r="BI23" s="33">
        <f>BH23</f>
      </c>
      <c r="BJ23" s="33">
        <f>BI23</f>
      </c>
      <c r="BK23" s="33">
        <f>BJ23+R43</f>
      </c>
      <c r="BL23" s="33">
        <f>BK23</f>
      </c>
      <c r="BM23" s="33">
        <f>BL23</f>
      </c>
      <c r="BN23" s="33">
        <f>BM23</f>
      </c>
      <c r="BO23" s="33">
        <f>BN23+S43</f>
      </c>
      <c r="BP23" s="33">
        <f>BO23</f>
      </c>
      <c r="BQ23" s="33">
        <f>BP23</f>
      </c>
      <c r="BR23" s="33">
        <f>BQ23</f>
      </c>
      <c r="BS23" s="33">
        <f>BR23+T43</f>
      </c>
      <c r="BT23" s="33">
        <f>BS23</f>
      </c>
      <c r="BU23" s="33">
        <f>BT23</f>
      </c>
      <c r="BV23" s="33">
        <f>BU23</f>
      </c>
      <c r="BW23" s="33">
        <f>BV23+U43</f>
      </c>
      <c r="BX23" s="33">
        <f>BW23</f>
      </c>
      <c r="BY23" s="33">
        <f>BX23</f>
      </c>
      <c r="BZ23" s="33">
        <f>BY23</f>
      </c>
      <c r="CA23" s="33">
        <f>BZ23+V43</f>
      </c>
      <c r="CB23" s="33">
        <f>CA23</f>
      </c>
      <c r="CC23" s="33">
        <f>CB23</f>
      </c>
      <c r="CD23" s="33">
        <f>CC23</f>
      </c>
      <c r="CE23" s="33">
        <f>CD23+W43</f>
      </c>
      <c r="CF23" s="33">
        <f>CE23</f>
      </c>
      <c r="CG23" s="33">
        <f>CF23</f>
      </c>
      <c r="CH23" s="33">
        <f>CG23</f>
      </c>
      <c r="CI23" s="33">
        <f>CH23+X43</f>
      </c>
      <c r="CJ23" s="33">
        <f>CI23</f>
      </c>
      <c r="CK23" s="33">
        <f>CJ23</f>
      </c>
      <c r="CL23" s="33">
        <f>CK23</f>
      </c>
    </row>
    <row r="24" spans="2:91" x14ac:dyDescent="0.25">
      <c r="B24" s="9" t="s">
        <v>346</v>
      </c>
      <c r="C24" s="48" t="s">
        <v>224</v>
      </c>
      <c r="D24" s="10"/>
      <c r="E24" s="49">
        <f>0</f>
      </c>
      <c r="F24" s="49">
        <f>E24</f>
      </c>
      <c r="G24" s="49">
        <f>F24</f>
      </c>
      <c r="H24" s="49">
        <f>0</f>
      </c>
      <c r="I24" s="49">
        <f>H24</f>
      </c>
      <c r="J24" s="49">
        <f>I24</f>
      </c>
      <c r="K24" s="49">
        <f>E42</f>
      </c>
      <c r="L24" s="49">
        <f>0</f>
      </c>
      <c r="M24" s="49">
        <f>L24</f>
      </c>
      <c r="N24" s="49">
        <f>M24</f>
      </c>
      <c r="O24" s="49">
        <f>F42</f>
      </c>
      <c r="P24" s="49">
        <f>0</f>
      </c>
      <c r="Q24" s="49">
        <f>P24</f>
      </c>
      <c r="R24" s="49">
        <f>Q24</f>
      </c>
      <c r="S24" s="49">
        <f>G42</f>
      </c>
      <c r="T24" s="49">
        <f>0</f>
      </c>
      <c r="U24" s="49">
        <f>T24</f>
      </c>
      <c r="V24" s="49">
        <f>U24</f>
      </c>
      <c r="W24" s="49">
        <f>H42</f>
      </c>
      <c r="X24" s="49">
        <f>0</f>
      </c>
      <c r="Y24" s="49">
        <f>X24</f>
      </c>
      <c r="Z24" s="49">
        <f>Y24</f>
      </c>
      <c r="AA24" s="49">
        <f>I42</f>
      </c>
      <c r="AB24" s="49">
        <f>0</f>
      </c>
      <c r="AC24" s="49">
        <f>AB24</f>
      </c>
      <c r="AD24" s="49">
        <f>AC24</f>
      </c>
      <c r="AE24" s="49">
        <f>J42</f>
      </c>
      <c r="AF24" s="49">
        <f>0</f>
      </c>
      <c r="AG24" s="49">
        <f>AF24</f>
      </c>
      <c r="AH24" s="49">
        <f>AG24</f>
      </c>
      <c r="AI24" s="49">
        <f>K42</f>
      </c>
      <c r="AJ24" s="49">
        <f>0</f>
      </c>
      <c r="AK24" s="49">
        <f>AJ24</f>
      </c>
      <c r="AL24" s="49">
        <f>AK24</f>
      </c>
      <c r="AM24" s="49">
        <f>L42</f>
      </c>
      <c r="AN24" s="49">
        <f>0</f>
      </c>
      <c r="AO24" s="49">
        <f>AN24</f>
      </c>
      <c r="AP24" s="49">
        <f>AO24</f>
      </c>
      <c r="AQ24" s="49">
        <f>M42</f>
      </c>
      <c r="AR24" s="49">
        <f>0</f>
      </c>
      <c r="AS24" s="49">
        <f>AR24</f>
      </c>
      <c r="AT24" s="49">
        <f>AS24</f>
      </c>
      <c r="AU24" s="49">
        <f>N42</f>
      </c>
      <c r="AV24" s="49">
        <f>0</f>
      </c>
      <c r="AW24" s="49">
        <f>AV24</f>
      </c>
      <c r="AX24" s="49">
        <f>AW24</f>
      </c>
      <c r="AY24" s="49">
        <f>O42</f>
      </c>
      <c r="AZ24" s="49">
        <f>0</f>
      </c>
      <c r="BA24" s="49">
        <f>AZ24</f>
      </c>
      <c r="BB24" s="49">
        <f>BA24</f>
      </c>
      <c r="BC24" s="49">
        <f>P42</f>
      </c>
      <c r="BD24" s="49">
        <f>0</f>
      </c>
      <c r="BE24" s="49">
        <f>BD24</f>
      </c>
      <c r="BF24" s="49">
        <f>BE24</f>
      </c>
      <c r="BG24" s="49">
        <f>Q42</f>
      </c>
      <c r="BH24" s="49">
        <f>0</f>
      </c>
      <c r="BI24" s="49">
        <f>BH24</f>
      </c>
      <c r="BJ24" s="49">
        <f>BI24</f>
      </c>
      <c r="BK24" s="49">
        <f>R42</f>
      </c>
      <c r="BL24" s="49">
        <f>0</f>
      </c>
      <c r="BM24" s="49">
        <f>BL24</f>
      </c>
      <c r="BN24" s="49">
        <f>BM24</f>
      </c>
      <c r="BO24" s="49">
        <f>S42</f>
      </c>
      <c r="BP24" s="49">
        <f>0</f>
      </c>
      <c r="BQ24" s="49">
        <f>BP24</f>
      </c>
      <c r="BR24" s="49">
        <f>BQ24</f>
      </c>
      <c r="BS24" s="49">
        <f>T42</f>
      </c>
      <c r="BT24" s="49">
        <f>0</f>
      </c>
      <c r="BU24" s="49">
        <f>BT24</f>
      </c>
      <c r="BV24" s="49">
        <f>BU24</f>
      </c>
      <c r="BW24" s="49">
        <f>U42</f>
      </c>
      <c r="BX24" s="49">
        <f>0</f>
      </c>
      <c r="BY24" s="49">
        <f>BX24</f>
      </c>
      <c r="BZ24" s="49">
        <f>BY24</f>
      </c>
      <c r="CA24" s="49">
        <f>V42</f>
      </c>
      <c r="CB24" s="49">
        <f>0</f>
      </c>
      <c r="CC24" s="49">
        <f>CB24</f>
      </c>
      <c r="CD24" s="49">
        <f>CC24</f>
      </c>
      <c r="CE24" s="49">
        <f>W42</f>
      </c>
      <c r="CF24" s="49">
        <f>0</f>
      </c>
      <c r="CG24" s="49">
        <f>CF24</f>
      </c>
      <c r="CH24" s="49">
        <f>CG24</f>
      </c>
      <c r="CI24" s="49">
        <f>X42</f>
      </c>
      <c r="CJ24" s="49">
        <f>0</f>
      </c>
      <c r="CK24" s="49">
        <f>CJ24</f>
      </c>
      <c r="CL24" s="49">
        <f>CK24</f>
      </c>
      <c r="CM24" s="10"/>
    </row>
    <row r="26" spans="2:24" x14ac:dyDescent="0.25">
      <c r="B26" s="29" t="s">
        <v>75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  <c r="W26" s="13">
        <v>2043</v>
      </c>
      <c r="X26" s="13">
        <v>2044</v>
      </c>
    </row>
    <row r="27" spans="2:24" x14ac:dyDescent="0.25">
      <c r="B27" s="29" t="s">
        <v>347</v>
      </c>
      <c r="C27" s="30" t="s">
        <v>224</v>
      </c>
      <c r="E27" s="33">
        <f>K10</f>
      </c>
      <c r="F27" s="33">
        <f>L10+M10+N10+O10</f>
      </c>
      <c r="G27" s="33">
        <f>P10+Q10+R10+S10</f>
      </c>
      <c r="H27" s="33">
        <f>T10+U10+V10+W10</f>
      </c>
      <c r="I27" s="33">
        <f>X10+Y10+Z10+AA10</f>
      </c>
      <c r="J27" s="33">
        <f>AB10+AC10+AD10+AE10</f>
      </c>
      <c r="K27" s="33">
        <f>AF10+AG10+AH10+AI10</f>
      </c>
      <c r="L27" s="33">
        <f>AJ10+AK10+AL10+AM10</f>
      </c>
      <c r="M27" s="33">
        <f>AN10+AO10+AP10+AQ10</f>
      </c>
      <c r="N27" s="33">
        <f>AR10+AS10+AT10+AU10</f>
      </c>
      <c r="O27" s="33">
        <f>AV10+AW10+AX10+AY10</f>
      </c>
      <c r="P27" s="33">
        <f>AZ10+BA10+BB10+BC10</f>
      </c>
      <c r="Q27" s="33">
        <f>BD10+BE10+BF10+BG10</f>
      </c>
      <c r="R27" s="33">
        <f>BH10+BI10+BJ10+BK10</f>
      </c>
      <c r="S27" s="33">
        <f>BL10+BM10+BN10+BO10</f>
      </c>
      <c r="T27" s="33">
        <f>BP10+BQ10+BR10+BS10</f>
      </c>
      <c r="U27" s="33">
        <f>BT10+BU10+BV10+BW10</f>
      </c>
      <c r="V27" s="33">
        <f>BX10+BY10</f>
      </c>
      <c r="W27" s="33">
        <f>0</f>
      </c>
      <c r="X27" s="33">
        <f>0</f>
      </c>
    </row>
    <row r="28" spans="2:24" x14ac:dyDescent="0.25">
      <c r="B28" s="29" t="s">
        <v>348</v>
      </c>
      <c r="C28" s="30" t="s">
        <v>224</v>
      </c>
      <c r="E28" s="33">
        <f>K9</f>
      </c>
      <c r="F28" s="33">
        <f>L9+M9+N9+O9</f>
      </c>
      <c r="G28" s="33">
        <f>P9+Q9+R9+S9</f>
      </c>
      <c r="H28" s="33">
        <f>T9+U9+V9+W9</f>
      </c>
      <c r="I28" s="33">
        <f>X9+Y9+Z9+AA9</f>
      </c>
      <c r="J28" s="33">
        <f>AB9+AC9+AD9+AE9</f>
      </c>
      <c r="K28" s="33">
        <f>AF9+AG9+AH9+AI9</f>
      </c>
      <c r="L28" s="33">
        <f>AJ9+AK9+AL9+AM9</f>
      </c>
      <c r="M28" s="33">
        <f>AN9+AO9+AP9+AQ9</f>
      </c>
      <c r="N28" s="33">
        <f>AR9+AS9+AT9+AU9</f>
      </c>
      <c r="O28" s="33">
        <f>AV9+AW9+AX9+AY9</f>
      </c>
      <c r="P28" s="33">
        <f>AZ9+BA9+BB9+BC9</f>
      </c>
      <c r="Q28" s="33">
        <f>BD9+BE9+BF9+BG9</f>
      </c>
      <c r="R28" s="33">
        <f>BH9+BI9+BJ9+BK9</f>
      </c>
      <c r="S28" s="33">
        <f>BL9+BM9+BN9+BO9</f>
      </c>
      <c r="T28" s="33">
        <f>BP9+BQ9+BR9+BS9</f>
      </c>
      <c r="U28" s="33">
        <f>BT9+BU9+BV9+BW9</f>
      </c>
      <c r="V28" s="33">
        <f>BX9+BY9</f>
      </c>
      <c r="W28" s="33">
        <f>0</f>
      </c>
      <c r="X28" s="33">
        <f>0</f>
      </c>
    </row>
    <row r="29" spans="2:24" x14ac:dyDescent="0.25">
      <c r="B29" s="29" t="s">
        <v>349</v>
      </c>
      <c r="C29" s="30" t="s">
        <v>334</v>
      </c>
      <c r="E29" s="50">
        <f>IF(E27=0,"",E28/E27)</f>
      </c>
      <c r="F29" s="50">
        <f>IF(F27=0,"",F28/F27)</f>
      </c>
      <c r="G29" s="50">
        <f>IF(G27=0,"",G28/G27)</f>
      </c>
      <c r="H29" s="50">
        <f>IF(H27=0,"",H28/H27)</f>
      </c>
      <c r="I29" s="50">
        <f>IF(I27=0,"",I28/I27)</f>
      </c>
      <c r="J29" s="50">
        <f>IF(J27=0,"",J28/J27)</f>
      </c>
      <c r="K29" s="50">
        <f>IF(K27=0,"",K28/K27)</f>
      </c>
      <c r="L29" s="50">
        <f>IF(L27=0,"",L28/L27)</f>
      </c>
      <c r="M29" s="50">
        <f>IF(M27=0,"",M28/M27)</f>
      </c>
      <c r="N29" s="50">
        <f>IF(N27=0,"",N28/N27)</f>
      </c>
      <c r="O29" s="50">
        <f>IF(O27=0,"",O28/O27)</f>
      </c>
      <c r="P29" s="50">
        <f>IF(P27=0,"",P28/P27)</f>
      </c>
      <c r="Q29" s="50">
        <f>IF(Q27=0,"",Q28/Q27)</f>
      </c>
      <c r="R29" s="50">
        <f>IF(R27=0,"",R28/R27)</f>
      </c>
      <c r="S29" s="50">
        <f>IF(S27=0,"",S28/S27)</f>
      </c>
      <c r="T29" s="50">
        <f>IF(T27=0,"",T28/T27)</f>
      </c>
      <c r="U29" s="50">
        <f>IF(U27=0,"",U28/U27)</f>
      </c>
      <c r="V29" s="50">
        <f>IF(V27=0,"",V28/V27)</f>
      </c>
      <c r="W29" s="50">
        <f>IF(W27=0,"",W28/W27)</f>
      </c>
      <c r="X29" s="50">
        <f>IF(X27=0,"",X28/X27)</f>
      </c>
    </row>
    <row r="30" spans="2:24" x14ac:dyDescent="0.25">
      <c r="B30" s="29" t="s">
        <v>350</v>
      </c>
      <c r="C30" s="30" t="s">
        <v>334</v>
      </c>
      <c r="E30" s="50">
        <f>IF(E27=0,"",(H15+H20+E28)/E27)</f>
      </c>
      <c r="F30" s="50">
        <f>IF(F27=0,"",(L15+L20+F28)/F27)</f>
      </c>
      <c r="G30" s="50">
        <f>IF(G27=0,"",(P15+P20+G28)/G27)</f>
      </c>
      <c r="H30" s="50">
        <f>IF(H27=0,"",(T15+T20+H28)/H27)</f>
      </c>
      <c r="I30" s="50">
        <f>IF(I27=0,"",(X15+X20+I28)/I27)</f>
      </c>
      <c r="J30" s="50">
        <f>IF(J27=0,"",(AB15+AB20+J28)/J27)</f>
      </c>
      <c r="K30" s="50">
        <f>IF(K27=0,"",(AF15+AF20+K28)/K27)</f>
      </c>
      <c r="L30" s="50">
        <f>IF(L27=0,"",(AJ15+AJ20+L28)/L27)</f>
      </c>
      <c r="M30" s="50">
        <f>IF(M27=0,"",(AN15+AN20+M28)/M27)</f>
      </c>
      <c r="N30" s="50">
        <f>IF(N27=0,"",(AR15+AR20+N28)/N27)</f>
      </c>
      <c r="O30" s="50">
        <f>IF(O27=0,"",(AV15+AV20+O28)/O27)</f>
      </c>
      <c r="P30" s="50">
        <f>IF(P27=0,"",(AZ15+AZ20+P28)/P27)</f>
      </c>
      <c r="Q30" s="50">
        <f>IF(Q27=0,"",(BD15+BD20+Q28)/Q27)</f>
      </c>
      <c r="R30" s="50">
        <f>IF(R27=0,"",(BH15+BH20+R28)/R27)</f>
      </c>
      <c r="S30" s="50">
        <f>IF(S27=0,"",(BL15+BL20+S28)/S27)</f>
      </c>
      <c r="T30" s="50">
        <f>IF(T27=0,"",(BP15+BP20+T28)/T27)</f>
      </c>
      <c r="U30" s="50">
        <f>IF(U27=0,"",(BT15+BT20+U28)/U27)</f>
      </c>
      <c r="V30" s="50">
        <f>IF(V27=0,"",(BX15+BX20+V28)/V27)</f>
      </c>
      <c r="W30" s="50">
        <f>IF(W27=0,"",(CB15+CB20+W28)/W27)</f>
      </c>
      <c r="X30" s="50">
        <f>IF(X27=0,"",(CF15+CF20+X28)/X27)</f>
      </c>
    </row>
    <row r="31" spans="2:24" x14ac:dyDescent="0.25">
      <c r="B31" s="29" t="s">
        <v>351</v>
      </c>
      <c r="C31" s="30" t="s">
        <v>224</v>
      </c>
      <c r="E31" s="33">
        <f>K9+K19</f>
      </c>
      <c r="F31" s="33">
        <f>L9+L19+M9+M19+N9+N19+O9+O19</f>
      </c>
      <c r="G31" s="33">
        <f>P9+P19+Q9+Q19+R9+R19+S9+S19</f>
      </c>
      <c r="H31" s="33">
        <f>T9+T19+U9+U19+V9+V19+W9+W19</f>
      </c>
      <c r="I31" s="33">
        <f>X9+X19+Y9+Y19+Z9+Z19+AA9+AA19</f>
      </c>
      <c r="J31" s="33">
        <f>AB9+AB19+AC9+AC19+AD9+AD19+AE9+AE19</f>
      </c>
      <c r="K31" s="33">
        <f>AF9+AF19+AG9+AG19+AH9+AH19+AI9+AI19</f>
      </c>
      <c r="L31" s="33">
        <f>AJ9+AJ19+AK9+AK19+AL9+AL19+AM9+AM19</f>
      </c>
      <c r="M31" s="33">
        <f>AN9+AN19+AO9+AO19+AP9+AP19+AQ9+AQ19</f>
      </c>
      <c r="N31" s="33">
        <f>AR9+AR19+AS9+AS19+AT9+AT19+AU9+AU19</f>
      </c>
      <c r="O31" s="33">
        <f>AV9+AV19+AW9+AW19+AX9+AX19+AY9+AY19</f>
      </c>
      <c r="P31" s="33">
        <f>AZ9+AZ19+BA9+BA19+BB9+BB19+BC9+BC19</f>
      </c>
      <c r="Q31" s="33">
        <f>BD9+BD19+BE9+BE19+BF9+BF19+BG9+BG19</f>
      </c>
      <c r="R31" s="33">
        <f>BH9+BH19+BI9+BI19+BJ9+BJ19+BK9+BK19</f>
      </c>
      <c r="S31" s="33">
        <f>BL9+BL19+BM9+BM19+BN9+BN19+BO9+BO19</f>
      </c>
      <c r="T31" s="33">
        <f>BP9+BP19+BQ9+BQ19+BR9+BR19+BS9+BS19</f>
      </c>
      <c r="U31" s="33">
        <f>BT9+BT19+BU9+BU19+BV9+BV19+BW9+BW19</f>
      </c>
      <c r="V31" s="33">
        <f>BX9+BX19+BY9+BY19</f>
      </c>
      <c r="W31" s="33">
        <f>0</f>
      </c>
      <c r="X31" s="33">
        <f>0</f>
      </c>
    </row>
    <row r="32" spans="2:24" x14ac:dyDescent="0.25">
      <c r="B32" s="29" t="s">
        <v>352</v>
      </c>
      <c r="C32" s="30" t="s">
        <v>224</v>
      </c>
      <c r="E32" s="33">
        <f>K15+K20</f>
      </c>
      <c r="F32" s="33">
        <f>L15+L20</f>
      </c>
      <c r="G32" s="33">
        <f>P15+P20</f>
      </c>
      <c r="H32" s="33">
        <f>T15+T20</f>
      </c>
      <c r="I32" s="33">
        <f>X15+X20</f>
      </c>
      <c r="J32" s="33">
        <f>AB15+AB20</f>
      </c>
      <c r="K32" s="33">
        <f>AF15+AF20</f>
      </c>
      <c r="L32" s="33">
        <f>AJ15+AJ20</f>
      </c>
      <c r="M32" s="33">
        <f>AN15+AN20</f>
      </c>
      <c r="N32" s="33">
        <f>AR15+AR20</f>
      </c>
      <c r="O32" s="33">
        <f>AV15+AV20</f>
      </c>
      <c r="P32" s="33">
        <f>AZ15+AZ20</f>
      </c>
      <c r="Q32" s="33">
        <f>BD15+BD20</f>
      </c>
      <c r="R32" s="33">
        <f>BH15+BH20</f>
      </c>
      <c r="S32" s="33">
        <f>BL15+BL20</f>
      </c>
      <c r="T32" s="33">
        <f>BP15+BP20</f>
      </c>
      <c r="U32" s="33">
        <f>BT15+BT20</f>
      </c>
      <c r="V32" s="33">
        <f>BX15+BX20</f>
      </c>
      <c r="W32" s="33">
        <f>CB15+CB20</f>
      </c>
      <c r="X32" s="33">
        <f>CF15+CF20</f>
      </c>
    </row>
    <row r="33" spans="2:24" x14ac:dyDescent="0.25">
      <c r="B33" s="29" t="s">
        <v>353</v>
      </c>
      <c r="C33" s="30" t="s">
        <v>224</v>
      </c>
      <c r="E33" s="33">
        <f>K15</f>
      </c>
      <c r="F33" s="33">
        <f>L15</f>
      </c>
      <c r="G33" s="33">
        <f>P15</f>
      </c>
      <c r="H33" s="33">
        <f>T15</f>
      </c>
      <c r="I33" s="33">
        <f>X15</f>
      </c>
      <c r="J33" s="33">
        <f>AB15</f>
      </c>
      <c r="K33" s="33">
        <f>AF15</f>
      </c>
      <c r="L33" s="33">
        <f>AJ15</f>
      </c>
      <c r="M33" s="33">
        <f>AN15</f>
      </c>
      <c r="N33" s="33">
        <f>AR15</f>
      </c>
      <c r="O33" s="33">
        <f>AV15</f>
      </c>
      <c r="P33" s="33">
        <f>AZ15</f>
      </c>
      <c r="Q33" s="33">
        <f>BD15</f>
      </c>
      <c r="R33" s="33">
        <f>BH15</f>
      </c>
      <c r="S33" s="33">
        <f>BL15</f>
      </c>
      <c r="T33" s="33">
        <f>BP15</f>
      </c>
      <c r="U33" s="33">
        <f>BT15</f>
      </c>
      <c r="V33" s="33">
        <f>BX15</f>
      </c>
      <c r="W33" s="33">
        <f>CB15</f>
      </c>
      <c r="X33" s="33">
        <f>CF15</f>
      </c>
    </row>
    <row r="34" spans="2:24" x14ac:dyDescent="0.25">
      <c r="B34" s="29" t="s">
        <v>354</v>
      </c>
      <c r="C34" s="30" t="s">
        <v>224</v>
      </c>
      <c r="F34" s="33">
        <f>L15-L16</f>
      </c>
      <c r="G34" s="33">
        <f>P15-P16</f>
      </c>
      <c r="H34" s="33">
        <f>T15-T16</f>
      </c>
      <c r="I34" s="33">
        <f>X15-X16</f>
      </c>
      <c r="J34" s="33">
        <f>AB15-AB16</f>
      </c>
      <c r="K34" s="33">
        <f>AF15-AF16</f>
      </c>
      <c r="L34" s="33">
        <f>AJ15-AJ16</f>
      </c>
      <c r="M34" s="33">
        <f>AN15-AN16</f>
      </c>
      <c r="N34" s="33">
        <f>AR15-AR16</f>
      </c>
      <c r="O34" s="33">
        <f>AV15-AV16</f>
      </c>
      <c r="P34" s="33">
        <f>AZ15-AZ16</f>
      </c>
      <c r="Q34" s="33">
        <f>BD15-BD16</f>
      </c>
      <c r="R34" s="33">
        <f>BH15-BH16</f>
      </c>
      <c r="S34" s="33">
        <f>BL15-BL16</f>
      </c>
      <c r="T34" s="33">
        <f>BP15-BP16</f>
      </c>
      <c r="U34" s="33">
        <f>BT15-BT16</f>
      </c>
      <c r="V34" s="33">
        <f>BX15-BX16</f>
      </c>
      <c r="W34" s="33">
        <f>CB15-CB16</f>
      </c>
      <c r="X34" s="33">
        <f>CF15-CF16</f>
      </c>
    </row>
    <row r="35" spans="2:24" x14ac:dyDescent="0.25">
      <c r="B35" s="29" t="s">
        <v>355</v>
      </c>
      <c r="C35" s="30" t="s">
        <v>356</v>
      </c>
      <c r="E35" s="38">
        <f>IF(E27=0,TRUE,E29&gt;='입력값'!C23)</f>
      </c>
      <c r="F35" s="38">
        <f>IF(F27=0,TRUE,F29&gt;='입력값'!C23)</f>
      </c>
      <c r="G35" s="38">
        <f>IF(G27=0,TRUE,G29&gt;='입력값'!C23)</f>
      </c>
      <c r="H35" s="38">
        <f>IF(H27=0,TRUE,H29&gt;='입력값'!C23)</f>
      </c>
      <c r="I35" s="38">
        <f>IF(I27=0,TRUE,I29&gt;='입력값'!C23)</f>
      </c>
      <c r="J35" s="38">
        <f>IF(J27=0,TRUE,J29&gt;='입력값'!C23)</f>
      </c>
      <c r="K35" s="38">
        <f>IF(K27=0,TRUE,K29&gt;='입력값'!C23)</f>
      </c>
      <c r="L35" s="38">
        <f>IF(L27=0,TRUE,L29&gt;='입력값'!C23)</f>
      </c>
      <c r="M35" s="38">
        <f>IF(M27=0,TRUE,M29&gt;='입력값'!C23)</f>
      </c>
      <c r="N35" s="38">
        <f>IF(N27=0,TRUE,N29&gt;='입력값'!C23)</f>
      </c>
      <c r="O35" s="38">
        <f>IF(O27=0,TRUE,O29&gt;='입력값'!C23)</f>
      </c>
      <c r="P35" s="38">
        <f>IF(P27=0,TRUE,P29&gt;='입력값'!C23)</f>
      </c>
      <c r="Q35" s="38">
        <f>IF(Q27=0,TRUE,Q29&gt;='입력값'!C23)</f>
      </c>
      <c r="R35" s="38">
        <f>IF(R27=0,TRUE,R29&gt;='입력값'!C23)</f>
      </c>
      <c r="S35" s="38">
        <f>IF(S27=0,TRUE,S29&gt;='입력값'!C23)</f>
      </c>
      <c r="T35" s="38">
        <f>IF(T27=0,TRUE,T29&gt;='입력값'!C23)</f>
      </c>
      <c r="U35" s="38">
        <f>IF(U27=0,TRUE,U29&gt;='입력값'!C23)</f>
      </c>
      <c r="V35" s="38">
        <f>IF(V27=0,TRUE,V29&gt;='입력값'!C23)</f>
      </c>
      <c r="W35" s="38">
        <f>IF(W27=0,TRUE,W29&gt;='입력값'!C23)</f>
      </c>
      <c r="X35" s="38">
        <f>IF(X27=0,TRUE,X29&gt;='입력값'!C23)</f>
      </c>
    </row>
    <row r="36" spans="2:24" x14ac:dyDescent="0.25">
      <c r="B36" s="29" t="s">
        <v>357</v>
      </c>
      <c r="C36" s="30" t="s">
        <v>356</v>
      </c>
      <c r="E36" s="38">
        <f>IF(E27=0,TRUE,E30&gt;='입력값'!C24)</f>
      </c>
      <c r="F36" s="38">
        <f>IF(F27=0,TRUE,F30&gt;='입력값'!C24)</f>
      </c>
      <c r="G36" s="38">
        <f>IF(G27=0,TRUE,G30&gt;='입력값'!C24)</f>
      </c>
      <c r="H36" s="38">
        <f>IF(H27=0,TRUE,H30&gt;='입력값'!C24)</f>
      </c>
      <c r="I36" s="38">
        <f>IF(I27=0,TRUE,I30&gt;='입력값'!C24)</f>
      </c>
      <c r="J36" s="38">
        <f>IF(J27=0,TRUE,J30&gt;='입력값'!C24)</f>
      </c>
      <c r="K36" s="38">
        <f>IF(K27=0,TRUE,K30&gt;='입력값'!C24)</f>
      </c>
      <c r="L36" s="38">
        <f>IF(L27=0,TRUE,L30&gt;='입력값'!C24)</f>
      </c>
      <c r="M36" s="38">
        <f>IF(M27=0,TRUE,M30&gt;='입력값'!C24)</f>
      </c>
      <c r="N36" s="38">
        <f>IF(N27=0,TRUE,N30&gt;='입력값'!C24)</f>
      </c>
      <c r="O36" s="38">
        <f>IF(O27=0,TRUE,O30&gt;='입력값'!C24)</f>
      </c>
      <c r="P36" s="38">
        <f>IF(P27=0,TRUE,P30&gt;='입력값'!C24)</f>
      </c>
      <c r="Q36" s="38">
        <f>IF(Q27=0,TRUE,Q30&gt;='입력값'!C24)</f>
      </c>
      <c r="R36" s="38">
        <f>IF(R27=0,TRUE,R30&gt;='입력값'!C24)</f>
      </c>
      <c r="S36" s="38">
        <f>IF(S27=0,TRUE,S30&gt;='입력값'!C24)</f>
      </c>
      <c r="T36" s="38">
        <f>IF(T27=0,TRUE,T30&gt;='입력값'!C24)</f>
      </c>
      <c r="U36" s="38">
        <f>IF(U27=0,TRUE,U30&gt;='입력값'!C24)</f>
      </c>
      <c r="V36" s="38">
        <f>IF(V27=0,TRUE,V30&gt;='입력값'!C24)</f>
      </c>
      <c r="W36" s="38">
        <f>IF(W27=0,TRUE,W30&gt;='입력값'!C24)</f>
      </c>
      <c r="X36" s="38">
        <f>IF(X27=0,TRUE,X30&gt;='입력값'!C24)</f>
      </c>
    </row>
    <row r="37" spans="2:24" x14ac:dyDescent="0.25">
      <c r="B37" s="29" t="s">
        <v>358</v>
      </c>
      <c r="C37" s="30" t="s">
        <v>356</v>
      </c>
      <c r="E37" s="38">
        <f>AND(FALSE,E35,E36)</f>
      </c>
      <c r="F37" s="38">
        <f>AND(FALSE,F35,F36)</f>
      </c>
      <c r="G37" s="38">
        <f>AND(TRUE,G35,G36)</f>
      </c>
      <c r="H37" s="38">
        <f>AND(TRUE,H35,H36)</f>
      </c>
      <c r="I37" s="38">
        <f>AND(TRUE,I35,I36)</f>
      </c>
      <c r="J37" s="38">
        <f>AND(TRUE,J35,J36)</f>
      </c>
      <c r="K37" s="38">
        <f>AND(TRUE,K35,K36)</f>
      </c>
      <c r="L37" s="38">
        <f>AND(TRUE,L35,L36)</f>
      </c>
      <c r="M37" s="38">
        <f>AND(TRUE,M35,M36)</f>
      </c>
      <c r="N37" s="38">
        <f>AND(TRUE,N35,N36)</f>
      </c>
      <c r="O37" s="38">
        <f>AND(TRUE,O35,O36)</f>
      </c>
      <c r="P37" s="38">
        <f>AND(TRUE,P35,P36)</f>
      </c>
      <c r="Q37" s="38">
        <f>AND(TRUE,Q35,Q36)</f>
      </c>
      <c r="R37" s="38">
        <f>AND(TRUE,R35,R36)</f>
      </c>
      <c r="S37" s="38">
        <f>AND(TRUE,S35,S36)</f>
      </c>
      <c r="T37" s="38">
        <f>AND(TRUE,T35,T36)</f>
      </c>
      <c r="U37" s="38">
        <f>AND(TRUE,U35,U36)</f>
      </c>
      <c r="V37" s="38">
        <f>AND(TRUE,V35,V36)</f>
      </c>
      <c r="W37" s="38">
        <f>AND(TRUE,W35,W36)</f>
      </c>
      <c r="X37" s="38">
        <f>AND(TRUE,X35,X36)</f>
      </c>
    </row>
    <row r="38" spans="2:24" x14ac:dyDescent="0.25">
      <c r="B38" s="29" t="s">
        <v>359</v>
      </c>
      <c r="C38" s="30" t="s">
        <v>224</v>
      </c>
      <c r="E38" s="33">
        <f>(J22+'IS(Q)'!K45)/1.1</f>
      </c>
      <c r="F38" s="33">
        <f>(N22+'IS(Q)'!O45)/1.1</f>
      </c>
      <c r="G38" s="33">
        <f>(R22+'IS(Q)'!S45)/1.1</f>
      </c>
      <c r="H38" s="33">
        <f>(V22+'IS(Q)'!W45)/1.1</f>
      </c>
      <c r="I38" s="33">
        <f>(Z22+'IS(Q)'!AA45)/1.1</f>
      </c>
      <c r="J38" s="33">
        <f>(AD22+'IS(Q)'!AE45)/1.1</f>
      </c>
      <c r="K38" s="33">
        <f>(AH22+'IS(Q)'!AI45)/1.1</f>
      </c>
      <c r="L38" s="33">
        <f>(AL22+'IS(Q)'!AM45)/1.1</f>
      </c>
      <c r="M38" s="33">
        <f>(AP22+'IS(Q)'!AQ45)/1.1</f>
      </c>
      <c r="N38" s="33">
        <f>(AT22+'IS(Q)'!AU45)/1.1</f>
      </c>
      <c r="O38" s="33">
        <f>(AX22+'IS(Q)'!AY45)/1.1</f>
      </c>
      <c r="P38" s="33">
        <f>(BB22+'IS(Q)'!BC45)/1.1</f>
      </c>
      <c r="Q38" s="33">
        <f>(BF22+'IS(Q)'!BG45)/1.1</f>
      </c>
      <c r="R38" s="33">
        <f>(BJ22+'IS(Q)'!BK45)/1.1</f>
      </c>
      <c r="S38" s="33">
        <f>(BN22+'IS(Q)'!BO45)/1.1</f>
      </c>
      <c r="T38" s="33">
        <f>(BR22+'IS(Q)'!BS45)/1.1</f>
      </c>
      <c r="U38" s="33">
        <f>(BV22+'IS(Q)'!BW45)/1.1</f>
      </c>
      <c r="V38" s="33">
        <f>(BZ22+'IS(Q)'!CA45)/1.1</f>
      </c>
      <c r="W38" s="33">
        <f>(CD22+'IS(Q)'!CE45)/1.1</f>
      </c>
      <c r="X38" s="33">
        <f>(CH22+'IS(Q)'!CI45)/1.1</f>
      </c>
    </row>
    <row r="39" spans="2:24" x14ac:dyDescent="0.25">
      <c r="B39" s="29" t="s">
        <v>360</v>
      </c>
      <c r="C39" s="30" t="s">
        <v>224</v>
      </c>
      <c r="E39" s="33">
        <f>K18-'입력값'!C22*100</f>
      </c>
      <c r="F39" s="33">
        <f>O18-'입력값'!C22*100</f>
      </c>
      <c r="G39" s="33">
        <f>S18-'입력값'!C22*100</f>
      </c>
      <c r="H39" s="33">
        <f>W18-'입력값'!C22*100</f>
      </c>
      <c r="I39" s="33">
        <f>AA18-'입력값'!C22*100</f>
      </c>
      <c r="J39" s="33">
        <f>AE18-'입력값'!C22*100</f>
      </c>
      <c r="K39" s="33">
        <f>AI18-'입력값'!C22*100</f>
      </c>
      <c r="L39" s="33">
        <f>AM18-'입력값'!C22*100</f>
      </c>
      <c r="M39" s="33">
        <f>AQ18-'입력값'!C22*100</f>
      </c>
      <c r="N39" s="33">
        <f>AU18-'입력값'!C22*100</f>
      </c>
      <c r="O39" s="33">
        <f>AY18-'입력값'!C22*100</f>
      </c>
      <c r="P39" s="33">
        <f>BC18-'입력값'!C22*100</f>
      </c>
      <c r="Q39" s="33">
        <f>BG18-'입력값'!C22*100</f>
      </c>
      <c r="R39" s="33">
        <f>BK18-'입력값'!C22*100</f>
      </c>
      <c r="S39" s="33">
        <f>BO18-'입력값'!C22*100</f>
      </c>
      <c r="T39" s="33">
        <f>BS18-'입력값'!C22*100</f>
      </c>
      <c r="U39" s="33">
        <f>BW18-'입력값'!C22*100</f>
      </c>
      <c r="V39" s="33">
        <f>CA18-'입력값'!C22*100</f>
      </c>
      <c r="W39" s="33">
        <f>CE18-'입력값'!C22*100</f>
      </c>
      <c r="X39" s="33">
        <f>CI18-'입력값'!C22*100</f>
      </c>
    </row>
    <row r="40" spans="2:24" x14ac:dyDescent="0.25">
      <c r="B40" s="29" t="s">
        <v>361</v>
      </c>
      <c r="C40" s="30" t="s">
        <v>224</v>
      </c>
      <c r="E40" s="33">
        <f>E33+E31</f>
      </c>
      <c r="F40" s="33">
        <f>F34+F31</f>
      </c>
      <c r="G40" s="33">
        <f>G34+G31</f>
      </c>
      <c r="H40" s="33">
        <f>H34+H31</f>
      </c>
      <c r="I40" s="33">
        <f>I34+I31</f>
      </c>
      <c r="J40" s="33">
        <f>J34+J31</f>
      </c>
      <c r="K40" s="33">
        <f>K34+K31</f>
      </c>
      <c r="L40" s="33">
        <f>L34+L31</f>
      </c>
      <c r="M40" s="33">
        <f>M34+M31</f>
      </c>
      <c r="N40" s="33">
        <f>N34+N31</f>
      </c>
      <c r="O40" s="33">
        <f>O34+O31</f>
      </c>
      <c r="P40" s="33">
        <f>P34+P31</f>
      </c>
      <c r="Q40" s="33">
        <f>Q34+Q31</f>
      </c>
      <c r="R40" s="33">
        <f>R34+R31</f>
      </c>
      <c r="S40" s="33">
        <f>S34+S31</f>
      </c>
      <c r="T40" s="33">
        <f>T34+T31</f>
      </c>
      <c r="U40" s="33">
        <f>U34+U31</f>
      </c>
      <c r="V40" s="33">
        <f>V34+V31</f>
      </c>
      <c r="W40" s="33">
        <f>W34+W31</f>
      </c>
      <c r="X40" s="33">
        <f>X34+X31</f>
      </c>
    </row>
    <row r="41" spans="2:24" x14ac:dyDescent="0.25">
      <c r="B41" s="29" t="s">
        <v>362</v>
      </c>
      <c r="C41" s="30" t="s">
        <v>224</v>
      </c>
      <c r="E41" s="33">
        <f>MAX(0,E40-E27*'입력값'!C24)</f>
      </c>
      <c r="F41" s="33">
        <f>MAX(0,F40-F27*'입력값'!C24)</f>
      </c>
      <c r="G41" s="33">
        <f>MAX(0,G40-G27*'입력값'!C24)</f>
      </c>
      <c r="H41" s="33">
        <f>MAX(0,H40-H27*'입력값'!C24)</f>
      </c>
      <c r="I41" s="33">
        <f>MAX(0,I40-I27*'입력값'!C24)</f>
      </c>
      <c r="J41" s="33">
        <f>MAX(0,J40-J27*'입력값'!C24)</f>
      </c>
      <c r="K41" s="33">
        <f>MAX(0,K40-K27*'입력값'!C24)</f>
      </c>
      <c r="L41" s="33">
        <f>MAX(0,L40-L27*'입력값'!C24)</f>
      </c>
      <c r="M41" s="33">
        <f>MAX(0,M40-M27*'입력값'!C24)</f>
      </c>
      <c r="N41" s="33">
        <f>MAX(0,N40-N27*'입력값'!C24)</f>
      </c>
      <c r="O41" s="33">
        <f>MAX(0,O40-O27*'입력값'!C24)</f>
      </c>
      <c r="P41" s="33">
        <f>MAX(0,P40-P27*'입력값'!C24)</f>
      </c>
      <c r="Q41" s="33">
        <f>MAX(0,Q40-Q27*'입력값'!C24)</f>
      </c>
      <c r="R41" s="33">
        <f>MAX(0,R40-R27*'입력값'!C24)</f>
      </c>
      <c r="S41" s="33">
        <f>MAX(0,S40-S27*'입력값'!C24)</f>
      </c>
      <c r="T41" s="33">
        <f>MAX(0,T40-T27*'입력값'!C24)</f>
      </c>
      <c r="U41" s="33">
        <f>MAX(0,U40-U27*'입력값'!C24)</f>
      </c>
      <c r="V41" s="33">
        <f>MAX(0,V40-V27*'입력값'!C24)</f>
      </c>
      <c r="W41" s="33">
        <f>MAX(0,W40-W27*'입력값'!C24)</f>
      </c>
      <c r="X41" s="33">
        <f>MAX(0,X40-X27*'입력값'!C24)</f>
      </c>
    </row>
    <row r="42" spans="2:24" x14ac:dyDescent="0.25">
      <c r="B42" s="29" t="s">
        <v>363</v>
      </c>
      <c r="C42" s="30" t="s">
        <v>224</v>
      </c>
      <c r="E42" s="33">
        <f>IF(E37,MAX(0,MIN(MIN(E39,E38),E41)),0)</f>
      </c>
      <c r="F42" s="33">
        <f>IF(F37,MAX(0,MIN(MIN(F39,F38),F41)),0)</f>
      </c>
      <c r="G42" s="33">
        <f>IF(G37,MAX(0,MIN(MIN(G39,G38),G41)),0)</f>
      </c>
      <c r="H42" s="33">
        <f>IF(H37,MAX(0,MIN(MIN(H39,H38),H41)),0)</f>
      </c>
      <c r="I42" s="33">
        <f>IF(I37,MAX(0,MIN(MIN(I39,I38),I41)),0)</f>
      </c>
      <c r="J42" s="33">
        <f>IF(J37,MAX(0,MIN(MIN(J39,J38),J41)),0)</f>
      </c>
      <c r="K42" s="33">
        <f>IF(K37,MAX(0,MIN(MIN(K39,K38),K41)),0)</f>
      </c>
      <c r="L42" s="33">
        <f>IF(L37,MAX(0,MIN(MIN(L39,L38),L41)),0)</f>
      </c>
      <c r="M42" s="33">
        <f>IF(M37,MAX(0,MIN(MIN(M39,M38),M41)),0)</f>
      </c>
      <c r="N42" s="33">
        <f>IF(N37,MAX(0,MIN(MIN(N39,N38),N41)),0)</f>
      </c>
      <c r="O42" s="33">
        <f>IF(O37,MAX(0,MIN(MIN(O39,O38),O41)),0)</f>
      </c>
      <c r="P42" s="33">
        <f>IF(P37,MAX(0,MIN(MIN(P39,P38),P41)),0)</f>
      </c>
      <c r="Q42" s="33">
        <f>IF(Q37,MAX(0,MIN(MIN(Q39,Q38),Q41)),0)</f>
      </c>
      <c r="R42" s="33">
        <f>IF(R37,MAX(0,MIN(MIN(R39,R38),R41)),0)</f>
      </c>
      <c r="S42" s="33">
        <f>IF(S37,MAX(0,MIN(MIN(S39,S38),S41)),0)</f>
      </c>
      <c r="T42" s="33">
        <f>IF(T37,MAX(0,MIN(MIN(T39,T38),T41)),0)</f>
      </c>
      <c r="U42" s="33">
        <f>IF(U37,MAX(0,MIN(MIN(U39,U38),U41)),0)</f>
      </c>
      <c r="V42" s="33">
        <f>IF(V37,MAX(0,MIN(MIN(V39,V38),V41)),0)</f>
      </c>
      <c r="W42" s="33">
        <f>IF(W37,MAX(0,MIN(MIN(W39,W38),W41)),0)</f>
      </c>
      <c r="X42" s="33">
        <f>IF(X37,MAX(0,MIN(MIN(X39,X38),X41)),0)</f>
      </c>
    </row>
    <row r="43" spans="2:24" x14ac:dyDescent="0.25">
      <c r="B43" s="29" t="s">
        <v>364</v>
      </c>
      <c r="C43" s="30" t="s">
        <v>224</v>
      </c>
      <c r="E43" s="33">
        <f>IF(E37,MAX(0,MIN(E42*0.10,'입력값'!C9*100*0.5-J23)),0)</f>
      </c>
      <c r="F43" s="33">
        <f>IF(F37,MAX(0,MIN(F42*0.10,'입력값'!C9*100*0.5-N23)),0)</f>
      </c>
      <c r="G43" s="33">
        <f>IF(G37,MAX(0,MIN(G42*0.10,'입력값'!C9*100*0.5-R23)),0)</f>
      </c>
      <c r="H43" s="33">
        <f>IF(H37,MAX(0,MIN(H42*0.10,'입력값'!C9*100*0.5-V23)),0)</f>
      </c>
      <c r="I43" s="33">
        <f>IF(I37,MAX(0,MIN(I42*0.10,'입력값'!C9*100*0.5-Z23)),0)</f>
      </c>
      <c r="J43" s="33">
        <f>IF(J37,MAX(0,MIN(J42*0.10,'입력값'!C9*100*0.5-AD23)),0)</f>
      </c>
      <c r="K43" s="33">
        <f>IF(K37,MAX(0,MIN(K42*0.10,'입력값'!C9*100*0.5-AH23)),0)</f>
      </c>
      <c r="L43" s="33">
        <f>IF(L37,MAX(0,MIN(L42*0.10,'입력값'!C9*100*0.5-AL23)),0)</f>
      </c>
      <c r="M43" s="33">
        <f>IF(M37,MAX(0,MIN(M42*0.10,'입력값'!C9*100*0.5-AP23)),0)</f>
      </c>
      <c r="N43" s="33">
        <f>IF(N37,MAX(0,MIN(N42*0.10,'입력값'!C9*100*0.5-AT23)),0)</f>
      </c>
      <c r="O43" s="33">
        <f>IF(O37,MAX(0,MIN(O42*0.10,'입력값'!C9*100*0.5-AX23)),0)</f>
      </c>
      <c r="P43" s="33">
        <f>IF(P37,MAX(0,MIN(P42*0.10,'입력값'!C9*100*0.5-BB23)),0)</f>
      </c>
      <c r="Q43" s="33">
        <f>IF(Q37,MAX(0,MIN(Q42*0.10,'입력값'!C9*100*0.5-BF23)),0)</f>
      </c>
      <c r="R43" s="33">
        <f>IF(R37,MAX(0,MIN(R42*0.10,'입력값'!C9*100*0.5-BJ23)),0)</f>
      </c>
      <c r="S43" s="33">
        <f>IF(S37,MAX(0,MIN(S42*0.10,'입력값'!C9*100*0.5-BN23)),0)</f>
      </c>
      <c r="T43" s="33">
        <f>IF(T37,MAX(0,MIN(T42*0.10,'입력값'!C9*100*0.5-BR23)),0)</f>
      </c>
      <c r="U43" s="33">
        <f>IF(U37,MAX(0,MIN(U42*0.10,'입력값'!C9*100*0.5-BV23)),0)</f>
      </c>
      <c r="V43" s="33">
        <f>IF(V37,MAX(0,MIN(V42*0.10,'입력값'!C9*100*0.5-BZ23)),0)</f>
      </c>
      <c r="W43" s="33">
        <f>IF(W37,MAX(0,MIN(W42*0.10,'입력값'!C9*100*0.5-CD23)),0)</f>
      </c>
      <c r="X43" s="33">
        <f>IF(X37,MAX(0,MIN(X42*0.10,'입력값'!C9*100*0.5-CH23)),0)</f>
      </c>
    </row>
    <row r="45" spans="2:91" x14ac:dyDescent="0.25">
      <c r="B45" s="9" t="s">
        <v>365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</row>
    <row r="47" spans="2:4" x14ac:dyDescent="0.25">
      <c r="B47" s="43" t="s">
        <v>366</v>
      </c>
      <c r="C47" s="30" t="s">
        <v>334</v>
      </c>
      <c r="D47" s="16">
        <f>MIN(E29:V29)</f>
      </c>
    </row>
    <row r="48" spans="2:4" x14ac:dyDescent="0.25">
      <c r="B48" s="43" t="s">
        <v>367</v>
      </c>
      <c r="C48" s="30" t="s">
        <v>334</v>
      </c>
      <c r="D48" s="16">
        <f>MIN(E30:V30)</f>
      </c>
    </row>
    <row r="49" spans="2:4" x14ac:dyDescent="0.25">
      <c r="B49" s="43" t="s">
        <v>368</v>
      </c>
      <c r="C49" s="30" t="s">
        <v>224</v>
      </c>
      <c r="D49" s="14">
        <f>CL17</f>
      </c>
    </row>
    <row r="51" spans="2:91" x14ac:dyDescent="0.25">
      <c r="B51" s="9" t="s">
        <v>369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</row>
    <row r="53" spans="2:90" x14ac:dyDescent="0.25">
      <c r="B53" s="26" t="s">
        <v>100</v>
      </c>
      <c r="C53" s="26" t="s">
        <v>101</v>
      </c>
      <c r="D53" s="26" t="s">
        <v>102</v>
      </c>
      <c r="E53" s="28" t="s">
        <v>103</v>
      </c>
      <c r="F53" s="28" t="s">
        <v>104</v>
      </c>
      <c r="G53" s="28" t="s">
        <v>105</v>
      </c>
      <c r="H53" s="28" t="s">
        <v>106</v>
      </c>
      <c r="I53" s="28" t="s">
        <v>107</v>
      </c>
      <c r="J53" s="28" t="s">
        <v>108</v>
      </c>
      <c r="K53" s="28" t="s">
        <v>109</v>
      </c>
      <c r="L53" s="28" t="s">
        <v>110</v>
      </c>
      <c r="M53" s="28" t="s">
        <v>111</v>
      </c>
      <c r="N53" s="28" t="s">
        <v>112</v>
      </c>
      <c r="O53" s="28" t="s">
        <v>113</v>
      </c>
      <c r="P53" s="28" t="s">
        <v>114</v>
      </c>
      <c r="Q53" s="28" t="s">
        <v>115</v>
      </c>
      <c r="R53" s="28" t="s">
        <v>116</v>
      </c>
      <c r="S53" s="28" t="s">
        <v>117</v>
      </c>
      <c r="T53" s="28" t="s">
        <v>118</v>
      </c>
      <c r="U53" s="28" t="s">
        <v>119</v>
      </c>
      <c r="V53" s="28" t="s">
        <v>120</v>
      </c>
      <c r="W53" s="28" t="s">
        <v>121</v>
      </c>
      <c r="X53" s="28" t="s">
        <v>122</v>
      </c>
      <c r="Y53" s="28" t="s">
        <v>123</v>
      </c>
      <c r="Z53" s="28" t="s">
        <v>124</v>
      </c>
      <c r="AA53" s="28" t="s">
        <v>125</v>
      </c>
      <c r="AB53" s="28" t="s">
        <v>126</v>
      </c>
      <c r="AC53" s="28" t="s">
        <v>127</v>
      </c>
      <c r="AD53" s="28" t="s">
        <v>128</v>
      </c>
      <c r="AE53" s="28" t="s">
        <v>129</v>
      </c>
      <c r="AF53" s="28" t="s">
        <v>130</v>
      </c>
      <c r="AG53" s="28" t="s">
        <v>131</v>
      </c>
      <c r="AH53" s="28" t="s">
        <v>132</v>
      </c>
      <c r="AI53" s="28" t="s">
        <v>133</v>
      </c>
      <c r="AJ53" s="28" t="s">
        <v>134</v>
      </c>
      <c r="AK53" s="28" t="s">
        <v>135</v>
      </c>
      <c r="AL53" s="28" t="s">
        <v>136</v>
      </c>
      <c r="AM53" s="28" t="s">
        <v>137</v>
      </c>
      <c r="AN53" s="28" t="s">
        <v>138</v>
      </c>
      <c r="AO53" s="28" t="s">
        <v>139</v>
      </c>
      <c r="AP53" s="28" t="s">
        <v>140</v>
      </c>
      <c r="AQ53" s="28" t="s">
        <v>141</v>
      </c>
      <c r="AR53" s="28" t="s">
        <v>142</v>
      </c>
      <c r="AS53" s="28" t="s">
        <v>143</v>
      </c>
      <c r="AT53" s="28" t="s">
        <v>144</v>
      </c>
      <c r="AU53" s="28" t="s">
        <v>145</v>
      </c>
      <c r="AV53" s="28" t="s">
        <v>146</v>
      </c>
      <c r="AW53" s="28" t="s">
        <v>147</v>
      </c>
      <c r="AX53" s="28" t="s">
        <v>148</v>
      </c>
      <c r="AY53" s="28" t="s">
        <v>149</v>
      </c>
      <c r="AZ53" s="28" t="s">
        <v>150</v>
      </c>
      <c r="BA53" s="28" t="s">
        <v>151</v>
      </c>
      <c r="BB53" s="28" t="s">
        <v>152</v>
      </c>
      <c r="BC53" s="28" t="s">
        <v>153</v>
      </c>
      <c r="BD53" s="28" t="s">
        <v>154</v>
      </c>
      <c r="BE53" s="28" t="s">
        <v>155</v>
      </c>
      <c r="BF53" s="28" t="s">
        <v>156</v>
      </c>
      <c r="BG53" s="28" t="s">
        <v>157</v>
      </c>
      <c r="BH53" s="28" t="s">
        <v>158</v>
      </c>
      <c r="BI53" s="28" t="s">
        <v>159</v>
      </c>
      <c r="BJ53" s="28" t="s">
        <v>160</v>
      </c>
      <c r="BK53" s="28" t="s">
        <v>161</v>
      </c>
      <c r="BL53" s="28" t="s">
        <v>162</v>
      </c>
      <c r="BM53" s="28" t="s">
        <v>163</v>
      </c>
      <c r="BN53" s="28" t="s">
        <v>164</v>
      </c>
      <c r="BO53" s="28" t="s">
        <v>165</v>
      </c>
      <c r="BP53" s="28" t="s">
        <v>166</v>
      </c>
      <c r="BQ53" s="28" t="s">
        <v>167</v>
      </c>
      <c r="BR53" s="28" t="s">
        <v>168</v>
      </c>
      <c r="BS53" s="28" t="s">
        <v>169</v>
      </c>
      <c r="BT53" s="28" t="s">
        <v>170</v>
      </c>
      <c r="BU53" s="28" t="s">
        <v>171</v>
      </c>
      <c r="BV53" s="28" t="s">
        <v>172</v>
      </c>
      <c r="BW53" s="28" t="s">
        <v>173</v>
      </c>
      <c r="BX53" s="28" t="s">
        <v>174</v>
      </c>
      <c r="BY53" s="28" t="s">
        <v>175</v>
      </c>
      <c r="BZ53" s="28" t="s">
        <v>176</v>
      </c>
      <c r="CA53" s="28" t="s">
        <v>177</v>
      </c>
      <c r="CB53" s="28" t="s">
        <v>178</v>
      </c>
      <c r="CC53" s="28" t="s">
        <v>179</v>
      </c>
      <c r="CD53" s="28" t="s">
        <v>180</v>
      </c>
      <c r="CE53" s="28" t="s">
        <v>181</v>
      </c>
      <c r="CF53" s="28" t="s">
        <v>182</v>
      </c>
      <c r="CG53" s="28" t="s">
        <v>183</v>
      </c>
      <c r="CH53" s="28" t="s">
        <v>184</v>
      </c>
      <c r="CI53" s="28" t="s">
        <v>185</v>
      </c>
      <c r="CJ53" s="28" t="s">
        <v>186</v>
      </c>
      <c r="CK53" s="28" t="s">
        <v>187</v>
      </c>
      <c r="CL53" s="28" t="s">
        <v>188</v>
      </c>
    </row>
    <row r="55" spans="2:90" x14ac:dyDescent="0.25">
      <c r="B55" s="29" t="s">
        <v>370</v>
      </c>
      <c r="C55" s="30" t="s">
        <v>224</v>
      </c>
      <c r="D55" s="33">
        <f>SUM(E55:CL55)</f>
      </c>
      <c r="E55" s="33">
        <v>15000</v>
      </c>
      <c r="F55" s="33">
        <v>0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3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3">
        <v>0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0</v>
      </c>
      <c r="AB55" s="33">
        <v>0</v>
      </c>
      <c r="AC55" s="33">
        <v>0</v>
      </c>
      <c r="AD55" s="33">
        <v>0</v>
      </c>
      <c r="AE55" s="33">
        <v>0</v>
      </c>
      <c r="AF55" s="33">
        <v>0</v>
      </c>
      <c r="AG55" s="33">
        <v>0</v>
      </c>
      <c r="AH55" s="33">
        <v>0</v>
      </c>
      <c r="AI55" s="33">
        <v>0</v>
      </c>
      <c r="AJ55" s="33">
        <v>0</v>
      </c>
      <c r="AK55" s="33">
        <v>0</v>
      </c>
      <c r="AL55" s="33">
        <v>0</v>
      </c>
      <c r="AM55" s="33">
        <v>0</v>
      </c>
      <c r="AN55" s="33">
        <v>0</v>
      </c>
      <c r="AO55" s="33">
        <v>0</v>
      </c>
      <c r="AP55" s="33">
        <v>0</v>
      </c>
      <c r="AQ55" s="33">
        <v>0</v>
      </c>
      <c r="AR55" s="33">
        <v>0</v>
      </c>
      <c r="AS55" s="33">
        <v>0</v>
      </c>
      <c r="AT55" s="33">
        <v>0</v>
      </c>
      <c r="AU55" s="33">
        <v>0</v>
      </c>
      <c r="AV55" s="33">
        <v>0</v>
      </c>
      <c r="AW55" s="33">
        <v>0</v>
      </c>
      <c r="AX55" s="33">
        <v>0</v>
      </c>
      <c r="AY55" s="33">
        <v>0</v>
      </c>
      <c r="AZ55" s="33">
        <v>0</v>
      </c>
      <c r="BA55" s="33">
        <v>0</v>
      </c>
      <c r="BB55" s="33">
        <v>0</v>
      </c>
      <c r="BC55" s="33">
        <v>0</v>
      </c>
      <c r="BD55" s="33">
        <v>0</v>
      </c>
      <c r="BE55" s="33">
        <v>0</v>
      </c>
      <c r="BF55" s="33">
        <v>0</v>
      </c>
      <c r="BG55" s="33">
        <v>0</v>
      </c>
      <c r="BH55" s="33">
        <v>0</v>
      </c>
      <c r="BI55" s="33">
        <v>0</v>
      </c>
      <c r="BJ55" s="33">
        <v>0</v>
      </c>
      <c r="BK55" s="33">
        <v>0</v>
      </c>
      <c r="BL55" s="33">
        <v>0</v>
      </c>
      <c r="BM55" s="33">
        <v>0</v>
      </c>
      <c r="BN55" s="33">
        <v>0</v>
      </c>
      <c r="BO55" s="33">
        <v>0</v>
      </c>
      <c r="BP55" s="33">
        <v>0</v>
      </c>
      <c r="BQ55" s="33">
        <v>0</v>
      </c>
      <c r="BR55" s="33">
        <v>0</v>
      </c>
      <c r="BS55" s="33">
        <v>0</v>
      </c>
      <c r="BT55" s="33">
        <v>0</v>
      </c>
      <c r="BU55" s="33">
        <v>0</v>
      </c>
      <c r="BV55" s="33">
        <v>0</v>
      </c>
      <c r="BW55" s="33">
        <v>0</v>
      </c>
      <c r="BX55" s="33">
        <v>0</v>
      </c>
      <c r="BY55" s="33">
        <v>0</v>
      </c>
      <c r="BZ55" s="33">
        <v>0</v>
      </c>
      <c r="CA55" s="33">
        <v>0</v>
      </c>
      <c r="CB55" s="33">
        <v>0</v>
      </c>
      <c r="CC55" s="33">
        <v>0</v>
      </c>
      <c r="CD55" s="33">
        <v>0</v>
      </c>
      <c r="CE55" s="33">
        <v>0</v>
      </c>
      <c r="CF55" s="33">
        <v>0</v>
      </c>
      <c r="CG55" s="33">
        <v>0</v>
      </c>
      <c r="CH55" s="33">
        <v>0</v>
      </c>
      <c r="CI55" s="33">
        <v>0</v>
      </c>
      <c r="CJ55" s="33">
        <v>0</v>
      </c>
      <c r="CK55" s="33">
        <v>0</v>
      </c>
      <c r="CL55" s="33">
        <v>0</v>
      </c>
    </row>
    <row r="56" spans="2:90" x14ac:dyDescent="0.25">
      <c r="B56" s="29" t="s">
        <v>371</v>
      </c>
      <c r="C56" s="30" t="s">
        <v>224</v>
      </c>
      <c r="E56" s="33">
        <f>'Revenue'!E12-'Opex'!E24+'IS(Q)'!E44+'IS(Q)'!E31-(34870.32271905264)</f>
      </c>
      <c r="F56" s="33">
        <f>'Revenue'!F12-'Opex'!F24+'IS(Q)'!F44+'IS(Q)'!F31-(11153.04086967091)</f>
      </c>
      <c r="G56" s="33">
        <f>'Revenue'!G12-'Opex'!G24+'IS(Q)'!G44+'IS(Q)'!G31-(22227.331733201194)</f>
      </c>
      <c r="H56" s="33">
        <f>'Revenue'!H12-'Opex'!H24+'IS(Q)'!H44+'IS(Q)'!H31-(22239.021734112735)</f>
      </c>
      <c r="I56" s="33">
        <f>'Revenue'!I12-'Opex'!I24+'IS(Q)'!I44+'IS(Q)'!I31-(23245.031812557503)</f>
      </c>
      <c r="J56" s="33">
        <f>'Revenue'!J12-'Opex'!J24+'IS(Q)'!J44+'IS(Q)'!J31-(27334.07213140502)</f>
      </c>
      <c r="K56" s="33">
        <f>'Revenue'!K12-'Opex'!K24+'IS(Q)'!K44+'IS(Q)'!K31+'입력값'!K117</f>
      </c>
      <c r="L56" s="33">
        <f>'Revenue'!L12-'Opex'!L24+'IS(Q)'!L44+'IS(Q)'!L31+'입력값'!L117</f>
      </c>
      <c r="M56" s="33">
        <f>'Revenue'!M12-'Opex'!M24+'IS(Q)'!M44+'IS(Q)'!M31+'입력값'!M117</f>
      </c>
      <c r="N56" s="33">
        <f>'Revenue'!N12-'Opex'!N24+'IS(Q)'!N44+'IS(Q)'!N31+'입력값'!N117</f>
      </c>
      <c r="O56" s="33">
        <f>'Revenue'!O12-'Opex'!O24+'IS(Q)'!O44+'IS(Q)'!O31+'입력값'!O117</f>
      </c>
      <c r="P56" s="33">
        <f>'Revenue'!P12-'Opex'!P24+'IS(Q)'!P44+'IS(Q)'!P31+'입력값'!P117</f>
      </c>
      <c r="Q56" s="33">
        <f>'Revenue'!Q12-'Opex'!Q24+'IS(Q)'!Q44+'IS(Q)'!Q31+'입력값'!Q117</f>
      </c>
      <c r="R56" s="33">
        <f>'Revenue'!R12-'Opex'!R24+'IS(Q)'!R44+'IS(Q)'!R31+'입력값'!R117</f>
      </c>
      <c r="S56" s="33">
        <f>'Revenue'!S12-'Opex'!S24+'IS(Q)'!S44+'IS(Q)'!S31+'입력값'!S117</f>
      </c>
      <c r="T56" s="33">
        <f>'Revenue'!T12-'Opex'!T24+'IS(Q)'!T44+'IS(Q)'!T31+'입력값'!T117</f>
      </c>
      <c r="U56" s="33">
        <f>'Revenue'!U12-'Opex'!U24+'IS(Q)'!U44+'IS(Q)'!U31+'입력값'!U117</f>
      </c>
      <c r="V56" s="33">
        <f>'Revenue'!V12-'Opex'!V24+'IS(Q)'!V44+'IS(Q)'!V31+'입력값'!V117</f>
      </c>
      <c r="W56" s="33">
        <f>'Revenue'!W12-'Opex'!W24+'IS(Q)'!W44+'IS(Q)'!W31+'입력값'!W117</f>
      </c>
      <c r="X56" s="33">
        <f>'Revenue'!X12-'Opex'!X24+'IS(Q)'!X44+'IS(Q)'!X31+'입력값'!X117</f>
      </c>
      <c r="Y56" s="33">
        <f>'Revenue'!Y12-'Opex'!Y24+'IS(Q)'!Y44+'IS(Q)'!Y31+'입력값'!Y117</f>
      </c>
      <c r="Z56" s="33">
        <f>'Revenue'!Z12-'Opex'!Z24+'IS(Q)'!Z44+'IS(Q)'!Z31+'입력값'!Z117</f>
      </c>
      <c r="AA56" s="33">
        <f>'Revenue'!AA12-'Opex'!AA24+'IS(Q)'!AA44+'IS(Q)'!AA31+'입력값'!AA117</f>
      </c>
      <c r="AB56" s="33">
        <f>'Revenue'!AB12-'Opex'!AB24+'IS(Q)'!AB44+'IS(Q)'!AB31+'입력값'!AB117</f>
      </c>
      <c r="AC56" s="33">
        <f>'Revenue'!AC12-'Opex'!AC24+'IS(Q)'!AC44+'IS(Q)'!AC31+'입력값'!AC117</f>
      </c>
      <c r="AD56" s="33">
        <f>'Revenue'!AD12-'Opex'!AD24+'IS(Q)'!AD44+'IS(Q)'!AD31+'입력값'!AD117</f>
      </c>
      <c r="AE56" s="33">
        <f>'Revenue'!AE12-'Opex'!AE24+'IS(Q)'!AE44+'IS(Q)'!AE31+'입력값'!AE117</f>
      </c>
      <c r="AF56" s="33">
        <f>'Revenue'!AF12-'Opex'!AF24+'IS(Q)'!AF44+'IS(Q)'!AF31+'입력값'!AF117</f>
      </c>
      <c r="AG56" s="33">
        <f>'Revenue'!AG12-'Opex'!AG24+'IS(Q)'!AG44+'IS(Q)'!AG31+'입력값'!AG117</f>
      </c>
      <c r="AH56" s="33">
        <f>'Revenue'!AH12-'Opex'!AH24+'IS(Q)'!AH44+'IS(Q)'!AH31+'입력값'!AH117</f>
      </c>
      <c r="AI56" s="33">
        <f>'Revenue'!AI12-'Opex'!AI24+'IS(Q)'!AI44+'IS(Q)'!AI31+'입력값'!AI117</f>
      </c>
      <c r="AJ56" s="33">
        <f>'Revenue'!AJ12-'Opex'!AJ24+'IS(Q)'!AJ44+'IS(Q)'!AJ31+'입력값'!AJ117</f>
      </c>
      <c r="AK56" s="33">
        <f>'Revenue'!AK12-'Opex'!AK24+'IS(Q)'!AK44+'IS(Q)'!AK31+'입력값'!AK117</f>
      </c>
      <c r="AL56" s="33">
        <f>'Revenue'!AL12-'Opex'!AL24+'IS(Q)'!AL44+'IS(Q)'!AL31+'입력값'!AL117</f>
      </c>
      <c r="AM56" s="33">
        <f>'Revenue'!AM12-'Opex'!AM24+'IS(Q)'!AM44+'IS(Q)'!AM31+'입력값'!AM117</f>
      </c>
      <c r="AN56" s="33">
        <f>'Revenue'!AN12-'Opex'!AN24+'IS(Q)'!AN44+'IS(Q)'!AN31+'입력값'!AN117</f>
      </c>
      <c r="AO56" s="33">
        <f>'Revenue'!AO12-'Opex'!AO24+'IS(Q)'!AO44+'IS(Q)'!AO31+'입력값'!AO117</f>
      </c>
      <c r="AP56" s="33">
        <f>'Revenue'!AP12-'Opex'!AP24+'IS(Q)'!AP44+'IS(Q)'!AP31+'입력값'!AP117</f>
      </c>
      <c r="AQ56" s="33">
        <f>'Revenue'!AQ12-'Opex'!AQ24+'IS(Q)'!AQ44+'IS(Q)'!AQ31+'입력값'!AQ117</f>
      </c>
      <c r="AR56" s="33">
        <f>'Revenue'!AR12-'Opex'!AR24+'IS(Q)'!AR44+'IS(Q)'!AR31+'입력값'!AR117</f>
      </c>
      <c r="AS56" s="33">
        <f>'Revenue'!AS12-'Opex'!AS24+'IS(Q)'!AS44+'IS(Q)'!AS31+'입력값'!AS117</f>
      </c>
      <c r="AT56" s="33">
        <f>'Revenue'!AT12-'Opex'!AT24+'IS(Q)'!AT44+'IS(Q)'!AT31+'입력값'!AT117</f>
      </c>
      <c r="AU56" s="33">
        <f>'Revenue'!AU12-'Opex'!AU24+'IS(Q)'!AU44+'IS(Q)'!AU31+'입력값'!AU117</f>
      </c>
      <c r="AV56" s="33">
        <f>'Revenue'!AV12-'Opex'!AV24+'IS(Q)'!AV44+'IS(Q)'!AV31+'입력값'!AV117</f>
      </c>
      <c r="AW56" s="33">
        <f>'Revenue'!AW12-'Opex'!AW24+'IS(Q)'!AW44+'IS(Q)'!AW31+'입력값'!AW117</f>
      </c>
      <c r="AX56" s="33">
        <f>'Revenue'!AX12-'Opex'!AX24+'IS(Q)'!AX44+'IS(Q)'!AX31+'입력값'!AX117</f>
      </c>
      <c r="AY56" s="33">
        <f>'Revenue'!AY12-'Opex'!AY24+'IS(Q)'!AY44+'IS(Q)'!AY31+'입력값'!AY117</f>
      </c>
      <c r="AZ56" s="33">
        <f>'Revenue'!AZ12-'Opex'!AZ24+'IS(Q)'!AZ44+'IS(Q)'!AZ31+'입력값'!AZ117</f>
      </c>
      <c r="BA56" s="33">
        <f>'Revenue'!BA12-'Opex'!BA24+'IS(Q)'!BA44+'IS(Q)'!BA31+'입력값'!BA117</f>
      </c>
      <c r="BB56" s="33">
        <f>'Revenue'!BB12-'Opex'!BB24+'IS(Q)'!BB44+'IS(Q)'!BB31+'입력값'!BB117</f>
      </c>
      <c r="BC56" s="33">
        <f>'Revenue'!BC12-'Opex'!BC24+'IS(Q)'!BC44+'IS(Q)'!BC31+'입력값'!BC117</f>
      </c>
      <c r="BD56" s="33">
        <f>'Revenue'!BD12-'Opex'!BD24+'IS(Q)'!BD44+'IS(Q)'!BD31+'입력값'!BD117</f>
      </c>
      <c r="BE56" s="33">
        <f>'Revenue'!BE12-'Opex'!BE24+'IS(Q)'!BE44+'IS(Q)'!BE31+'입력값'!BE117</f>
      </c>
      <c r="BF56" s="33">
        <f>'Revenue'!BF12-'Opex'!BF24+'IS(Q)'!BF44+'IS(Q)'!BF31+'입력값'!BF117</f>
      </c>
      <c r="BG56" s="33">
        <f>'Revenue'!BG12-'Opex'!BG24+'IS(Q)'!BG44+'IS(Q)'!BG31+'입력값'!BG117</f>
      </c>
      <c r="BH56" s="33">
        <f>'Revenue'!BH12-'Opex'!BH24+'IS(Q)'!BH44+'IS(Q)'!BH31+'입력값'!BH117</f>
      </c>
      <c r="BI56" s="33">
        <f>'Revenue'!BI12-'Opex'!BI24+'IS(Q)'!BI44+'IS(Q)'!BI31+'입력값'!BI117</f>
      </c>
      <c r="BJ56" s="33">
        <f>'Revenue'!BJ12-'Opex'!BJ24+'IS(Q)'!BJ44+'IS(Q)'!BJ31+'입력값'!BJ117</f>
      </c>
      <c r="BK56" s="33">
        <f>'Revenue'!BK12-'Opex'!BK24+'IS(Q)'!BK44+'IS(Q)'!BK31+'입력값'!BK117</f>
      </c>
      <c r="BL56" s="33">
        <f>'Revenue'!BL12-'Opex'!BL24+'IS(Q)'!BL44+'IS(Q)'!BL31+'입력값'!BL117</f>
      </c>
      <c r="BM56" s="33">
        <f>'Revenue'!BM12-'Opex'!BM24+'IS(Q)'!BM44+'IS(Q)'!BM31+'입력값'!BM117</f>
      </c>
      <c r="BN56" s="33">
        <f>'Revenue'!BN12-'Opex'!BN24+'IS(Q)'!BN44+'IS(Q)'!BN31+'입력값'!BN117</f>
      </c>
      <c r="BO56" s="33">
        <f>'Revenue'!BO12-'Opex'!BO24+'IS(Q)'!BO44+'IS(Q)'!BO31+'입력값'!BO117</f>
      </c>
      <c r="BP56" s="33">
        <f>'Revenue'!BP12-'Opex'!BP24+'IS(Q)'!BP44+'IS(Q)'!BP31+'입력값'!BP117</f>
      </c>
      <c r="BQ56" s="33">
        <f>'Revenue'!BQ12-'Opex'!BQ24+'IS(Q)'!BQ44+'IS(Q)'!BQ31+'입력값'!BQ117</f>
      </c>
      <c r="BR56" s="33">
        <f>'Revenue'!BR12-'Opex'!BR24+'IS(Q)'!BR44+'IS(Q)'!BR31+'입력값'!BR117</f>
      </c>
      <c r="BS56" s="33">
        <f>'Revenue'!BS12-'Opex'!BS24+'IS(Q)'!BS44+'IS(Q)'!BS31+'입력값'!BS117</f>
      </c>
      <c r="BT56" s="33">
        <f>'Revenue'!BT12-'Opex'!BT24+'IS(Q)'!BT44+'IS(Q)'!BT31+'입력값'!BT117</f>
      </c>
      <c r="BU56" s="33">
        <f>'Revenue'!BU12-'Opex'!BU24+'IS(Q)'!BU44+'IS(Q)'!BU31+'입력값'!BU117</f>
      </c>
      <c r="BV56" s="33">
        <f>'Revenue'!BV12-'Opex'!BV24+'IS(Q)'!BV44+'IS(Q)'!BV31+'입력값'!BV117</f>
      </c>
      <c r="BW56" s="33">
        <f>'Revenue'!BW12-'Opex'!BW24+'IS(Q)'!BW44+'IS(Q)'!BW31+'입력값'!BW117</f>
      </c>
      <c r="BX56" s="33">
        <f>'Revenue'!BX12-'Opex'!BX24+'IS(Q)'!BX44+'IS(Q)'!BX31+'입력값'!BX117</f>
      </c>
      <c r="BY56" s="33">
        <f>'Revenue'!BY12-'Opex'!BY24+'IS(Q)'!BY44+'IS(Q)'!BY31+'입력값'!BY117</f>
      </c>
      <c r="BZ56" s="33">
        <f>'Revenue'!BZ12-'Opex'!BZ24+'IS(Q)'!BZ44+'IS(Q)'!BZ31+'입력값'!BZ117</f>
      </c>
      <c r="CA56" s="33">
        <f>'Revenue'!CA12-'Opex'!CA24+'IS(Q)'!CA44+'IS(Q)'!CA31+'입력값'!CA117</f>
      </c>
      <c r="CB56" s="33">
        <f>'Revenue'!CB12-'Opex'!CB24+'IS(Q)'!CB44+'IS(Q)'!CB31+'입력값'!CB117</f>
      </c>
      <c r="CC56" s="33">
        <f>'Revenue'!CC12-'Opex'!CC24+'IS(Q)'!CC44+'IS(Q)'!CC31+'입력값'!CC117</f>
      </c>
      <c r="CD56" s="33">
        <f>'Revenue'!CD12-'Opex'!CD24+'IS(Q)'!CD44+'IS(Q)'!CD31+'입력값'!CD117</f>
      </c>
      <c r="CE56" s="33">
        <f>'Revenue'!CE12-'Opex'!CE24+'IS(Q)'!CE44+'IS(Q)'!CE31+'입력값'!CE117</f>
      </c>
      <c r="CF56" s="33">
        <f>'Revenue'!CF12-'Opex'!CF24+'IS(Q)'!CF44+'IS(Q)'!CF31+'입력값'!CF117</f>
      </c>
      <c r="CG56" s="33">
        <f>'Revenue'!CG12-'Opex'!CG24+'IS(Q)'!CG44+'IS(Q)'!CG31+'입력값'!CG117</f>
      </c>
      <c r="CH56" s="33">
        <f>'Revenue'!CH12-'Opex'!CH24+'IS(Q)'!CH44+'IS(Q)'!CH31+'입력값'!CH117</f>
      </c>
      <c r="CI56" s="33">
        <f>'Revenue'!CI12-'Opex'!CI24+'IS(Q)'!CI44+'IS(Q)'!CI31+'입력값'!CI117</f>
      </c>
      <c r="CJ56" s="33">
        <f>'Revenue'!CJ12-'Opex'!CJ24+'IS(Q)'!CJ44+'IS(Q)'!CJ31+'입력값'!CJ117</f>
      </c>
      <c r="CK56" s="33">
        <f>'Revenue'!CK12-'Opex'!CK24+'IS(Q)'!CK44+'IS(Q)'!CK31+'입력값'!CK117</f>
      </c>
      <c r="CL56" s="33">
        <f>'Revenue'!CL12-'Opex'!CL24+'IS(Q)'!CL44-'입력값'!C17*100+'IS(Q)'!CL31+'입력값'!CL117</f>
      </c>
    </row>
    <row r="57" spans="2:90" x14ac:dyDescent="0.25">
      <c r="B57" s="29" t="s">
        <v>372</v>
      </c>
      <c r="C57" s="30" t="s">
        <v>224</v>
      </c>
      <c r="E57" s="33">
        <f>'Revenue'!E12-'Opex'!E24+'IS(Q)'!E31-(34870.32271905264)</f>
      </c>
      <c r="F57" s="33">
        <f>'Revenue'!F12-'Opex'!F24+'IS(Q)'!F31-(11153.04086967091)</f>
      </c>
      <c r="G57" s="33">
        <f>'Revenue'!G12-'Opex'!G24+'IS(Q)'!G31-(22227.331733201194)</f>
      </c>
      <c r="H57" s="33">
        <f>'Revenue'!H12-'Opex'!H24+'IS(Q)'!H31-(22239.021734112735)</f>
      </c>
      <c r="I57" s="33">
        <f>'Revenue'!I12-'Opex'!I24+'IS(Q)'!I31-(23245.031812557503)</f>
      </c>
      <c r="J57" s="33">
        <f>'Revenue'!J12-'Opex'!J24+'IS(Q)'!J31-(27334.07213140502)</f>
      </c>
      <c r="K57" s="33">
        <f>'Revenue'!K12-'Opex'!K24+'IS(Q)'!K31+'입력값'!K117</f>
      </c>
      <c r="L57" s="33">
        <f>'Revenue'!L12-'Opex'!L24+'IS(Q)'!L31+'입력값'!L117</f>
      </c>
      <c r="M57" s="33">
        <f>'Revenue'!M12-'Opex'!M24+'IS(Q)'!M31+'입력값'!M117</f>
      </c>
      <c r="N57" s="33">
        <f>'Revenue'!N12-'Opex'!N24+'IS(Q)'!N31+'입력값'!N117</f>
      </c>
      <c r="O57" s="33">
        <f>'Revenue'!O12-'Opex'!O24+'IS(Q)'!O31+'입력값'!O117</f>
      </c>
      <c r="P57" s="33">
        <f>'Revenue'!P12-'Opex'!P24+'IS(Q)'!P31+'입력값'!P117</f>
      </c>
      <c r="Q57" s="33">
        <f>'Revenue'!Q12-'Opex'!Q24+'IS(Q)'!Q31+'입력값'!Q117</f>
      </c>
      <c r="R57" s="33">
        <f>'Revenue'!R12-'Opex'!R24+'IS(Q)'!R31+'입력값'!R117</f>
      </c>
      <c r="S57" s="33">
        <f>'Revenue'!S12-'Opex'!S24+'IS(Q)'!S31+'입력값'!S117</f>
      </c>
      <c r="T57" s="33">
        <f>'Revenue'!T12-'Opex'!T24+'IS(Q)'!T31+'입력값'!T117</f>
      </c>
      <c r="U57" s="33">
        <f>'Revenue'!U12-'Opex'!U24+'IS(Q)'!U31+'입력값'!U117</f>
      </c>
      <c r="V57" s="33">
        <f>'Revenue'!V12-'Opex'!V24+'IS(Q)'!V31+'입력값'!V117</f>
      </c>
      <c r="W57" s="33">
        <f>'Revenue'!W12-'Opex'!W24+'IS(Q)'!W31+'입력값'!W117</f>
      </c>
      <c r="X57" s="33">
        <f>'Revenue'!X12-'Opex'!X24+'IS(Q)'!X31+'입력값'!X117</f>
      </c>
      <c r="Y57" s="33">
        <f>'Revenue'!Y12-'Opex'!Y24+'IS(Q)'!Y31+'입력값'!Y117</f>
      </c>
      <c r="Z57" s="33">
        <f>'Revenue'!Z12-'Opex'!Z24+'IS(Q)'!Z31+'입력값'!Z117</f>
      </c>
      <c r="AA57" s="33">
        <f>'Revenue'!AA12-'Opex'!AA24+'IS(Q)'!AA31+'입력값'!AA117</f>
      </c>
      <c r="AB57" s="33">
        <f>'Revenue'!AB12-'Opex'!AB24+'IS(Q)'!AB31+'입력값'!AB117</f>
      </c>
      <c r="AC57" s="33">
        <f>'Revenue'!AC12-'Opex'!AC24+'IS(Q)'!AC31+'입력값'!AC117</f>
      </c>
      <c r="AD57" s="33">
        <f>'Revenue'!AD12-'Opex'!AD24+'IS(Q)'!AD31+'입력값'!AD117</f>
      </c>
      <c r="AE57" s="33">
        <f>'Revenue'!AE12-'Opex'!AE24+'IS(Q)'!AE31+'입력값'!AE117</f>
      </c>
      <c r="AF57" s="33">
        <f>'Revenue'!AF12-'Opex'!AF24+'IS(Q)'!AF31+'입력값'!AF117</f>
      </c>
      <c r="AG57" s="33">
        <f>'Revenue'!AG12-'Opex'!AG24+'IS(Q)'!AG31+'입력값'!AG117</f>
      </c>
      <c r="AH57" s="33">
        <f>'Revenue'!AH12-'Opex'!AH24+'IS(Q)'!AH31+'입력값'!AH117</f>
      </c>
      <c r="AI57" s="33">
        <f>'Revenue'!AI12-'Opex'!AI24+'IS(Q)'!AI31+'입력값'!AI117</f>
      </c>
      <c r="AJ57" s="33">
        <f>'Revenue'!AJ12-'Opex'!AJ24+'IS(Q)'!AJ31+'입력값'!AJ117</f>
      </c>
      <c r="AK57" s="33">
        <f>'Revenue'!AK12-'Opex'!AK24+'IS(Q)'!AK31+'입력값'!AK117</f>
      </c>
      <c r="AL57" s="33">
        <f>'Revenue'!AL12-'Opex'!AL24+'IS(Q)'!AL31+'입력값'!AL117</f>
      </c>
      <c r="AM57" s="33">
        <f>'Revenue'!AM12-'Opex'!AM24+'IS(Q)'!AM31+'입력값'!AM117</f>
      </c>
      <c r="AN57" s="33">
        <f>'Revenue'!AN12-'Opex'!AN24+'IS(Q)'!AN31+'입력값'!AN117</f>
      </c>
      <c r="AO57" s="33">
        <f>'Revenue'!AO12-'Opex'!AO24+'IS(Q)'!AO31+'입력값'!AO117</f>
      </c>
      <c r="AP57" s="33">
        <f>'Revenue'!AP12-'Opex'!AP24+'IS(Q)'!AP31+'입력값'!AP117</f>
      </c>
      <c r="AQ57" s="33">
        <f>'Revenue'!AQ12-'Opex'!AQ24+'IS(Q)'!AQ31+'입력값'!AQ117</f>
      </c>
      <c r="AR57" s="33">
        <f>'Revenue'!AR12-'Opex'!AR24+'IS(Q)'!AR31+'입력값'!AR117</f>
      </c>
      <c r="AS57" s="33">
        <f>'Revenue'!AS12-'Opex'!AS24+'IS(Q)'!AS31+'입력값'!AS117</f>
      </c>
      <c r="AT57" s="33">
        <f>'Revenue'!AT12-'Opex'!AT24+'IS(Q)'!AT31+'입력값'!AT117</f>
      </c>
      <c r="AU57" s="33">
        <f>'Revenue'!AU12-'Opex'!AU24+'IS(Q)'!AU31+'입력값'!AU117</f>
      </c>
      <c r="AV57" s="33">
        <f>'Revenue'!AV12-'Opex'!AV24+'IS(Q)'!AV31+'입력값'!AV117</f>
      </c>
      <c r="AW57" s="33">
        <f>'Revenue'!AW12-'Opex'!AW24+'IS(Q)'!AW31+'입력값'!AW117</f>
      </c>
      <c r="AX57" s="33">
        <f>'Revenue'!AX12-'Opex'!AX24+'IS(Q)'!AX31+'입력값'!AX117</f>
      </c>
      <c r="AY57" s="33">
        <f>'Revenue'!AY12-'Opex'!AY24+'IS(Q)'!AY31+'입력값'!AY117</f>
      </c>
      <c r="AZ57" s="33">
        <f>'Revenue'!AZ12-'Opex'!AZ24+'IS(Q)'!AZ31+'입력값'!AZ117</f>
      </c>
      <c r="BA57" s="33">
        <f>'Revenue'!BA12-'Opex'!BA24+'IS(Q)'!BA31+'입력값'!BA117</f>
      </c>
      <c r="BB57" s="33">
        <f>'Revenue'!BB12-'Opex'!BB24+'IS(Q)'!BB31+'입력값'!BB117</f>
      </c>
      <c r="BC57" s="33">
        <f>'Revenue'!BC12-'Opex'!BC24+'IS(Q)'!BC31+'입력값'!BC117</f>
      </c>
      <c r="BD57" s="33">
        <f>'Revenue'!BD12-'Opex'!BD24+'IS(Q)'!BD31+'입력값'!BD117</f>
      </c>
      <c r="BE57" s="33">
        <f>'Revenue'!BE12-'Opex'!BE24+'IS(Q)'!BE31+'입력값'!BE117</f>
      </c>
      <c r="BF57" s="33">
        <f>'Revenue'!BF12-'Opex'!BF24+'IS(Q)'!BF31+'입력값'!BF117</f>
      </c>
      <c r="BG57" s="33">
        <f>'Revenue'!BG12-'Opex'!BG24+'IS(Q)'!BG31+'입력값'!BG117</f>
      </c>
      <c r="BH57" s="33">
        <f>'Revenue'!BH12-'Opex'!BH24+'IS(Q)'!BH31+'입력값'!BH117</f>
      </c>
      <c r="BI57" s="33">
        <f>'Revenue'!BI12-'Opex'!BI24+'IS(Q)'!BI31+'입력값'!BI117</f>
      </c>
      <c r="BJ57" s="33">
        <f>'Revenue'!BJ12-'Opex'!BJ24+'IS(Q)'!BJ31+'입력값'!BJ117</f>
      </c>
      <c r="BK57" s="33">
        <f>'Revenue'!BK12-'Opex'!BK24+'IS(Q)'!BK31+'입력값'!BK117</f>
      </c>
      <c r="BL57" s="33">
        <f>'Revenue'!BL12-'Opex'!BL24+'IS(Q)'!BL31+'입력값'!BL117</f>
      </c>
      <c r="BM57" s="33">
        <f>'Revenue'!BM12-'Opex'!BM24+'IS(Q)'!BM31+'입력값'!BM117</f>
      </c>
      <c r="BN57" s="33">
        <f>'Revenue'!BN12-'Opex'!BN24+'IS(Q)'!BN31+'입력값'!BN117</f>
      </c>
      <c r="BO57" s="33">
        <f>'Revenue'!BO12-'Opex'!BO24+'IS(Q)'!BO31+'입력값'!BO117</f>
      </c>
      <c r="BP57" s="33">
        <f>'Revenue'!BP12-'Opex'!BP24+'IS(Q)'!BP31+'입력값'!BP117</f>
      </c>
      <c r="BQ57" s="33">
        <f>'Revenue'!BQ12-'Opex'!BQ24+'IS(Q)'!BQ31+'입력값'!BQ117</f>
      </c>
      <c r="BR57" s="33">
        <f>'Revenue'!BR12-'Opex'!BR24+'IS(Q)'!BR31+'입력값'!BR117</f>
      </c>
      <c r="BS57" s="33">
        <f>'Revenue'!BS12-'Opex'!BS24+'IS(Q)'!BS31+'입력값'!BS117</f>
      </c>
      <c r="BT57" s="33">
        <f>'Revenue'!BT12-'Opex'!BT24+'IS(Q)'!BT31+'입력값'!BT117</f>
      </c>
      <c r="BU57" s="33">
        <f>'Revenue'!BU12-'Opex'!BU24+'IS(Q)'!BU31+'입력값'!BU117</f>
      </c>
      <c r="BV57" s="33">
        <f>'Revenue'!BV12-'Opex'!BV24+'IS(Q)'!BV31+'입력값'!BV117</f>
      </c>
      <c r="BW57" s="33">
        <f>'Revenue'!BW12-'Opex'!BW24+'IS(Q)'!BW31+'입력값'!BW117</f>
      </c>
      <c r="BX57" s="33">
        <f>'Revenue'!BX12-'Opex'!BX24+'IS(Q)'!BX31+'입력값'!BX117</f>
      </c>
      <c r="BY57" s="33">
        <f>'Revenue'!BY12-'Opex'!BY24+'IS(Q)'!BY31+'입력값'!BY117</f>
      </c>
      <c r="BZ57" s="33">
        <f>'Revenue'!BZ12-'Opex'!BZ24+'IS(Q)'!BZ31+'입력값'!BZ117</f>
      </c>
      <c r="CA57" s="33">
        <f>'Revenue'!CA12-'Opex'!CA24+'IS(Q)'!CA31+'입력값'!CA117</f>
      </c>
      <c r="CB57" s="33">
        <f>'Revenue'!CB12-'Opex'!CB24+'IS(Q)'!CB31+'입력값'!CB117</f>
      </c>
      <c r="CC57" s="33">
        <f>'Revenue'!CC12-'Opex'!CC24+'IS(Q)'!CC31+'입력값'!CC117</f>
      </c>
      <c r="CD57" s="33">
        <f>'Revenue'!CD12-'Opex'!CD24+'IS(Q)'!CD31+'입력값'!CD117</f>
      </c>
      <c r="CE57" s="33">
        <f>'Revenue'!CE12-'Opex'!CE24+'IS(Q)'!CE31+'입력값'!CE117</f>
      </c>
      <c r="CF57" s="33">
        <f>'Revenue'!CF12-'Opex'!CF24+'IS(Q)'!CF31+'입력값'!CF117</f>
      </c>
      <c r="CG57" s="33">
        <f>'Revenue'!CG12-'Opex'!CG24+'IS(Q)'!CG31+'입력값'!CG117</f>
      </c>
      <c r="CH57" s="33">
        <f>'Revenue'!CH12-'Opex'!CH24+'IS(Q)'!CH31+'입력값'!CH117</f>
      </c>
      <c r="CI57" s="33">
        <f>'Revenue'!CI12-'Opex'!CI24+'IS(Q)'!CI31+'입력값'!CI117</f>
      </c>
      <c r="CJ57" s="33">
        <f>'Revenue'!CJ12-'Opex'!CJ24+'IS(Q)'!CJ31+'입력값'!CJ117</f>
      </c>
      <c r="CK57" s="33">
        <f>'Revenue'!CK12-'Opex'!CK24+'IS(Q)'!CK31+'입력값'!CK117</f>
      </c>
      <c r="CL57" s="33">
        <f>'Revenue'!CL12-'Opex'!CL24-'입력값'!C17*100+'IS(Q)'!CL31+'입력값'!CL117</f>
      </c>
    </row>
    <row r="58" spans="2:90" x14ac:dyDescent="0.25">
      <c r="B58" s="29" t="s">
        <v>373</v>
      </c>
      <c r="C58" s="30" t="s">
        <v>224</v>
      </c>
      <c r="E58" s="33">
        <f>E13-E55</f>
      </c>
      <c r="F58" s="33">
        <f>F13-F55</f>
      </c>
      <c r="G58" s="33">
        <f>G13-G55</f>
      </c>
      <c r="H58" s="33">
        <f>H13-H55</f>
      </c>
      <c r="I58" s="33">
        <f>I13-I55</f>
      </c>
      <c r="J58" s="33">
        <f>J13-J55</f>
      </c>
      <c r="K58" s="33">
        <f>K13-K55</f>
      </c>
      <c r="L58" s="33">
        <f>L13-L55</f>
      </c>
      <c r="M58" s="33">
        <f>M13-M55</f>
      </c>
      <c r="N58" s="33">
        <f>N13-N55</f>
      </c>
      <c r="O58" s="33">
        <f>O13-O55</f>
      </c>
      <c r="P58" s="33">
        <f>P13-P55</f>
      </c>
      <c r="Q58" s="33">
        <f>Q13-Q55</f>
      </c>
      <c r="R58" s="33">
        <f>R13-R55</f>
      </c>
      <c r="S58" s="33">
        <f>S13-S55</f>
      </c>
      <c r="T58" s="33">
        <f>T13-T55</f>
      </c>
      <c r="U58" s="33">
        <f>U13-U55</f>
      </c>
      <c r="V58" s="33">
        <f>V13-V55</f>
      </c>
      <c r="W58" s="33">
        <f>W13-W55</f>
      </c>
      <c r="X58" s="33">
        <f>X13-X55</f>
      </c>
      <c r="Y58" s="33">
        <f>Y13-Y55</f>
      </c>
      <c r="Z58" s="33">
        <f>Z13-Z55</f>
      </c>
      <c r="AA58" s="33">
        <f>AA13-AA55</f>
      </c>
      <c r="AB58" s="33">
        <f>AB13-AB55</f>
      </c>
      <c r="AC58" s="33">
        <f>AC13-AC55</f>
      </c>
      <c r="AD58" s="33">
        <f>AD13-AD55</f>
      </c>
      <c r="AE58" s="33">
        <f>AE13-AE55</f>
      </c>
      <c r="AF58" s="33">
        <f>AF13-AF55</f>
      </c>
      <c r="AG58" s="33">
        <f>AG13-AG55</f>
      </c>
      <c r="AH58" s="33">
        <f>AH13-AH55</f>
      </c>
      <c r="AI58" s="33">
        <f>AI13-AI55</f>
      </c>
      <c r="AJ58" s="33">
        <f>AJ13-AJ55</f>
      </c>
      <c r="AK58" s="33">
        <f>AK13-AK55</f>
      </c>
      <c r="AL58" s="33">
        <f>AL13-AL55</f>
      </c>
      <c r="AM58" s="33">
        <f>AM13-AM55</f>
      </c>
      <c r="AN58" s="33">
        <f>AN13-AN55</f>
      </c>
      <c r="AO58" s="33">
        <f>AO13-AO55</f>
      </c>
      <c r="AP58" s="33">
        <f>AP13-AP55</f>
      </c>
      <c r="AQ58" s="33">
        <f>AQ13-AQ55</f>
      </c>
      <c r="AR58" s="33">
        <f>AR13-AR55</f>
      </c>
      <c r="AS58" s="33">
        <f>AS13-AS55</f>
      </c>
      <c r="AT58" s="33">
        <f>AT13-AT55</f>
      </c>
      <c r="AU58" s="33">
        <f>AU13-AU55</f>
      </c>
      <c r="AV58" s="33">
        <f>AV13-AV55</f>
      </c>
      <c r="AW58" s="33">
        <f>AW13-AW55</f>
      </c>
      <c r="AX58" s="33">
        <f>AX13-AX55</f>
      </c>
      <c r="AY58" s="33">
        <f>AY13-AY55</f>
      </c>
      <c r="AZ58" s="33">
        <f>AZ13-AZ55</f>
      </c>
      <c r="BA58" s="33">
        <f>BA13-BA55</f>
      </c>
      <c r="BB58" s="33">
        <f>BB13-BB55</f>
      </c>
      <c r="BC58" s="33">
        <f>BC13-BC55</f>
      </c>
      <c r="BD58" s="33">
        <f>BD13-BD55</f>
      </c>
      <c r="BE58" s="33">
        <f>BE13-BE55</f>
      </c>
      <c r="BF58" s="33">
        <f>BF13-BF55</f>
      </c>
      <c r="BG58" s="33">
        <f>BG13-BG55</f>
      </c>
      <c r="BH58" s="33">
        <f>BH13-BH55</f>
      </c>
      <c r="BI58" s="33">
        <f>BI13-BI55</f>
      </c>
      <c r="BJ58" s="33">
        <f>BJ13-BJ55</f>
      </c>
      <c r="BK58" s="33">
        <f>BK13-BK55</f>
      </c>
      <c r="BL58" s="33">
        <f>BL13-BL55</f>
      </c>
      <c r="BM58" s="33">
        <f>BM13-BM55</f>
      </c>
      <c r="BN58" s="33">
        <f>BN13-BN55</f>
      </c>
      <c r="BO58" s="33">
        <f>BO13-BO55</f>
      </c>
      <c r="BP58" s="33">
        <f>BP13-BP55</f>
      </c>
      <c r="BQ58" s="33">
        <f>BQ13-BQ55</f>
      </c>
      <c r="BR58" s="33">
        <f>BR13-BR55</f>
      </c>
      <c r="BS58" s="33">
        <f>BS13-BS55</f>
      </c>
      <c r="BT58" s="33">
        <f>BT13-BT55</f>
      </c>
      <c r="BU58" s="33">
        <f>BU13-BU55</f>
      </c>
      <c r="BV58" s="33">
        <f>BV13-BV55</f>
      </c>
      <c r="BW58" s="33">
        <f>BW13-BW55</f>
      </c>
      <c r="BX58" s="33">
        <f>BX13-BX55</f>
      </c>
      <c r="BY58" s="33">
        <f>BY13-BY55</f>
      </c>
      <c r="BZ58" s="33">
        <f>BZ13-BZ55</f>
      </c>
      <c r="CA58" s="33">
        <f>CA13-CA55</f>
      </c>
      <c r="CB58" s="33">
        <f>CB13-CB55</f>
      </c>
      <c r="CC58" s="33">
        <f>CC13-CC55</f>
      </c>
      <c r="CD58" s="33">
        <f>CD13-CD55</f>
      </c>
      <c r="CE58" s="33">
        <f>CE13-CE55</f>
      </c>
      <c r="CF58" s="33">
        <f>CF13-CF55</f>
      </c>
      <c r="CG58" s="33">
        <f>CG13-CG55</f>
      </c>
      <c r="CH58" s="33">
        <f>CH13-CH55</f>
      </c>
      <c r="CI58" s="33">
        <f>CI13-CI55</f>
      </c>
      <c r="CJ58" s="33">
        <f>CJ13-CJ55</f>
      </c>
      <c r="CK58" s="33">
        <f>CK13-CK55</f>
      </c>
      <c r="CL58" s="33">
        <f>CL13-CL55</f>
      </c>
    </row>
    <row r="59" spans="2:90" x14ac:dyDescent="0.25">
      <c r="B59" s="29" t="s">
        <v>374</v>
      </c>
      <c r="C59" s="30" t="s">
        <v>224</v>
      </c>
      <c r="E59" s="33">
        <f>E16-E55</f>
      </c>
      <c r="F59" s="33">
        <f>F16-F55</f>
      </c>
      <c r="G59" s="33">
        <f>G16-G55</f>
      </c>
      <c r="H59" s="33">
        <f>H16-H55</f>
      </c>
      <c r="I59" s="33">
        <f>I16-I55</f>
      </c>
      <c r="J59" s="33">
        <f>J16-J55</f>
      </c>
      <c r="K59" s="33">
        <f>K16-K55</f>
      </c>
      <c r="L59" s="33">
        <f>L16-L55</f>
      </c>
      <c r="M59" s="33">
        <f>M16-M55</f>
      </c>
      <c r="N59" s="33">
        <f>N16-N55</f>
      </c>
      <c r="O59" s="33">
        <f>O16-O55</f>
      </c>
      <c r="P59" s="33">
        <f>P16-P55</f>
      </c>
      <c r="Q59" s="33">
        <f>Q16-Q55</f>
      </c>
      <c r="R59" s="33">
        <f>R16-R55</f>
      </c>
      <c r="S59" s="33">
        <f>S16-S55</f>
      </c>
      <c r="T59" s="33">
        <f>T16-T55</f>
      </c>
      <c r="U59" s="33">
        <f>U16-U55</f>
      </c>
      <c r="V59" s="33">
        <f>V16-V55</f>
      </c>
      <c r="W59" s="33">
        <f>W16-W55</f>
      </c>
      <c r="X59" s="33">
        <f>X16-X55</f>
      </c>
      <c r="Y59" s="33">
        <f>Y16-Y55</f>
      </c>
      <c r="Z59" s="33">
        <f>Z16-Z55</f>
      </c>
      <c r="AA59" s="33">
        <f>AA16-AA55</f>
      </c>
      <c r="AB59" s="33">
        <f>AB16-AB55</f>
      </c>
      <c r="AC59" s="33">
        <f>AC16-AC55</f>
      </c>
      <c r="AD59" s="33">
        <f>AD16-AD55</f>
      </c>
      <c r="AE59" s="33">
        <f>AE16-AE55</f>
      </c>
      <c r="AF59" s="33">
        <f>AF16-AF55</f>
      </c>
      <c r="AG59" s="33">
        <f>AG16-AG55</f>
      </c>
      <c r="AH59" s="33">
        <f>AH16-AH55</f>
      </c>
      <c r="AI59" s="33">
        <f>AI16-AI55</f>
      </c>
      <c r="AJ59" s="33">
        <f>AJ16-AJ55</f>
      </c>
      <c r="AK59" s="33">
        <f>AK16-AK55</f>
      </c>
      <c r="AL59" s="33">
        <f>AL16-AL55</f>
      </c>
      <c r="AM59" s="33">
        <f>AM16-AM55</f>
      </c>
      <c r="AN59" s="33">
        <f>AN16-AN55</f>
      </c>
      <c r="AO59" s="33">
        <f>AO16-AO55</f>
      </c>
      <c r="AP59" s="33">
        <f>AP16-AP55</f>
      </c>
      <c r="AQ59" s="33">
        <f>AQ16-AQ55</f>
      </c>
      <c r="AR59" s="33">
        <f>AR16-AR55</f>
      </c>
      <c r="AS59" s="33">
        <f>AS16-AS55</f>
      </c>
      <c r="AT59" s="33">
        <f>AT16-AT55</f>
      </c>
      <c r="AU59" s="33">
        <f>AU16-AU55</f>
      </c>
      <c r="AV59" s="33">
        <f>AV16-AV55</f>
      </c>
      <c r="AW59" s="33">
        <f>AW16-AW55</f>
      </c>
      <c r="AX59" s="33">
        <f>AX16-AX55</f>
      </c>
      <c r="AY59" s="33">
        <f>AY16-AY55</f>
      </c>
      <c r="AZ59" s="33">
        <f>AZ16-AZ55</f>
      </c>
      <c r="BA59" s="33">
        <f>BA16-BA55</f>
      </c>
      <c r="BB59" s="33">
        <f>BB16-BB55</f>
      </c>
      <c r="BC59" s="33">
        <f>BC16-BC55</f>
      </c>
      <c r="BD59" s="33">
        <f>BD16-BD55</f>
      </c>
      <c r="BE59" s="33">
        <f>BE16-BE55</f>
      </c>
      <c r="BF59" s="33">
        <f>BF16-BF55</f>
      </c>
      <c r="BG59" s="33">
        <f>BG16-BG55</f>
      </c>
      <c r="BH59" s="33">
        <f>BH16-BH55</f>
      </c>
      <c r="BI59" s="33">
        <f>BI16-BI55</f>
      </c>
      <c r="BJ59" s="33">
        <f>BJ16-BJ55</f>
      </c>
      <c r="BK59" s="33">
        <f>BK16-BK55</f>
      </c>
      <c r="BL59" s="33">
        <f>BL16-BL55</f>
      </c>
      <c r="BM59" s="33">
        <f>BM16-BM55</f>
      </c>
      <c r="BN59" s="33">
        <f>BN16-BN55</f>
      </c>
      <c r="BO59" s="33">
        <f>BO16-BO55</f>
      </c>
      <c r="BP59" s="33">
        <f>BP16-BP55</f>
      </c>
      <c r="BQ59" s="33">
        <f>BQ16-BQ55</f>
      </c>
      <c r="BR59" s="33">
        <f>BR16-BR55</f>
      </c>
      <c r="BS59" s="33">
        <f>BS16-BS55</f>
      </c>
      <c r="BT59" s="33">
        <f>BT16-BT55</f>
      </c>
      <c r="BU59" s="33">
        <f>BU16-BU55</f>
      </c>
      <c r="BV59" s="33">
        <f>BV16-BV55</f>
      </c>
      <c r="BW59" s="33">
        <f>BW16-BW55</f>
      </c>
      <c r="BX59" s="33">
        <f>BX16-BX55</f>
      </c>
      <c r="BY59" s="33">
        <f>BY16-BY55</f>
      </c>
      <c r="BZ59" s="33">
        <f>BZ16-BZ55</f>
      </c>
      <c r="CA59" s="33">
        <f>CA16-CA55</f>
      </c>
      <c r="CB59" s="33">
        <f>CB16-CB55</f>
      </c>
      <c r="CC59" s="33">
        <f>CC16-CC55</f>
      </c>
      <c r="CD59" s="33">
        <f>CD16-CD55</f>
      </c>
      <c r="CE59" s="33">
        <f>CE16-CE55</f>
      </c>
      <c r="CF59" s="33">
        <f>CF16-CF55</f>
      </c>
      <c r="CG59" s="33">
        <f>CG16-CG55</f>
      </c>
      <c r="CH59" s="33">
        <f>CH16-CH55</f>
      </c>
      <c r="CI59" s="33">
        <f>CI16-CI55</f>
      </c>
      <c r="CJ59" s="33">
        <f>CJ16-CJ55</f>
      </c>
      <c r="CK59" s="33">
        <f>CK16-CK55</f>
      </c>
      <c r="CL59" s="33">
        <f>CL16-CL55</f>
      </c>
    </row>
    <row r="60" spans="2:90" x14ac:dyDescent="0.25">
      <c r="B60" s="29" t="s">
        <v>375</v>
      </c>
      <c r="C60" s="30" t="s">
        <v>224</v>
      </c>
      <c r="E60" s="33">
        <f>-E55-(19870.322719052638)+'Debt'!E55+'Debt'!E56+E16</f>
      </c>
      <c r="F60" s="33">
        <f>-F55-(11428.741597397764)+'Debt'!F55+'Debt'!F56+F16</f>
      </c>
      <c r="G60" s="33">
        <f>-G55-(22661.606250591944)+'Debt'!G55+'Debt'!G56+G16</f>
      </c>
      <c r="H60" s="33">
        <f>-H55-(22987.72603823045)+'Debt'!H55+'Debt'!H56+H16</f>
      </c>
      <c r="I60" s="33">
        <f>-I55-(24312.690815455662)+'Debt'!I55+'Debt'!I56+I16</f>
      </c>
      <c r="J60" s="33">
        <f>-J55-(33738.91208344004)+'Debt'!J55+'Debt'!J56+J16+3931.178504168494</f>
      </c>
      <c r="K60" s="33">
        <f>-K55-(0)+'Debt'!K55+'Debt'!K56+K16</f>
      </c>
      <c r="L60" s="33">
        <f>-L55-(0)+'Debt'!L55+'Debt'!L56+L16</f>
      </c>
      <c r="M60" s="33">
        <f>-M55-(0)+'Debt'!M55+'Debt'!M56+M16</f>
      </c>
      <c r="N60" s="33">
        <f>-N55-(0)+'Debt'!N55+'Debt'!N56+N16</f>
      </c>
      <c r="O60" s="33">
        <f>-O55-(0)+'Debt'!O55+'Debt'!O56+O16</f>
      </c>
      <c r="P60" s="33">
        <f>-P55-(0)+'Debt'!P55+'Debt'!P56+P16</f>
      </c>
      <c r="Q60" s="33">
        <f>-Q55-(0)+'Debt'!Q55+'Debt'!Q56+Q16</f>
      </c>
      <c r="R60" s="33">
        <f>-R55-(0)+'Debt'!R55+'Debt'!R56+R16</f>
      </c>
      <c r="S60" s="33">
        <f>-S55-(0)+'Debt'!S55+'Debt'!S56+S16</f>
      </c>
      <c r="T60" s="33">
        <f>-T55-(0)+'Debt'!T55+'Debt'!T56+T16</f>
      </c>
      <c r="U60" s="33">
        <f>-U55-(0)+'Debt'!U55+'Debt'!U56+U16</f>
      </c>
      <c r="V60" s="33">
        <f>-V55-(0)+'Debt'!V55+'Debt'!V56+V16</f>
      </c>
      <c r="W60" s="33">
        <f>-W55-(0)+'Debt'!W55+'Debt'!W56+W16</f>
      </c>
      <c r="X60" s="33">
        <f>-X55-(0)+'Debt'!X55+'Debt'!X56+X16</f>
      </c>
      <c r="Y60" s="33">
        <f>-Y55-(0)+'Debt'!Y55+'Debt'!Y56+Y16</f>
      </c>
      <c r="Z60" s="33">
        <f>-Z55-(0)+'Debt'!Z55+'Debt'!Z56+Z16</f>
      </c>
      <c r="AA60" s="33">
        <f>-AA55-(0)+'Debt'!AA55+'Debt'!AA56+AA16</f>
      </c>
      <c r="AB60" s="33">
        <f>-AB55-(0)+'Debt'!AB55+'Debt'!AB56+AB16</f>
      </c>
      <c r="AC60" s="33">
        <f>-AC55-(0)+'Debt'!AC55+'Debt'!AC56+AC16</f>
      </c>
      <c r="AD60" s="33">
        <f>-AD55-(0)+'Debt'!AD55+'Debt'!AD56+AD16</f>
      </c>
      <c r="AE60" s="33">
        <f>-AE55-(0)+'Debt'!AE55+'Debt'!AE56+AE16</f>
      </c>
      <c r="AF60" s="33">
        <f>-AF55-(0)+'Debt'!AF55+'Debt'!AF56+AF16</f>
      </c>
      <c r="AG60" s="33">
        <f>-AG55-(0)+'Debt'!AG55+'Debt'!AG56+AG16</f>
      </c>
      <c r="AH60" s="33">
        <f>-AH55-(0)+'Debt'!AH55+'Debt'!AH56+AH16</f>
      </c>
      <c r="AI60" s="33">
        <f>-AI55-(0)+'Debt'!AI55+'Debt'!AI56+AI16</f>
      </c>
      <c r="AJ60" s="33">
        <f>-AJ55-(0)+'Debt'!AJ55+'Debt'!AJ56+AJ16</f>
      </c>
      <c r="AK60" s="33">
        <f>-AK55-(0)+'Debt'!AK55+'Debt'!AK56+AK16</f>
      </c>
      <c r="AL60" s="33">
        <f>-AL55-(0)+'Debt'!AL55+'Debt'!AL56+AL16</f>
      </c>
      <c r="AM60" s="33">
        <f>-AM55-(0)+'Debt'!AM55+'Debt'!AM56+AM16</f>
      </c>
      <c r="AN60" s="33">
        <f>-AN55-(0)+'Debt'!AN55+'Debt'!AN56+AN16</f>
      </c>
      <c r="AO60" s="33">
        <f>-AO55-(0)+'Debt'!AO55+'Debt'!AO56+AO16</f>
      </c>
      <c r="AP60" s="33">
        <f>-AP55-(0)+'Debt'!AP55+'Debt'!AP56+AP16</f>
      </c>
      <c r="AQ60" s="33">
        <f>-AQ55-(0)+'Debt'!AQ55+'Debt'!AQ56+AQ16</f>
      </c>
      <c r="AR60" s="33">
        <f>-AR55-(0)+'Debt'!AR55+'Debt'!AR56+AR16</f>
      </c>
      <c r="AS60" s="33">
        <f>-AS55-(0)+'Debt'!AS55+'Debt'!AS56+AS16</f>
      </c>
      <c r="AT60" s="33">
        <f>-AT55-(0)+'Debt'!AT55+'Debt'!AT56+AT16</f>
      </c>
      <c r="AU60" s="33">
        <f>-AU55-(0)+'Debt'!AU55+'Debt'!AU56+AU16</f>
      </c>
      <c r="AV60" s="33">
        <f>-AV55-(0)+'Debt'!AV55+'Debt'!AV56+AV16</f>
      </c>
      <c r="AW60" s="33">
        <f>-AW55-(0)+'Debt'!AW55+'Debt'!AW56+AW16</f>
      </c>
      <c r="AX60" s="33">
        <f>-AX55-(0)+'Debt'!AX55+'Debt'!AX56+AX16</f>
      </c>
      <c r="AY60" s="33">
        <f>-AY55-(0)+'Debt'!AY55+'Debt'!AY56+AY16</f>
      </c>
      <c r="AZ60" s="33">
        <f>-AZ55-(0)+'Debt'!AZ55+'Debt'!AZ56+AZ16</f>
      </c>
      <c r="BA60" s="33">
        <f>-BA55-(0)+'Debt'!BA55+'Debt'!BA56+BA16</f>
      </c>
      <c r="BB60" s="33">
        <f>-BB55-(0)+'Debt'!BB55+'Debt'!BB56+BB16</f>
      </c>
      <c r="BC60" s="33">
        <f>-BC55-(0)+'Debt'!BC55+'Debt'!BC56+BC16</f>
      </c>
      <c r="BD60" s="33">
        <f>-BD55-(0)+'Debt'!BD55+'Debt'!BD56+BD16</f>
      </c>
      <c r="BE60" s="33">
        <f>-BE55-(0)+'Debt'!BE55+'Debt'!BE56+BE16</f>
      </c>
      <c r="BF60" s="33">
        <f>-BF55-(0)+'Debt'!BF55+'Debt'!BF56+BF16</f>
      </c>
      <c r="BG60" s="33">
        <f>-BG55-(0)+'Debt'!BG55+'Debt'!BG56+BG16</f>
      </c>
      <c r="BH60" s="33">
        <f>-BH55-(0)+'Debt'!BH55+'Debt'!BH56+BH16</f>
      </c>
      <c r="BI60" s="33">
        <f>-BI55-(0)+'Debt'!BI55+'Debt'!BI56+BI16</f>
      </c>
      <c r="BJ60" s="33">
        <f>-BJ55-(0)+'Debt'!BJ55+'Debt'!BJ56+BJ16</f>
      </c>
      <c r="BK60" s="33">
        <f>-BK55-(0)+'Debt'!BK55+'Debt'!BK56+BK16</f>
      </c>
      <c r="BL60" s="33">
        <f>-BL55-(0)+'Debt'!BL55+'Debt'!BL56+BL16</f>
      </c>
      <c r="BM60" s="33">
        <f>-BM55-(0)+'Debt'!BM55+'Debt'!BM56+BM16</f>
      </c>
      <c r="BN60" s="33">
        <f>-BN55-(0)+'Debt'!BN55+'Debt'!BN56+BN16</f>
      </c>
      <c r="BO60" s="33">
        <f>-BO55-(0)+'Debt'!BO55+'Debt'!BO56+BO16</f>
      </c>
      <c r="BP60" s="33">
        <f>-BP55-(0)+'Debt'!BP55+'Debt'!BP56+BP16</f>
      </c>
      <c r="BQ60" s="33">
        <f>-BQ55-(0)+'Debt'!BQ55+'Debt'!BQ56+BQ16</f>
      </c>
      <c r="BR60" s="33">
        <f>-BR55-(0)+'Debt'!BR55+'Debt'!BR56+BR16</f>
      </c>
      <c r="BS60" s="33">
        <f>-BS55-(0)+'Debt'!BS55+'Debt'!BS56+BS16</f>
      </c>
      <c r="BT60" s="33">
        <f>-BT55-(0)+'Debt'!BT55+'Debt'!BT56+BT16</f>
      </c>
      <c r="BU60" s="33">
        <f>-BU55-(0)+'Debt'!BU55+'Debt'!BU56+BU16</f>
      </c>
      <c r="BV60" s="33">
        <f>-BV55-(0)+'Debt'!BV55+'Debt'!BV56+BV16</f>
      </c>
      <c r="BW60" s="33">
        <f>-BW55-(0)+'Debt'!BW55+'Debt'!BW56+BW16</f>
      </c>
      <c r="BX60" s="33">
        <f>-BX55-(0)+'Debt'!BX55+'Debt'!BX56+BX16</f>
      </c>
      <c r="BY60" s="33">
        <f>-BY55-(0)+'Debt'!BY55+'Debt'!BY56+BY16</f>
      </c>
      <c r="BZ60" s="33">
        <f>-BZ55-(0)+'Debt'!BZ55+'Debt'!BZ56+BZ16</f>
      </c>
      <c r="CA60" s="33">
        <f>-CA55-(0)+'Debt'!CA55+'Debt'!CA56+CA16</f>
      </c>
      <c r="CB60" s="33">
        <f>-CB55-(0)+'Debt'!CB55+'Debt'!CB56+CB16</f>
      </c>
      <c r="CC60" s="33">
        <f>-CC55-(0)+'Debt'!CC55+'Debt'!CC56+CC16</f>
      </c>
      <c r="CD60" s="33">
        <f>-CD55-(0)+'Debt'!CD55+'Debt'!CD56+CD16</f>
      </c>
      <c r="CE60" s="33">
        <f>-CE55-(0)+'Debt'!CE55+'Debt'!CE56+CE16</f>
      </c>
      <c r="CF60" s="33">
        <f>-CF55-(0)+'Debt'!CF55+'Debt'!CF56+CF16</f>
      </c>
      <c r="CG60" s="33">
        <f>-CG55-(0)+'Debt'!CG55+'Debt'!CG56+CG16</f>
      </c>
      <c r="CH60" s="33">
        <f>-CH55-(0)+'Debt'!CH55+'Debt'!CH56+CH16</f>
      </c>
      <c r="CI60" s="33">
        <f>-CI55-(0)+'Debt'!CI55+'Debt'!CI56+CI16</f>
      </c>
      <c r="CJ60" s="33">
        <f>-CJ55-(0)+'Debt'!CJ55+'Debt'!CJ56+CJ16</f>
      </c>
      <c r="CK60" s="33">
        <f>-CK55-(0)+'Debt'!CK55+'Debt'!CK56+CK16</f>
      </c>
      <c r="CL60" s="33">
        <f>-CL55-(0)+'Debt'!CL55+'Debt'!CL56+CL16</f>
      </c>
    </row>
    <row r="62" spans="2:4" x14ac:dyDescent="0.25">
      <c r="B62" s="43" t="s">
        <v>376</v>
      </c>
      <c r="C62" s="30" t="s">
        <v>294</v>
      </c>
      <c r="D62" s="15">
        <f>(1+IRR(E57:CL57,0.020526333383581452))^4-1</f>
      </c>
    </row>
    <row r="63" spans="2:4" x14ac:dyDescent="0.25">
      <c r="B63" s="43" t="s">
        <v>377</v>
      </c>
      <c r="C63" s="30" t="s">
        <v>294</v>
      </c>
      <c r="D63" s="15">
        <f>(1+IRR(E56:CL56,0.019097562766951626))^4-1</f>
      </c>
    </row>
    <row r="64" spans="2:4" x14ac:dyDescent="0.25">
      <c r="B64" s="43" t="s">
        <v>378</v>
      </c>
      <c r="C64" s="30" t="s">
        <v>294</v>
      </c>
      <c r="D64" s="15">
        <f>(1+IRR(E58:CL58,0.031786220017399724))^4-1</f>
      </c>
    </row>
    <row r="65" spans="2:4" x14ac:dyDescent="0.25">
      <c r="B65" s="43" t="s">
        <v>379</v>
      </c>
      <c r="C65" s="30" t="s">
        <v>294</v>
      </c>
      <c r="D65" s="15">
        <f>(1+IRR(E59:CL59,0.029011531852100703))^4-1</f>
      </c>
    </row>
    <row r="66" spans="2:4" x14ac:dyDescent="0.25">
      <c r="B66" s="43" t="s">
        <v>380</v>
      </c>
      <c r="C66" s="30" t="s">
        <v>294</v>
      </c>
      <c r="D66" s="15">
        <f>(1+IRR(E60:CL60,0.01773598081892569))^4-1</f>
      </c>
    </row>
    <row r="68" spans="2:2" x14ac:dyDescent="0.25">
      <c r="B68" s="34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f>'CF(Q)'!D62</f>
      </c>
    </row>
    <row r="21" spans="2:4" x14ac:dyDescent="0.25">
      <c r="B21" s="5" t="s">
        <v>35</v>
      </c>
      <c r="D21" s="15">
        <f>'CF(Q)'!D63</f>
      </c>
    </row>
    <row r="22" spans="2:4" x14ac:dyDescent="0.25">
      <c r="B22" s="5" t="s">
        <v>36</v>
      </c>
      <c r="D22" s="15">
        <f>'CF(Q)'!D64</f>
      </c>
    </row>
    <row r="23" spans="2:4" x14ac:dyDescent="0.25">
      <c r="B23" s="5" t="s">
        <v>37</v>
      </c>
      <c r="D23" s="15">
        <f>'CF(Q)'!D65</f>
      </c>
    </row>
    <row r="24" spans="2:4" x14ac:dyDescent="0.25">
      <c r="B24" s="5" t="s">
        <v>38</v>
      </c>
      <c r="D24" s="15">
        <f>'CF(Q)'!D66</f>
      </c>
    </row>
    <row r="25" spans="2:4" x14ac:dyDescent="0.25">
      <c r="B25" s="5" t="s">
        <v>39</v>
      </c>
      <c r="D25" s="16">
        <f>'CF(Q)'!D47</f>
      </c>
    </row>
    <row r="26" spans="2:4" x14ac:dyDescent="0.25">
      <c r="B26" s="5" t="s">
        <v>40</v>
      </c>
      <c r="D26" s="16">
        <f>'CF(Q)'!D48</f>
      </c>
    </row>
    <row r="27" spans="2:4" x14ac:dyDescent="0.25">
      <c r="B27" s="5" t="s">
        <v>41</v>
      </c>
      <c r="D27" s="14">
        <f>'Revenue'!D12</f>
      </c>
    </row>
    <row r="28" spans="2:4" x14ac:dyDescent="0.25">
      <c r="B28" s="5" t="s">
        <v>42</v>
      </c>
      <c r="D28" s="14">
        <f>'Opex'!D24</f>
      </c>
    </row>
    <row r="29" spans="2:4" x14ac:dyDescent="0.25">
      <c r="B29" s="5" t="s">
        <v>43</v>
      </c>
      <c r="D29" s="14">
        <f>'Debt'!D55</f>
      </c>
    </row>
    <row r="30" spans="2:4" x14ac:dyDescent="0.25">
      <c r="B30" s="5" t="s">
        <v>44</v>
      </c>
      <c r="D30" s="14">
        <f>-'IS(Q)'!D44</f>
      </c>
    </row>
    <row r="31" spans="2:4" x14ac:dyDescent="0.25">
      <c r="B31" s="5" t="s">
        <v>45</v>
      </c>
      <c r="D31" s="14">
        <f>'CF(Q)'!D16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2026-08-27T05:04:32Z</dcterms:created>
  <dcterms:modified xsi:type="dcterms:W3CDTF">2026-08-27T05:04:32Z</dcterms:modified>
</cp:coreProperties>
</file>