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<sst xmlns="http://schemas.openxmlformats.org/spreadsheetml/2006/main" count="1378" uniqueCount="480">
  <si>
    <t>태양광 발전사업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</si>
  <si>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</si>
  <si>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</si>
  <si>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</si>
  <si>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</si>
  <si>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</si>
  <si>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</si>
  <si>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</si>
  <si>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</si>
  <si>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</si>
  <si>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</si>
  <si>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</si>
  <si>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</si>
  <si>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</si>
  <si>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</si>
  <si>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</si>
  <si>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</si>
  <si>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</si>
  <si>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</si>
  <si>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</si>
  <si>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</si>
  <si>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</si>
  <si>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</si>
  <si>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</si>
  <si>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</si>
  <si>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</si>
  <si>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</si>
  <si>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</si>
  <si>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</si>
  <si>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</si>
  <si>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</si>
  <si>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</si>
  <si>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</si>
  <si>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</si>
  <si>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</si>
  <si>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</si>
  <si>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</si>
  <si>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</si>
  <si>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</si>
  <si>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</si>
  <si>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</si>
  <si>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</si>
  <si>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</si>
  <si>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</si>
  <si>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</si>
  <si>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</si>
  <si>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</si>
  <si>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</si>
  <si>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</si>
  <si>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</si>
  <si>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</si>
  <si>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</si>
  <si>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</si>
  <si>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</si>
  <si>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</si>
  <si>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</si>
  <si>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</si>
  <si>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</si>
  <si>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</si>
  <si>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</si>
  <si>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</si>
  <si>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</si>
  <si>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</si>
  <si>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</si>
  <si>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</si>
  <si>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</si>
  <si>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</si>
  <si>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</si>
  <si>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</si>
  <si>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</si>
  <si>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</si>
  <si>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</si>
  <si>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</si>
  <si>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</si>
  <si>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</si>
  <si>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</si>
  <si>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</si>
  <si>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</si>
  <si>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</si>
  <si>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</si>
  <si>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</si>
  <si>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</si>
  <si>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</si>
  <si>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</si>
  <si>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</si>
  <si>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</si>
  <si>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</si>
  <si>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</si>
  <si>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</si>
  <si>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</si>
  <si>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</si>
  <si>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</si>
  <si>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</si>
  <si>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</si>
  <si>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</si>
  <si>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</si>
  <si>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</si>
  <si>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</si>
  <si>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</si>
  <si>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</si>
  <si>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</si>
  <si>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</si>
  <si>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</si>
  <si>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</si>
  <si>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</si>
  <si>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</si>
  <si>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</si>
  <si>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</si>
  <si>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</si>
  <si>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</si>
  <si>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</si>
  <si>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</si>
  <si>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</si>
  <si>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</si>
  <si>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</si>
  <si>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</si>
  <si>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</si>
  <si>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</si>
  <si>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</si>
  <si>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</si>
  <si>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</si>
  <si>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</si>
  <si>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</si>
  <si>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</si>
  <si>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</si>
  <si>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</si>
  <si>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</si>
  <si>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</si>
  <si>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</si>
  <si>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</si>
  <si>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</si>
  <si>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</si>
  <si>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</si>
  <si>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</si>
  <si>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</si>
  <si>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</si>
  <si>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</si>
  <si>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</si>
  <si>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</si>
  <si>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</si>
  <si>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</si>
  <si>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</si>
  <si>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</si>
  <si>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</si>
  <si>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</si>
  <si>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</si>
  <si>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</si>
  <si>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</si>
  <si>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</si>
  <si>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</si>
  <si>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</si>
  <si>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</si>
  <si>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</si>
  <si>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</si>
  <si>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</si>
  <si>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</si>
  <si>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</si>
  <si>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</si>
  <si>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</si>
  <si>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</si>
  <si>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</si>
  <si>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</si>
  <si>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</si>
  <si>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</si>
  <si>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</si>
  <si>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</si>
  <si>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</si>
  <si>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</si>
  <si>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</si>
  <si>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</si>
  <si>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</si>
  <si>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</si>
  <si>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</si>
  <si>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</si>
  <si>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</si>
  <si>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</si>
  <si>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</si>
  <si>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</si>
  <si>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</si>
  <si>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</si>
  <si>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</si>
  <si>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</si>
  <si>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</si>
  <si>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</si>
  <si>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</si>
  <si>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</si>
  <si>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</si>
  <si>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</si>
  <si>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</si>
  <si>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</si>
  <si>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</si>
  <si>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</si>
  <si>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</si>
  <si>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</si>
  <si>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</si>
  <si>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</si>
  <si>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</si>
  <si>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</si>
  <si>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</si>
  <si>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</si>
  <si>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</si>
  <si>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</si>
  <si>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</si>
  <si>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</si>
  <si>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사업자 구성</t>
  </si>
  <si>
    <t>사업자</t>
  </si>
  <si>
    <t>지분율[%]</t>
  </si>
  <si>
    <t>갑</t>
  </si>
  <si>
    <t>을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</si>
  <si>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</si>
  <si>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</si>
  <si>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</si>
  <si>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</si>
  <si>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</si>
  <si>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</si>
  <si>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</si>
  <si>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</si>
  <si>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</si>
  <si>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</si>
  <si>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</si>
  <si>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</si>
  <si>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</si>
  <si>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</si>
  <si>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</si>
  <si>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총사업비 (항목별 금액 미입력)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</si>
  <si>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</si>
  <si>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</si>
  <si>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</si>
  <si>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</si>
  <si>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</si>
  <si>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</si>
  <si>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</si>
  <si>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</si>
  <si>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</si>
  <si>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</si>
  <si>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</si>
  <si>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</si>
  <si>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</si>
  <si>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</si>
  <si>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</si>
  <si>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</si>
  <si>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</si>
  <si>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</si>
  <si>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</si>
  <si>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</si>
  <si>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</si>
  <si>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</si>
  <si>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</si>
  <si>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</si>
  <si>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</si>
  <si>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</si>
  <si>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</si>
  <si>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</si>
  <si>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</si>
  <si>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</si>
  <si>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</si>
  <si>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</si>
  <si>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</si>
  <si>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</si>
  <si>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</si>
  <si>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</si>
  <si>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</si>
  <si>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</si>
  <si>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</si>
  <si>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</si>
  <si>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</si>
  <si>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</si>
  <si>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</si>
  <si>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</si>
  <si>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C46</t>
  </si>
  <si>
    <t xml:space="preserve">  선순위A · 건설금리[%]</t>
  </si>
  <si>
    <t>D46</t>
  </si>
  <si>
    <t xml:space="preserve">  선순위A · 운영금리[%]</t>
  </si>
  <si>
    <t>E46</t>
  </si>
  <si>
    <t xml:space="preserve">  선순위B · 금액[억원]</t>
  </si>
  <si>
    <t>C47</t>
  </si>
  <si>
    <t xml:space="preserve">  선순위B · 건설금리[%]</t>
  </si>
  <si>
    <t>D47</t>
  </si>
  <si>
    <t xml:space="preserve">  선순위B · 운영금리[%]</t>
  </si>
  <si>
    <t>E47</t>
  </si>
  <si>
    <t xml:space="preserve">  선순위C · 금액[억원]</t>
  </si>
  <si>
    <t>C48</t>
  </si>
  <si>
    <t xml:space="preserve">  선순위C · 건설금리[%]</t>
  </si>
  <si>
    <t>D48</t>
  </si>
  <si>
    <t xml:space="preserve">  선순위C · 운영금리[%]</t>
  </si>
  <si>
    <t>E48</t>
  </si>
  <si>
    <t xml:space="preserve">  선순위D · 금액[억원]</t>
  </si>
  <si>
    <t>C49</t>
  </si>
  <si>
    <t xml:space="preserve">  선순위D · 건설금리[%]</t>
  </si>
  <si>
    <t>D49</t>
  </si>
  <si>
    <t xml:space="preserve">  선순위D · 운영금리[%]</t>
  </si>
  <si>
    <t>E49</t>
  </si>
  <si>
    <t xml:space="preserve">  후순위 · 금액[억원]</t>
  </si>
  <si>
    <t>C50</t>
  </si>
  <si>
    <t xml:space="preserve">  후순위 · 건설금리[%]</t>
  </si>
  <si>
    <t>D50</t>
  </si>
  <si>
    <t xml:space="preserve">  후순위 · 운영금리[%]</t>
  </si>
  <si>
    <t>E50</t>
  </si>
  <si>
    <t xml:space="preserve">  지출 비중</t>
  </si>
  <si>
    <t>입력값 57행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</si>
  <si>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</si>
  <si>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</si>
  <si>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</si>
  <si>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</si>
  <si>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</si>
  <si>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</si>
  <si>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</si>
  <si>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</si>
  <si>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</si>
  <si>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</si>
  <si>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</si>
  <si>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</si>
  <si>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</si>
  <si>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</si>
  <si>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</si>
  <si>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</si>
  <si>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</si>
  <si>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</si>
  <si>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</si>
  <si>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</si>
  <si>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</si>
  <si>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</si>
  <si>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</si>
  <si>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</si>
  <si>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</si>
  <si>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</si>
  <si>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C41</t>
  </si>
  <si>
    <t xml:space="preserve">  PPA · 단가[원/kWh]</t>
  </si>
  <si>
    <t>D41</t>
  </si>
  <si>
    <t xml:space="preserve">  PPA · 에스컬레이션[%/yr]</t>
  </si>
  <si>
    <t>E41</t>
  </si>
  <si>
    <t xml:space="preserve">  PPA · 대금회수시차[개월]</t>
  </si>
  <si>
    <t>F41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</si>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</sst>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82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350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7" spans="2:1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5" spans="2:91" x14ac:dyDescent="0.25">
      <c r="B75" s="9" t="s">
        <v>204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7" spans="2:3" x14ac:dyDescent="0.25">
      <c r="B77" s="27" t="s">
        <v>205</v>
      </c>
      <c r="C77" s="27" t="s">
        <v>206</v>
      </c>
    </row>
    <row r="78" spans="2:3" x14ac:dyDescent="0.25">
      <c r="B78" s="17" t="s">
        <v>207</v>
      </c>
      <c r="C78" s="21">
        <v>40</v>
      </c>
    </row>
    <row r="79" spans="2:3" x14ac:dyDescent="0.25">
      <c r="B79" s="17" t="s">
        <v>208</v>
      </c>
      <c r="C79" s="21">
        <v>60</v>
      </c>
    </row>
    <row r="81" spans="2:2" x14ac:dyDescent="0.25">
      <c r="B81" t="s">
        <v>209</v>
      </c>
    </row>
    <row r="82" spans="2:2" x14ac:dyDescent="0.25">
      <c r="B82" s="37" t="s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211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212</v>
      </c>
      <c r="D6" s="27" t="s">
        <v>91</v>
      </c>
      <c r="E6" s="27" t="s">
        <v>213</v>
      </c>
      <c r="F6" s="27" t="s">
        <v>214</v>
      </c>
      <c r="G6" s="27" t="s">
        <v>88</v>
      </c>
      <c r="H6" s="27" t="s">
        <v>89</v>
      </c>
      <c r="I6" s="27" t="s">
        <v>90</v>
      </c>
      <c r="J6" s="27" t="s">
        <v>215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216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216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216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216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217</v>
      </c>
    </row>
    <row r="12" spans="2:10" x14ac:dyDescent="0.25">
      <c r="B12" s="31" t="s">
        <v>96</v>
      </c>
      <c r="C12" s="31">
        <f>'입력값'!C50*100</f>
      </c>
      <c r="D12" s="38" t="s">
        <v>216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217</v>
      </c>
    </row>
    <row r="13" spans="2:3" x14ac:dyDescent="0.25">
      <c r="B13" s="41" t="s">
        <v>218</v>
      </c>
      <c r="C13" s="42">
        <f>C8+C9+C10+C11+C12</f>
      </c>
    </row>
    <row r="15" spans="2:91" x14ac:dyDescent="0.25">
      <c r="B15" s="9" t="s">
        <v>219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220</v>
      </c>
      <c r="C17" s="31">
        <f>'Debt'!D15</f>
      </c>
    </row>
    <row r="18" spans="2:3" x14ac:dyDescent="0.25">
      <c r="B18" s="31" t="s">
        <v>221</v>
      </c>
      <c r="C18" s="31">
        <f>$D$47*100+'Debt'!D15</f>
      </c>
    </row>
    <row r="19" spans="2:3" x14ac:dyDescent="0.25">
      <c r="B19" s="31" t="s">
        <v>222</v>
      </c>
      <c r="C19" s="31">
        <f>'입력값'!C8*100</f>
      </c>
    </row>
    <row r="21" spans="2:91" x14ac:dyDescent="0.25">
      <c r="B21" s="9" t="s">
        <v>223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212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224</v>
      </c>
      <c r="C36" s="42">
        <f>'입력값'!C8*100</f>
      </c>
    </row>
    <row r="38" spans="2:91" x14ac:dyDescent="0.25">
      <c r="B38" s="9" t="s">
        <v>225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5" x14ac:dyDescent="0.25">
      <c r="B40" s="27" t="s">
        <v>205</v>
      </c>
      <c r="C40" s="27" t="s">
        <v>226</v>
      </c>
      <c r="D40" s="27" t="s">
        <v>227</v>
      </c>
      <c r="E40" s="27" t="s">
        <v>228</v>
      </c>
    </row>
    <row r="41" spans="2:5" x14ac:dyDescent="0.25">
      <c r="B41" s="30">
        <f>'입력값'!B78</f>
      </c>
      <c r="C41" s="39">
        <f>'입력값'!C78/100</f>
      </c>
      <c r="D41" s="31">
        <v>6000</v>
      </c>
      <c r="E41" s="31">
        <v>32774.92992357295</v>
      </c>
    </row>
    <row r="42" spans="2:5" x14ac:dyDescent="0.25">
      <c r="B42" s="30">
        <f>'입력값'!B79</f>
      </c>
      <c r="C42" s="39">
        <f>'입력값'!C79/100</f>
      </c>
      <c r="D42" s="31">
        <v>9000</v>
      </c>
      <c r="E42" s="31">
        <v>49162.39488535943</v>
      </c>
    </row>
    <row r="45" spans="2:91" x14ac:dyDescent="0.25">
      <c r="B45" s="9" t="s">
        <v>229</v>
      </c>
      <c r="C45" s="10"/>
      <c r="D45" s="43" t="s">
        <v>230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2" x14ac:dyDescent="0.25">
      <c r="B46" s="37" t="s">
        <v>231</v>
      </c>
    </row>
    <row r="47" spans="2:4" x14ac:dyDescent="0.25">
      <c r="B47" s="33" t="s">
        <v>232</v>
      </c>
      <c r="C47" s="44" t="s">
        <v>233</v>
      </c>
      <c r="D47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234</v>
      </c>
    </row>
    <row r="4" spans="2:91" x14ac:dyDescent="0.25">
      <c r="B4" s="9" t="s">
        <v>235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236</v>
      </c>
      <c r="C8" s="34" t="s">
        <v>237</v>
      </c>
      <c r="D8" s="31">
        <f>SUM(E8:CL8)</f>
      </c>
      <c r="E8" s="31">
        <f>E105*$D$88*100</f>
      </c>
      <c r="F8" s="31">
        <f>F105*$D$88*100</f>
      </c>
      <c r="G8" s="31">
        <f>G105*$D$88*100</f>
      </c>
      <c r="H8" s="31">
        <f>H105*$D$88*100</f>
      </c>
      <c r="I8" s="31">
        <f>I105*$D$88*100</f>
      </c>
      <c r="J8" s="31">
        <f>J105*$D$88*100</f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238</v>
      </c>
      <c r="C9" s="34" t="s">
        <v>237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239</v>
      </c>
      <c r="C10" s="34" t="s">
        <v>237</v>
      </c>
      <c r="D10" s="31">
        <f>SUM(E10:CL10)</f>
      </c>
      <c r="E10" s="31">
        <v>0</v>
      </c>
      <c r="F10" s="31">
        <f>E18*$D$91/4</f>
      </c>
      <c r="G10" s="31">
        <f>F18*$D$91/4</f>
      </c>
      <c r="H10" s="31">
        <f>G18*$D$91/4</f>
      </c>
      <c r="I10" s="31">
        <f>H18*$D$91/4</f>
      </c>
      <c r="J10" s="31">
        <f>I18*$D$91/4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240</v>
      </c>
      <c r="C11" s="34" t="s">
        <v>237</v>
      </c>
      <c r="D11" s="31">
        <f>SUM(E11:CL11)</f>
      </c>
      <c r="E11" s="31">
        <v>0</v>
      </c>
      <c r="F11" s="31">
        <f>E19*$D$94/4</f>
      </c>
      <c r="G11" s="31">
        <f>F19*$D$94/4</f>
      </c>
      <c r="H11" s="31">
        <f>G19*$D$94/4</f>
      </c>
      <c r="I11" s="31">
        <f>H19*$D$94/4</f>
      </c>
      <c r="J11" s="31">
        <f>I19*$D$94/4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241</v>
      </c>
      <c r="C12" s="34" t="s">
        <v>237</v>
      </c>
      <c r="D12" s="31">
        <f>SUM(E12:CL12)</f>
      </c>
      <c r="E12" s="31">
        <v>0</v>
      </c>
      <c r="F12" s="31">
        <f>E20*$D$97/4</f>
      </c>
      <c r="G12" s="31">
        <f>F20*$D$97/4</f>
      </c>
      <c r="H12" s="31">
        <f>G20*$D$97/4</f>
      </c>
      <c r="I12" s="31">
        <f>H20*$D$97/4</f>
      </c>
      <c r="J12" s="31">
        <f>I20*$D$97/4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242</v>
      </c>
      <c r="C13" s="34" t="s">
        <v>237</v>
      </c>
      <c r="D13" s="31">
        <f>SUM(E13:CL13)</f>
      </c>
      <c r="E13" s="31">
        <v>0</v>
      </c>
      <c r="F13" s="31">
        <f>E21*$D$100/4</f>
      </c>
      <c r="G13" s="31">
        <f>F21*$D$100/4</f>
      </c>
      <c r="H13" s="31">
        <f>G21*$D$100/4</f>
      </c>
      <c r="I13" s="31">
        <f>H21*$D$100/4</f>
      </c>
      <c r="J13" s="31">
        <f>I21*$D$100/4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243</v>
      </c>
      <c r="C14" s="34" t="s">
        <v>237</v>
      </c>
      <c r="D14" s="31">
        <f>SUM(E14:CL14)</f>
      </c>
      <c r="E14" s="31">
        <v>0</v>
      </c>
      <c r="F14" s="31">
        <f>E22*$D$103/4</f>
      </c>
      <c r="G14" s="31">
        <f>F22*$D$103/4</f>
      </c>
      <c r="H14" s="31">
        <f>G22*$D$103/4</f>
      </c>
      <c r="I14" s="31">
        <f>H22*$D$103/4</f>
      </c>
      <c r="J14" s="31">
        <f>I22*$D$103/4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244</v>
      </c>
      <c r="C15" s="34" t="s">
        <v>237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245</v>
      </c>
      <c r="C16" s="34" t="s">
        <v>237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246</v>
      </c>
      <c r="C17" s="34" t="s">
        <v>237</v>
      </c>
      <c r="E17" s="31">
        <f>MIN(MAX(E16-(0),0),$D$89*100+$D$102*100)*($D$89*100)/IF(($D$89*100+$D$102*100)=0,1,$D$89*100+$D$102*100)</f>
      </c>
      <c r="F17" s="31">
        <f>MIN(MAX(F16-(0),0),$D$89*100+$D$102*100)*($D$89*100)/IF(($D$89*100+$D$102*100)=0,1,$D$89*100+$D$102*100)</f>
      </c>
      <c r="G17" s="31">
        <f>MIN(MAX(G16-(0),0),$D$89*100+$D$102*100)*($D$89*100)/IF(($D$89*100+$D$102*100)=0,1,$D$89*100+$D$102*100)</f>
      </c>
      <c r="H17" s="31">
        <f>MIN(MAX(H16-(0),0),$D$89*100+$D$102*100)*($D$89*100)/IF(($D$89*100+$D$102*100)=0,1,$D$89*100+$D$102*100)</f>
      </c>
      <c r="I17" s="31">
        <f>MIN(MAX(I16-(0),0),$D$89*100+$D$102*100)*($D$89*100)/IF(($D$89*100+$D$102*100)=0,1,$D$89*100+$D$102*100)</f>
      </c>
      <c r="J17" s="31">
        <f>MIN(MAX(J16-(0),0),$D$89*100+$D$102*100)*($D$89*100)/IF(($D$89*100+$D$102*100)=0,1,$D$89*100+$D$102*100)</f>
      </c>
      <c r="K17" s="31">
        <f>MIN(MAX(K16-(0),0),$D$89*100+$D$102*100)*($D$89*100)/IF(($D$89*100+$D$102*100)=0,1,$D$89*100+$D$102*100)</f>
      </c>
      <c r="L17" s="31">
        <f>MIN(MAX(L16-(0),0),$D$89*100+$D$102*100)*($D$89*100)/IF(($D$89*100+$D$102*100)=0,1,$D$89*100+$D$102*100)</f>
      </c>
      <c r="M17" s="31">
        <f>MIN(MAX(M16-(0),0),$D$89*100+$D$102*100)*($D$89*100)/IF(($D$89*100+$D$102*100)=0,1,$D$89*100+$D$102*100)</f>
      </c>
      <c r="N17" s="31">
        <f>MIN(MAX(N16-(0),0),$D$89*100+$D$102*100)*($D$89*100)/IF(($D$89*100+$D$102*100)=0,1,$D$89*100+$D$102*100)</f>
      </c>
      <c r="O17" s="31">
        <f>MIN(MAX(O16-(0),0),$D$89*100+$D$102*100)*($D$89*100)/IF(($D$89*100+$D$102*100)=0,1,$D$89*100+$D$102*100)</f>
      </c>
      <c r="P17" s="31">
        <f>MIN(MAX(P16-(0),0),$D$89*100+$D$102*100)*($D$89*100)/IF(($D$89*100+$D$102*100)=0,1,$D$89*100+$D$102*100)</f>
      </c>
      <c r="Q17" s="31">
        <f>MIN(MAX(Q16-(0),0),$D$89*100+$D$102*100)*($D$89*100)/IF(($D$89*100+$D$102*100)=0,1,$D$89*100+$D$102*100)</f>
      </c>
      <c r="R17" s="31">
        <f>MIN(MAX(R16-(0),0),$D$89*100+$D$102*100)*($D$89*100)/IF(($D$89*100+$D$102*100)=0,1,$D$89*100+$D$102*100)</f>
      </c>
      <c r="S17" s="31">
        <f>MIN(MAX(S16-(0),0),$D$89*100+$D$102*100)*($D$89*100)/IF(($D$89*100+$D$102*100)=0,1,$D$89*100+$D$102*100)</f>
      </c>
      <c r="T17" s="31">
        <f>MIN(MAX(T16-(0),0),$D$89*100+$D$102*100)*($D$89*100)/IF(($D$89*100+$D$102*100)=0,1,$D$89*100+$D$102*100)</f>
      </c>
      <c r="U17" s="31">
        <f>MIN(MAX(U16-(0),0),$D$89*100+$D$102*100)*($D$89*100)/IF(($D$89*100+$D$102*100)=0,1,$D$89*100+$D$102*100)</f>
      </c>
      <c r="V17" s="31">
        <f>MIN(MAX(V16-(0),0),$D$89*100+$D$102*100)*($D$89*100)/IF(($D$89*100+$D$102*100)=0,1,$D$89*100+$D$102*100)</f>
      </c>
      <c r="W17" s="31">
        <f>MIN(MAX(W16-(0),0),$D$89*100+$D$102*100)*($D$89*100)/IF(($D$89*100+$D$102*100)=0,1,$D$89*100+$D$102*100)</f>
      </c>
      <c r="X17" s="31">
        <f>MIN(MAX(X16-(0),0),$D$89*100+$D$102*100)*($D$89*100)/IF(($D$89*100+$D$102*100)=0,1,$D$89*100+$D$102*100)</f>
      </c>
      <c r="Y17" s="31">
        <f>MIN(MAX(Y16-(0),0),$D$89*100+$D$102*100)*($D$89*100)/IF(($D$89*100+$D$102*100)=0,1,$D$89*100+$D$102*100)</f>
      </c>
      <c r="Z17" s="31">
        <f>MIN(MAX(Z16-(0),0),$D$89*100+$D$102*100)*($D$89*100)/IF(($D$89*100+$D$102*100)=0,1,$D$89*100+$D$102*100)</f>
      </c>
      <c r="AA17" s="31">
        <f>MIN(MAX(AA16-(0),0),$D$89*100+$D$102*100)*($D$89*100)/IF(($D$89*100+$D$102*100)=0,1,$D$89*100+$D$102*100)</f>
      </c>
      <c r="AB17" s="31">
        <f>MIN(MAX(AB16-(0),0),$D$89*100+$D$102*100)*($D$89*100)/IF(($D$89*100+$D$102*100)=0,1,$D$89*100+$D$102*100)</f>
      </c>
      <c r="AC17" s="31">
        <f>MIN(MAX(AC16-(0),0),$D$89*100+$D$102*100)*($D$89*100)/IF(($D$89*100+$D$102*100)=0,1,$D$89*100+$D$102*100)</f>
      </c>
      <c r="AD17" s="31">
        <f>MIN(MAX(AD16-(0),0),$D$89*100+$D$102*100)*($D$89*100)/IF(($D$89*100+$D$102*100)=0,1,$D$89*100+$D$102*100)</f>
      </c>
      <c r="AE17" s="31">
        <f>MIN(MAX(AE16-(0),0),$D$89*100+$D$102*100)*($D$89*100)/IF(($D$89*100+$D$102*100)=0,1,$D$89*100+$D$102*100)</f>
      </c>
      <c r="AF17" s="31">
        <f>MIN(MAX(AF16-(0),0),$D$89*100+$D$102*100)*($D$89*100)/IF(($D$89*100+$D$102*100)=0,1,$D$89*100+$D$102*100)</f>
      </c>
      <c r="AG17" s="31">
        <f>MIN(MAX(AG16-(0),0),$D$89*100+$D$102*100)*($D$89*100)/IF(($D$89*100+$D$102*100)=0,1,$D$89*100+$D$102*100)</f>
      </c>
      <c r="AH17" s="31">
        <f>MIN(MAX(AH16-(0),0),$D$89*100+$D$102*100)*($D$89*100)/IF(($D$89*100+$D$102*100)=0,1,$D$89*100+$D$102*100)</f>
      </c>
      <c r="AI17" s="31">
        <f>MIN(MAX(AI16-(0),0),$D$89*100+$D$102*100)*($D$89*100)/IF(($D$89*100+$D$102*100)=0,1,$D$89*100+$D$102*100)</f>
      </c>
      <c r="AJ17" s="31">
        <f>MIN(MAX(AJ16-(0),0),$D$89*100+$D$102*100)*($D$89*100)/IF(($D$89*100+$D$102*100)=0,1,$D$89*100+$D$102*100)</f>
      </c>
      <c r="AK17" s="31">
        <f>MIN(MAX(AK16-(0),0),$D$89*100+$D$102*100)*($D$89*100)/IF(($D$89*100+$D$102*100)=0,1,$D$89*100+$D$102*100)</f>
      </c>
      <c r="AL17" s="31">
        <f>MIN(MAX(AL16-(0),0),$D$89*100+$D$102*100)*($D$89*100)/IF(($D$89*100+$D$102*100)=0,1,$D$89*100+$D$102*100)</f>
      </c>
      <c r="AM17" s="31">
        <f>MIN(MAX(AM16-(0),0),$D$89*100+$D$102*100)*($D$89*100)/IF(($D$89*100+$D$102*100)=0,1,$D$89*100+$D$102*100)</f>
      </c>
      <c r="AN17" s="31">
        <f>MIN(MAX(AN16-(0),0),$D$89*100+$D$102*100)*($D$89*100)/IF(($D$89*100+$D$102*100)=0,1,$D$89*100+$D$102*100)</f>
      </c>
      <c r="AO17" s="31">
        <f>MIN(MAX(AO16-(0),0),$D$89*100+$D$102*100)*($D$89*100)/IF(($D$89*100+$D$102*100)=0,1,$D$89*100+$D$102*100)</f>
      </c>
      <c r="AP17" s="31">
        <f>MIN(MAX(AP16-(0),0),$D$89*100+$D$102*100)*($D$89*100)/IF(($D$89*100+$D$102*100)=0,1,$D$89*100+$D$102*100)</f>
      </c>
      <c r="AQ17" s="31">
        <f>MIN(MAX(AQ16-(0),0),$D$89*100+$D$102*100)*($D$89*100)/IF(($D$89*100+$D$102*100)=0,1,$D$89*100+$D$102*100)</f>
      </c>
      <c r="AR17" s="31">
        <f>MIN(MAX(AR16-(0),0),$D$89*100+$D$102*100)*($D$89*100)/IF(($D$89*100+$D$102*100)=0,1,$D$89*100+$D$102*100)</f>
      </c>
      <c r="AS17" s="31">
        <f>MIN(MAX(AS16-(0),0),$D$89*100+$D$102*100)*($D$89*100)/IF(($D$89*100+$D$102*100)=0,1,$D$89*100+$D$102*100)</f>
      </c>
      <c r="AT17" s="31">
        <f>MIN(MAX(AT16-(0),0),$D$89*100+$D$102*100)*($D$89*100)/IF(($D$89*100+$D$102*100)=0,1,$D$89*100+$D$102*100)</f>
      </c>
      <c r="AU17" s="31">
        <f>MIN(MAX(AU16-(0),0),$D$89*100+$D$102*100)*($D$89*100)/IF(($D$89*100+$D$102*100)=0,1,$D$89*100+$D$102*100)</f>
      </c>
      <c r="AV17" s="31">
        <f>MIN(MAX(AV16-(0),0),$D$89*100+$D$102*100)*($D$89*100)/IF(($D$89*100+$D$102*100)=0,1,$D$89*100+$D$102*100)</f>
      </c>
      <c r="AW17" s="31">
        <f>MIN(MAX(AW16-(0),0),$D$89*100+$D$102*100)*($D$89*100)/IF(($D$89*100+$D$102*100)=0,1,$D$89*100+$D$102*100)</f>
      </c>
      <c r="AX17" s="31">
        <f>MIN(MAX(AX16-(0),0),$D$89*100+$D$102*100)*($D$89*100)/IF(($D$89*100+$D$102*100)=0,1,$D$89*100+$D$102*100)</f>
      </c>
      <c r="AY17" s="31">
        <f>MIN(MAX(AY16-(0),0),$D$89*100+$D$102*100)*($D$89*100)/IF(($D$89*100+$D$102*100)=0,1,$D$89*100+$D$102*100)</f>
      </c>
      <c r="AZ17" s="31">
        <f>MIN(MAX(AZ16-(0),0),$D$89*100+$D$102*100)*($D$89*100)/IF(($D$89*100+$D$102*100)=0,1,$D$89*100+$D$102*100)</f>
      </c>
      <c r="BA17" s="31">
        <f>MIN(MAX(BA16-(0),0),$D$89*100+$D$102*100)*($D$89*100)/IF(($D$89*100+$D$102*100)=0,1,$D$89*100+$D$102*100)</f>
      </c>
      <c r="BB17" s="31">
        <f>MIN(MAX(BB16-(0),0),$D$89*100+$D$102*100)*($D$89*100)/IF(($D$89*100+$D$102*100)=0,1,$D$89*100+$D$102*100)</f>
      </c>
      <c r="BC17" s="31">
        <f>MIN(MAX(BC16-(0),0),$D$89*100+$D$102*100)*($D$89*100)/IF(($D$89*100+$D$102*100)=0,1,$D$89*100+$D$102*100)</f>
      </c>
      <c r="BD17" s="31">
        <f>MIN(MAX(BD16-(0),0),$D$89*100+$D$102*100)*($D$89*100)/IF(($D$89*100+$D$102*100)=0,1,$D$89*100+$D$102*100)</f>
      </c>
      <c r="BE17" s="31">
        <f>MIN(MAX(BE16-(0),0),$D$89*100+$D$102*100)*($D$89*100)/IF(($D$89*100+$D$102*100)=0,1,$D$89*100+$D$102*100)</f>
      </c>
      <c r="BF17" s="31">
        <f>MIN(MAX(BF16-(0),0),$D$89*100+$D$102*100)*($D$89*100)/IF(($D$89*100+$D$102*100)=0,1,$D$89*100+$D$102*100)</f>
      </c>
      <c r="BG17" s="31">
        <f>MIN(MAX(BG16-(0),0),$D$89*100+$D$102*100)*($D$89*100)/IF(($D$89*100+$D$102*100)=0,1,$D$89*100+$D$102*100)</f>
      </c>
      <c r="BH17" s="31">
        <f>MIN(MAX(BH16-(0),0),$D$89*100+$D$102*100)*($D$89*100)/IF(($D$89*100+$D$102*100)=0,1,$D$89*100+$D$102*100)</f>
      </c>
      <c r="BI17" s="31">
        <f>MIN(MAX(BI16-(0),0),$D$89*100+$D$102*100)*($D$89*100)/IF(($D$89*100+$D$102*100)=0,1,$D$89*100+$D$102*100)</f>
      </c>
      <c r="BJ17" s="31">
        <f>MIN(MAX(BJ16-(0),0),$D$89*100+$D$102*100)*($D$89*100)/IF(($D$89*100+$D$102*100)=0,1,$D$89*100+$D$102*100)</f>
      </c>
      <c r="BK17" s="31">
        <f>MIN(MAX(BK16-(0),0),$D$89*100+$D$102*100)*($D$89*100)/IF(($D$89*100+$D$102*100)=0,1,$D$89*100+$D$102*100)</f>
      </c>
      <c r="BL17" s="31">
        <f>MIN(MAX(BL16-(0),0),$D$89*100+$D$102*100)*($D$89*100)/IF(($D$89*100+$D$102*100)=0,1,$D$89*100+$D$102*100)</f>
      </c>
      <c r="BM17" s="31">
        <f>MIN(MAX(BM16-(0),0),$D$89*100+$D$102*100)*($D$89*100)/IF(($D$89*100+$D$102*100)=0,1,$D$89*100+$D$102*100)</f>
      </c>
      <c r="BN17" s="31">
        <f>MIN(MAX(BN16-(0),0),$D$89*100+$D$102*100)*($D$89*100)/IF(($D$89*100+$D$102*100)=0,1,$D$89*100+$D$102*100)</f>
      </c>
      <c r="BO17" s="31">
        <f>MIN(MAX(BO16-(0),0),$D$89*100+$D$102*100)*($D$89*100)/IF(($D$89*100+$D$102*100)=0,1,$D$89*100+$D$102*100)</f>
      </c>
      <c r="BP17" s="31">
        <f>MIN(MAX(BP16-(0),0),$D$89*100+$D$102*100)*($D$89*100)/IF(($D$89*100+$D$102*100)=0,1,$D$89*100+$D$102*100)</f>
      </c>
      <c r="BQ17" s="31">
        <f>MIN(MAX(BQ16-(0),0),$D$89*100+$D$102*100)*($D$89*100)/IF(($D$89*100+$D$102*100)=0,1,$D$89*100+$D$102*100)</f>
      </c>
      <c r="BR17" s="31">
        <f>MIN(MAX(BR16-(0),0),$D$89*100+$D$102*100)*($D$89*100)/IF(($D$89*100+$D$102*100)=0,1,$D$89*100+$D$102*100)</f>
      </c>
      <c r="BS17" s="31">
        <f>MIN(MAX(BS16-(0),0),$D$89*100+$D$102*100)*($D$89*100)/IF(($D$89*100+$D$102*100)=0,1,$D$89*100+$D$102*100)</f>
      </c>
      <c r="BT17" s="31">
        <f>MIN(MAX(BT16-(0),0),$D$89*100+$D$102*100)*($D$89*100)/IF(($D$89*100+$D$102*100)=0,1,$D$89*100+$D$102*100)</f>
      </c>
      <c r="BU17" s="31">
        <f>MIN(MAX(BU16-(0),0),$D$89*100+$D$102*100)*($D$89*100)/IF(($D$89*100+$D$102*100)=0,1,$D$89*100+$D$102*100)</f>
      </c>
      <c r="BV17" s="31">
        <f>MIN(MAX(BV16-(0),0),$D$89*100+$D$102*100)*($D$89*100)/IF(($D$89*100+$D$102*100)=0,1,$D$89*100+$D$102*100)</f>
      </c>
      <c r="BW17" s="31">
        <f>MIN(MAX(BW16-(0),0),$D$89*100+$D$102*100)*($D$89*100)/IF(($D$89*100+$D$102*100)=0,1,$D$89*100+$D$102*100)</f>
      </c>
      <c r="BX17" s="31">
        <f>MIN(MAX(BX16-(0),0),$D$89*100+$D$102*100)*($D$89*100)/IF(($D$89*100+$D$102*100)=0,1,$D$89*100+$D$102*100)</f>
      </c>
      <c r="BY17" s="31">
        <f>MIN(MAX(BY16-(0),0),$D$89*100+$D$102*100)*($D$89*100)/IF(($D$89*100+$D$102*100)=0,1,$D$89*100+$D$102*100)</f>
      </c>
      <c r="BZ17" s="31">
        <f>MIN(MAX(BZ16-(0),0),$D$89*100+$D$102*100)*($D$89*100)/IF(($D$89*100+$D$102*100)=0,1,$D$89*100+$D$102*100)</f>
      </c>
      <c r="CA17" s="31">
        <f>MIN(MAX(CA16-(0),0),$D$89*100+$D$102*100)*($D$89*100)/IF(($D$89*100+$D$102*100)=0,1,$D$89*100+$D$102*100)</f>
      </c>
      <c r="CB17" s="31">
        <f>MIN(MAX(CB16-(0),0),$D$89*100+$D$102*100)*($D$89*100)/IF(($D$89*100+$D$102*100)=0,1,$D$89*100+$D$102*100)</f>
      </c>
      <c r="CC17" s="31">
        <f>MIN(MAX(CC16-(0),0),$D$89*100+$D$102*100)*($D$89*100)/IF(($D$89*100+$D$102*100)=0,1,$D$89*100+$D$102*100)</f>
      </c>
      <c r="CD17" s="31">
        <f>MIN(MAX(CD16-(0),0),$D$89*100+$D$102*100)*($D$89*100)/IF(($D$89*100+$D$102*100)=0,1,$D$89*100+$D$102*100)</f>
      </c>
      <c r="CE17" s="31">
        <f>MIN(MAX(CE16-(0),0),$D$89*100+$D$102*100)*($D$89*100)/IF(($D$89*100+$D$102*100)=0,1,$D$89*100+$D$102*100)</f>
      </c>
      <c r="CF17" s="31">
        <f>MIN(MAX(CF16-(0),0),$D$89*100+$D$102*100)*($D$89*100)/IF(($D$89*100+$D$102*100)=0,1,$D$89*100+$D$102*100)</f>
      </c>
      <c r="CG17" s="31">
        <f>MIN(MAX(CG16-(0),0),$D$89*100+$D$102*100)*($D$89*100)/IF(($D$89*100+$D$102*100)=0,1,$D$89*100+$D$102*100)</f>
      </c>
      <c r="CH17" s="31">
        <f>MIN(MAX(CH16-(0),0),$D$89*100+$D$102*100)*($D$89*100)/IF(($D$89*100+$D$102*100)=0,1,$D$89*100+$D$102*100)</f>
      </c>
      <c r="CI17" s="31">
        <f>MIN(MAX(CI16-(0),0),$D$89*100+$D$102*100)*($D$89*100)/IF(($D$89*100+$D$102*100)=0,1,$D$89*100+$D$102*100)</f>
      </c>
      <c r="CJ17" s="31">
        <f>MIN(MAX(CJ16-(0),0),$D$89*100+$D$102*100)*($D$89*100)/IF(($D$89*100+$D$102*100)=0,1,$D$89*100+$D$102*100)</f>
      </c>
      <c r="CK17" s="31">
        <f>MIN(MAX(CK16-(0),0),$D$89*100+$D$102*100)*($D$89*100)/IF(($D$89*100+$D$102*100)=0,1,$D$89*100+$D$102*100)</f>
      </c>
      <c r="CL17" s="31">
        <f>MIN(MAX(CL16-(0),0),$D$89*100+$D$102*100)*($D$89*100)/IF(($D$89*100+$D$102*100)=0,1,$D$89*100+$D$102*100)</f>
      </c>
    </row>
    <row r="18" spans="2:90" x14ac:dyDescent="0.25">
      <c r="B18" s="33" t="s">
        <v>247</v>
      </c>
      <c r="C18" s="34" t="s">
        <v>237</v>
      </c>
      <c r="E18" s="31">
        <f>MIN(MAX(E16-($D$89*100+$D$102*100),0),$D$90*100+$D$93*100)*($D$90*100)/IF(($D$90*100+$D$93*100)=0,1,$D$90*100+$D$93*100)</f>
      </c>
      <c r="F18" s="31">
        <f>MIN(MAX(F16-($D$89*100+$D$102*100),0),$D$90*100+$D$93*100)*($D$90*100)/IF(($D$90*100+$D$93*100)=0,1,$D$90*100+$D$93*100)</f>
      </c>
      <c r="G18" s="31">
        <f>MIN(MAX(G16-($D$89*100+$D$102*100),0),$D$90*100+$D$93*100)*($D$90*100)/IF(($D$90*100+$D$93*100)=0,1,$D$90*100+$D$93*100)</f>
      </c>
      <c r="H18" s="31">
        <f>MIN(MAX(H16-($D$89*100+$D$102*100),0),$D$90*100+$D$93*100)*($D$90*100)/IF(($D$90*100+$D$93*100)=0,1,$D$90*100+$D$93*100)</f>
      </c>
      <c r="I18" s="31">
        <f>MIN(MAX(I16-($D$89*100+$D$102*100),0),$D$90*100+$D$93*100)*($D$90*100)/IF(($D$90*100+$D$93*100)=0,1,$D$90*100+$D$93*100)</f>
      </c>
      <c r="J18" s="31">
        <f>MIN(MAX(J16-($D$89*100+$D$102*100),0),$D$90*100+$D$93*100)*($D$90*100)/IF(($D$90*100+$D$93*100)=0,1,$D$90*100+$D$93*100)</f>
      </c>
      <c r="K18" s="31">
        <f>MIN(MAX(K16-($D$89*100+$D$102*100),0),$D$90*100+$D$93*100)*($D$90*100)/IF(($D$90*100+$D$93*100)=0,1,$D$90*100+$D$93*100)</f>
      </c>
      <c r="L18" s="31">
        <f>MIN(MAX(L16-($D$89*100+$D$102*100),0),$D$90*100+$D$93*100)*($D$90*100)/IF(($D$90*100+$D$93*100)=0,1,$D$90*100+$D$93*100)</f>
      </c>
      <c r="M18" s="31">
        <f>MIN(MAX(M16-($D$89*100+$D$102*100),0),$D$90*100+$D$93*100)*($D$90*100)/IF(($D$90*100+$D$93*100)=0,1,$D$90*100+$D$93*100)</f>
      </c>
      <c r="N18" s="31">
        <f>MIN(MAX(N16-($D$89*100+$D$102*100),0),$D$90*100+$D$93*100)*($D$90*100)/IF(($D$90*100+$D$93*100)=0,1,$D$90*100+$D$93*100)</f>
      </c>
      <c r="O18" s="31">
        <f>MIN(MAX(O16-($D$89*100+$D$102*100),0),$D$90*100+$D$93*100)*($D$90*100)/IF(($D$90*100+$D$93*100)=0,1,$D$90*100+$D$93*100)</f>
      </c>
      <c r="P18" s="31">
        <f>MIN(MAX(P16-($D$89*100+$D$102*100),0),$D$90*100+$D$93*100)*($D$90*100)/IF(($D$90*100+$D$93*100)=0,1,$D$90*100+$D$93*100)</f>
      </c>
      <c r="Q18" s="31">
        <f>MIN(MAX(Q16-($D$89*100+$D$102*100),0),$D$90*100+$D$93*100)*($D$90*100)/IF(($D$90*100+$D$93*100)=0,1,$D$90*100+$D$93*100)</f>
      </c>
      <c r="R18" s="31">
        <f>MIN(MAX(R16-($D$89*100+$D$102*100),0),$D$90*100+$D$93*100)*($D$90*100)/IF(($D$90*100+$D$93*100)=0,1,$D$90*100+$D$93*100)</f>
      </c>
      <c r="S18" s="31">
        <f>MIN(MAX(S16-($D$89*100+$D$102*100),0),$D$90*100+$D$93*100)*($D$90*100)/IF(($D$90*100+$D$93*100)=0,1,$D$90*100+$D$93*100)</f>
      </c>
      <c r="T18" s="31">
        <f>MIN(MAX(T16-($D$89*100+$D$102*100),0),$D$90*100+$D$93*100)*($D$90*100)/IF(($D$90*100+$D$93*100)=0,1,$D$90*100+$D$93*100)</f>
      </c>
      <c r="U18" s="31">
        <f>MIN(MAX(U16-($D$89*100+$D$102*100),0),$D$90*100+$D$93*100)*($D$90*100)/IF(($D$90*100+$D$93*100)=0,1,$D$90*100+$D$93*100)</f>
      </c>
      <c r="V18" s="31">
        <f>MIN(MAX(V16-($D$89*100+$D$102*100),0),$D$90*100+$D$93*100)*($D$90*100)/IF(($D$90*100+$D$93*100)=0,1,$D$90*100+$D$93*100)</f>
      </c>
      <c r="W18" s="31">
        <f>MIN(MAX(W16-($D$89*100+$D$102*100),0),$D$90*100+$D$93*100)*($D$90*100)/IF(($D$90*100+$D$93*100)=0,1,$D$90*100+$D$93*100)</f>
      </c>
      <c r="X18" s="31">
        <f>MIN(MAX(X16-($D$89*100+$D$102*100),0),$D$90*100+$D$93*100)*($D$90*100)/IF(($D$90*100+$D$93*100)=0,1,$D$90*100+$D$93*100)</f>
      </c>
      <c r="Y18" s="31">
        <f>MIN(MAX(Y16-($D$89*100+$D$102*100),0),$D$90*100+$D$93*100)*($D$90*100)/IF(($D$90*100+$D$93*100)=0,1,$D$90*100+$D$93*100)</f>
      </c>
      <c r="Z18" s="31">
        <f>MIN(MAX(Z16-($D$89*100+$D$102*100),0),$D$90*100+$D$93*100)*($D$90*100)/IF(($D$90*100+$D$93*100)=0,1,$D$90*100+$D$93*100)</f>
      </c>
      <c r="AA18" s="31">
        <f>MIN(MAX(AA16-($D$89*100+$D$102*100),0),$D$90*100+$D$93*100)*($D$90*100)/IF(($D$90*100+$D$93*100)=0,1,$D$90*100+$D$93*100)</f>
      </c>
      <c r="AB18" s="31">
        <f>MIN(MAX(AB16-($D$89*100+$D$102*100),0),$D$90*100+$D$93*100)*($D$90*100)/IF(($D$90*100+$D$93*100)=0,1,$D$90*100+$D$93*100)</f>
      </c>
      <c r="AC18" s="31">
        <f>MIN(MAX(AC16-($D$89*100+$D$102*100),0),$D$90*100+$D$93*100)*($D$90*100)/IF(($D$90*100+$D$93*100)=0,1,$D$90*100+$D$93*100)</f>
      </c>
      <c r="AD18" s="31">
        <f>MIN(MAX(AD16-($D$89*100+$D$102*100),0),$D$90*100+$D$93*100)*($D$90*100)/IF(($D$90*100+$D$93*100)=0,1,$D$90*100+$D$93*100)</f>
      </c>
      <c r="AE18" s="31">
        <f>MIN(MAX(AE16-($D$89*100+$D$102*100),0),$D$90*100+$D$93*100)*($D$90*100)/IF(($D$90*100+$D$93*100)=0,1,$D$90*100+$D$93*100)</f>
      </c>
      <c r="AF18" s="31">
        <f>MIN(MAX(AF16-($D$89*100+$D$102*100),0),$D$90*100+$D$93*100)*($D$90*100)/IF(($D$90*100+$D$93*100)=0,1,$D$90*100+$D$93*100)</f>
      </c>
      <c r="AG18" s="31">
        <f>MIN(MAX(AG16-($D$89*100+$D$102*100),0),$D$90*100+$D$93*100)*($D$90*100)/IF(($D$90*100+$D$93*100)=0,1,$D$90*100+$D$93*100)</f>
      </c>
      <c r="AH18" s="31">
        <f>MIN(MAX(AH16-($D$89*100+$D$102*100),0),$D$90*100+$D$93*100)*($D$90*100)/IF(($D$90*100+$D$93*100)=0,1,$D$90*100+$D$93*100)</f>
      </c>
      <c r="AI18" s="31">
        <f>MIN(MAX(AI16-($D$89*100+$D$102*100),0),$D$90*100+$D$93*100)*($D$90*100)/IF(($D$90*100+$D$93*100)=0,1,$D$90*100+$D$93*100)</f>
      </c>
      <c r="AJ18" s="31">
        <f>MIN(MAX(AJ16-($D$89*100+$D$102*100),0),$D$90*100+$D$93*100)*($D$90*100)/IF(($D$90*100+$D$93*100)=0,1,$D$90*100+$D$93*100)</f>
      </c>
      <c r="AK18" s="31">
        <f>MIN(MAX(AK16-($D$89*100+$D$102*100),0),$D$90*100+$D$93*100)*($D$90*100)/IF(($D$90*100+$D$93*100)=0,1,$D$90*100+$D$93*100)</f>
      </c>
      <c r="AL18" s="31">
        <f>MIN(MAX(AL16-($D$89*100+$D$102*100),0),$D$90*100+$D$93*100)*($D$90*100)/IF(($D$90*100+$D$93*100)=0,1,$D$90*100+$D$93*100)</f>
      </c>
      <c r="AM18" s="31">
        <f>MIN(MAX(AM16-($D$89*100+$D$102*100),0),$D$90*100+$D$93*100)*($D$90*100)/IF(($D$90*100+$D$93*100)=0,1,$D$90*100+$D$93*100)</f>
      </c>
      <c r="AN18" s="31">
        <f>MIN(MAX(AN16-($D$89*100+$D$102*100),0),$D$90*100+$D$93*100)*($D$90*100)/IF(($D$90*100+$D$93*100)=0,1,$D$90*100+$D$93*100)</f>
      </c>
      <c r="AO18" s="31">
        <f>MIN(MAX(AO16-($D$89*100+$D$102*100),0),$D$90*100+$D$93*100)*($D$90*100)/IF(($D$90*100+$D$93*100)=0,1,$D$90*100+$D$93*100)</f>
      </c>
      <c r="AP18" s="31">
        <f>MIN(MAX(AP16-($D$89*100+$D$102*100),0),$D$90*100+$D$93*100)*($D$90*100)/IF(($D$90*100+$D$93*100)=0,1,$D$90*100+$D$93*100)</f>
      </c>
      <c r="AQ18" s="31">
        <f>MIN(MAX(AQ16-($D$89*100+$D$102*100),0),$D$90*100+$D$93*100)*($D$90*100)/IF(($D$90*100+$D$93*100)=0,1,$D$90*100+$D$93*100)</f>
      </c>
      <c r="AR18" s="31">
        <f>MIN(MAX(AR16-($D$89*100+$D$102*100),0),$D$90*100+$D$93*100)*($D$90*100)/IF(($D$90*100+$D$93*100)=0,1,$D$90*100+$D$93*100)</f>
      </c>
      <c r="AS18" s="31">
        <f>MIN(MAX(AS16-($D$89*100+$D$102*100),0),$D$90*100+$D$93*100)*($D$90*100)/IF(($D$90*100+$D$93*100)=0,1,$D$90*100+$D$93*100)</f>
      </c>
      <c r="AT18" s="31">
        <f>MIN(MAX(AT16-($D$89*100+$D$102*100),0),$D$90*100+$D$93*100)*($D$90*100)/IF(($D$90*100+$D$93*100)=0,1,$D$90*100+$D$93*100)</f>
      </c>
      <c r="AU18" s="31">
        <f>MIN(MAX(AU16-($D$89*100+$D$102*100),0),$D$90*100+$D$93*100)*($D$90*100)/IF(($D$90*100+$D$93*100)=0,1,$D$90*100+$D$93*100)</f>
      </c>
      <c r="AV18" s="31">
        <f>MIN(MAX(AV16-($D$89*100+$D$102*100),0),$D$90*100+$D$93*100)*($D$90*100)/IF(($D$90*100+$D$93*100)=0,1,$D$90*100+$D$93*100)</f>
      </c>
      <c r="AW18" s="31">
        <f>MIN(MAX(AW16-($D$89*100+$D$102*100),0),$D$90*100+$D$93*100)*($D$90*100)/IF(($D$90*100+$D$93*100)=0,1,$D$90*100+$D$93*100)</f>
      </c>
      <c r="AX18" s="31">
        <f>MIN(MAX(AX16-($D$89*100+$D$102*100),0),$D$90*100+$D$93*100)*($D$90*100)/IF(($D$90*100+$D$93*100)=0,1,$D$90*100+$D$93*100)</f>
      </c>
      <c r="AY18" s="31">
        <f>MIN(MAX(AY16-($D$89*100+$D$102*100),0),$D$90*100+$D$93*100)*($D$90*100)/IF(($D$90*100+$D$93*100)=0,1,$D$90*100+$D$93*100)</f>
      </c>
      <c r="AZ18" s="31">
        <f>MIN(MAX(AZ16-($D$89*100+$D$102*100),0),$D$90*100+$D$93*100)*($D$90*100)/IF(($D$90*100+$D$93*100)=0,1,$D$90*100+$D$93*100)</f>
      </c>
      <c r="BA18" s="31">
        <f>MIN(MAX(BA16-($D$89*100+$D$102*100),0),$D$90*100+$D$93*100)*($D$90*100)/IF(($D$90*100+$D$93*100)=0,1,$D$90*100+$D$93*100)</f>
      </c>
      <c r="BB18" s="31">
        <f>MIN(MAX(BB16-($D$89*100+$D$102*100),0),$D$90*100+$D$93*100)*($D$90*100)/IF(($D$90*100+$D$93*100)=0,1,$D$90*100+$D$93*100)</f>
      </c>
      <c r="BC18" s="31">
        <f>MIN(MAX(BC16-($D$89*100+$D$102*100),0),$D$90*100+$D$93*100)*($D$90*100)/IF(($D$90*100+$D$93*100)=0,1,$D$90*100+$D$93*100)</f>
      </c>
      <c r="BD18" s="31">
        <f>MIN(MAX(BD16-($D$89*100+$D$102*100),0),$D$90*100+$D$93*100)*($D$90*100)/IF(($D$90*100+$D$93*100)=0,1,$D$90*100+$D$93*100)</f>
      </c>
      <c r="BE18" s="31">
        <f>MIN(MAX(BE16-($D$89*100+$D$102*100),0),$D$90*100+$D$93*100)*($D$90*100)/IF(($D$90*100+$D$93*100)=0,1,$D$90*100+$D$93*100)</f>
      </c>
      <c r="BF18" s="31">
        <f>MIN(MAX(BF16-($D$89*100+$D$102*100),0),$D$90*100+$D$93*100)*($D$90*100)/IF(($D$90*100+$D$93*100)=0,1,$D$90*100+$D$93*100)</f>
      </c>
      <c r="BG18" s="31">
        <f>MIN(MAX(BG16-($D$89*100+$D$102*100),0),$D$90*100+$D$93*100)*($D$90*100)/IF(($D$90*100+$D$93*100)=0,1,$D$90*100+$D$93*100)</f>
      </c>
      <c r="BH18" s="31">
        <f>MIN(MAX(BH16-($D$89*100+$D$102*100),0),$D$90*100+$D$93*100)*($D$90*100)/IF(($D$90*100+$D$93*100)=0,1,$D$90*100+$D$93*100)</f>
      </c>
      <c r="BI18" s="31">
        <f>MIN(MAX(BI16-($D$89*100+$D$102*100),0),$D$90*100+$D$93*100)*($D$90*100)/IF(($D$90*100+$D$93*100)=0,1,$D$90*100+$D$93*100)</f>
      </c>
      <c r="BJ18" s="31">
        <f>MIN(MAX(BJ16-($D$89*100+$D$102*100),0),$D$90*100+$D$93*100)*($D$90*100)/IF(($D$90*100+$D$93*100)=0,1,$D$90*100+$D$93*100)</f>
      </c>
      <c r="BK18" s="31">
        <f>MIN(MAX(BK16-($D$89*100+$D$102*100),0),$D$90*100+$D$93*100)*($D$90*100)/IF(($D$90*100+$D$93*100)=0,1,$D$90*100+$D$93*100)</f>
      </c>
      <c r="BL18" s="31">
        <f>MIN(MAX(BL16-($D$89*100+$D$102*100),0),$D$90*100+$D$93*100)*($D$90*100)/IF(($D$90*100+$D$93*100)=0,1,$D$90*100+$D$93*100)</f>
      </c>
      <c r="BM18" s="31">
        <f>MIN(MAX(BM16-($D$89*100+$D$102*100),0),$D$90*100+$D$93*100)*($D$90*100)/IF(($D$90*100+$D$93*100)=0,1,$D$90*100+$D$93*100)</f>
      </c>
      <c r="BN18" s="31">
        <f>MIN(MAX(BN16-($D$89*100+$D$102*100),0),$D$90*100+$D$93*100)*($D$90*100)/IF(($D$90*100+$D$93*100)=0,1,$D$90*100+$D$93*100)</f>
      </c>
      <c r="BO18" s="31">
        <f>MIN(MAX(BO16-($D$89*100+$D$102*100),0),$D$90*100+$D$93*100)*($D$90*100)/IF(($D$90*100+$D$93*100)=0,1,$D$90*100+$D$93*100)</f>
      </c>
      <c r="BP18" s="31">
        <f>MIN(MAX(BP16-($D$89*100+$D$102*100),0),$D$90*100+$D$93*100)*($D$90*100)/IF(($D$90*100+$D$93*100)=0,1,$D$90*100+$D$93*100)</f>
      </c>
      <c r="BQ18" s="31">
        <f>MIN(MAX(BQ16-($D$89*100+$D$102*100),0),$D$90*100+$D$93*100)*($D$90*100)/IF(($D$90*100+$D$93*100)=0,1,$D$90*100+$D$93*100)</f>
      </c>
      <c r="BR18" s="31">
        <f>MIN(MAX(BR16-($D$89*100+$D$102*100),0),$D$90*100+$D$93*100)*($D$90*100)/IF(($D$90*100+$D$93*100)=0,1,$D$90*100+$D$93*100)</f>
      </c>
      <c r="BS18" s="31">
        <f>MIN(MAX(BS16-($D$89*100+$D$102*100),0),$D$90*100+$D$93*100)*($D$90*100)/IF(($D$90*100+$D$93*100)=0,1,$D$90*100+$D$93*100)</f>
      </c>
      <c r="BT18" s="31">
        <f>MIN(MAX(BT16-($D$89*100+$D$102*100),0),$D$90*100+$D$93*100)*($D$90*100)/IF(($D$90*100+$D$93*100)=0,1,$D$90*100+$D$93*100)</f>
      </c>
      <c r="BU18" s="31">
        <f>MIN(MAX(BU16-($D$89*100+$D$102*100),0),$D$90*100+$D$93*100)*($D$90*100)/IF(($D$90*100+$D$93*100)=0,1,$D$90*100+$D$93*100)</f>
      </c>
      <c r="BV18" s="31">
        <f>MIN(MAX(BV16-($D$89*100+$D$102*100),0),$D$90*100+$D$93*100)*($D$90*100)/IF(($D$90*100+$D$93*100)=0,1,$D$90*100+$D$93*100)</f>
      </c>
      <c r="BW18" s="31">
        <f>MIN(MAX(BW16-($D$89*100+$D$102*100),0),$D$90*100+$D$93*100)*($D$90*100)/IF(($D$90*100+$D$93*100)=0,1,$D$90*100+$D$93*100)</f>
      </c>
      <c r="BX18" s="31">
        <f>MIN(MAX(BX16-($D$89*100+$D$102*100),0),$D$90*100+$D$93*100)*($D$90*100)/IF(($D$90*100+$D$93*100)=0,1,$D$90*100+$D$93*100)</f>
      </c>
      <c r="BY18" s="31">
        <f>MIN(MAX(BY16-($D$89*100+$D$102*100),0),$D$90*100+$D$93*100)*($D$90*100)/IF(($D$90*100+$D$93*100)=0,1,$D$90*100+$D$93*100)</f>
      </c>
      <c r="BZ18" s="31">
        <f>MIN(MAX(BZ16-($D$89*100+$D$102*100),0),$D$90*100+$D$93*100)*($D$90*100)/IF(($D$90*100+$D$93*100)=0,1,$D$90*100+$D$93*100)</f>
      </c>
      <c r="CA18" s="31">
        <f>MIN(MAX(CA16-($D$89*100+$D$102*100),0),$D$90*100+$D$93*100)*($D$90*100)/IF(($D$90*100+$D$93*100)=0,1,$D$90*100+$D$93*100)</f>
      </c>
      <c r="CB18" s="31">
        <f>MIN(MAX(CB16-($D$89*100+$D$102*100),0),$D$90*100+$D$93*100)*($D$90*100)/IF(($D$90*100+$D$93*100)=0,1,$D$90*100+$D$93*100)</f>
      </c>
      <c r="CC18" s="31">
        <f>MIN(MAX(CC16-($D$89*100+$D$102*100),0),$D$90*100+$D$93*100)*($D$90*100)/IF(($D$90*100+$D$93*100)=0,1,$D$90*100+$D$93*100)</f>
      </c>
      <c r="CD18" s="31">
        <f>MIN(MAX(CD16-($D$89*100+$D$102*100),0),$D$90*100+$D$93*100)*($D$90*100)/IF(($D$90*100+$D$93*100)=0,1,$D$90*100+$D$93*100)</f>
      </c>
      <c r="CE18" s="31">
        <f>MIN(MAX(CE16-($D$89*100+$D$102*100),0),$D$90*100+$D$93*100)*($D$90*100)/IF(($D$90*100+$D$93*100)=0,1,$D$90*100+$D$93*100)</f>
      </c>
      <c r="CF18" s="31">
        <f>MIN(MAX(CF16-($D$89*100+$D$102*100),0),$D$90*100+$D$93*100)*($D$90*100)/IF(($D$90*100+$D$93*100)=0,1,$D$90*100+$D$93*100)</f>
      </c>
      <c r="CG18" s="31">
        <f>MIN(MAX(CG16-($D$89*100+$D$102*100),0),$D$90*100+$D$93*100)*($D$90*100)/IF(($D$90*100+$D$93*100)=0,1,$D$90*100+$D$93*100)</f>
      </c>
      <c r="CH18" s="31">
        <f>MIN(MAX(CH16-($D$89*100+$D$102*100),0),$D$90*100+$D$93*100)*($D$90*100)/IF(($D$90*100+$D$93*100)=0,1,$D$90*100+$D$93*100)</f>
      </c>
      <c r="CI18" s="31">
        <f>MIN(MAX(CI16-($D$89*100+$D$102*100),0),$D$90*100+$D$93*100)*($D$90*100)/IF(($D$90*100+$D$93*100)=0,1,$D$90*100+$D$93*100)</f>
      </c>
      <c r="CJ18" s="31">
        <f>MIN(MAX(CJ16-($D$89*100+$D$102*100),0),$D$90*100+$D$93*100)*($D$90*100)/IF(($D$90*100+$D$93*100)=0,1,$D$90*100+$D$93*100)</f>
      </c>
      <c r="CK18" s="31">
        <f>MIN(MAX(CK16-($D$89*100+$D$102*100),0),$D$90*100+$D$93*100)*($D$90*100)/IF(($D$90*100+$D$93*100)=0,1,$D$90*100+$D$93*100)</f>
      </c>
      <c r="CL18" s="31">
        <f>MIN(MAX(CL16-($D$89*100+$D$102*100),0),$D$90*100+$D$93*100)*($D$90*100)/IF(($D$90*100+$D$93*100)=0,1,$D$90*100+$D$93*100)</f>
      </c>
    </row>
    <row r="19" spans="2:90" x14ac:dyDescent="0.25">
      <c r="B19" s="33" t="s">
        <v>248</v>
      </c>
      <c r="C19" s="34" t="s">
        <v>237</v>
      </c>
      <c r="E19" s="31">
        <f>MIN(MAX(E16-($D$89*100+$D$102*100),0),$D$90*100+$D$93*100)*($D$93*100)/IF(($D$90*100+$D$93*100)=0,1,$D$90*100+$D$93*100)</f>
      </c>
      <c r="F19" s="31">
        <f>MIN(MAX(F16-($D$89*100+$D$102*100),0),$D$90*100+$D$93*100)*($D$93*100)/IF(($D$90*100+$D$93*100)=0,1,$D$90*100+$D$93*100)</f>
      </c>
      <c r="G19" s="31">
        <f>MIN(MAX(G16-($D$89*100+$D$102*100),0),$D$90*100+$D$93*100)*($D$93*100)/IF(($D$90*100+$D$93*100)=0,1,$D$90*100+$D$93*100)</f>
      </c>
      <c r="H19" s="31">
        <f>MIN(MAX(H16-($D$89*100+$D$102*100),0),$D$90*100+$D$93*100)*($D$93*100)/IF(($D$90*100+$D$93*100)=0,1,$D$90*100+$D$93*100)</f>
      </c>
      <c r="I19" s="31">
        <f>MIN(MAX(I16-($D$89*100+$D$102*100),0),$D$90*100+$D$93*100)*($D$93*100)/IF(($D$90*100+$D$93*100)=0,1,$D$90*100+$D$93*100)</f>
      </c>
      <c r="J19" s="31">
        <f>MIN(MAX(J16-($D$89*100+$D$102*100),0),$D$90*100+$D$93*100)*($D$93*100)/IF(($D$90*100+$D$93*100)=0,1,$D$90*100+$D$93*100)</f>
      </c>
      <c r="K19" s="31">
        <f>MIN(MAX(K16-($D$89*100+$D$102*100),0),$D$90*100+$D$93*100)*($D$93*100)/IF(($D$90*100+$D$93*100)=0,1,$D$90*100+$D$93*100)</f>
      </c>
      <c r="L19" s="31">
        <f>MIN(MAX(L16-($D$89*100+$D$102*100),0),$D$90*100+$D$93*100)*($D$93*100)/IF(($D$90*100+$D$93*100)=0,1,$D$90*100+$D$93*100)</f>
      </c>
      <c r="M19" s="31">
        <f>MIN(MAX(M16-($D$89*100+$D$102*100),0),$D$90*100+$D$93*100)*($D$93*100)/IF(($D$90*100+$D$93*100)=0,1,$D$90*100+$D$93*100)</f>
      </c>
      <c r="N19" s="31">
        <f>MIN(MAX(N16-($D$89*100+$D$102*100),0),$D$90*100+$D$93*100)*($D$93*100)/IF(($D$90*100+$D$93*100)=0,1,$D$90*100+$D$93*100)</f>
      </c>
      <c r="O19" s="31">
        <f>MIN(MAX(O16-($D$89*100+$D$102*100),0),$D$90*100+$D$93*100)*($D$93*100)/IF(($D$90*100+$D$93*100)=0,1,$D$90*100+$D$93*100)</f>
      </c>
      <c r="P19" s="31">
        <f>MIN(MAX(P16-($D$89*100+$D$102*100),0),$D$90*100+$D$93*100)*($D$93*100)/IF(($D$90*100+$D$93*100)=0,1,$D$90*100+$D$93*100)</f>
      </c>
      <c r="Q19" s="31">
        <f>MIN(MAX(Q16-($D$89*100+$D$102*100),0),$D$90*100+$D$93*100)*($D$93*100)/IF(($D$90*100+$D$93*100)=0,1,$D$90*100+$D$93*100)</f>
      </c>
      <c r="R19" s="31">
        <f>MIN(MAX(R16-($D$89*100+$D$102*100),0),$D$90*100+$D$93*100)*($D$93*100)/IF(($D$90*100+$D$93*100)=0,1,$D$90*100+$D$93*100)</f>
      </c>
      <c r="S19" s="31">
        <f>MIN(MAX(S16-($D$89*100+$D$102*100),0),$D$90*100+$D$93*100)*($D$93*100)/IF(($D$90*100+$D$93*100)=0,1,$D$90*100+$D$93*100)</f>
      </c>
      <c r="T19" s="31">
        <f>MIN(MAX(T16-($D$89*100+$D$102*100),0),$D$90*100+$D$93*100)*($D$93*100)/IF(($D$90*100+$D$93*100)=0,1,$D$90*100+$D$93*100)</f>
      </c>
      <c r="U19" s="31">
        <f>MIN(MAX(U16-($D$89*100+$D$102*100),0),$D$90*100+$D$93*100)*($D$93*100)/IF(($D$90*100+$D$93*100)=0,1,$D$90*100+$D$93*100)</f>
      </c>
      <c r="V19" s="31">
        <f>MIN(MAX(V16-($D$89*100+$D$102*100),0),$D$90*100+$D$93*100)*($D$93*100)/IF(($D$90*100+$D$93*100)=0,1,$D$90*100+$D$93*100)</f>
      </c>
      <c r="W19" s="31">
        <f>MIN(MAX(W16-($D$89*100+$D$102*100),0),$D$90*100+$D$93*100)*($D$93*100)/IF(($D$90*100+$D$93*100)=0,1,$D$90*100+$D$93*100)</f>
      </c>
      <c r="X19" s="31">
        <f>MIN(MAX(X16-($D$89*100+$D$102*100),0),$D$90*100+$D$93*100)*($D$93*100)/IF(($D$90*100+$D$93*100)=0,1,$D$90*100+$D$93*100)</f>
      </c>
      <c r="Y19" s="31">
        <f>MIN(MAX(Y16-($D$89*100+$D$102*100),0),$D$90*100+$D$93*100)*($D$93*100)/IF(($D$90*100+$D$93*100)=0,1,$D$90*100+$D$93*100)</f>
      </c>
      <c r="Z19" s="31">
        <f>MIN(MAX(Z16-($D$89*100+$D$102*100),0),$D$90*100+$D$93*100)*($D$93*100)/IF(($D$90*100+$D$93*100)=0,1,$D$90*100+$D$93*100)</f>
      </c>
      <c r="AA19" s="31">
        <f>MIN(MAX(AA16-($D$89*100+$D$102*100),0),$D$90*100+$D$93*100)*($D$93*100)/IF(($D$90*100+$D$93*100)=0,1,$D$90*100+$D$93*100)</f>
      </c>
      <c r="AB19" s="31">
        <f>MIN(MAX(AB16-($D$89*100+$D$102*100),0),$D$90*100+$D$93*100)*($D$93*100)/IF(($D$90*100+$D$93*100)=0,1,$D$90*100+$D$93*100)</f>
      </c>
      <c r="AC19" s="31">
        <f>MIN(MAX(AC16-($D$89*100+$D$102*100),0),$D$90*100+$D$93*100)*($D$93*100)/IF(($D$90*100+$D$93*100)=0,1,$D$90*100+$D$93*100)</f>
      </c>
      <c r="AD19" s="31">
        <f>MIN(MAX(AD16-($D$89*100+$D$102*100),0),$D$90*100+$D$93*100)*($D$93*100)/IF(($D$90*100+$D$93*100)=0,1,$D$90*100+$D$93*100)</f>
      </c>
      <c r="AE19" s="31">
        <f>MIN(MAX(AE16-($D$89*100+$D$102*100),0),$D$90*100+$D$93*100)*($D$93*100)/IF(($D$90*100+$D$93*100)=0,1,$D$90*100+$D$93*100)</f>
      </c>
      <c r="AF19" s="31">
        <f>MIN(MAX(AF16-($D$89*100+$D$102*100),0),$D$90*100+$D$93*100)*($D$93*100)/IF(($D$90*100+$D$93*100)=0,1,$D$90*100+$D$93*100)</f>
      </c>
      <c r="AG19" s="31">
        <f>MIN(MAX(AG16-($D$89*100+$D$102*100),0),$D$90*100+$D$93*100)*($D$93*100)/IF(($D$90*100+$D$93*100)=0,1,$D$90*100+$D$93*100)</f>
      </c>
      <c r="AH19" s="31">
        <f>MIN(MAX(AH16-($D$89*100+$D$102*100),0),$D$90*100+$D$93*100)*($D$93*100)/IF(($D$90*100+$D$93*100)=0,1,$D$90*100+$D$93*100)</f>
      </c>
      <c r="AI19" s="31">
        <f>MIN(MAX(AI16-($D$89*100+$D$102*100),0),$D$90*100+$D$93*100)*($D$93*100)/IF(($D$90*100+$D$93*100)=0,1,$D$90*100+$D$93*100)</f>
      </c>
      <c r="AJ19" s="31">
        <f>MIN(MAX(AJ16-($D$89*100+$D$102*100),0),$D$90*100+$D$93*100)*($D$93*100)/IF(($D$90*100+$D$93*100)=0,1,$D$90*100+$D$93*100)</f>
      </c>
      <c r="AK19" s="31">
        <f>MIN(MAX(AK16-($D$89*100+$D$102*100),0),$D$90*100+$D$93*100)*($D$93*100)/IF(($D$90*100+$D$93*100)=0,1,$D$90*100+$D$93*100)</f>
      </c>
      <c r="AL19" s="31">
        <f>MIN(MAX(AL16-($D$89*100+$D$102*100),0),$D$90*100+$D$93*100)*($D$93*100)/IF(($D$90*100+$D$93*100)=0,1,$D$90*100+$D$93*100)</f>
      </c>
      <c r="AM19" s="31">
        <f>MIN(MAX(AM16-($D$89*100+$D$102*100),0),$D$90*100+$D$93*100)*($D$93*100)/IF(($D$90*100+$D$93*100)=0,1,$D$90*100+$D$93*100)</f>
      </c>
      <c r="AN19" s="31">
        <f>MIN(MAX(AN16-($D$89*100+$D$102*100),0),$D$90*100+$D$93*100)*($D$93*100)/IF(($D$90*100+$D$93*100)=0,1,$D$90*100+$D$93*100)</f>
      </c>
      <c r="AO19" s="31">
        <f>MIN(MAX(AO16-($D$89*100+$D$102*100),0),$D$90*100+$D$93*100)*($D$93*100)/IF(($D$90*100+$D$93*100)=0,1,$D$90*100+$D$93*100)</f>
      </c>
      <c r="AP19" s="31">
        <f>MIN(MAX(AP16-($D$89*100+$D$102*100),0),$D$90*100+$D$93*100)*($D$93*100)/IF(($D$90*100+$D$93*100)=0,1,$D$90*100+$D$93*100)</f>
      </c>
      <c r="AQ19" s="31">
        <f>MIN(MAX(AQ16-($D$89*100+$D$102*100),0),$D$90*100+$D$93*100)*($D$93*100)/IF(($D$90*100+$D$93*100)=0,1,$D$90*100+$D$93*100)</f>
      </c>
      <c r="AR19" s="31">
        <f>MIN(MAX(AR16-($D$89*100+$D$102*100),0),$D$90*100+$D$93*100)*($D$93*100)/IF(($D$90*100+$D$93*100)=0,1,$D$90*100+$D$93*100)</f>
      </c>
      <c r="AS19" s="31">
        <f>MIN(MAX(AS16-($D$89*100+$D$102*100),0),$D$90*100+$D$93*100)*($D$93*100)/IF(($D$90*100+$D$93*100)=0,1,$D$90*100+$D$93*100)</f>
      </c>
      <c r="AT19" s="31">
        <f>MIN(MAX(AT16-($D$89*100+$D$102*100),0),$D$90*100+$D$93*100)*($D$93*100)/IF(($D$90*100+$D$93*100)=0,1,$D$90*100+$D$93*100)</f>
      </c>
      <c r="AU19" s="31">
        <f>MIN(MAX(AU16-($D$89*100+$D$102*100),0),$D$90*100+$D$93*100)*($D$93*100)/IF(($D$90*100+$D$93*100)=0,1,$D$90*100+$D$93*100)</f>
      </c>
      <c r="AV19" s="31">
        <f>MIN(MAX(AV16-($D$89*100+$D$102*100),0),$D$90*100+$D$93*100)*($D$93*100)/IF(($D$90*100+$D$93*100)=0,1,$D$90*100+$D$93*100)</f>
      </c>
      <c r="AW19" s="31">
        <f>MIN(MAX(AW16-($D$89*100+$D$102*100),0),$D$90*100+$D$93*100)*($D$93*100)/IF(($D$90*100+$D$93*100)=0,1,$D$90*100+$D$93*100)</f>
      </c>
      <c r="AX19" s="31">
        <f>MIN(MAX(AX16-($D$89*100+$D$102*100),0),$D$90*100+$D$93*100)*($D$93*100)/IF(($D$90*100+$D$93*100)=0,1,$D$90*100+$D$93*100)</f>
      </c>
      <c r="AY19" s="31">
        <f>MIN(MAX(AY16-($D$89*100+$D$102*100),0),$D$90*100+$D$93*100)*($D$93*100)/IF(($D$90*100+$D$93*100)=0,1,$D$90*100+$D$93*100)</f>
      </c>
      <c r="AZ19" s="31">
        <f>MIN(MAX(AZ16-($D$89*100+$D$102*100),0),$D$90*100+$D$93*100)*($D$93*100)/IF(($D$90*100+$D$93*100)=0,1,$D$90*100+$D$93*100)</f>
      </c>
      <c r="BA19" s="31">
        <f>MIN(MAX(BA16-($D$89*100+$D$102*100),0),$D$90*100+$D$93*100)*($D$93*100)/IF(($D$90*100+$D$93*100)=0,1,$D$90*100+$D$93*100)</f>
      </c>
      <c r="BB19" s="31">
        <f>MIN(MAX(BB16-($D$89*100+$D$102*100),0),$D$90*100+$D$93*100)*($D$93*100)/IF(($D$90*100+$D$93*100)=0,1,$D$90*100+$D$93*100)</f>
      </c>
      <c r="BC19" s="31">
        <f>MIN(MAX(BC16-($D$89*100+$D$102*100),0),$D$90*100+$D$93*100)*($D$93*100)/IF(($D$90*100+$D$93*100)=0,1,$D$90*100+$D$93*100)</f>
      </c>
      <c r="BD19" s="31">
        <f>MIN(MAX(BD16-($D$89*100+$D$102*100),0),$D$90*100+$D$93*100)*($D$93*100)/IF(($D$90*100+$D$93*100)=0,1,$D$90*100+$D$93*100)</f>
      </c>
      <c r="BE19" s="31">
        <f>MIN(MAX(BE16-($D$89*100+$D$102*100),0),$D$90*100+$D$93*100)*($D$93*100)/IF(($D$90*100+$D$93*100)=0,1,$D$90*100+$D$93*100)</f>
      </c>
      <c r="BF19" s="31">
        <f>MIN(MAX(BF16-($D$89*100+$D$102*100),0),$D$90*100+$D$93*100)*($D$93*100)/IF(($D$90*100+$D$93*100)=0,1,$D$90*100+$D$93*100)</f>
      </c>
      <c r="BG19" s="31">
        <f>MIN(MAX(BG16-($D$89*100+$D$102*100),0),$D$90*100+$D$93*100)*($D$93*100)/IF(($D$90*100+$D$93*100)=0,1,$D$90*100+$D$93*100)</f>
      </c>
      <c r="BH19" s="31">
        <f>MIN(MAX(BH16-($D$89*100+$D$102*100),0),$D$90*100+$D$93*100)*($D$93*100)/IF(($D$90*100+$D$93*100)=0,1,$D$90*100+$D$93*100)</f>
      </c>
      <c r="BI19" s="31">
        <f>MIN(MAX(BI16-($D$89*100+$D$102*100),0),$D$90*100+$D$93*100)*($D$93*100)/IF(($D$90*100+$D$93*100)=0,1,$D$90*100+$D$93*100)</f>
      </c>
      <c r="BJ19" s="31">
        <f>MIN(MAX(BJ16-($D$89*100+$D$102*100),0),$D$90*100+$D$93*100)*($D$93*100)/IF(($D$90*100+$D$93*100)=0,1,$D$90*100+$D$93*100)</f>
      </c>
      <c r="BK19" s="31">
        <f>MIN(MAX(BK16-($D$89*100+$D$102*100),0),$D$90*100+$D$93*100)*($D$93*100)/IF(($D$90*100+$D$93*100)=0,1,$D$90*100+$D$93*100)</f>
      </c>
      <c r="BL19" s="31">
        <f>MIN(MAX(BL16-($D$89*100+$D$102*100),0),$D$90*100+$D$93*100)*($D$93*100)/IF(($D$90*100+$D$93*100)=0,1,$D$90*100+$D$93*100)</f>
      </c>
      <c r="BM19" s="31">
        <f>MIN(MAX(BM16-($D$89*100+$D$102*100),0),$D$90*100+$D$93*100)*($D$93*100)/IF(($D$90*100+$D$93*100)=0,1,$D$90*100+$D$93*100)</f>
      </c>
      <c r="BN19" s="31">
        <f>MIN(MAX(BN16-($D$89*100+$D$102*100),0),$D$90*100+$D$93*100)*($D$93*100)/IF(($D$90*100+$D$93*100)=0,1,$D$90*100+$D$93*100)</f>
      </c>
      <c r="BO19" s="31">
        <f>MIN(MAX(BO16-($D$89*100+$D$102*100),0),$D$90*100+$D$93*100)*($D$93*100)/IF(($D$90*100+$D$93*100)=0,1,$D$90*100+$D$93*100)</f>
      </c>
      <c r="BP19" s="31">
        <f>MIN(MAX(BP16-($D$89*100+$D$102*100),0),$D$90*100+$D$93*100)*($D$93*100)/IF(($D$90*100+$D$93*100)=0,1,$D$90*100+$D$93*100)</f>
      </c>
      <c r="BQ19" s="31">
        <f>MIN(MAX(BQ16-($D$89*100+$D$102*100),0),$D$90*100+$D$93*100)*($D$93*100)/IF(($D$90*100+$D$93*100)=0,1,$D$90*100+$D$93*100)</f>
      </c>
      <c r="BR19" s="31">
        <f>MIN(MAX(BR16-($D$89*100+$D$102*100),0),$D$90*100+$D$93*100)*($D$93*100)/IF(($D$90*100+$D$93*100)=0,1,$D$90*100+$D$93*100)</f>
      </c>
      <c r="BS19" s="31">
        <f>MIN(MAX(BS16-($D$89*100+$D$102*100),0),$D$90*100+$D$93*100)*($D$93*100)/IF(($D$90*100+$D$93*100)=0,1,$D$90*100+$D$93*100)</f>
      </c>
      <c r="BT19" s="31">
        <f>MIN(MAX(BT16-($D$89*100+$D$102*100),0),$D$90*100+$D$93*100)*($D$93*100)/IF(($D$90*100+$D$93*100)=0,1,$D$90*100+$D$93*100)</f>
      </c>
      <c r="BU19" s="31">
        <f>MIN(MAX(BU16-($D$89*100+$D$102*100),0),$D$90*100+$D$93*100)*($D$93*100)/IF(($D$90*100+$D$93*100)=0,1,$D$90*100+$D$93*100)</f>
      </c>
      <c r="BV19" s="31">
        <f>MIN(MAX(BV16-($D$89*100+$D$102*100),0),$D$90*100+$D$93*100)*($D$93*100)/IF(($D$90*100+$D$93*100)=0,1,$D$90*100+$D$93*100)</f>
      </c>
      <c r="BW19" s="31">
        <f>MIN(MAX(BW16-($D$89*100+$D$102*100),0),$D$90*100+$D$93*100)*($D$93*100)/IF(($D$90*100+$D$93*100)=0,1,$D$90*100+$D$93*100)</f>
      </c>
      <c r="BX19" s="31">
        <f>MIN(MAX(BX16-($D$89*100+$D$102*100),0),$D$90*100+$D$93*100)*($D$93*100)/IF(($D$90*100+$D$93*100)=0,1,$D$90*100+$D$93*100)</f>
      </c>
      <c r="BY19" s="31">
        <f>MIN(MAX(BY16-($D$89*100+$D$102*100),0),$D$90*100+$D$93*100)*($D$93*100)/IF(($D$90*100+$D$93*100)=0,1,$D$90*100+$D$93*100)</f>
      </c>
      <c r="BZ19" s="31">
        <f>MIN(MAX(BZ16-($D$89*100+$D$102*100),0),$D$90*100+$D$93*100)*($D$93*100)/IF(($D$90*100+$D$93*100)=0,1,$D$90*100+$D$93*100)</f>
      </c>
      <c r="CA19" s="31">
        <f>MIN(MAX(CA16-($D$89*100+$D$102*100),0),$D$90*100+$D$93*100)*($D$93*100)/IF(($D$90*100+$D$93*100)=0,1,$D$90*100+$D$93*100)</f>
      </c>
      <c r="CB19" s="31">
        <f>MIN(MAX(CB16-($D$89*100+$D$102*100),0),$D$90*100+$D$93*100)*($D$93*100)/IF(($D$90*100+$D$93*100)=0,1,$D$90*100+$D$93*100)</f>
      </c>
      <c r="CC19" s="31">
        <f>MIN(MAX(CC16-($D$89*100+$D$102*100),0),$D$90*100+$D$93*100)*($D$93*100)/IF(($D$90*100+$D$93*100)=0,1,$D$90*100+$D$93*100)</f>
      </c>
      <c r="CD19" s="31">
        <f>MIN(MAX(CD16-($D$89*100+$D$102*100),0),$D$90*100+$D$93*100)*($D$93*100)/IF(($D$90*100+$D$93*100)=0,1,$D$90*100+$D$93*100)</f>
      </c>
      <c r="CE19" s="31">
        <f>MIN(MAX(CE16-($D$89*100+$D$102*100),0),$D$90*100+$D$93*100)*($D$93*100)/IF(($D$90*100+$D$93*100)=0,1,$D$90*100+$D$93*100)</f>
      </c>
      <c r="CF19" s="31">
        <f>MIN(MAX(CF16-($D$89*100+$D$102*100),0),$D$90*100+$D$93*100)*($D$93*100)/IF(($D$90*100+$D$93*100)=0,1,$D$90*100+$D$93*100)</f>
      </c>
      <c r="CG19" s="31">
        <f>MIN(MAX(CG16-($D$89*100+$D$102*100),0),$D$90*100+$D$93*100)*($D$93*100)/IF(($D$90*100+$D$93*100)=0,1,$D$90*100+$D$93*100)</f>
      </c>
      <c r="CH19" s="31">
        <f>MIN(MAX(CH16-($D$89*100+$D$102*100),0),$D$90*100+$D$93*100)*($D$93*100)/IF(($D$90*100+$D$93*100)=0,1,$D$90*100+$D$93*100)</f>
      </c>
      <c r="CI19" s="31">
        <f>MIN(MAX(CI16-($D$89*100+$D$102*100),0),$D$90*100+$D$93*100)*($D$93*100)/IF(($D$90*100+$D$93*100)=0,1,$D$90*100+$D$93*100)</f>
      </c>
      <c r="CJ19" s="31">
        <f>MIN(MAX(CJ16-($D$89*100+$D$102*100),0),$D$90*100+$D$93*100)*($D$93*100)/IF(($D$90*100+$D$93*100)=0,1,$D$90*100+$D$93*100)</f>
      </c>
      <c r="CK19" s="31">
        <f>MIN(MAX(CK16-($D$89*100+$D$102*100),0),$D$90*100+$D$93*100)*($D$93*100)/IF(($D$90*100+$D$93*100)=0,1,$D$90*100+$D$93*100)</f>
      </c>
      <c r="CL19" s="31">
        <f>MIN(MAX(CL16-($D$89*100+$D$102*100),0),$D$90*100+$D$93*100)*($D$93*100)/IF(($D$90*100+$D$93*100)=0,1,$D$90*100+$D$93*100)</f>
      </c>
    </row>
    <row r="20" spans="2:90" x14ac:dyDescent="0.25">
      <c r="B20" s="33" t="s">
        <v>249</v>
      </c>
      <c r="C20" s="34" t="s">
        <v>237</v>
      </c>
      <c r="E20" s="31">
        <f>MIN(MAX(E16-($D$89*100+$D$90*100+$D$93*100+$D$99*100+$D$102*100),0),$D$96*100)*($D$96*100)/IF(($D$96*100)=0,1,$D$96*100)</f>
      </c>
      <c r="F20" s="31">
        <f>MIN(MAX(F16-($D$89*100+$D$90*100+$D$93*100+$D$99*100+$D$102*100),0),$D$96*100)*($D$96*100)/IF(($D$96*100)=0,1,$D$96*100)</f>
      </c>
      <c r="G20" s="31">
        <f>MIN(MAX(G16-($D$89*100+$D$90*100+$D$93*100+$D$99*100+$D$102*100),0),$D$96*100)*($D$96*100)/IF(($D$96*100)=0,1,$D$96*100)</f>
      </c>
      <c r="H20" s="31">
        <f>MIN(MAX(H16-($D$89*100+$D$90*100+$D$93*100+$D$99*100+$D$102*100),0),$D$96*100)*($D$96*100)/IF(($D$96*100)=0,1,$D$96*100)</f>
      </c>
      <c r="I20" s="31">
        <f>MIN(MAX(I16-($D$89*100+$D$90*100+$D$93*100+$D$99*100+$D$102*100),0),$D$96*100)*($D$96*100)/IF(($D$96*100)=0,1,$D$96*100)</f>
      </c>
      <c r="J20" s="31">
        <f>MIN(MAX(J16-($D$89*100+$D$90*100+$D$93*100+$D$99*100+$D$102*100),0),$D$96*100)*($D$96*100)/IF(($D$96*100)=0,1,$D$96*100)</f>
      </c>
      <c r="K20" s="31">
        <f>MIN(MAX(K16-($D$89*100+$D$90*100+$D$93*100+$D$99*100+$D$102*100),0),$D$96*100)*($D$96*100)/IF(($D$96*100)=0,1,$D$96*100)</f>
      </c>
      <c r="L20" s="31">
        <f>MIN(MAX(L16-($D$89*100+$D$90*100+$D$93*100+$D$99*100+$D$102*100),0),$D$96*100)*($D$96*100)/IF(($D$96*100)=0,1,$D$96*100)</f>
      </c>
      <c r="M20" s="31">
        <f>MIN(MAX(M16-($D$89*100+$D$90*100+$D$93*100+$D$99*100+$D$102*100),0),$D$96*100)*($D$96*100)/IF(($D$96*100)=0,1,$D$96*100)</f>
      </c>
      <c r="N20" s="31">
        <f>MIN(MAX(N16-($D$89*100+$D$90*100+$D$93*100+$D$99*100+$D$102*100),0),$D$96*100)*($D$96*100)/IF(($D$96*100)=0,1,$D$96*100)</f>
      </c>
      <c r="O20" s="31">
        <f>MIN(MAX(O16-($D$89*100+$D$90*100+$D$93*100+$D$99*100+$D$102*100),0),$D$96*100)*($D$96*100)/IF(($D$96*100)=0,1,$D$96*100)</f>
      </c>
      <c r="P20" s="31">
        <f>MIN(MAX(P16-($D$89*100+$D$90*100+$D$93*100+$D$99*100+$D$102*100),0),$D$96*100)*($D$96*100)/IF(($D$96*100)=0,1,$D$96*100)</f>
      </c>
      <c r="Q20" s="31">
        <f>MIN(MAX(Q16-($D$89*100+$D$90*100+$D$93*100+$D$99*100+$D$102*100),0),$D$96*100)*($D$96*100)/IF(($D$96*100)=0,1,$D$96*100)</f>
      </c>
      <c r="R20" s="31">
        <f>MIN(MAX(R16-($D$89*100+$D$90*100+$D$93*100+$D$99*100+$D$102*100),0),$D$96*100)*($D$96*100)/IF(($D$96*100)=0,1,$D$96*100)</f>
      </c>
      <c r="S20" s="31">
        <f>MIN(MAX(S16-($D$89*100+$D$90*100+$D$93*100+$D$99*100+$D$102*100),0),$D$96*100)*($D$96*100)/IF(($D$96*100)=0,1,$D$96*100)</f>
      </c>
      <c r="T20" s="31">
        <f>MIN(MAX(T16-($D$89*100+$D$90*100+$D$93*100+$D$99*100+$D$102*100),0),$D$96*100)*($D$96*100)/IF(($D$96*100)=0,1,$D$96*100)</f>
      </c>
      <c r="U20" s="31">
        <f>MIN(MAX(U16-($D$89*100+$D$90*100+$D$93*100+$D$99*100+$D$102*100),0),$D$96*100)*($D$96*100)/IF(($D$96*100)=0,1,$D$96*100)</f>
      </c>
      <c r="V20" s="31">
        <f>MIN(MAX(V16-($D$89*100+$D$90*100+$D$93*100+$D$99*100+$D$102*100),0),$D$96*100)*($D$96*100)/IF(($D$96*100)=0,1,$D$96*100)</f>
      </c>
      <c r="W20" s="31">
        <f>MIN(MAX(W16-($D$89*100+$D$90*100+$D$93*100+$D$99*100+$D$102*100),0),$D$96*100)*($D$96*100)/IF(($D$96*100)=0,1,$D$96*100)</f>
      </c>
      <c r="X20" s="31">
        <f>MIN(MAX(X16-($D$89*100+$D$90*100+$D$93*100+$D$99*100+$D$102*100),0),$D$96*100)*($D$96*100)/IF(($D$96*100)=0,1,$D$96*100)</f>
      </c>
      <c r="Y20" s="31">
        <f>MIN(MAX(Y16-($D$89*100+$D$90*100+$D$93*100+$D$99*100+$D$102*100),0),$D$96*100)*($D$96*100)/IF(($D$96*100)=0,1,$D$96*100)</f>
      </c>
      <c r="Z20" s="31">
        <f>MIN(MAX(Z16-($D$89*100+$D$90*100+$D$93*100+$D$99*100+$D$102*100),0),$D$96*100)*($D$96*100)/IF(($D$96*100)=0,1,$D$96*100)</f>
      </c>
      <c r="AA20" s="31">
        <f>MIN(MAX(AA16-($D$89*100+$D$90*100+$D$93*100+$D$99*100+$D$102*100),0),$D$96*100)*($D$96*100)/IF(($D$96*100)=0,1,$D$96*100)</f>
      </c>
      <c r="AB20" s="31">
        <f>MIN(MAX(AB16-($D$89*100+$D$90*100+$D$93*100+$D$99*100+$D$102*100),0),$D$96*100)*($D$96*100)/IF(($D$96*100)=0,1,$D$96*100)</f>
      </c>
      <c r="AC20" s="31">
        <f>MIN(MAX(AC16-($D$89*100+$D$90*100+$D$93*100+$D$99*100+$D$102*100),0),$D$96*100)*($D$96*100)/IF(($D$96*100)=0,1,$D$96*100)</f>
      </c>
      <c r="AD20" s="31">
        <f>MIN(MAX(AD16-($D$89*100+$D$90*100+$D$93*100+$D$99*100+$D$102*100),0),$D$96*100)*($D$96*100)/IF(($D$96*100)=0,1,$D$96*100)</f>
      </c>
      <c r="AE20" s="31">
        <f>MIN(MAX(AE16-($D$89*100+$D$90*100+$D$93*100+$D$99*100+$D$102*100),0),$D$96*100)*($D$96*100)/IF(($D$96*100)=0,1,$D$96*100)</f>
      </c>
      <c r="AF20" s="31">
        <f>MIN(MAX(AF16-($D$89*100+$D$90*100+$D$93*100+$D$99*100+$D$102*100),0),$D$96*100)*($D$96*100)/IF(($D$96*100)=0,1,$D$96*100)</f>
      </c>
      <c r="AG20" s="31">
        <f>MIN(MAX(AG16-($D$89*100+$D$90*100+$D$93*100+$D$99*100+$D$102*100),0),$D$96*100)*($D$96*100)/IF(($D$96*100)=0,1,$D$96*100)</f>
      </c>
      <c r="AH20" s="31">
        <f>MIN(MAX(AH16-($D$89*100+$D$90*100+$D$93*100+$D$99*100+$D$102*100),0),$D$96*100)*($D$96*100)/IF(($D$96*100)=0,1,$D$96*100)</f>
      </c>
      <c r="AI20" s="31">
        <f>MIN(MAX(AI16-($D$89*100+$D$90*100+$D$93*100+$D$99*100+$D$102*100),0),$D$96*100)*($D$96*100)/IF(($D$96*100)=0,1,$D$96*100)</f>
      </c>
      <c r="AJ20" s="31">
        <f>MIN(MAX(AJ16-($D$89*100+$D$90*100+$D$93*100+$D$99*100+$D$102*100),0),$D$96*100)*($D$96*100)/IF(($D$96*100)=0,1,$D$96*100)</f>
      </c>
      <c r="AK20" s="31">
        <f>MIN(MAX(AK16-($D$89*100+$D$90*100+$D$93*100+$D$99*100+$D$102*100),0),$D$96*100)*($D$96*100)/IF(($D$96*100)=0,1,$D$96*100)</f>
      </c>
      <c r="AL20" s="31">
        <f>MIN(MAX(AL16-($D$89*100+$D$90*100+$D$93*100+$D$99*100+$D$102*100),0),$D$96*100)*($D$96*100)/IF(($D$96*100)=0,1,$D$96*100)</f>
      </c>
      <c r="AM20" s="31">
        <f>MIN(MAX(AM16-($D$89*100+$D$90*100+$D$93*100+$D$99*100+$D$102*100),0),$D$96*100)*($D$96*100)/IF(($D$96*100)=0,1,$D$96*100)</f>
      </c>
      <c r="AN20" s="31">
        <f>MIN(MAX(AN16-($D$89*100+$D$90*100+$D$93*100+$D$99*100+$D$102*100),0),$D$96*100)*($D$96*100)/IF(($D$96*100)=0,1,$D$96*100)</f>
      </c>
      <c r="AO20" s="31">
        <f>MIN(MAX(AO16-($D$89*100+$D$90*100+$D$93*100+$D$99*100+$D$102*100),0),$D$96*100)*($D$96*100)/IF(($D$96*100)=0,1,$D$96*100)</f>
      </c>
      <c r="AP20" s="31">
        <f>MIN(MAX(AP16-($D$89*100+$D$90*100+$D$93*100+$D$99*100+$D$102*100),0),$D$96*100)*($D$96*100)/IF(($D$96*100)=0,1,$D$96*100)</f>
      </c>
      <c r="AQ20" s="31">
        <f>MIN(MAX(AQ16-($D$89*100+$D$90*100+$D$93*100+$D$99*100+$D$102*100),0),$D$96*100)*($D$96*100)/IF(($D$96*100)=0,1,$D$96*100)</f>
      </c>
      <c r="AR20" s="31">
        <f>MIN(MAX(AR16-($D$89*100+$D$90*100+$D$93*100+$D$99*100+$D$102*100),0),$D$96*100)*($D$96*100)/IF(($D$96*100)=0,1,$D$96*100)</f>
      </c>
      <c r="AS20" s="31">
        <f>MIN(MAX(AS16-($D$89*100+$D$90*100+$D$93*100+$D$99*100+$D$102*100),0),$D$96*100)*($D$96*100)/IF(($D$96*100)=0,1,$D$96*100)</f>
      </c>
      <c r="AT20" s="31">
        <f>MIN(MAX(AT16-($D$89*100+$D$90*100+$D$93*100+$D$99*100+$D$102*100),0),$D$96*100)*($D$96*100)/IF(($D$96*100)=0,1,$D$96*100)</f>
      </c>
      <c r="AU20" s="31">
        <f>MIN(MAX(AU16-($D$89*100+$D$90*100+$D$93*100+$D$99*100+$D$102*100),0),$D$96*100)*($D$96*100)/IF(($D$96*100)=0,1,$D$96*100)</f>
      </c>
      <c r="AV20" s="31">
        <f>MIN(MAX(AV16-($D$89*100+$D$90*100+$D$93*100+$D$99*100+$D$102*100),0),$D$96*100)*($D$96*100)/IF(($D$96*100)=0,1,$D$96*100)</f>
      </c>
      <c r="AW20" s="31">
        <f>MIN(MAX(AW16-($D$89*100+$D$90*100+$D$93*100+$D$99*100+$D$102*100),0),$D$96*100)*($D$96*100)/IF(($D$96*100)=0,1,$D$96*100)</f>
      </c>
      <c r="AX20" s="31">
        <f>MIN(MAX(AX16-($D$89*100+$D$90*100+$D$93*100+$D$99*100+$D$102*100),0),$D$96*100)*($D$96*100)/IF(($D$96*100)=0,1,$D$96*100)</f>
      </c>
      <c r="AY20" s="31">
        <f>MIN(MAX(AY16-($D$89*100+$D$90*100+$D$93*100+$D$99*100+$D$102*100),0),$D$96*100)*($D$96*100)/IF(($D$96*100)=0,1,$D$96*100)</f>
      </c>
      <c r="AZ20" s="31">
        <f>MIN(MAX(AZ16-($D$89*100+$D$90*100+$D$93*100+$D$99*100+$D$102*100),0),$D$96*100)*($D$96*100)/IF(($D$96*100)=0,1,$D$96*100)</f>
      </c>
      <c r="BA20" s="31">
        <f>MIN(MAX(BA16-($D$89*100+$D$90*100+$D$93*100+$D$99*100+$D$102*100),0),$D$96*100)*($D$96*100)/IF(($D$96*100)=0,1,$D$96*100)</f>
      </c>
      <c r="BB20" s="31">
        <f>MIN(MAX(BB16-($D$89*100+$D$90*100+$D$93*100+$D$99*100+$D$102*100),0),$D$96*100)*($D$96*100)/IF(($D$96*100)=0,1,$D$96*100)</f>
      </c>
      <c r="BC20" s="31">
        <f>MIN(MAX(BC16-($D$89*100+$D$90*100+$D$93*100+$D$99*100+$D$102*100),0),$D$96*100)*($D$96*100)/IF(($D$96*100)=0,1,$D$96*100)</f>
      </c>
      <c r="BD20" s="31">
        <f>MIN(MAX(BD16-($D$89*100+$D$90*100+$D$93*100+$D$99*100+$D$102*100),0),$D$96*100)*($D$96*100)/IF(($D$96*100)=0,1,$D$96*100)</f>
      </c>
      <c r="BE20" s="31">
        <f>MIN(MAX(BE16-($D$89*100+$D$90*100+$D$93*100+$D$99*100+$D$102*100),0),$D$96*100)*($D$96*100)/IF(($D$96*100)=0,1,$D$96*100)</f>
      </c>
      <c r="BF20" s="31">
        <f>MIN(MAX(BF16-($D$89*100+$D$90*100+$D$93*100+$D$99*100+$D$102*100),0),$D$96*100)*($D$96*100)/IF(($D$96*100)=0,1,$D$96*100)</f>
      </c>
      <c r="BG20" s="31">
        <f>MIN(MAX(BG16-($D$89*100+$D$90*100+$D$93*100+$D$99*100+$D$102*100),0),$D$96*100)*($D$96*100)/IF(($D$96*100)=0,1,$D$96*100)</f>
      </c>
      <c r="BH20" s="31">
        <f>MIN(MAX(BH16-($D$89*100+$D$90*100+$D$93*100+$D$99*100+$D$102*100),0),$D$96*100)*($D$96*100)/IF(($D$96*100)=0,1,$D$96*100)</f>
      </c>
      <c r="BI20" s="31">
        <f>MIN(MAX(BI16-($D$89*100+$D$90*100+$D$93*100+$D$99*100+$D$102*100),0),$D$96*100)*($D$96*100)/IF(($D$96*100)=0,1,$D$96*100)</f>
      </c>
      <c r="BJ20" s="31">
        <f>MIN(MAX(BJ16-($D$89*100+$D$90*100+$D$93*100+$D$99*100+$D$102*100),0),$D$96*100)*($D$96*100)/IF(($D$96*100)=0,1,$D$96*100)</f>
      </c>
      <c r="BK20" s="31">
        <f>MIN(MAX(BK16-($D$89*100+$D$90*100+$D$93*100+$D$99*100+$D$102*100),0),$D$96*100)*($D$96*100)/IF(($D$96*100)=0,1,$D$96*100)</f>
      </c>
      <c r="BL20" s="31">
        <f>MIN(MAX(BL16-($D$89*100+$D$90*100+$D$93*100+$D$99*100+$D$102*100),0),$D$96*100)*($D$96*100)/IF(($D$96*100)=0,1,$D$96*100)</f>
      </c>
      <c r="BM20" s="31">
        <f>MIN(MAX(BM16-($D$89*100+$D$90*100+$D$93*100+$D$99*100+$D$102*100),0),$D$96*100)*($D$96*100)/IF(($D$96*100)=0,1,$D$96*100)</f>
      </c>
      <c r="BN20" s="31">
        <f>MIN(MAX(BN16-($D$89*100+$D$90*100+$D$93*100+$D$99*100+$D$102*100),0),$D$96*100)*($D$96*100)/IF(($D$96*100)=0,1,$D$96*100)</f>
      </c>
      <c r="BO20" s="31">
        <f>MIN(MAX(BO16-($D$89*100+$D$90*100+$D$93*100+$D$99*100+$D$102*100),0),$D$96*100)*($D$96*100)/IF(($D$96*100)=0,1,$D$96*100)</f>
      </c>
      <c r="BP20" s="31">
        <f>MIN(MAX(BP16-($D$89*100+$D$90*100+$D$93*100+$D$99*100+$D$102*100),0),$D$96*100)*($D$96*100)/IF(($D$96*100)=0,1,$D$96*100)</f>
      </c>
      <c r="BQ20" s="31">
        <f>MIN(MAX(BQ16-($D$89*100+$D$90*100+$D$93*100+$D$99*100+$D$102*100),0),$D$96*100)*($D$96*100)/IF(($D$96*100)=0,1,$D$96*100)</f>
      </c>
      <c r="BR20" s="31">
        <f>MIN(MAX(BR16-($D$89*100+$D$90*100+$D$93*100+$D$99*100+$D$102*100),0),$D$96*100)*($D$96*100)/IF(($D$96*100)=0,1,$D$96*100)</f>
      </c>
      <c r="BS20" s="31">
        <f>MIN(MAX(BS16-($D$89*100+$D$90*100+$D$93*100+$D$99*100+$D$102*100),0),$D$96*100)*($D$96*100)/IF(($D$96*100)=0,1,$D$96*100)</f>
      </c>
      <c r="BT20" s="31">
        <f>MIN(MAX(BT16-($D$89*100+$D$90*100+$D$93*100+$D$99*100+$D$102*100),0),$D$96*100)*($D$96*100)/IF(($D$96*100)=0,1,$D$96*100)</f>
      </c>
      <c r="BU20" s="31">
        <f>MIN(MAX(BU16-($D$89*100+$D$90*100+$D$93*100+$D$99*100+$D$102*100),0),$D$96*100)*($D$96*100)/IF(($D$96*100)=0,1,$D$96*100)</f>
      </c>
      <c r="BV20" s="31">
        <f>MIN(MAX(BV16-($D$89*100+$D$90*100+$D$93*100+$D$99*100+$D$102*100),0),$D$96*100)*($D$96*100)/IF(($D$96*100)=0,1,$D$96*100)</f>
      </c>
      <c r="BW20" s="31">
        <f>MIN(MAX(BW16-($D$89*100+$D$90*100+$D$93*100+$D$99*100+$D$102*100),0),$D$96*100)*($D$96*100)/IF(($D$96*100)=0,1,$D$96*100)</f>
      </c>
      <c r="BX20" s="31">
        <f>MIN(MAX(BX16-($D$89*100+$D$90*100+$D$93*100+$D$99*100+$D$102*100),0),$D$96*100)*($D$96*100)/IF(($D$96*100)=0,1,$D$96*100)</f>
      </c>
      <c r="BY20" s="31">
        <f>MIN(MAX(BY16-($D$89*100+$D$90*100+$D$93*100+$D$99*100+$D$102*100),0),$D$96*100)*($D$96*100)/IF(($D$96*100)=0,1,$D$96*100)</f>
      </c>
      <c r="BZ20" s="31">
        <f>MIN(MAX(BZ16-($D$89*100+$D$90*100+$D$93*100+$D$99*100+$D$102*100),0),$D$96*100)*($D$96*100)/IF(($D$96*100)=0,1,$D$96*100)</f>
      </c>
      <c r="CA20" s="31">
        <f>MIN(MAX(CA16-($D$89*100+$D$90*100+$D$93*100+$D$99*100+$D$102*100),0),$D$96*100)*($D$96*100)/IF(($D$96*100)=0,1,$D$96*100)</f>
      </c>
      <c r="CB20" s="31">
        <f>MIN(MAX(CB16-($D$89*100+$D$90*100+$D$93*100+$D$99*100+$D$102*100),0),$D$96*100)*($D$96*100)/IF(($D$96*100)=0,1,$D$96*100)</f>
      </c>
      <c r="CC20" s="31">
        <f>MIN(MAX(CC16-($D$89*100+$D$90*100+$D$93*100+$D$99*100+$D$102*100),0),$D$96*100)*($D$96*100)/IF(($D$96*100)=0,1,$D$96*100)</f>
      </c>
      <c r="CD20" s="31">
        <f>MIN(MAX(CD16-($D$89*100+$D$90*100+$D$93*100+$D$99*100+$D$102*100),0),$D$96*100)*($D$96*100)/IF(($D$96*100)=0,1,$D$96*100)</f>
      </c>
      <c r="CE20" s="31">
        <f>MIN(MAX(CE16-($D$89*100+$D$90*100+$D$93*100+$D$99*100+$D$102*100),0),$D$96*100)*($D$96*100)/IF(($D$96*100)=0,1,$D$96*100)</f>
      </c>
      <c r="CF20" s="31">
        <f>MIN(MAX(CF16-($D$89*100+$D$90*100+$D$93*100+$D$99*100+$D$102*100),0),$D$96*100)*($D$96*100)/IF(($D$96*100)=0,1,$D$96*100)</f>
      </c>
      <c r="CG20" s="31">
        <f>MIN(MAX(CG16-($D$89*100+$D$90*100+$D$93*100+$D$99*100+$D$102*100),0),$D$96*100)*($D$96*100)/IF(($D$96*100)=0,1,$D$96*100)</f>
      </c>
      <c r="CH20" s="31">
        <f>MIN(MAX(CH16-($D$89*100+$D$90*100+$D$93*100+$D$99*100+$D$102*100),0),$D$96*100)*($D$96*100)/IF(($D$96*100)=0,1,$D$96*100)</f>
      </c>
      <c r="CI20" s="31">
        <f>MIN(MAX(CI16-($D$89*100+$D$90*100+$D$93*100+$D$99*100+$D$102*100),0),$D$96*100)*($D$96*100)/IF(($D$96*100)=0,1,$D$96*100)</f>
      </c>
      <c r="CJ20" s="31">
        <f>MIN(MAX(CJ16-($D$89*100+$D$90*100+$D$93*100+$D$99*100+$D$102*100),0),$D$96*100)*($D$96*100)/IF(($D$96*100)=0,1,$D$96*100)</f>
      </c>
      <c r="CK20" s="31">
        <f>MIN(MAX(CK16-($D$89*100+$D$90*100+$D$93*100+$D$99*100+$D$102*100),0),$D$96*100)*($D$96*100)/IF(($D$96*100)=0,1,$D$96*100)</f>
      </c>
      <c r="CL20" s="31">
        <f>MIN(MAX(CL16-($D$89*100+$D$90*100+$D$93*100+$D$99*100+$D$102*100),0),$D$96*100)*($D$96*100)/IF(($D$96*100)=0,1,$D$96*100)</f>
      </c>
    </row>
    <row r="21" spans="2:90" x14ac:dyDescent="0.25">
      <c r="B21" s="33" t="s">
        <v>250</v>
      </c>
      <c r="C21" s="34" t="s">
        <v>237</v>
      </c>
      <c r="E21" s="31">
        <f>MIN(MAX(E16-($D$89*100+$D$90*100+$D$93*100+$D$102*100),0),$D$99*100)*($D$99*100)/IF(($D$99*100)=0,1,$D$99*100)</f>
      </c>
      <c r="F21" s="31">
        <f>MIN(MAX(F16-($D$89*100+$D$90*100+$D$93*100+$D$102*100),0),$D$99*100)*($D$99*100)/IF(($D$99*100)=0,1,$D$99*100)</f>
      </c>
      <c r="G21" s="31">
        <f>MIN(MAX(G16-($D$89*100+$D$90*100+$D$93*100+$D$102*100),0),$D$99*100)*($D$99*100)/IF(($D$99*100)=0,1,$D$99*100)</f>
      </c>
      <c r="H21" s="31">
        <f>MIN(MAX(H16-($D$89*100+$D$90*100+$D$93*100+$D$102*100),0),$D$99*100)*($D$99*100)/IF(($D$99*100)=0,1,$D$99*100)</f>
      </c>
      <c r="I21" s="31">
        <f>MIN(MAX(I16-($D$89*100+$D$90*100+$D$93*100+$D$102*100),0),$D$99*100)*($D$99*100)/IF(($D$99*100)=0,1,$D$99*100)</f>
      </c>
      <c r="J21" s="31">
        <f>MIN(MAX(J16-($D$89*100+$D$90*100+$D$93*100+$D$102*100),0),$D$99*100)*($D$99*100)/IF(($D$99*100)=0,1,$D$99*100)</f>
      </c>
      <c r="K21" s="31">
        <f>MIN(MAX(K16-($D$89*100+$D$90*100+$D$93*100+$D$102*100),0),$D$99*100)*($D$99*100)/IF(($D$99*100)=0,1,$D$99*100)</f>
      </c>
      <c r="L21" s="31">
        <f>MIN(MAX(L16-($D$89*100+$D$90*100+$D$93*100+$D$102*100),0),$D$99*100)*($D$99*100)/IF(($D$99*100)=0,1,$D$99*100)</f>
      </c>
      <c r="M21" s="31">
        <f>MIN(MAX(M16-($D$89*100+$D$90*100+$D$93*100+$D$102*100),0),$D$99*100)*($D$99*100)/IF(($D$99*100)=0,1,$D$99*100)</f>
      </c>
      <c r="N21" s="31">
        <f>MIN(MAX(N16-($D$89*100+$D$90*100+$D$93*100+$D$102*100),0),$D$99*100)*($D$99*100)/IF(($D$99*100)=0,1,$D$99*100)</f>
      </c>
      <c r="O21" s="31">
        <f>MIN(MAX(O16-($D$89*100+$D$90*100+$D$93*100+$D$102*100),0),$D$99*100)*($D$99*100)/IF(($D$99*100)=0,1,$D$99*100)</f>
      </c>
      <c r="P21" s="31">
        <f>MIN(MAX(P16-($D$89*100+$D$90*100+$D$93*100+$D$102*100),0),$D$99*100)*($D$99*100)/IF(($D$99*100)=0,1,$D$99*100)</f>
      </c>
      <c r="Q21" s="31">
        <f>MIN(MAX(Q16-($D$89*100+$D$90*100+$D$93*100+$D$102*100),0),$D$99*100)*($D$99*100)/IF(($D$99*100)=0,1,$D$99*100)</f>
      </c>
      <c r="R21" s="31">
        <f>MIN(MAX(R16-($D$89*100+$D$90*100+$D$93*100+$D$102*100),0),$D$99*100)*($D$99*100)/IF(($D$99*100)=0,1,$D$99*100)</f>
      </c>
      <c r="S21" s="31">
        <f>MIN(MAX(S16-($D$89*100+$D$90*100+$D$93*100+$D$102*100),0),$D$99*100)*($D$99*100)/IF(($D$99*100)=0,1,$D$99*100)</f>
      </c>
      <c r="T21" s="31">
        <f>MIN(MAX(T16-($D$89*100+$D$90*100+$D$93*100+$D$102*100),0),$D$99*100)*($D$99*100)/IF(($D$99*100)=0,1,$D$99*100)</f>
      </c>
      <c r="U21" s="31">
        <f>MIN(MAX(U16-($D$89*100+$D$90*100+$D$93*100+$D$102*100),0),$D$99*100)*($D$99*100)/IF(($D$99*100)=0,1,$D$99*100)</f>
      </c>
      <c r="V21" s="31">
        <f>MIN(MAX(V16-($D$89*100+$D$90*100+$D$93*100+$D$102*100),0),$D$99*100)*($D$99*100)/IF(($D$99*100)=0,1,$D$99*100)</f>
      </c>
      <c r="W21" s="31">
        <f>MIN(MAX(W16-($D$89*100+$D$90*100+$D$93*100+$D$102*100),0),$D$99*100)*($D$99*100)/IF(($D$99*100)=0,1,$D$99*100)</f>
      </c>
      <c r="X21" s="31">
        <f>MIN(MAX(X16-($D$89*100+$D$90*100+$D$93*100+$D$102*100),0),$D$99*100)*($D$99*100)/IF(($D$99*100)=0,1,$D$99*100)</f>
      </c>
      <c r="Y21" s="31">
        <f>MIN(MAX(Y16-($D$89*100+$D$90*100+$D$93*100+$D$102*100),0),$D$99*100)*($D$99*100)/IF(($D$99*100)=0,1,$D$99*100)</f>
      </c>
      <c r="Z21" s="31">
        <f>MIN(MAX(Z16-($D$89*100+$D$90*100+$D$93*100+$D$102*100),0),$D$99*100)*($D$99*100)/IF(($D$99*100)=0,1,$D$99*100)</f>
      </c>
      <c r="AA21" s="31">
        <f>MIN(MAX(AA16-($D$89*100+$D$90*100+$D$93*100+$D$102*100),0),$D$99*100)*($D$99*100)/IF(($D$99*100)=0,1,$D$99*100)</f>
      </c>
      <c r="AB21" s="31">
        <f>MIN(MAX(AB16-($D$89*100+$D$90*100+$D$93*100+$D$102*100),0),$D$99*100)*($D$99*100)/IF(($D$99*100)=0,1,$D$99*100)</f>
      </c>
      <c r="AC21" s="31">
        <f>MIN(MAX(AC16-($D$89*100+$D$90*100+$D$93*100+$D$102*100),0),$D$99*100)*($D$99*100)/IF(($D$99*100)=0,1,$D$99*100)</f>
      </c>
      <c r="AD21" s="31">
        <f>MIN(MAX(AD16-($D$89*100+$D$90*100+$D$93*100+$D$102*100),0),$D$99*100)*($D$99*100)/IF(($D$99*100)=0,1,$D$99*100)</f>
      </c>
      <c r="AE21" s="31">
        <f>MIN(MAX(AE16-($D$89*100+$D$90*100+$D$93*100+$D$102*100),0),$D$99*100)*($D$99*100)/IF(($D$99*100)=0,1,$D$99*100)</f>
      </c>
      <c r="AF21" s="31">
        <f>MIN(MAX(AF16-($D$89*100+$D$90*100+$D$93*100+$D$102*100),0),$D$99*100)*($D$99*100)/IF(($D$99*100)=0,1,$D$99*100)</f>
      </c>
      <c r="AG21" s="31">
        <f>MIN(MAX(AG16-($D$89*100+$D$90*100+$D$93*100+$D$102*100),0),$D$99*100)*($D$99*100)/IF(($D$99*100)=0,1,$D$99*100)</f>
      </c>
      <c r="AH21" s="31">
        <f>MIN(MAX(AH16-($D$89*100+$D$90*100+$D$93*100+$D$102*100),0),$D$99*100)*($D$99*100)/IF(($D$99*100)=0,1,$D$99*100)</f>
      </c>
      <c r="AI21" s="31">
        <f>MIN(MAX(AI16-($D$89*100+$D$90*100+$D$93*100+$D$102*100),0),$D$99*100)*($D$99*100)/IF(($D$99*100)=0,1,$D$99*100)</f>
      </c>
      <c r="AJ21" s="31">
        <f>MIN(MAX(AJ16-($D$89*100+$D$90*100+$D$93*100+$D$102*100),0),$D$99*100)*($D$99*100)/IF(($D$99*100)=0,1,$D$99*100)</f>
      </c>
      <c r="AK21" s="31">
        <f>MIN(MAX(AK16-($D$89*100+$D$90*100+$D$93*100+$D$102*100),0),$D$99*100)*($D$99*100)/IF(($D$99*100)=0,1,$D$99*100)</f>
      </c>
      <c r="AL21" s="31">
        <f>MIN(MAX(AL16-($D$89*100+$D$90*100+$D$93*100+$D$102*100),0),$D$99*100)*($D$99*100)/IF(($D$99*100)=0,1,$D$99*100)</f>
      </c>
      <c r="AM21" s="31">
        <f>MIN(MAX(AM16-($D$89*100+$D$90*100+$D$93*100+$D$102*100),0),$D$99*100)*($D$99*100)/IF(($D$99*100)=0,1,$D$99*100)</f>
      </c>
      <c r="AN21" s="31">
        <f>MIN(MAX(AN16-($D$89*100+$D$90*100+$D$93*100+$D$102*100),0),$D$99*100)*($D$99*100)/IF(($D$99*100)=0,1,$D$99*100)</f>
      </c>
      <c r="AO21" s="31">
        <f>MIN(MAX(AO16-($D$89*100+$D$90*100+$D$93*100+$D$102*100),0),$D$99*100)*($D$99*100)/IF(($D$99*100)=0,1,$D$99*100)</f>
      </c>
      <c r="AP21" s="31">
        <f>MIN(MAX(AP16-($D$89*100+$D$90*100+$D$93*100+$D$102*100),0),$D$99*100)*($D$99*100)/IF(($D$99*100)=0,1,$D$99*100)</f>
      </c>
      <c r="AQ21" s="31">
        <f>MIN(MAX(AQ16-($D$89*100+$D$90*100+$D$93*100+$D$102*100),0),$D$99*100)*($D$99*100)/IF(($D$99*100)=0,1,$D$99*100)</f>
      </c>
      <c r="AR21" s="31">
        <f>MIN(MAX(AR16-($D$89*100+$D$90*100+$D$93*100+$D$102*100),0),$D$99*100)*($D$99*100)/IF(($D$99*100)=0,1,$D$99*100)</f>
      </c>
      <c r="AS21" s="31">
        <f>MIN(MAX(AS16-($D$89*100+$D$90*100+$D$93*100+$D$102*100),0),$D$99*100)*($D$99*100)/IF(($D$99*100)=0,1,$D$99*100)</f>
      </c>
      <c r="AT21" s="31">
        <f>MIN(MAX(AT16-($D$89*100+$D$90*100+$D$93*100+$D$102*100),0),$D$99*100)*($D$99*100)/IF(($D$99*100)=0,1,$D$99*100)</f>
      </c>
      <c r="AU21" s="31">
        <f>MIN(MAX(AU16-($D$89*100+$D$90*100+$D$93*100+$D$102*100),0),$D$99*100)*($D$99*100)/IF(($D$99*100)=0,1,$D$99*100)</f>
      </c>
      <c r="AV21" s="31">
        <f>MIN(MAX(AV16-($D$89*100+$D$90*100+$D$93*100+$D$102*100),0),$D$99*100)*($D$99*100)/IF(($D$99*100)=0,1,$D$99*100)</f>
      </c>
      <c r="AW21" s="31">
        <f>MIN(MAX(AW16-($D$89*100+$D$90*100+$D$93*100+$D$102*100),0),$D$99*100)*($D$99*100)/IF(($D$99*100)=0,1,$D$99*100)</f>
      </c>
      <c r="AX21" s="31">
        <f>MIN(MAX(AX16-($D$89*100+$D$90*100+$D$93*100+$D$102*100),0),$D$99*100)*($D$99*100)/IF(($D$99*100)=0,1,$D$99*100)</f>
      </c>
      <c r="AY21" s="31">
        <f>MIN(MAX(AY16-($D$89*100+$D$90*100+$D$93*100+$D$102*100),0),$D$99*100)*($D$99*100)/IF(($D$99*100)=0,1,$D$99*100)</f>
      </c>
      <c r="AZ21" s="31">
        <f>MIN(MAX(AZ16-($D$89*100+$D$90*100+$D$93*100+$D$102*100),0),$D$99*100)*($D$99*100)/IF(($D$99*100)=0,1,$D$99*100)</f>
      </c>
      <c r="BA21" s="31">
        <f>MIN(MAX(BA16-($D$89*100+$D$90*100+$D$93*100+$D$102*100),0),$D$99*100)*($D$99*100)/IF(($D$99*100)=0,1,$D$99*100)</f>
      </c>
      <c r="BB21" s="31">
        <f>MIN(MAX(BB16-($D$89*100+$D$90*100+$D$93*100+$D$102*100),0),$D$99*100)*($D$99*100)/IF(($D$99*100)=0,1,$D$99*100)</f>
      </c>
      <c r="BC21" s="31">
        <f>MIN(MAX(BC16-($D$89*100+$D$90*100+$D$93*100+$D$102*100),0),$D$99*100)*($D$99*100)/IF(($D$99*100)=0,1,$D$99*100)</f>
      </c>
      <c r="BD21" s="31">
        <f>MIN(MAX(BD16-($D$89*100+$D$90*100+$D$93*100+$D$102*100),0),$D$99*100)*($D$99*100)/IF(($D$99*100)=0,1,$D$99*100)</f>
      </c>
      <c r="BE21" s="31">
        <f>MIN(MAX(BE16-($D$89*100+$D$90*100+$D$93*100+$D$102*100),0),$D$99*100)*($D$99*100)/IF(($D$99*100)=0,1,$D$99*100)</f>
      </c>
      <c r="BF21" s="31">
        <f>MIN(MAX(BF16-($D$89*100+$D$90*100+$D$93*100+$D$102*100),0),$D$99*100)*($D$99*100)/IF(($D$99*100)=0,1,$D$99*100)</f>
      </c>
      <c r="BG21" s="31">
        <f>MIN(MAX(BG16-($D$89*100+$D$90*100+$D$93*100+$D$102*100),0),$D$99*100)*($D$99*100)/IF(($D$99*100)=0,1,$D$99*100)</f>
      </c>
      <c r="BH21" s="31">
        <f>MIN(MAX(BH16-($D$89*100+$D$90*100+$D$93*100+$D$102*100),0),$D$99*100)*($D$99*100)/IF(($D$99*100)=0,1,$D$99*100)</f>
      </c>
      <c r="BI21" s="31">
        <f>MIN(MAX(BI16-($D$89*100+$D$90*100+$D$93*100+$D$102*100),0),$D$99*100)*($D$99*100)/IF(($D$99*100)=0,1,$D$99*100)</f>
      </c>
      <c r="BJ21" s="31">
        <f>MIN(MAX(BJ16-($D$89*100+$D$90*100+$D$93*100+$D$102*100),0),$D$99*100)*($D$99*100)/IF(($D$99*100)=0,1,$D$99*100)</f>
      </c>
      <c r="BK21" s="31">
        <f>MIN(MAX(BK16-($D$89*100+$D$90*100+$D$93*100+$D$102*100),0),$D$99*100)*($D$99*100)/IF(($D$99*100)=0,1,$D$99*100)</f>
      </c>
      <c r="BL21" s="31">
        <f>MIN(MAX(BL16-($D$89*100+$D$90*100+$D$93*100+$D$102*100),0),$D$99*100)*($D$99*100)/IF(($D$99*100)=0,1,$D$99*100)</f>
      </c>
      <c r="BM21" s="31">
        <f>MIN(MAX(BM16-($D$89*100+$D$90*100+$D$93*100+$D$102*100),0),$D$99*100)*($D$99*100)/IF(($D$99*100)=0,1,$D$99*100)</f>
      </c>
      <c r="BN21" s="31">
        <f>MIN(MAX(BN16-($D$89*100+$D$90*100+$D$93*100+$D$102*100),0),$D$99*100)*($D$99*100)/IF(($D$99*100)=0,1,$D$99*100)</f>
      </c>
      <c r="BO21" s="31">
        <f>MIN(MAX(BO16-($D$89*100+$D$90*100+$D$93*100+$D$102*100),0),$D$99*100)*($D$99*100)/IF(($D$99*100)=0,1,$D$99*100)</f>
      </c>
      <c r="BP21" s="31">
        <f>MIN(MAX(BP16-($D$89*100+$D$90*100+$D$93*100+$D$102*100),0),$D$99*100)*($D$99*100)/IF(($D$99*100)=0,1,$D$99*100)</f>
      </c>
      <c r="BQ21" s="31">
        <f>MIN(MAX(BQ16-($D$89*100+$D$90*100+$D$93*100+$D$102*100),0),$D$99*100)*($D$99*100)/IF(($D$99*100)=0,1,$D$99*100)</f>
      </c>
      <c r="BR21" s="31">
        <f>MIN(MAX(BR16-($D$89*100+$D$90*100+$D$93*100+$D$102*100),0),$D$99*100)*($D$99*100)/IF(($D$99*100)=0,1,$D$99*100)</f>
      </c>
      <c r="BS21" s="31">
        <f>MIN(MAX(BS16-($D$89*100+$D$90*100+$D$93*100+$D$102*100),0),$D$99*100)*($D$99*100)/IF(($D$99*100)=0,1,$D$99*100)</f>
      </c>
      <c r="BT21" s="31">
        <f>MIN(MAX(BT16-($D$89*100+$D$90*100+$D$93*100+$D$102*100),0),$D$99*100)*($D$99*100)/IF(($D$99*100)=0,1,$D$99*100)</f>
      </c>
      <c r="BU21" s="31">
        <f>MIN(MAX(BU16-($D$89*100+$D$90*100+$D$93*100+$D$102*100),0),$D$99*100)*($D$99*100)/IF(($D$99*100)=0,1,$D$99*100)</f>
      </c>
      <c r="BV21" s="31">
        <f>MIN(MAX(BV16-($D$89*100+$D$90*100+$D$93*100+$D$102*100),0),$D$99*100)*($D$99*100)/IF(($D$99*100)=0,1,$D$99*100)</f>
      </c>
      <c r="BW21" s="31">
        <f>MIN(MAX(BW16-($D$89*100+$D$90*100+$D$93*100+$D$102*100),0),$D$99*100)*($D$99*100)/IF(($D$99*100)=0,1,$D$99*100)</f>
      </c>
      <c r="BX21" s="31">
        <f>MIN(MAX(BX16-($D$89*100+$D$90*100+$D$93*100+$D$102*100),0),$D$99*100)*($D$99*100)/IF(($D$99*100)=0,1,$D$99*100)</f>
      </c>
      <c r="BY21" s="31">
        <f>MIN(MAX(BY16-($D$89*100+$D$90*100+$D$93*100+$D$102*100),0),$D$99*100)*($D$99*100)/IF(($D$99*100)=0,1,$D$99*100)</f>
      </c>
      <c r="BZ21" s="31">
        <f>MIN(MAX(BZ16-($D$89*100+$D$90*100+$D$93*100+$D$102*100),0),$D$99*100)*($D$99*100)/IF(($D$99*100)=0,1,$D$99*100)</f>
      </c>
      <c r="CA21" s="31">
        <f>MIN(MAX(CA16-($D$89*100+$D$90*100+$D$93*100+$D$102*100),0),$D$99*100)*($D$99*100)/IF(($D$99*100)=0,1,$D$99*100)</f>
      </c>
      <c r="CB21" s="31">
        <f>MIN(MAX(CB16-($D$89*100+$D$90*100+$D$93*100+$D$102*100),0),$D$99*100)*($D$99*100)/IF(($D$99*100)=0,1,$D$99*100)</f>
      </c>
      <c r="CC21" s="31">
        <f>MIN(MAX(CC16-($D$89*100+$D$90*100+$D$93*100+$D$102*100),0),$D$99*100)*($D$99*100)/IF(($D$99*100)=0,1,$D$99*100)</f>
      </c>
      <c r="CD21" s="31">
        <f>MIN(MAX(CD16-($D$89*100+$D$90*100+$D$93*100+$D$102*100),0),$D$99*100)*($D$99*100)/IF(($D$99*100)=0,1,$D$99*100)</f>
      </c>
      <c r="CE21" s="31">
        <f>MIN(MAX(CE16-($D$89*100+$D$90*100+$D$93*100+$D$102*100),0),$D$99*100)*($D$99*100)/IF(($D$99*100)=0,1,$D$99*100)</f>
      </c>
      <c r="CF21" s="31">
        <f>MIN(MAX(CF16-($D$89*100+$D$90*100+$D$93*100+$D$102*100),0),$D$99*100)*($D$99*100)/IF(($D$99*100)=0,1,$D$99*100)</f>
      </c>
      <c r="CG21" s="31">
        <f>MIN(MAX(CG16-($D$89*100+$D$90*100+$D$93*100+$D$102*100),0),$D$99*100)*($D$99*100)/IF(($D$99*100)=0,1,$D$99*100)</f>
      </c>
      <c r="CH21" s="31">
        <f>MIN(MAX(CH16-($D$89*100+$D$90*100+$D$93*100+$D$102*100),0),$D$99*100)*($D$99*100)/IF(($D$99*100)=0,1,$D$99*100)</f>
      </c>
      <c r="CI21" s="31">
        <f>MIN(MAX(CI16-($D$89*100+$D$90*100+$D$93*100+$D$102*100),0),$D$99*100)*($D$99*100)/IF(($D$99*100)=0,1,$D$99*100)</f>
      </c>
      <c r="CJ21" s="31">
        <f>MIN(MAX(CJ16-($D$89*100+$D$90*100+$D$93*100+$D$102*100),0),$D$99*100)*($D$99*100)/IF(($D$99*100)=0,1,$D$99*100)</f>
      </c>
      <c r="CK21" s="31">
        <f>MIN(MAX(CK16-($D$89*100+$D$90*100+$D$93*100+$D$102*100),0),$D$99*100)*($D$99*100)/IF(($D$99*100)=0,1,$D$99*100)</f>
      </c>
      <c r="CL21" s="31">
        <f>MIN(MAX(CL16-($D$89*100+$D$90*100+$D$93*100+$D$102*100),0),$D$99*100)*($D$99*100)/IF(($D$99*100)=0,1,$D$99*100)</f>
      </c>
    </row>
    <row r="22" spans="2:90" x14ac:dyDescent="0.25">
      <c r="B22" s="33" t="s">
        <v>251</v>
      </c>
      <c r="C22" s="34" t="s">
        <v>237</v>
      </c>
      <c r="E22" s="31">
        <f>MIN(MAX(E16-(0),0),$D$89*100+$D$102*100)*($D$102*100)/IF(($D$89*100+$D$102*100)=0,1,$D$89*100+$D$102*100)</f>
      </c>
      <c r="F22" s="31">
        <f>MIN(MAX(F16-(0),0),$D$89*100+$D$102*100)*($D$102*100)/IF(($D$89*100+$D$102*100)=0,1,$D$89*100+$D$102*100)</f>
      </c>
      <c r="G22" s="31">
        <f>MIN(MAX(G16-(0),0),$D$89*100+$D$102*100)*($D$102*100)/IF(($D$89*100+$D$102*100)=0,1,$D$89*100+$D$102*100)</f>
      </c>
      <c r="H22" s="31">
        <f>MIN(MAX(H16-(0),0),$D$89*100+$D$102*100)*($D$102*100)/IF(($D$89*100+$D$102*100)=0,1,$D$89*100+$D$102*100)</f>
      </c>
      <c r="I22" s="31">
        <f>MIN(MAX(I16-(0),0),$D$89*100+$D$102*100)*($D$102*100)/IF(($D$89*100+$D$102*100)=0,1,$D$89*100+$D$102*100)</f>
      </c>
      <c r="J22" s="31">
        <f>MIN(MAX(J16-(0),0),$D$89*100+$D$102*100)*($D$102*100)/IF(($D$89*100+$D$102*100)=0,1,$D$89*100+$D$102*100)</f>
      </c>
      <c r="K22" s="31">
        <f>MIN(MAX(K16-(0),0),$D$89*100+$D$102*100)*($D$102*100)/IF(($D$89*100+$D$102*100)=0,1,$D$89*100+$D$102*100)</f>
      </c>
      <c r="L22" s="31">
        <f>MIN(MAX(L16-(0),0),$D$89*100+$D$102*100)*($D$102*100)/IF(($D$89*100+$D$102*100)=0,1,$D$89*100+$D$102*100)</f>
      </c>
      <c r="M22" s="31">
        <f>MIN(MAX(M16-(0),0),$D$89*100+$D$102*100)*($D$102*100)/IF(($D$89*100+$D$102*100)=0,1,$D$89*100+$D$102*100)</f>
      </c>
      <c r="N22" s="31">
        <f>MIN(MAX(N16-(0),0),$D$89*100+$D$102*100)*($D$102*100)/IF(($D$89*100+$D$102*100)=0,1,$D$89*100+$D$102*100)</f>
      </c>
      <c r="O22" s="31">
        <f>MIN(MAX(O16-(0),0),$D$89*100+$D$102*100)*($D$102*100)/IF(($D$89*100+$D$102*100)=0,1,$D$89*100+$D$102*100)</f>
      </c>
      <c r="P22" s="31">
        <f>MIN(MAX(P16-(0),0),$D$89*100+$D$102*100)*($D$102*100)/IF(($D$89*100+$D$102*100)=0,1,$D$89*100+$D$102*100)</f>
      </c>
      <c r="Q22" s="31">
        <f>MIN(MAX(Q16-(0),0),$D$89*100+$D$102*100)*($D$102*100)/IF(($D$89*100+$D$102*100)=0,1,$D$89*100+$D$102*100)</f>
      </c>
      <c r="R22" s="31">
        <f>MIN(MAX(R16-(0),0),$D$89*100+$D$102*100)*($D$102*100)/IF(($D$89*100+$D$102*100)=0,1,$D$89*100+$D$102*100)</f>
      </c>
      <c r="S22" s="31">
        <f>MIN(MAX(S16-(0),0),$D$89*100+$D$102*100)*($D$102*100)/IF(($D$89*100+$D$102*100)=0,1,$D$89*100+$D$102*100)</f>
      </c>
      <c r="T22" s="31">
        <f>MIN(MAX(T16-(0),0),$D$89*100+$D$102*100)*($D$102*100)/IF(($D$89*100+$D$102*100)=0,1,$D$89*100+$D$102*100)</f>
      </c>
      <c r="U22" s="31">
        <f>MIN(MAX(U16-(0),0),$D$89*100+$D$102*100)*($D$102*100)/IF(($D$89*100+$D$102*100)=0,1,$D$89*100+$D$102*100)</f>
      </c>
      <c r="V22" s="31">
        <f>MIN(MAX(V16-(0),0),$D$89*100+$D$102*100)*($D$102*100)/IF(($D$89*100+$D$102*100)=0,1,$D$89*100+$D$102*100)</f>
      </c>
      <c r="W22" s="31">
        <f>MIN(MAX(W16-(0),0),$D$89*100+$D$102*100)*($D$102*100)/IF(($D$89*100+$D$102*100)=0,1,$D$89*100+$D$102*100)</f>
      </c>
      <c r="X22" s="31">
        <f>MIN(MAX(X16-(0),0),$D$89*100+$D$102*100)*($D$102*100)/IF(($D$89*100+$D$102*100)=0,1,$D$89*100+$D$102*100)</f>
      </c>
      <c r="Y22" s="31">
        <f>MIN(MAX(Y16-(0),0),$D$89*100+$D$102*100)*($D$102*100)/IF(($D$89*100+$D$102*100)=0,1,$D$89*100+$D$102*100)</f>
      </c>
      <c r="Z22" s="31">
        <f>MIN(MAX(Z16-(0),0),$D$89*100+$D$102*100)*($D$102*100)/IF(($D$89*100+$D$102*100)=0,1,$D$89*100+$D$102*100)</f>
      </c>
      <c r="AA22" s="31">
        <f>MIN(MAX(AA16-(0),0),$D$89*100+$D$102*100)*($D$102*100)/IF(($D$89*100+$D$102*100)=0,1,$D$89*100+$D$102*100)</f>
      </c>
      <c r="AB22" s="31">
        <f>MIN(MAX(AB16-(0),0),$D$89*100+$D$102*100)*($D$102*100)/IF(($D$89*100+$D$102*100)=0,1,$D$89*100+$D$102*100)</f>
      </c>
      <c r="AC22" s="31">
        <f>MIN(MAX(AC16-(0),0),$D$89*100+$D$102*100)*($D$102*100)/IF(($D$89*100+$D$102*100)=0,1,$D$89*100+$D$102*100)</f>
      </c>
      <c r="AD22" s="31">
        <f>MIN(MAX(AD16-(0),0),$D$89*100+$D$102*100)*($D$102*100)/IF(($D$89*100+$D$102*100)=0,1,$D$89*100+$D$102*100)</f>
      </c>
      <c r="AE22" s="31">
        <f>MIN(MAX(AE16-(0),0),$D$89*100+$D$102*100)*($D$102*100)/IF(($D$89*100+$D$102*100)=0,1,$D$89*100+$D$102*100)</f>
      </c>
      <c r="AF22" s="31">
        <f>MIN(MAX(AF16-(0),0),$D$89*100+$D$102*100)*($D$102*100)/IF(($D$89*100+$D$102*100)=0,1,$D$89*100+$D$102*100)</f>
      </c>
      <c r="AG22" s="31">
        <f>MIN(MAX(AG16-(0),0),$D$89*100+$D$102*100)*($D$102*100)/IF(($D$89*100+$D$102*100)=0,1,$D$89*100+$D$102*100)</f>
      </c>
      <c r="AH22" s="31">
        <f>MIN(MAX(AH16-(0),0),$D$89*100+$D$102*100)*($D$102*100)/IF(($D$89*100+$D$102*100)=0,1,$D$89*100+$D$102*100)</f>
      </c>
      <c r="AI22" s="31">
        <f>MIN(MAX(AI16-(0),0),$D$89*100+$D$102*100)*($D$102*100)/IF(($D$89*100+$D$102*100)=0,1,$D$89*100+$D$102*100)</f>
      </c>
      <c r="AJ22" s="31">
        <f>MIN(MAX(AJ16-(0),0),$D$89*100+$D$102*100)*($D$102*100)/IF(($D$89*100+$D$102*100)=0,1,$D$89*100+$D$102*100)</f>
      </c>
      <c r="AK22" s="31">
        <f>MIN(MAX(AK16-(0),0),$D$89*100+$D$102*100)*($D$102*100)/IF(($D$89*100+$D$102*100)=0,1,$D$89*100+$D$102*100)</f>
      </c>
      <c r="AL22" s="31">
        <f>MIN(MAX(AL16-(0),0),$D$89*100+$D$102*100)*($D$102*100)/IF(($D$89*100+$D$102*100)=0,1,$D$89*100+$D$102*100)</f>
      </c>
      <c r="AM22" s="31">
        <f>MIN(MAX(AM16-(0),0),$D$89*100+$D$102*100)*($D$102*100)/IF(($D$89*100+$D$102*100)=0,1,$D$89*100+$D$102*100)</f>
      </c>
      <c r="AN22" s="31">
        <f>MIN(MAX(AN16-(0),0),$D$89*100+$D$102*100)*($D$102*100)/IF(($D$89*100+$D$102*100)=0,1,$D$89*100+$D$102*100)</f>
      </c>
      <c r="AO22" s="31">
        <f>MIN(MAX(AO16-(0),0),$D$89*100+$D$102*100)*($D$102*100)/IF(($D$89*100+$D$102*100)=0,1,$D$89*100+$D$102*100)</f>
      </c>
      <c r="AP22" s="31">
        <f>MIN(MAX(AP16-(0),0),$D$89*100+$D$102*100)*($D$102*100)/IF(($D$89*100+$D$102*100)=0,1,$D$89*100+$D$102*100)</f>
      </c>
      <c r="AQ22" s="31">
        <f>MIN(MAX(AQ16-(0),0),$D$89*100+$D$102*100)*($D$102*100)/IF(($D$89*100+$D$102*100)=0,1,$D$89*100+$D$102*100)</f>
      </c>
      <c r="AR22" s="31">
        <f>MIN(MAX(AR16-(0),0),$D$89*100+$D$102*100)*($D$102*100)/IF(($D$89*100+$D$102*100)=0,1,$D$89*100+$D$102*100)</f>
      </c>
      <c r="AS22" s="31">
        <f>MIN(MAX(AS16-(0),0),$D$89*100+$D$102*100)*($D$102*100)/IF(($D$89*100+$D$102*100)=0,1,$D$89*100+$D$102*100)</f>
      </c>
      <c r="AT22" s="31">
        <f>MIN(MAX(AT16-(0),0),$D$89*100+$D$102*100)*($D$102*100)/IF(($D$89*100+$D$102*100)=0,1,$D$89*100+$D$102*100)</f>
      </c>
      <c r="AU22" s="31">
        <f>MIN(MAX(AU16-(0),0),$D$89*100+$D$102*100)*($D$102*100)/IF(($D$89*100+$D$102*100)=0,1,$D$89*100+$D$102*100)</f>
      </c>
      <c r="AV22" s="31">
        <f>MIN(MAX(AV16-(0),0),$D$89*100+$D$102*100)*($D$102*100)/IF(($D$89*100+$D$102*100)=0,1,$D$89*100+$D$102*100)</f>
      </c>
      <c r="AW22" s="31">
        <f>MIN(MAX(AW16-(0),0),$D$89*100+$D$102*100)*($D$102*100)/IF(($D$89*100+$D$102*100)=0,1,$D$89*100+$D$102*100)</f>
      </c>
      <c r="AX22" s="31">
        <f>MIN(MAX(AX16-(0),0),$D$89*100+$D$102*100)*($D$102*100)/IF(($D$89*100+$D$102*100)=0,1,$D$89*100+$D$102*100)</f>
      </c>
      <c r="AY22" s="31">
        <f>MIN(MAX(AY16-(0),0),$D$89*100+$D$102*100)*($D$102*100)/IF(($D$89*100+$D$102*100)=0,1,$D$89*100+$D$102*100)</f>
      </c>
      <c r="AZ22" s="31">
        <f>MIN(MAX(AZ16-(0),0),$D$89*100+$D$102*100)*($D$102*100)/IF(($D$89*100+$D$102*100)=0,1,$D$89*100+$D$102*100)</f>
      </c>
      <c r="BA22" s="31">
        <f>MIN(MAX(BA16-(0),0),$D$89*100+$D$102*100)*($D$102*100)/IF(($D$89*100+$D$102*100)=0,1,$D$89*100+$D$102*100)</f>
      </c>
      <c r="BB22" s="31">
        <f>MIN(MAX(BB16-(0),0),$D$89*100+$D$102*100)*($D$102*100)/IF(($D$89*100+$D$102*100)=0,1,$D$89*100+$D$102*100)</f>
      </c>
      <c r="BC22" s="31">
        <f>MIN(MAX(BC16-(0),0),$D$89*100+$D$102*100)*($D$102*100)/IF(($D$89*100+$D$102*100)=0,1,$D$89*100+$D$102*100)</f>
      </c>
      <c r="BD22" s="31">
        <f>MIN(MAX(BD16-(0),0),$D$89*100+$D$102*100)*($D$102*100)/IF(($D$89*100+$D$102*100)=0,1,$D$89*100+$D$102*100)</f>
      </c>
      <c r="BE22" s="31">
        <f>MIN(MAX(BE16-(0),0),$D$89*100+$D$102*100)*($D$102*100)/IF(($D$89*100+$D$102*100)=0,1,$D$89*100+$D$102*100)</f>
      </c>
      <c r="BF22" s="31">
        <f>MIN(MAX(BF16-(0),0),$D$89*100+$D$102*100)*($D$102*100)/IF(($D$89*100+$D$102*100)=0,1,$D$89*100+$D$102*100)</f>
      </c>
      <c r="BG22" s="31">
        <f>MIN(MAX(BG16-(0),0),$D$89*100+$D$102*100)*($D$102*100)/IF(($D$89*100+$D$102*100)=0,1,$D$89*100+$D$102*100)</f>
      </c>
      <c r="BH22" s="31">
        <f>MIN(MAX(BH16-(0),0),$D$89*100+$D$102*100)*($D$102*100)/IF(($D$89*100+$D$102*100)=0,1,$D$89*100+$D$102*100)</f>
      </c>
      <c r="BI22" s="31">
        <f>MIN(MAX(BI16-(0),0),$D$89*100+$D$102*100)*($D$102*100)/IF(($D$89*100+$D$102*100)=0,1,$D$89*100+$D$102*100)</f>
      </c>
      <c r="BJ22" s="31">
        <f>MIN(MAX(BJ16-(0),0),$D$89*100+$D$102*100)*($D$102*100)/IF(($D$89*100+$D$102*100)=0,1,$D$89*100+$D$102*100)</f>
      </c>
      <c r="BK22" s="31">
        <f>MIN(MAX(BK16-(0),0),$D$89*100+$D$102*100)*($D$102*100)/IF(($D$89*100+$D$102*100)=0,1,$D$89*100+$D$102*100)</f>
      </c>
      <c r="BL22" s="31">
        <f>MIN(MAX(BL16-(0),0),$D$89*100+$D$102*100)*($D$102*100)/IF(($D$89*100+$D$102*100)=0,1,$D$89*100+$D$102*100)</f>
      </c>
      <c r="BM22" s="31">
        <f>MIN(MAX(BM16-(0),0),$D$89*100+$D$102*100)*($D$102*100)/IF(($D$89*100+$D$102*100)=0,1,$D$89*100+$D$102*100)</f>
      </c>
      <c r="BN22" s="31">
        <f>MIN(MAX(BN16-(0),0),$D$89*100+$D$102*100)*($D$102*100)/IF(($D$89*100+$D$102*100)=0,1,$D$89*100+$D$102*100)</f>
      </c>
      <c r="BO22" s="31">
        <f>MIN(MAX(BO16-(0),0),$D$89*100+$D$102*100)*($D$102*100)/IF(($D$89*100+$D$102*100)=0,1,$D$89*100+$D$102*100)</f>
      </c>
      <c r="BP22" s="31">
        <f>MIN(MAX(BP16-(0),0),$D$89*100+$D$102*100)*($D$102*100)/IF(($D$89*100+$D$102*100)=0,1,$D$89*100+$D$102*100)</f>
      </c>
      <c r="BQ22" s="31">
        <f>MIN(MAX(BQ16-(0),0),$D$89*100+$D$102*100)*($D$102*100)/IF(($D$89*100+$D$102*100)=0,1,$D$89*100+$D$102*100)</f>
      </c>
      <c r="BR22" s="31">
        <f>MIN(MAX(BR16-(0),0),$D$89*100+$D$102*100)*($D$102*100)/IF(($D$89*100+$D$102*100)=0,1,$D$89*100+$D$102*100)</f>
      </c>
      <c r="BS22" s="31">
        <f>MIN(MAX(BS16-(0),0),$D$89*100+$D$102*100)*($D$102*100)/IF(($D$89*100+$D$102*100)=0,1,$D$89*100+$D$102*100)</f>
      </c>
      <c r="BT22" s="31">
        <f>MIN(MAX(BT16-(0),0),$D$89*100+$D$102*100)*($D$102*100)/IF(($D$89*100+$D$102*100)=0,1,$D$89*100+$D$102*100)</f>
      </c>
      <c r="BU22" s="31">
        <f>MIN(MAX(BU16-(0),0),$D$89*100+$D$102*100)*($D$102*100)/IF(($D$89*100+$D$102*100)=0,1,$D$89*100+$D$102*100)</f>
      </c>
      <c r="BV22" s="31">
        <f>MIN(MAX(BV16-(0),0),$D$89*100+$D$102*100)*($D$102*100)/IF(($D$89*100+$D$102*100)=0,1,$D$89*100+$D$102*100)</f>
      </c>
      <c r="BW22" s="31">
        <f>MIN(MAX(BW16-(0),0),$D$89*100+$D$102*100)*($D$102*100)/IF(($D$89*100+$D$102*100)=0,1,$D$89*100+$D$102*100)</f>
      </c>
      <c r="BX22" s="31">
        <f>MIN(MAX(BX16-(0),0),$D$89*100+$D$102*100)*($D$102*100)/IF(($D$89*100+$D$102*100)=0,1,$D$89*100+$D$102*100)</f>
      </c>
      <c r="BY22" s="31">
        <f>MIN(MAX(BY16-(0),0),$D$89*100+$D$102*100)*($D$102*100)/IF(($D$89*100+$D$102*100)=0,1,$D$89*100+$D$102*100)</f>
      </c>
      <c r="BZ22" s="31">
        <f>MIN(MAX(BZ16-(0),0),$D$89*100+$D$102*100)*($D$102*100)/IF(($D$89*100+$D$102*100)=0,1,$D$89*100+$D$102*100)</f>
      </c>
      <c r="CA22" s="31">
        <f>MIN(MAX(CA16-(0),0),$D$89*100+$D$102*100)*($D$102*100)/IF(($D$89*100+$D$102*100)=0,1,$D$89*100+$D$102*100)</f>
      </c>
      <c r="CB22" s="31">
        <f>MIN(MAX(CB16-(0),0),$D$89*100+$D$102*100)*($D$102*100)/IF(($D$89*100+$D$102*100)=0,1,$D$89*100+$D$102*100)</f>
      </c>
      <c r="CC22" s="31">
        <f>MIN(MAX(CC16-(0),0),$D$89*100+$D$102*100)*($D$102*100)/IF(($D$89*100+$D$102*100)=0,1,$D$89*100+$D$102*100)</f>
      </c>
      <c r="CD22" s="31">
        <f>MIN(MAX(CD16-(0),0),$D$89*100+$D$102*100)*($D$102*100)/IF(($D$89*100+$D$102*100)=0,1,$D$89*100+$D$102*100)</f>
      </c>
      <c r="CE22" s="31">
        <f>MIN(MAX(CE16-(0),0),$D$89*100+$D$102*100)*($D$102*100)/IF(($D$89*100+$D$102*100)=0,1,$D$89*100+$D$102*100)</f>
      </c>
      <c r="CF22" s="31">
        <f>MIN(MAX(CF16-(0),0),$D$89*100+$D$102*100)*($D$102*100)/IF(($D$89*100+$D$102*100)=0,1,$D$89*100+$D$102*100)</f>
      </c>
      <c r="CG22" s="31">
        <f>MIN(MAX(CG16-(0),0),$D$89*100+$D$102*100)*($D$102*100)/IF(($D$89*100+$D$102*100)=0,1,$D$89*100+$D$102*100)</f>
      </c>
      <c r="CH22" s="31">
        <f>MIN(MAX(CH16-(0),0),$D$89*100+$D$102*100)*($D$102*100)/IF(($D$89*100+$D$102*100)=0,1,$D$89*100+$D$102*100)</f>
      </c>
      <c r="CI22" s="31">
        <f>MIN(MAX(CI16-(0),0),$D$89*100+$D$102*100)*($D$102*100)/IF(($D$89*100+$D$102*100)=0,1,$D$89*100+$D$102*100)</f>
      </c>
      <c r="CJ22" s="31">
        <f>MIN(MAX(CJ16-(0),0),$D$89*100+$D$102*100)*($D$102*100)/IF(($D$89*100+$D$102*100)=0,1,$D$89*100+$D$102*100)</f>
      </c>
      <c r="CK22" s="31">
        <f>MIN(MAX(CK16-(0),0),$D$89*100+$D$102*100)*($D$102*100)/IF(($D$89*100+$D$102*100)=0,1,$D$89*100+$D$102*100)</f>
      </c>
      <c r="CL22" s="31">
        <f>MIN(MAX(CL16-(0),0),$D$89*100+$D$102*100)*($D$102*100)/IF(($D$89*100+$D$102*100)=0,1,$D$89*100+$D$102*100)</f>
      </c>
    </row>
    <row r="25" spans="2:91" x14ac:dyDescent="0.25">
      <c r="B25" s="9" t="s">
        <v>252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7" t="s">
        <v>92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253</v>
      </c>
      <c r="C30" s="34" t="s">
        <v>237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254</v>
      </c>
      <c r="C31" s="34" t="s">
        <v>237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219</v>
      </c>
      <c r="C32" s="34" t="s">
        <v>237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255</v>
      </c>
      <c r="C33" s="34" t="s">
        <v>237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K30*$D$92/4</f>
      </c>
      <c r="L33" s="31">
        <f>L30*$D$92/4</f>
      </c>
      <c r="M33" s="31">
        <f>M30*$D$92/4</f>
      </c>
      <c r="N33" s="31">
        <f>N30*$D$92/4</f>
      </c>
      <c r="O33" s="31">
        <f>O30*$D$92/4</f>
      </c>
      <c r="P33" s="31">
        <f>P30*$D$92/4</f>
      </c>
      <c r="Q33" s="31">
        <f>Q30*$D$92/4</f>
      </c>
      <c r="R33" s="31">
        <f>R30*$D$92/4</f>
      </c>
      <c r="S33" s="31">
        <f>S30*$D$92/4</f>
      </c>
      <c r="T33" s="31">
        <f>T30*$D$92/4</f>
      </c>
      <c r="U33" s="31">
        <f>U30*$D$92/4</f>
      </c>
      <c r="V33" s="31">
        <f>V30*$D$92/4</f>
      </c>
      <c r="W33" s="31">
        <f>W30*$D$92/4</f>
      </c>
      <c r="X33" s="31">
        <f>X30*$D$92/4</f>
      </c>
      <c r="Y33" s="31">
        <f>Y30*$D$92/4</f>
      </c>
      <c r="Z33" s="31">
        <f>Z30*$D$92/4</f>
      </c>
      <c r="AA33" s="31">
        <f>AA30*$D$92/4</f>
      </c>
      <c r="AB33" s="31">
        <f>AB30*$D$92/4</f>
      </c>
      <c r="AC33" s="31">
        <f>AC30*$D$92/4</f>
      </c>
      <c r="AD33" s="31">
        <f>AD30*$D$92/4</f>
      </c>
      <c r="AE33" s="31">
        <f>AE30*$D$92/4</f>
      </c>
      <c r="AF33" s="31">
        <f>AF30*$D$92/4</f>
      </c>
      <c r="AG33" s="31">
        <f>AG30*$D$92/4</f>
      </c>
      <c r="AH33" s="31">
        <f>AH30*$D$92/4</f>
      </c>
      <c r="AI33" s="31">
        <f>AI30*$D$92/4</f>
      </c>
      <c r="AJ33" s="31">
        <f>AJ30*$D$92/4</f>
      </c>
      <c r="AK33" s="31">
        <f>AK30*$D$92/4</f>
      </c>
      <c r="AL33" s="31">
        <f>AL30*$D$92/4</f>
      </c>
      <c r="AM33" s="31">
        <f>AM30*$D$92/4</f>
      </c>
      <c r="AN33" s="31">
        <f>AN30*$D$92/4</f>
      </c>
      <c r="AO33" s="31">
        <f>AO30*$D$92/4</f>
      </c>
      <c r="AP33" s="31">
        <f>AP30*$D$92/4</f>
      </c>
      <c r="AQ33" s="31">
        <f>AQ30*$D$92/4</f>
      </c>
      <c r="AR33" s="31">
        <f>AR30*$D$92/4</f>
      </c>
      <c r="AS33" s="31">
        <f>AS30*$D$92/4</f>
      </c>
      <c r="AT33" s="31">
        <f>AT30*$D$92/4</f>
      </c>
      <c r="AU33" s="31">
        <f>AU30*$D$92/4</f>
      </c>
      <c r="AV33" s="31">
        <f>AV30*$D$92/4</f>
      </c>
      <c r="AW33" s="31">
        <f>AW30*$D$92/4</f>
      </c>
      <c r="AX33" s="31">
        <f>AX30*$D$92/4</f>
      </c>
      <c r="AY33" s="31">
        <f>AY30*$D$92/4</f>
      </c>
      <c r="AZ33" s="31">
        <f>AZ30*$D$92/4</f>
      </c>
      <c r="BA33" s="31">
        <f>BA30*$D$92/4</f>
      </c>
      <c r="BB33" s="31">
        <f>BB30*$D$92/4</f>
      </c>
      <c r="BC33" s="31">
        <f>BC30*$D$92/4</f>
      </c>
      <c r="BD33" s="31">
        <f>BD30*$D$92/4</f>
      </c>
      <c r="BE33" s="31">
        <f>BE30*$D$92/4</f>
      </c>
      <c r="BF33" s="31">
        <f>BF30*$D$92/4</f>
      </c>
      <c r="BG33" s="31">
        <f>BG30*$D$92/4</f>
      </c>
      <c r="BH33" s="31">
        <f>BH30*$D$92/4</f>
      </c>
      <c r="BI33" s="31">
        <f>BI30*$D$92/4</f>
      </c>
      <c r="BJ33" s="31">
        <f>BJ30*$D$92/4</f>
      </c>
      <c r="BK33" s="31">
        <f>BK30*$D$92/4</f>
      </c>
      <c r="BL33" s="31">
        <f>BL30*$D$92/4</f>
      </c>
      <c r="BM33" s="31">
        <f>BM30*$D$92/4</f>
      </c>
      <c r="BN33" s="31">
        <f>BN30*$D$92/4</f>
      </c>
      <c r="BO33" s="31">
        <f>BO30*$D$92/4</f>
      </c>
      <c r="BP33" s="31">
        <f>BP30*$D$92/4</f>
      </c>
      <c r="BQ33" s="31">
        <f>BQ30*$D$92/4</f>
      </c>
      <c r="BR33" s="31">
        <f>BR30*$D$92/4</f>
      </c>
      <c r="BS33" s="31">
        <f>BS30*$D$92/4</f>
      </c>
      <c r="BT33" s="31">
        <f>BT30*$D$92/4</f>
      </c>
      <c r="BU33" s="31">
        <f>BU30*$D$92/4</f>
      </c>
      <c r="BV33" s="31">
        <f>BV30*$D$92/4</f>
      </c>
      <c r="BW33" s="31">
        <f>BW30*$D$92/4</f>
      </c>
      <c r="BX33" s="31">
        <f>BX30*$D$92/4</f>
      </c>
      <c r="BY33" s="31">
        <f>BY30*$D$92/4</f>
      </c>
      <c r="BZ33" s="31">
        <f>BZ30*$D$92/4</f>
      </c>
      <c r="CA33" s="31">
        <f>CA30*$D$92/4</f>
      </c>
      <c r="CB33" s="31">
        <f>CB30*$D$92/4</f>
      </c>
      <c r="CC33" s="31">
        <f>CC30*$D$92/4</f>
      </c>
      <c r="CD33" s="31">
        <f>CD30*$D$92/4</f>
      </c>
      <c r="CE33" s="31">
        <f>CE30*$D$92/4</f>
      </c>
      <c r="CF33" s="31">
        <f>CF30*$D$92/4</f>
      </c>
      <c r="CG33" s="31">
        <f>CG30*$D$92/4</f>
      </c>
      <c r="CH33" s="31">
        <f>CH30*$D$92/4</f>
      </c>
      <c r="CI33" s="31">
        <f>CI30*$D$92/4</f>
      </c>
      <c r="CJ33" s="31">
        <f>CJ30*$D$92/4</f>
      </c>
      <c r="CK33" s="31">
        <f>CK30*$D$92/4</f>
      </c>
      <c r="CL33" s="31">
        <f>CL30*$D$92/4</f>
      </c>
    </row>
    <row r="34" spans="2:90" x14ac:dyDescent="0.25">
      <c r="B34" s="33" t="s">
        <v>256</v>
      </c>
      <c r="C34" s="34" t="s">
        <v>237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257</v>
      </c>
      <c r="C35" s="34" t="s">
        <v>237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258</v>
      </c>
      <c r="C36" s="34" t="s">
        <v>237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7" t="s">
        <v>93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</row>
    <row r="39" spans="2:90" x14ac:dyDescent="0.25">
      <c r="B39" s="33" t="s">
        <v>253</v>
      </c>
      <c r="C39" s="34" t="s">
        <v>237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254</v>
      </c>
      <c r="C40" s="34" t="s">
        <v>237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219</v>
      </c>
      <c r="C41" s="34" t="s">
        <v>237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255</v>
      </c>
      <c r="C42" s="34" t="s">
        <v>237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K39*$D$95/4</f>
      </c>
      <c r="L42" s="31">
        <f>L39*$D$95/4</f>
      </c>
      <c r="M42" s="31">
        <f>M39*$D$95/4</f>
      </c>
      <c r="N42" s="31">
        <f>N39*$D$95/4</f>
      </c>
      <c r="O42" s="31">
        <f>O39*$D$95/4</f>
      </c>
      <c r="P42" s="31">
        <f>P39*$D$95/4</f>
      </c>
      <c r="Q42" s="31">
        <f>Q39*$D$95/4</f>
      </c>
      <c r="R42" s="31">
        <f>R39*$D$95/4</f>
      </c>
      <c r="S42" s="31">
        <f>S39*$D$95/4</f>
      </c>
      <c r="T42" s="31">
        <f>T39*$D$95/4</f>
      </c>
      <c r="U42" s="31">
        <f>U39*$D$95/4</f>
      </c>
      <c r="V42" s="31">
        <f>V39*$D$95/4</f>
      </c>
      <c r="W42" s="31">
        <f>W39*$D$95/4</f>
      </c>
      <c r="X42" s="31">
        <f>X39*$D$95/4</f>
      </c>
      <c r="Y42" s="31">
        <f>Y39*$D$95/4</f>
      </c>
      <c r="Z42" s="31">
        <f>Z39*$D$95/4</f>
      </c>
      <c r="AA42" s="31">
        <f>AA39*$D$95/4</f>
      </c>
      <c r="AB42" s="31">
        <f>AB39*$D$95/4</f>
      </c>
      <c r="AC42" s="31">
        <f>AC39*$D$95/4</f>
      </c>
      <c r="AD42" s="31">
        <f>AD39*$D$95/4</f>
      </c>
      <c r="AE42" s="31">
        <f>AE39*$D$95/4</f>
      </c>
      <c r="AF42" s="31">
        <f>AF39*$D$95/4</f>
      </c>
      <c r="AG42" s="31">
        <f>AG39*$D$95/4</f>
      </c>
      <c r="AH42" s="31">
        <f>AH39*$D$95/4</f>
      </c>
      <c r="AI42" s="31">
        <f>AI39*$D$95/4</f>
      </c>
      <c r="AJ42" s="31">
        <f>AJ39*$D$95/4</f>
      </c>
      <c r="AK42" s="31">
        <f>AK39*$D$95/4</f>
      </c>
      <c r="AL42" s="31">
        <f>AL39*$D$95/4</f>
      </c>
      <c r="AM42" s="31">
        <f>AM39*$D$95/4</f>
      </c>
      <c r="AN42" s="31">
        <f>AN39*$D$95/4</f>
      </c>
      <c r="AO42" s="31">
        <f>AO39*$D$95/4</f>
      </c>
      <c r="AP42" s="31">
        <f>AP39*$D$95/4</f>
      </c>
      <c r="AQ42" s="31">
        <f>AQ39*$D$95/4</f>
      </c>
      <c r="AR42" s="31">
        <f>AR39*$D$95/4</f>
      </c>
      <c r="AS42" s="31">
        <f>AS39*$D$95/4</f>
      </c>
      <c r="AT42" s="31">
        <f>AT39*$D$95/4</f>
      </c>
      <c r="AU42" s="31">
        <f>AU39*$D$95/4</f>
      </c>
      <c r="AV42" s="31">
        <f>AV39*$D$95/4</f>
      </c>
      <c r="AW42" s="31">
        <f>AW39*$D$95/4</f>
      </c>
      <c r="AX42" s="31">
        <f>AX39*$D$95/4</f>
      </c>
      <c r="AY42" s="31">
        <f>AY39*$D$95/4</f>
      </c>
      <c r="AZ42" s="31">
        <f>AZ39*$D$95/4</f>
      </c>
      <c r="BA42" s="31">
        <f>BA39*$D$95/4</f>
      </c>
      <c r="BB42" s="31">
        <f>BB39*$D$95/4</f>
      </c>
      <c r="BC42" s="31">
        <f>BC39*$D$95/4</f>
      </c>
      <c r="BD42" s="31">
        <f>BD39*$D$95/4</f>
      </c>
      <c r="BE42" s="31">
        <f>BE39*$D$95/4</f>
      </c>
      <c r="BF42" s="31">
        <f>BF39*$D$95/4</f>
      </c>
      <c r="BG42" s="31">
        <f>BG39*$D$95/4</f>
      </c>
      <c r="BH42" s="31">
        <f>BH39*$D$95/4</f>
      </c>
      <c r="BI42" s="31">
        <f>BI39*$D$95/4</f>
      </c>
      <c r="BJ42" s="31">
        <f>BJ39*$D$95/4</f>
      </c>
      <c r="BK42" s="31">
        <f>BK39*$D$95/4</f>
      </c>
      <c r="BL42" s="31">
        <f>BL39*$D$95/4</f>
      </c>
      <c r="BM42" s="31">
        <f>BM39*$D$95/4</f>
      </c>
      <c r="BN42" s="31">
        <f>BN39*$D$95/4</f>
      </c>
      <c r="BO42" s="31">
        <f>BO39*$D$95/4</f>
      </c>
      <c r="BP42" s="31">
        <f>BP39*$D$95/4</f>
      </c>
      <c r="BQ42" s="31">
        <f>BQ39*$D$95/4</f>
      </c>
      <c r="BR42" s="31">
        <f>BR39*$D$95/4</f>
      </c>
      <c r="BS42" s="31">
        <f>BS39*$D$95/4</f>
      </c>
      <c r="BT42" s="31">
        <f>BT39*$D$95/4</f>
      </c>
      <c r="BU42" s="31">
        <f>BU39*$D$95/4</f>
      </c>
      <c r="BV42" s="31">
        <f>BV39*$D$95/4</f>
      </c>
      <c r="BW42" s="31">
        <f>BW39*$D$95/4</f>
      </c>
      <c r="BX42" s="31">
        <f>BX39*$D$95/4</f>
      </c>
      <c r="BY42" s="31">
        <f>BY39*$D$95/4</f>
      </c>
      <c r="BZ42" s="31">
        <f>BZ39*$D$95/4</f>
      </c>
      <c r="CA42" s="31">
        <f>CA39*$D$95/4</f>
      </c>
      <c r="CB42" s="31">
        <f>CB39*$D$95/4</f>
      </c>
      <c r="CC42" s="31">
        <f>CC39*$D$95/4</f>
      </c>
      <c r="CD42" s="31">
        <f>CD39*$D$95/4</f>
      </c>
      <c r="CE42" s="31">
        <f>CE39*$D$95/4</f>
      </c>
      <c r="CF42" s="31">
        <f>CF39*$D$95/4</f>
      </c>
      <c r="CG42" s="31">
        <f>CG39*$D$95/4</f>
      </c>
      <c r="CH42" s="31">
        <f>CH39*$D$95/4</f>
      </c>
      <c r="CI42" s="31">
        <f>CI39*$D$95/4</f>
      </c>
      <c r="CJ42" s="31">
        <f>CJ39*$D$95/4</f>
      </c>
      <c r="CK42" s="31">
        <f>CK39*$D$95/4</f>
      </c>
      <c r="CL42" s="31">
        <f>CL39*$D$95/4</f>
      </c>
    </row>
    <row r="43" spans="2:90" x14ac:dyDescent="0.25">
      <c r="B43" s="33" t="s">
        <v>256</v>
      </c>
      <c r="C43" s="34" t="s">
        <v>237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6" t="s">
        <v>257</v>
      </c>
      <c r="C44" s="34" t="s">
        <v>237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258</v>
      </c>
      <c r="C45" s="34" t="s">
        <v>237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7" t="s">
        <v>94</v>
      </c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</row>
    <row r="48" spans="2:90" x14ac:dyDescent="0.25">
      <c r="B48" s="33" t="s">
        <v>253</v>
      </c>
      <c r="C48" s="34" t="s">
        <v>237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254</v>
      </c>
      <c r="C49" s="34" t="s">
        <v>237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219</v>
      </c>
      <c r="C50" s="34" t="s">
        <v>237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255</v>
      </c>
      <c r="C51" s="34" t="s">
        <v>237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K48*$D$98/4</f>
      </c>
      <c r="L51" s="31">
        <f>L48*$D$98/4</f>
      </c>
      <c r="M51" s="31">
        <f>M48*$D$98/4</f>
      </c>
      <c r="N51" s="31">
        <f>N48*$D$98/4</f>
      </c>
      <c r="O51" s="31">
        <f>O48*$D$98/4</f>
      </c>
      <c r="P51" s="31">
        <f>P48*$D$98/4</f>
      </c>
      <c r="Q51" s="31">
        <f>Q48*$D$98/4</f>
      </c>
      <c r="R51" s="31">
        <f>R48*$D$98/4</f>
      </c>
      <c r="S51" s="31">
        <f>S48*$D$98/4</f>
      </c>
      <c r="T51" s="31">
        <f>T48*$D$98/4</f>
      </c>
      <c r="U51" s="31">
        <f>U48*$D$98/4</f>
      </c>
      <c r="V51" s="31">
        <f>V48*$D$98/4</f>
      </c>
      <c r="W51" s="31">
        <f>W48*$D$98/4</f>
      </c>
      <c r="X51" s="31">
        <f>X48*$D$98/4</f>
      </c>
      <c r="Y51" s="31">
        <f>Y48*$D$98/4</f>
      </c>
      <c r="Z51" s="31">
        <f>Z48*$D$98/4</f>
      </c>
      <c r="AA51" s="31">
        <f>AA48*$D$98/4</f>
      </c>
      <c r="AB51" s="31">
        <f>AB48*$D$98/4</f>
      </c>
      <c r="AC51" s="31">
        <f>AC48*$D$98/4</f>
      </c>
      <c r="AD51" s="31">
        <f>AD48*$D$98/4</f>
      </c>
      <c r="AE51" s="31">
        <f>AE48*$D$98/4</f>
      </c>
      <c r="AF51" s="31">
        <f>AF48*$D$98/4</f>
      </c>
      <c r="AG51" s="31">
        <f>AG48*$D$98/4</f>
      </c>
      <c r="AH51" s="31">
        <f>AH48*$D$98/4</f>
      </c>
      <c r="AI51" s="31">
        <f>AI48*$D$98/4</f>
      </c>
      <c r="AJ51" s="31">
        <f>AJ48*$D$98/4</f>
      </c>
      <c r="AK51" s="31">
        <f>AK48*$D$98/4</f>
      </c>
      <c r="AL51" s="31">
        <f>AL48*$D$98/4</f>
      </c>
      <c r="AM51" s="31">
        <f>AM48*$D$98/4</f>
      </c>
      <c r="AN51" s="31">
        <f>AN48*$D$98/4</f>
      </c>
      <c r="AO51" s="31">
        <f>AO48*$D$98/4</f>
      </c>
      <c r="AP51" s="31">
        <f>AP48*$D$98/4</f>
      </c>
      <c r="AQ51" s="31">
        <f>AQ48*$D$98/4</f>
      </c>
      <c r="AR51" s="31">
        <f>AR48*$D$98/4</f>
      </c>
      <c r="AS51" s="31">
        <f>AS48*$D$98/4</f>
      </c>
      <c r="AT51" s="31">
        <f>AT48*$D$98/4</f>
      </c>
      <c r="AU51" s="31">
        <f>AU48*$D$98/4</f>
      </c>
      <c r="AV51" s="31">
        <f>AV48*$D$98/4</f>
      </c>
      <c r="AW51" s="31">
        <f>AW48*$D$98/4</f>
      </c>
      <c r="AX51" s="31">
        <f>AX48*$D$98/4</f>
      </c>
      <c r="AY51" s="31">
        <f>AY48*$D$98/4</f>
      </c>
      <c r="AZ51" s="31">
        <f>AZ48*$D$98/4</f>
      </c>
      <c r="BA51" s="31">
        <f>BA48*$D$98/4</f>
      </c>
      <c r="BB51" s="31">
        <f>BB48*$D$98/4</f>
      </c>
      <c r="BC51" s="31">
        <f>BC48*$D$98/4</f>
      </c>
      <c r="BD51" s="31">
        <f>BD48*$D$98/4</f>
      </c>
      <c r="BE51" s="31">
        <f>BE48*$D$98/4</f>
      </c>
      <c r="BF51" s="31">
        <f>BF48*$D$98/4</f>
      </c>
      <c r="BG51" s="31">
        <f>BG48*$D$98/4</f>
      </c>
      <c r="BH51" s="31">
        <f>BH48*$D$98/4</f>
      </c>
      <c r="BI51" s="31">
        <f>BI48*$D$98/4</f>
      </c>
      <c r="BJ51" s="31">
        <f>BJ48*$D$98/4</f>
      </c>
      <c r="BK51" s="31">
        <f>BK48*$D$98/4</f>
      </c>
      <c r="BL51" s="31">
        <f>BL48*$D$98/4</f>
      </c>
      <c r="BM51" s="31">
        <f>BM48*$D$98/4</f>
      </c>
      <c r="BN51" s="31">
        <f>BN48*$D$98/4</f>
      </c>
      <c r="BO51" s="31">
        <f>BO48*$D$98/4</f>
      </c>
      <c r="BP51" s="31">
        <f>BP48*$D$98/4</f>
      </c>
      <c r="BQ51" s="31">
        <f>BQ48*$D$98/4</f>
      </c>
      <c r="BR51" s="31">
        <f>BR48*$D$98/4</f>
      </c>
      <c r="BS51" s="31">
        <f>BS48*$D$98/4</f>
      </c>
      <c r="BT51" s="31">
        <f>BT48*$D$98/4</f>
      </c>
      <c r="BU51" s="31">
        <f>BU48*$D$98/4</f>
      </c>
      <c r="BV51" s="31">
        <f>BV48*$D$98/4</f>
      </c>
      <c r="BW51" s="31">
        <f>BW48*$D$98/4</f>
      </c>
      <c r="BX51" s="31">
        <f>BX48*$D$98/4</f>
      </c>
      <c r="BY51" s="31">
        <f>BY48*$D$98/4</f>
      </c>
      <c r="BZ51" s="31">
        <f>BZ48*$D$98/4</f>
      </c>
      <c r="CA51" s="31">
        <f>CA48*$D$98/4</f>
      </c>
      <c r="CB51" s="31">
        <f>CB48*$D$98/4</f>
      </c>
      <c r="CC51" s="31">
        <f>CC48*$D$98/4</f>
      </c>
      <c r="CD51" s="31">
        <f>CD48*$D$98/4</f>
      </c>
      <c r="CE51" s="31">
        <f>CE48*$D$98/4</f>
      </c>
      <c r="CF51" s="31">
        <f>CF48*$D$98/4</f>
      </c>
      <c r="CG51" s="31">
        <f>CG48*$D$98/4</f>
      </c>
      <c r="CH51" s="31">
        <f>CH48*$D$98/4</f>
      </c>
      <c r="CI51" s="31">
        <f>CI48*$D$98/4</f>
      </c>
      <c r="CJ51" s="31">
        <f>CJ48*$D$98/4</f>
      </c>
      <c r="CK51" s="31">
        <f>CK48*$D$98/4</f>
      </c>
      <c r="CL51" s="31">
        <f>CL48*$D$98/4</f>
      </c>
    </row>
    <row r="52" spans="2:90" x14ac:dyDescent="0.25">
      <c r="B52" s="33" t="s">
        <v>256</v>
      </c>
      <c r="C52" s="34" t="s">
        <v>237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6" t="s">
        <v>257</v>
      </c>
      <c r="C53" s="34" t="s">
        <v>237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258</v>
      </c>
      <c r="C54" s="34" t="s">
        <v>237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259</v>
      </c>
      <c r="F55" s="49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7" t="s">
        <v>95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</row>
    <row r="58" spans="2:90" x14ac:dyDescent="0.25">
      <c r="B58" s="33" t="s">
        <v>253</v>
      </c>
      <c r="C58" s="34" t="s">
        <v>237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254</v>
      </c>
      <c r="C59" s="34" t="s">
        <v>237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219</v>
      </c>
      <c r="C60" s="34" t="s">
        <v>237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255</v>
      </c>
      <c r="C61" s="34" t="s">
        <v>237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K58*$D$101/4</f>
      </c>
      <c r="L61" s="31">
        <f>L58*$D$101/4</f>
      </c>
      <c r="M61" s="31">
        <f>M58*$D$101/4</f>
      </c>
      <c r="N61" s="31">
        <f>N58*$D$101/4</f>
      </c>
      <c r="O61" s="31">
        <f>O58*$D$101/4</f>
      </c>
      <c r="P61" s="31">
        <f>P58*$D$101/4</f>
      </c>
      <c r="Q61" s="31">
        <f>Q58*$D$101/4</f>
      </c>
      <c r="R61" s="31">
        <f>R58*$D$101/4</f>
      </c>
      <c r="S61" s="31">
        <f>S58*$D$101/4</f>
      </c>
      <c r="T61" s="31">
        <f>T58*$D$101/4</f>
      </c>
      <c r="U61" s="31">
        <f>U58*$D$101/4</f>
      </c>
      <c r="V61" s="31">
        <f>V58*$D$101/4</f>
      </c>
      <c r="W61" s="31">
        <f>W58*$D$101/4</f>
      </c>
      <c r="X61" s="31">
        <f>X58*$D$101/4</f>
      </c>
      <c r="Y61" s="31">
        <f>Y58*$D$101/4</f>
      </c>
      <c r="Z61" s="31">
        <f>Z58*$D$101/4</f>
      </c>
      <c r="AA61" s="31">
        <f>AA58*$D$101/4</f>
      </c>
      <c r="AB61" s="31">
        <f>AB58*$D$101/4</f>
      </c>
      <c r="AC61" s="31">
        <f>AC58*$D$101/4</f>
      </c>
      <c r="AD61" s="31">
        <f>AD58*$D$101/4</f>
      </c>
      <c r="AE61" s="31">
        <f>AE58*$D$101/4</f>
      </c>
      <c r="AF61" s="31">
        <f>AF58*$D$101/4</f>
      </c>
      <c r="AG61" s="31">
        <f>AG58*$D$101/4</f>
      </c>
      <c r="AH61" s="31">
        <f>AH58*$D$101/4</f>
      </c>
      <c r="AI61" s="31">
        <f>AI58*$D$101/4</f>
      </c>
      <c r="AJ61" s="31">
        <f>AJ58*$D$101/4</f>
      </c>
      <c r="AK61" s="31">
        <f>AK58*$D$101/4</f>
      </c>
      <c r="AL61" s="31">
        <f>AL58*$D$101/4</f>
      </c>
      <c r="AM61" s="31">
        <f>AM58*$D$101/4</f>
      </c>
      <c r="AN61" s="31">
        <f>AN58*$D$101/4</f>
      </c>
      <c r="AO61" s="31">
        <f>AO58*$D$101/4</f>
      </c>
      <c r="AP61" s="31">
        <f>AP58*$D$101/4</f>
      </c>
      <c r="AQ61" s="31">
        <f>AQ58*$D$101/4</f>
      </c>
      <c r="AR61" s="31">
        <f>AR58*$D$101/4</f>
      </c>
      <c r="AS61" s="31">
        <f>AS58*$D$101/4</f>
      </c>
      <c r="AT61" s="31">
        <f>AT58*$D$101/4</f>
      </c>
      <c r="AU61" s="31">
        <f>AU58*$D$101/4</f>
      </c>
      <c r="AV61" s="31">
        <f>AV58*$D$101/4</f>
      </c>
      <c r="AW61" s="31">
        <f>AW58*$D$101/4</f>
      </c>
      <c r="AX61" s="31">
        <f>AX58*$D$101/4</f>
      </c>
      <c r="AY61" s="31">
        <f>AY58*$D$101/4</f>
      </c>
      <c r="AZ61" s="31">
        <f>AZ58*$D$101/4</f>
      </c>
      <c r="BA61" s="31">
        <f>BA58*$D$101/4</f>
      </c>
      <c r="BB61" s="31">
        <f>BB58*$D$101/4</f>
      </c>
      <c r="BC61" s="31">
        <f>BC58*$D$101/4</f>
      </c>
      <c r="BD61" s="31">
        <f>BD58*$D$101/4</f>
      </c>
      <c r="BE61" s="31">
        <f>BE58*$D$101/4</f>
      </c>
      <c r="BF61" s="31">
        <f>BF58*$D$101/4</f>
      </c>
      <c r="BG61" s="31">
        <f>BG58*$D$101/4</f>
      </c>
      <c r="BH61" s="31">
        <f>BH58*$D$101/4</f>
      </c>
      <c r="BI61" s="31">
        <f>BI58*$D$101/4</f>
      </c>
      <c r="BJ61" s="31">
        <f>BJ58*$D$101/4</f>
      </c>
      <c r="BK61" s="31">
        <f>BK58*$D$101/4</f>
      </c>
      <c r="BL61" s="31">
        <f>BL58*$D$101/4</f>
      </c>
      <c r="BM61" s="31">
        <f>BM58*$D$101/4</f>
      </c>
      <c r="BN61" s="31">
        <f>BN58*$D$101/4</f>
      </c>
      <c r="BO61" s="31">
        <f>BO58*$D$101/4</f>
      </c>
      <c r="BP61" s="31">
        <f>BP58*$D$101/4</f>
      </c>
      <c r="BQ61" s="31">
        <f>BQ58*$D$101/4</f>
      </c>
      <c r="BR61" s="31">
        <f>BR58*$D$101/4</f>
      </c>
      <c r="BS61" s="31">
        <f>BS58*$D$101/4</f>
      </c>
      <c r="BT61" s="31">
        <f>BT58*$D$101/4</f>
      </c>
      <c r="BU61" s="31">
        <f>BU58*$D$101/4</f>
      </c>
      <c r="BV61" s="31">
        <f>BV58*$D$101/4</f>
      </c>
      <c r="BW61" s="31">
        <f>BW58*$D$101/4</f>
      </c>
      <c r="BX61" s="31">
        <f>BX58*$D$101/4</f>
      </c>
      <c r="BY61" s="31">
        <f>BY58*$D$101/4</f>
      </c>
      <c r="BZ61" s="31">
        <f>BZ58*$D$101/4</f>
      </c>
      <c r="CA61" s="31">
        <f>CA58*$D$101/4</f>
      </c>
      <c r="CB61" s="31">
        <f>CB58*$D$101/4</f>
      </c>
      <c r="CC61" s="31">
        <f>CC58*$D$101/4</f>
      </c>
      <c r="CD61" s="31">
        <f>CD58*$D$101/4</f>
      </c>
      <c r="CE61" s="31">
        <f>CE58*$D$101/4</f>
      </c>
      <c r="CF61" s="31">
        <f>CF58*$D$101/4</f>
      </c>
      <c r="CG61" s="31">
        <f>CG58*$D$101/4</f>
      </c>
      <c r="CH61" s="31">
        <f>CH58*$D$101/4</f>
      </c>
      <c r="CI61" s="31">
        <f>CI58*$D$101/4</f>
      </c>
      <c r="CJ61" s="31">
        <f>CJ58*$D$101/4</f>
      </c>
      <c r="CK61" s="31">
        <f>CK58*$D$101/4</f>
      </c>
      <c r="CL61" s="31">
        <f>CL58*$D$101/4</f>
      </c>
    </row>
    <row r="62" spans="2:90" x14ac:dyDescent="0.25">
      <c r="B62" s="33" t="s">
        <v>256</v>
      </c>
      <c r="C62" s="34" t="s">
        <v>237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6" t="s">
        <v>257</v>
      </c>
      <c r="C63" s="34" t="s">
        <v>237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258</v>
      </c>
      <c r="C64" s="34" t="s">
        <v>237</v>
      </c>
      <c r="D64" s="31">
        <f>CL63</f>
      </c>
      <c r="F64" s="30">
        <f>IF(ABS(D64)&lt;1,"완전상환 확인 (OK)","경고: 미상환 잔액")</f>
      </c>
      <c r="H64" s="50" t="s">
        <v>260</v>
      </c>
    </row>
    <row r="66" spans="2:91" x14ac:dyDescent="0.25">
      <c r="B66" s="47" t="s">
        <v>96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</row>
    <row r="67" spans="2:90" x14ac:dyDescent="0.25">
      <c r="B67" s="33" t="s">
        <v>253</v>
      </c>
      <c r="C67" s="34" t="s">
        <v>237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254</v>
      </c>
      <c r="C68" s="34" t="s">
        <v>237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219</v>
      </c>
      <c r="C69" s="34" t="s">
        <v>237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255</v>
      </c>
      <c r="C70" s="34" t="s">
        <v>237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K67*$D$104/4</f>
      </c>
      <c r="L70" s="31">
        <f>L67*$D$104/4</f>
      </c>
      <c r="M70" s="31">
        <f>M67*$D$104/4</f>
      </c>
      <c r="N70" s="31">
        <f>N67*$D$104/4</f>
      </c>
      <c r="O70" s="31">
        <f>O67*$D$104/4</f>
      </c>
      <c r="P70" s="31">
        <f>P67*$D$104/4</f>
      </c>
      <c r="Q70" s="31">
        <f>Q67*$D$104/4</f>
      </c>
      <c r="R70" s="31">
        <f>R67*$D$104/4</f>
      </c>
      <c r="S70" s="31">
        <f>S67*$D$104/4</f>
      </c>
      <c r="T70" s="31">
        <f>T67*$D$104/4</f>
      </c>
      <c r="U70" s="31">
        <f>U67*$D$104/4</f>
      </c>
      <c r="V70" s="31">
        <f>V67*$D$104/4</f>
      </c>
      <c r="W70" s="31">
        <f>W67*$D$104/4</f>
      </c>
      <c r="X70" s="31">
        <f>X67*$D$104/4</f>
      </c>
      <c r="Y70" s="31">
        <f>Y67*$D$104/4</f>
      </c>
      <c r="Z70" s="31">
        <f>Z67*$D$104/4</f>
      </c>
      <c r="AA70" s="31">
        <f>AA67*$D$104/4</f>
      </c>
      <c r="AB70" s="31">
        <f>AB67*$D$104/4</f>
      </c>
      <c r="AC70" s="31">
        <f>AC67*$D$104/4</f>
      </c>
      <c r="AD70" s="31">
        <f>AD67*$D$104/4</f>
      </c>
      <c r="AE70" s="31">
        <f>AE67*$D$104/4</f>
      </c>
      <c r="AF70" s="31">
        <f>AF67*$D$104/4</f>
      </c>
      <c r="AG70" s="31">
        <f>AG67*$D$104/4</f>
      </c>
      <c r="AH70" s="31">
        <f>AH67*$D$104/4</f>
      </c>
      <c r="AI70" s="31">
        <f>AI67*$D$104/4</f>
      </c>
      <c r="AJ70" s="31">
        <f>AJ67*$D$104/4</f>
      </c>
      <c r="AK70" s="31">
        <f>AK67*$D$104/4</f>
      </c>
      <c r="AL70" s="31">
        <f>AL67*$D$104/4</f>
      </c>
      <c r="AM70" s="31">
        <f>AM67*$D$104/4</f>
      </c>
      <c r="AN70" s="31">
        <f>AN67*$D$104/4</f>
      </c>
      <c r="AO70" s="31">
        <f>AO67*$D$104/4</f>
      </c>
      <c r="AP70" s="31">
        <f>AP67*$D$104/4</f>
      </c>
      <c r="AQ70" s="31">
        <f>AQ67*$D$104/4</f>
      </c>
      <c r="AR70" s="31">
        <f>AR67*$D$104/4</f>
      </c>
      <c r="AS70" s="31">
        <f>AS67*$D$104/4</f>
      </c>
      <c r="AT70" s="31">
        <f>AT67*$D$104/4</f>
      </c>
      <c r="AU70" s="31">
        <f>AU67*$D$104/4</f>
      </c>
      <c r="AV70" s="31">
        <f>AV67*$D$104/4</f>
      </c>
      <c r="AW70" s="31">
        <f>AW67*$D$104/4</f>
      </c>
      <c r="AX70" s="31">
        <f>AX67*$D$104/4</f>
      </c>
      <c r="AY70" s="31">
        <f>AY67*$D$104/4</f>
      </c>
      <c r="AZ70" s="31">
        <f>AZ67*$D$104/4</f>
      </c>
      <c r="BA70" s="31">
        <f>BA67*$D$104/4</f>
      </c>
      <c r="BB70" s="31">
        <f>BB67*$D$104/4</f>
      </c>
      <c r="BC70" s="31">
        <f>BC67*$D$104/4</f>
      </c>
      <c r="BD70" s="31">
        <f>BD67*$D$104/4</f>
      </c>
      <c r="BE70" s="31">
        <f>BE67*$D$104/4</f>
      </c>
      <c r="BF70" s="31">
        <f>BF67*$D$104/4</f>
      </c>
      <c r="BG70" s="31">
        <f>BG67*$D$104/4</f>
      </c>
      <c r="BH70" s="31">
        <f>BH67*$D$104/4</f>
      </c>
      <c r="BI70" s="31">
        <f>BI67*$D$104/4</f>
      </c>
      <c r="BJ70" s="31">
        <f>BJ67*$D$104/4</f>
      </c>
      <c r="BK70" s="31">
        <f>BK67*$D$104/4</f>
      </c>
      <c r="BL70" s="31">
        <f>BL67*$D$104/4</f>
      </c>
      <c r="BM70" s="31">
        <f>BM67*$D$104/4</f>
      </c>
      <c r="BN70" s="31">
        <f>BN67*$D$104/4</f>
      </c>
      <c r="BO70" s="31">
        <f>BO67*$D$104/4</f>
      </c>
      <c r="BP70" s="31">
        <f>BP67*$D$104/4</f>
      </c>
      <c r="BQ70" s="31">
        <f>BQ67*$D$104/4</f>
      </c>
      <c r="BR70" s="31">
        <f>BR67*$D$104/4</f>
      </c>
      <c r="BS70" s="31">
        <f>BS67*$D$104/4</f>
      </c>
      <c r="BT70" s="31">
        <f>BT67*$D$104/4</f>
      </c>
      <c r="BU70" s="31">
        <f>BU67*$D$104/4</f>
      </c>
      <c r="BV70" s="31">
        <f>BV67*$D$104/4</f>
      </c>
      <c r="BW70" s="31">
        <f>BW67*$D$104/4</f>
      </c>
      <c r="BX70" s="31">
        <f>BX67*$D$104/4</f>
      </c>
      <c r="BY70" s="31">
        <f>BY67*$D$104/4</f>
      </c>
      <c r="BZ70" s="31">
        <f>BZ67*$D$104/4</f>
      </c>
      <c r="CA70" s="31">
        <f>CA67*$D$104/4</f>
      </c>
      <c r="CB70" s="31">
        <f>CB67*$D$104/4</f>
      </c>
      <c r="CC70" s="31">
        <f>CC67*$D$104/4</f>
      </c>
      <c r="CD70" s="31">
        <f>CD67*$D$104/4</f>
      </c>
      <c r="CE70" s="31">
        <f>CE67*$D$104/4</f>
      </c>
      <c r="CF70" s="31">
        <f>CF67*$D$104/4</f>
      </c>
      <c r="CG70" s="31">
        <f>CG67*$D$104/4</f>
      </c>
      <c r="CH70" s="31">
        <f>CH67*$D$104/4</f>
      </c>
      <c r="CI70" s="31">
        <f>CI67*$D$104/4</f>
      </c>
      <c r="CJ70" s="31">
        <f>CJ67*$D$104/4</f>
      </c>
      <c r="CK70" s="31">
        <f>CK67*$D$104/4</f>
      </c>
      <c r="CL70" s="31">
        <f>CL67*$D$104/4</f>
      </c>
    </row>
    <row r="71" spans="2:90" x14ac:dyDescent="0.25">
      <c r="B71" s="33" t="s">
        <v>256</v>
      </c>
      <c r="C71" s="34" t="s">
        <v>237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6" t="s">
        <v>257</v>
      </c>
      <c r="C72" s="34" t="s">
        <v>237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258</v>
      </c>
      <c r="C73" s="34" t="s">
        <v>237</v>
      </c>
      <c r="D73" s="31">
        <f>CL72</f>
      </c>
      <c r="F73" s="30">
        <f>IF(ABS(D73)&lt;1,"완전상환 확인 (OK)","경고: 미상환 잔액")</f>
      </c>
      <c r="H73" s="50" t="s">
        <v>260</v>
      </c>
    </row>
    <row r="75" spans="2:91" x14ac:dyDescent="0.25">
      <c r="B75" s="9" t="s">
        <v>261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253</v>
      </c>
      <c r="C76" s="34" t="s">
        <v>237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262</v>
      </c>
      <c r="C77" s="34" t="s">
        <v>237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256</v>
      </c>
      <c r="C78" s="34" t="s">
        <v>237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7" t="s">
        <v>263</v>
      </c>
      <c r="C79" s="51" t="s">
        <v>237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8"/>
    </row>
    <row r="80" spans="2:90" x14ac:dyDescent="0.25">
      <c r="B80" s="33" t="s">
        <v>257</v>
      </c>
      <c r="C80" s="34" t="s">
        <v>237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264</v>
      </c>
      <c r="C82" s="34" t="s">
        <v>237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265</v>
      </c>
      <c r="C83" s="34" t="s">
        <v>237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  <row r="86" spans="2:91" x14ac:dyDescent="0.25">
      <c r="B86" s="9" t="s">
        <v>229</v>
      </c>
      <c r="C86" s="10"/>
      <c r="D86" s="43" t="s">
        <v>230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</row>
    <row r="87" spans="2:2" x14ac:dyDescent="0.25">
      <c r="B87" s="37" t="s">
        <v>231</v>
      </c>
    </row>
    <row r="88" spans="2:4" x14ac:dyDescent="0.25">
      <c r="B88" s="33" t="s">
        <v>232</v>
      </c>
      <c r="C88" s="44" t="s">
        <v>233</v>
      </c>
      <c r="D88" s="45">
        <f>'입력값'!C8</f>
      </c>
    </row>
    <row r="89" spans="2:4" x14ac:dyDescent="0.25">
      <c r="B89" s="33" t="s">
        <v>266</v>
      </c>
      <c r="C89" s="44" t="s">
        <v>267</v>
      </c>
      <c r="D89" s="45">
        <f>'입력값'!C9</f>
      </c>
    </row>
    <row r="90" spans="2:4" x14ac:dyDescent="0.25">
      <c r="B90" s="33" t="s">
        <v>268</v>
      </c>
      <c r="C90" s="44" t="s">
        <v>269</v>
      </c>
      <c r="D90" s="45">
        <f>'입력값'!C46</f>
      </c>
    </row>
    <row r="91" spans="2:4" x14ac:dyDescent="0.25">
      <c r="B91" s="33" t="s">
        <v>270</v>
      </c>
      <c r="C91" s="44" t="s">
        <v>271</v>
      </c>
      <c r="D91" s="52">
        <f>'입력값'!D46</f>
      </c>
    </row>
    <row r="92" spans="2:4" x14ac:dyDescent="0.25">
      <c r="B92" s="33" t="s">
        <v>272</v>
      </c>
      <c r="C92" s="44" t="s">
        <v>273</v>
      </c>
      <c r="D92" s="52">
        <f>'입력값'!E46</f>
      </c>
    </row>
    <row r="93" spans="2:4" x14ac:dyDescent="0.25">
      <c r="B93" s="33" t="s">
        <v>274</v>
      </c>
      <c r="C93" s="44" t="s">
        <v>275</v>
      </c>
      <c r="D93" s="45">
        <f>'입력값'!C47</f>
      </c>
    </row>
    <row r="94" spans="2:4" x14ac:dyDescent="0.25">
      <c r="B94" s="33" t="s">
        <v>276</v>
      </c>
      <c r="C94" s="44" t="s">
        <v>277</v>
      </c>
      <c r="D94" s="52">
        <f>'입력값'!D47</f>
      </c>
    </row>
    <row r="95" spans="2:4" x14ac:dyDescent="0.25">
      <c r="B95" s="33" t="s">
        <v>278</v>
      </c>
      <c r="C95" s="44" t="s">
        <v>279</v>
      </c>
      <c r="D95" s="52">
        <f>'입력값'!E47</f>
      </c>
    </row>
    <row r="96" spans="2:4" x14ac:dyDescent="0.25">
      <c r="B96" s="33" t="s">
        <v>280</v>
      </c>
      <c r="C96" s="44" t="s">
        <v>281</v>
      </c>
      <c r="D96" s="45">
        <f>'입력값'!C48</f>
      </c>
    </row>
    <row r="97" spans="2:4" x14ac:dyDescent="0.25">
      <c r="B97" s="33" t="s">
        <v>282</v>
      </c>
      <c r="C97" s="44" t="s">
        <v>283</v>
      </c>
      <c r="D97" s="52">
        <f>'입력값'!D48</f>
      </c>
    </row>
    <row r="98" spans="2:4" x14ac:dyDescent="0.25">
      <c r="B98" s="33" t="s">
        <v>284</v>
      </c>
      <c r="C98" s="44" t="s">
        <v>285</v>
      </c>
      <c r="D98" s="52">
        <f>'입력값'!E48</f>
      </c>
    </row>
    <row r="99" spans="2:4" x14ac:dyDescent="0.25">
      <c r="B99" s="33" t="s">
        <v>286</v>
      </c>
      <c r="C99" s="44" t="s">
        <v>287</v>
      </c>
      <c r="D99" s="45">
        <f>'입력값'!C49</f>
      </c>
    </row>
    <row r="100" spans="2:4" x14ac:dyDescent="0.25">
      <c r="B100" s="33" t="s">
        <v>288</v>
      </c>
      <c r="C100" s="44" t="s">
        <v>289</v>
      </c>
      <c r="D100" s="52">
        <f>'입력값'!D49</f>
      </c>
    </row>
    <row r="101" spans="2:4" x14ac:dyDescent="0.25">
      <c r="B101" s="33" t="s">
        <v>290</v>
      </c>
      <c r="C101" s="44" t="s">
        <v>291</v>
      </c>
      <c r="D101" s="52">
        <f>'입력값'!E49</f>
      </c>
    </row>
    <row r="102" spans="2:4" x14ac:dyDescent="0.25">
      <c r="B102" s="33" t="s">
        <v>292</v>
      </c>
      <c r="C102" s="44" t="s">
        <v>293</v>
      </c>
      <c r="D102" s="45">
        <f>'입력값'!C50</f>
      </c>
    </row>
    <row r="103" spans="2:4" x14ac:dyDescent="0.25">
      <c r="B103" s="33" t="s">
        <v>294</v>
      </c>
      <c r="C103" s="44" t="s">
        <v>295</v>
      </c>
      <c r="D103" s="52">
        <f>'입력값'!D50</f>
      </c>
    </row>
    <row r="104" spans="2:4" x14ac:dyDescent="0.25">
      <c r="B104" s="33" t="s">
        <v>296</v>
      </c>
      <c r="C104" s="44" t="s">
        <v>297</v>
      </c>
      <c r="D104" s="52">
        <f>'입력값'!E50</f>
      </c>
    </row>
    <row r="105" spans="2:10" x14ac:dyDescent="0.25">
      <c r="B105" s="33" t="s">
        <v>298</v>
      </c>
      <c r="C105" s="44" t="s">
        <v>299</v>
      </c>
      <c r="E105" s="53">
        <f>'입력값'!E57</f>
      </c>
      <c r="F105" s="53">
        <f>'입력값'!F57</f>
      </c>
      <c r="G105" s="53">
        <f>'입력값'!G57</f>
      </c>
      <c r="H105" s="53">
        <f>'입력값'!H57</f>
      </c>
      <c r="I105" s="53">
        <f>'입력값'!I57</f>
      </c>
      <c r="J105" s="53">
        <f>'입력값'!J57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300</v>
      </c>
    </row>
    <row r="4" spans="2:91" x14ac:dyDescent="0.25">
      <c r="B4" s="9" t="s">
        <v>301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302</v>
      </c>
      <c r="C8" s="34" t="s">
        <v>303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304</v>
      </c>
      <c r="C9" s="34" t="s">
        <v>305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306</v>
      </c>
      <c r="C11" s="34" t="s">
        <v>307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308</v>
      </c>
      <c r="C13" s="34" t="s">
        <v>309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310</v>
      </c>
      <c r="C14" s="34" t="s">
        <v>237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311</v>
      </c>
      <c r="C16" s="34" t="s">
        <v>309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312</v>
      </c>
      <c r="C17" s="51" t="s">
        <v>237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313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314</v>
      </c>
      <c r="C21" s="34" t="s">
        <v>237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315</v>
      </c>
      <c r="C22" s="51" t="s">
        <v>237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316</v>
      </c>
    </row>
    <row r="26" spans="2:91" x14ac:dyDescent="0.25">
      <c r="B26" s="9" t="s">
        <v>229</v>
      </c>
      <c r="C26" s="10"/>
      <c r="D26" s="43" t="s">
        <v>230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231</v>
      </c>
    </row>
    <row r="28" spans="2:4" x14ac:dyDescent="0.25">
      <c r="B28" s="33" t="s">
        <v>317</v>
      </c>
      <c r="C28" s="44" t="s">
        <v>318</v>
      </c>
      <c r="D28" s="58">
        <f>'입력값'!C7</f>
      </c>
    </row>
    <row r="29" spans="2:4" x14ac:dyDescent="0.25">
      <c r="B29" s="33" t="s">
        <v>319</v>
      </c>
      <c r="C29" s="44" t="s">
        <v>320</v>
      </c>
      <c r="D29" s="59">
        <f>'입력값'!C12</f>
      </c>
    </row>
    <row r="30" spans="2:4" x14ac:dyDescent="0.25">
      <c r="B30" s="33" t="s">
        <v>321</v>
      </c>
      <c r="C30" s="44" t="s">
        <v>322</v>
      </c>
      <c r="D30" s="59">
        <f>'입력값'!C13</f>
      </c>
    </row>
    <row r="31" spans="2:4" x14ac:dyDescent="0.25">
      <c r="B31" s="33" t="s">
        <v>323</v>
      </c>
      <c r="C31" s="44" t="s">
        <v>324</v>
      </c>
      <c r="D31" s="60">
        <f>'입력값'!C14</f>
      </c>
    </row>
    <row r="32" spans="2:4" x14ac:dyDescent="0.25">
      <c r="B32" s="33" t="s">
        <v>325</v>
      </c>
      <c r="C32" s="44" t="s">
        <v>326</v>
      </c>
      <c r="D32" s="59">
        <f>'입력값'!C41</f>
      </c>
    </row>
    <row r="33" spans="2:4" x14ac:dyDescent="0.25">
      <c r="B33" s="33" t="s">
        <v>327</v>
      </c>
      <c r="C33" s="44" t="s">
        <v>328</v>
      </c>
      <c r="D33" s="61">
        <f>'입력값'!D41</f>
      </c>
    </row>
    <row r="34" spans="2:4" x14ac:dyDescent="0.25">
      <c r="B34" s="33" t="s">
        <v>329</v>
      </c>
      <c r="C34" s="44" t="s">
        <v>330</v>
      </c>
      <c r="D34" s="59">
        <f>'입력값'!E41</f>
      </c>
    </row>
    <row r="35" spans="2:4" x14ac:dyDescent="0.25">
      <c r="B35" s="33" t="s">
        <v>331</v>
      </c>
      <c r="C35" s="44" t="s">
        <v>332</v>
      </c>
      <c r="D35" s="62">
        <f>'입력값'!F41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333</v>
      </c>
    </row>
    <row r="4" spans="2:91" x14ac:dyDescent="0.25">
      <c r="B4" s="9" t="s">
        <v>334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6" t="s">
        <v>335</v>
      </c>
    </row>
    <row r="9" spans="2:3" x14ac:dyDescent="0.25">
      <c r="B9" s="33" t="s">
        <v>336</v>
      </c>
      <c r="C9" s="34" t="s">
        <v>237</v>
      </c>
    </row>
    <row r="10" spans="2:3" x14ac:dyDescent="0.25">
      <c r="B10" s="33" t="s">
        <v>337</v>
      </c>
      <c r="C10" s="34" t="s">
        <v>237</v>
      </c>
    </row>
    <row r="11" spans="2:3" x14ac:dyDescent="0.25">
      <c r="B11" s="33" t="s">
        <v>338</v>
      </c>
      <c r="C11" s="34" t="s">
        <v>237</v>
      </c>
    </row>
    <row r="12" spans="2:3" x14ac:dyDescent="0.25">
      <c r="B12" s="33" t="s">
        <v>339</v>
      </c>
      <c r="C12" s="34" t="s">
        <v>237</v>
      </c>
    </row>
    <row r="13" spans="2:3" x14ac:dyDescent="0.25">
      <c r="B13" s="33" t="s">
        <v>340</v>
      </c>
      <c r="C13" s="34" t="s">
        <v>237</v>
      </c>
    </row>
    <row r="14" spans="2:3" x14ac:dyDescent="0.25">
      <c r="B14" s="33" t="s">
        <v>341</v>
      </c>
      <c r="C14" s="34" t="s">
        <v>237</v>
      </c>
    </row>
    <row r="15" spans="2:3" x14ac:dyDescent="0.25">
      <c r="B15" s="33" t="s">
        <v>342</v>
      </c>
      <c r="C15" s="34" t="s">
        <v>237</v>
      </c>
    </row>
    <row r="16" spans="2:3" x14ac:dyDescent="0.25">
      <c r="B16" s="33" t="s">
        <v>343</v>
      </c>
      <c r="C16" s="34" t="s">
        <v>237</v>
      </c>
    </row>
    <row r="17" spans="2:3" x14ac:dyDescent="0.25">
      <c r="B17" s="33" t="s">
        <v>344</v>
      </c>
      <c r="C17" s="34" t="s">
        <v>237</v>
      </c>
    </row>
    <row r="18" spans="2:3" x14ac:dyDescent="0.25">
      <c r="B18" s="33" t="s">
        <v>345</v>
      </c>
      <c r="C18" s="34" t="s">
        <v>237</v>
      </c>
    </row>
    <row r="19" spans="2:3" x14ac:dyDescent="0.25">
      <c r="B19" s="33" t="s">
        <v>346</v>
      </c>
      <c r="C19" s="34" t="s">
        <v>237</v>
      </c>
    </row>
    <row r="20" spans="2:3" x14ac:dyDescent="0.25">
      <c r="B20" s="33" t="s">
        <v>347</v>
      </c>
      <c r="C20" s="34" t="s">
        <v>237</v>
      </c>
    </row>
    <row r="22" spans="2:90" x14ac:dyDescent="0.25">
      <c r="B22" s="33" t="s">
        <v>348</v>
      </c>
      <c r="C22" s="34" t="s">
        <v>237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349</v>
      </c>
      <c r="C23" s="34" t="s">
        <v>237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K24*$D$33/100</f>
      </c>
      <c r="L23" s="31">
        <f>L24*$D$33/100</f>
      </c>
      <c r="M23" s="31">
        <f>M24*$D$33/100</f>
      </c>
      <c r="N23" s="31">
        <f>N24*$D$33/100</f>
      </c>
      <c r="O23" s="31">
        <f>O24*$D$33/100</f>
      </c>
      <c r="P23" s="31">
        <f>P24*$D$33/100</f>
      </c>
      <c r="Q23" s="31">
        <f>Q24*$D$33/100</f>
      </c>
      <c r="R23" s="31">
        <f>R24*$D$33/100</f>
      </c>
      <c r="S23" s="31">
        <f>S24*$D$33/100</f>
      </c>
      <c r="T23" s="31">
        <f>T24*$D$33/100</f>
      </c>
      <c r="U23" s="31">
        <f>U24*$D$33/100</f>
      </c>
      <c r="V23" s="31">
        <f>V24*$D$33/100</f>
      </c>
      <c r="W23" s="31">
        <f>W24*$D$33/100</f>
      </c>
      <c r="X23" s="31">
        <f>X24*$D$33/100</f>
      </c>
      <c r="Y23" s="31">
        <f>Y24*$D$33/100</f>
      </c>
      <c r="Z23" s="31">
        <f>Z24*$D$33/100</f>
      </c>
      <c r="AA23" s="31">
        <f>AA24*$D$33/100</f>
      </c>
      <c r="AB23" s="31">
        <f>AB24*$D$33/100</f>
      </c>
      <c r="AC23" s="31">
        <f>AC24*$D$33/100</f>
      </c>
      <c r="AD23" s="31">
        <f>AD24*$D$33/100</f>
      </c>
      <c r="AE23" s="31">
        <f>AE24*$D$33/100</f>
      </c>
      <c r="AF23" s="31">
        <f>AF24*$D$33/100</f>
      </c>
      <c r="AG23" s="31">
        <f>AG24*$D$33/100</f>
      </c>
      <c r="AH23" s="31">
        <f>AH24*$D$33/100</f>
      </c>
      <c r="AI23" s="31">
        <f>AI24*$D$33/100</f>
      </c>
      <c r="AJ23" s="31">
        <f>AJ24*$D$33/100</f>
      </c>
      <c r="AK23" s="31">
        <f>AK24*$D$33/100</f>
      </c>
      <c r="AL23" s="31">
        <f>AL24*$D$33/100</f>
      </c>
      <c r="AM23" s="31">
        <f>AM24*$D$33/100</f>
      </c>
      <c r="AN23" s="31">
        <f>AN24*$D$33/100</f>
      </c>
      <c r="AO23" s="31">
        <f>AO24*$D$33/100</f>
      </c>
      <c r="AP23" s="31">
        <f>AP24*$D$33/100</f>
      </c>
      <c r="AQ23" s="31">
        <f>AQ24*$D$33/100</f>
      </c>
      <c r="AR23" s="31">
        <f>AR24*$D$33/100</f>
      </c>
      <c r="AS23" s="31">
        <f>AS24*$D$33/100</f>
      </c>
      <c r="AT23" s="31">
        <f>AT24*$D$33/100</f>
      </c>
      <c r="AU23" s="31">
        <f>AU24*$D$33/100</f>
      </c>
      <c r="AV23" s="31">
        <f>AV24*$D$33/100</f>
      </c>
      <c r="AW23" s="31">
        <f>AW24*$D$33/100</f>
      </c>
      <c r="AX23" s="31">
        <f>AX24*$D$33/100</f>
      </c>
      <c r="AY23" s="31">
        <f>AY24*$D$33/100</f>
      </c>
      <c r="AZ23" s="31">
        <f>AZ24*$D$33/100</f>
      </c>
      <c r="BA23" s="31">
        <f>BA24*$D$33/100</f>
      </c>
      <c r="BB23" s="31">
        <f>BB24*$D$33/100</f>
      </c>
      <c r="BC23" s="31">
        <f>BC24*$D$33/100</f>
      </c>
      <c r="BD23" s="31">
        <f>BD24*$D$33/100</f>
      </c>
      <c r="BE23" s="31">
        <f>BE24*$D$33/100</f>
      </c>
      <c r="BF23" s="31">
        <f>BF24*$D$33/100</f>
      </c>
      <c r="BG23" s="31">
        <f>BG24*$D$33/100</f>
      </c>
      <c r="BH23" s="31">
        <f>BH24*$D$33/100</f>
      </c>
      <c r="BI23" s="31">
        <f>BI24*$D$33/100</f>
      </c>
      <c r="BJ23" s="31">
        <f>BJ24*$D$33/100</f>
      </c>
      <c r="BK23" s="31">
        <f>BK24*$D$33/100</f>
      </c>
      <c r="BL23" s="31">
        <f>BL24*$D$33/100</f>
      </c>
      <c r="BM23" s="31">
        <f>BM24*$D$33/100</f>
      </c>
      <c r="BN23" s="31">
        <f>BN24*$D$33/100</f>
      </c>
      <c r="BO23" s="31">
        <f>BO24*$D$33/100</f>
      </c>
      <c r="BP23" s="31">
        <f>BP24*$D$33/100</f>
      </c>
      <c r="BQ23" s="31">
        <f>BQ24*$D$33/100</f>
      </c>
      <c r="BR23" s="31">
        <f>BR24*$D$33/100</f>
      </c>
      <c r="BS23" s="31">
        <f>BS24*$D$33/100</f>
      </c>
      <c r="BT23" s="31">
        <f>BT24*$D$33/100</f>
      </c>
      <c r="BU23" s="31">
        <f>BU24*$D$33/100</f>
      </c>
      <c r="BV23" s="31">
        <f>BV24*$D$33/100</f>
      </c>
      <c r="BW23" s="31">
        <f>BW24*$D$33/100</f>
      </c>
      <c r="BX23" s="31">
        <f>BX24*$D$33/100</f>
      </c>
      <c r="BY23" s="31">
        <f>BY24*$D$33/100</f>
      </c>
      <c r="BZ23" s="31">
        <f>BZ24*$D$33/100</f>
      </c>
      <c r="CA23" s="31">
        <f>CA24*$D$33/100</f>
      </c>
      <c r="CB23" s="31">
        <f>CB24*$D$33/100</f>
      </c>
      <c r="CC23" s="31">
        <f>CC24*$D$33/100</f>
      </c>
      <c r="CD23" s="31">
        <f>CD24*$D$33/100</f>
      </c>
      <c r="CE23" s="31">
        <f>CE24*$D$33/100</f>
      </c>
      <c r="CF23" s="31">
        <f>CF24*$D$33/100</f>
      </c>
      <c r="CG23" s="31">
        <f>CG24*$D$33/100</f>
      </c>
      <c r="CH23" s="31">
        <f>CH24*$D$33/100</f>
      </c>
      <c r="CI23" s="31">
        <f>CI24*$D$33/100</f>
      </c>
      <c r="CJ23" s="31">
        <f>CJ24*$D$33/100</f>
      </c>
      <c r="CK23" s="31">
        <f>CK24*$D$33/100</f>
      </c>
      <c r="CL23" s="31">
        <f>CL24*$D$33/100</f>
      </c>
    </row>
    <row r="24" spans="2:91" x14ac:dyDescent="0.25">
      <c r="B24" s="47" t="s">
        <v>350</v>
      </c>
      <c r="C24" s="51" t="s">
        <v>237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$D$31*100*(1+$D$32/100)^0*(3/12)</f>
      </c>
      <c r="L24" s="42">
        <f>$D$31*100*(1+$D$32/100)^0*(3/12)</f>
      </c>
      <c r="M24" s="42">
        <f>$D$31*100*(1+$D$32/100)^0*(3/12)</f>
      </c>
      <c r="N24" s="42">
        <f>$D$31*100*(1+$D$32/100)^0*(3/12)</f>
      </c>
      <c r="O24" s="42">
        <f>$D$31*100*(1+$D$32/100)^1*(3/12)</f>
      </c>
      <c r="P24" s="42">
        <f>$D$31*100*(1+$D$32/100)^1*(3/12)</f>
      </c>
      <c r="Q24" s="42">
        <f>$D$31*100*(1+$D$32/100)^1*(3/12)</f>
      </c>
      <c r="R24" s="42">
        <f>$D$31*100*(1+$D$32/100)^1*(3/12)</f>
      </c>
      <c r="S24" s="42">
        <f>$D$31*100*(1+$D$32/100)^2*(3/12)</f>
      </c>
      <c r="T24" s="42">
        <f>$D$31*100*(1+$D$32/100)^2*(3/12)</f>
      </c>
      <c r="U24" s="42">
        <f>$D$31*100*(1+$D$32/100)^2*(3/12)</f>
      </c>
      <c r="V24" s="42">
        <f>$D$31*100*(1+$D$32/100)^2*(3/12)</f>
      </c>
      <c r="W24" s="42">
        <f>$D$31*100*(1+$D$32/100)^3*(3/12)</f>
      </c>
      <c r="X24" s="42">
        <f>$D$31*100*(1+$D$32/100)^3*(3/12)</f>
      </c>
      <c r="Y24" s="42">
        <f>$D$31*100*(1+$D$32/100)^3*(3/12)</f>
      </c>
      <c r="Z24" s="42">
        <f>$D$31*100*(1+$D$32/100)^3*(3/12)</f>
      </c>
      <c r="AA24" s="42">
        <f>$D$31*100*(1+$D$32/100)^4*(3/12)</f>
      </c>
      <c r="AB24" s="42">
        <f>$D$31*100*(1+$D$32/100)^4*(3/12)</f>
      </c>
      <c r="AC24" s="42">
        <f>$D$31*100*(1+$D$32/100)^4*(3/12)</f>
      </c>
      <c r="AD24" s="42">
        <f>$D$31*100*(1+$D$32/100)^4*(3/12)</f>
      </c>
      <c r="AE24" s="42">
        <f>$D$31*100*(1+$D$32/100)^5*(3/12)</f>
      </c>
      <c r="AF24" s="42">
        <f>$D$31*100*(1+$D$32/100)^5*(3/12)</f>
      </c>
      <c r="AG24" s="42">
        <f>$D$31*100*(1+$D$32/100)^5*(3/12)</f>
      </c>
      <c r="AH24" s="42">
        <f>$D$31*100*(1+$D$32/100)^5*(3/12)</f>
      </c>
      <c r="AI24" s="42">
        <f>$D$31*100*(1+$D$32/100)^6*(3/12)</f>
      </c>
      <c r="AJ24" s="42">
        <f>$D$31*100*(1+$D$32/100)^6*(3/12)</f>
      </c>
      <c r="AK24" s="42">
        <f>$D$31*100*(1+$D$32/100)^6*(3/12)</f>
      </c>
      <c r="AL24" s="42">
        <f>$D$31*100*(1+$D$32/100)^6*(3/12)</f>
      </c>
      <c r="AM24" s="42">
        <f>$D$31*100*(1+$D$32/100)^7*(3/12)</f>
      </c>
      <c r="AN24" s="42">
        <f>$D$31*100*(1+$D$32/100)^7*(3/12)</f>
      </c>
      <c r="AO24" s="42">
        <f>$D$31*100*(1+$D$32/100)^7*(3/12)</f>
      </c>
      <c r="AP24" s="42">
        <f>$D$31*100*(1+$D$32/100)^7*(3/12)</f>
      </c>
      <c r="AQ24" s="42">
        <f>$D$31*100*(1+$D$32/100)^8*(3/12)</f>
      </c>
      <c r="AR24" s="42">
        <f>$D$31*100*(1+$D$32/100)^8*(3/12)</f>
      </c>
      <c r="AS24" s="42">
        <f>$D$31*100*(1+$D$32/100)^8*(3/12)</f>
      </c>
      <c r="AT24" s="42">
        <f>$D$31*100*(1+$D$32/100)^8*(3/12)</f>
      </c>
      <c r="AU24" s="42">
        <f>$D$31*100*(1+$D$32/100)^9*(3/12)</f>
      </c>
      <c r="AV24" s="42">
        <f>$D$31*100*(1+$D$32/100)^9*(3/12)</f>
      </c>
      <c r="AW24" s="42">
        <f>$D$31*100*(1+$D$32/100)^9*(3/12)</f>
      </c>
      <c r="AX24" s="42">
        <f>$D$31*100*(1+$D$32/100)^9*(3/12)</f>
      </c>
      <c r="AY24" s="42">
        <f>$D$31*100*(1+$D$32/100)^10*(3/12)</f>
      </c>
      <c r="AZ24" s="42">
        <f>$D$31*100*(1+$D$32/100)^10*(3/12)</f>
      </c>
      <c r="BA24" s="42">
        <f>$D$31*100*(1+$D$32/100)^10*(3/12)</f>
      </c>
      <c r="BB24" s="42">
        <f>$D$31*100*(1+$D$32/100)^10*(3/12)</f>
      </c>
      <c r="BC24" s="42">
        <f>$D$31*100*(1+$D$32/100)^11*(3/12)</f>
      </c>
      <c r="BD24" s="42">
        <f>$D$31*100*(1+$D$32/100)^11*(3/12)</f>
      </c>
      <c r="BE24" s="42">
        <f>$D$31*100*(1+$D$32/100)^11*(3/12)</f>
      </c>
      <c r="BF24" s="42">
        <f>$D$31*100*(1+$D$32/100)^11*(3/12)</f>
      </c>
      <c r="BG24" s="42">
        <f>$D$31*100*(1+$D$32/100)^12*(3/12)</f>
      </c>
      <c r="BH24" s="42">
        <f>$D$31*100*(1+$D$32/100)^12*(3/12)</f>
      </c>
      <c r="BI24" s="42">
        <f>$D$31*100*(1+$D$32/100)^12*(3/12)</f>
      </c>
      <c r="BJ24" s="42">
        <f>$D$31*100*(1+$D$32/100)^12*(3/12)</f>
      </c>
      <c r="BK24" s="42">
        <f>$D$31*100*(1+$D$32/100)^13*(3/12)</f>
      </c>
      <c r="BL24" s="42">
        <f>$D$31*100*(1+$D$32/100)^13*(3/12)</f>
      </c>
      <c r="BM24" s="42">
        <f>$D$31*100*(1+$D$32/100)^13*(3/12)</f>
      </c>
      <c r="BN24" s="42">
        <f>$D$31*100*(1+$D$32/100)^13*(3/12)</f>
      </c>
      <c r="BO24" s="42">
        <f>$D$31*100*(1+$D$32/100)^14*(3/12)</f>
      </c>
      <c r="BP24" s="42">
        <f>$D$31*100*(1+$D$32/100)^14*(3/12)</f>
      </c>
      <c r="BQ24" s="42">
        <f>$D$31*100*(1+$D$32/100)^14*(3/12)</f>
      </c>
      <c r="BR24" s="42">
        <f>$D$31*100*(1+$D$32/100)^14*(3/12)</f>
      </c>
      <c r="BS24" s="42">
        <f>$D$31*100*(1+$D$32/100)^15*(3/12)</f>
      </c>
      <c r="BT24" s="42">
        <f>$D$31*100*(1+$D$32/100)^15*(3/12)</f>
      </c>
      <c r="BU24" s="42">
        <f>$D$31*100*(1+$D$32/100)^15*(3/12)</f>
      </c>
      <c r="BV24" s="42">
        <f>$D$31*100*(1+$D$32/100)^15*(3/12)</f>
      </c>
      <c r="BW24" s="42">
        <f>$D$31*100*(1+$D$32/100)^16*(3/12)</f>
      </c>
      <c r="BX24" s="42">
        <f>$D$31*100*(1+$D$32/100)^16*(3/12)</f>
      </c>
      <c r="BY24" s="42">
        <f>$D$31*100*(1+$D$32/100)^16*(3/12)</f>
      </c>
      <c r="BZ24" s="42">
        <f>$D$31*100*(1+$D$32/100)^16*(3/12)</f>
      </c>
      <c r="CA24" s="42">
        <f>$D$31*100*(1+$D$32/100)^17*(3/12)</f>
      </c>
      <c r="CB24" s="42">
        <f>$D$31*100*(1+$D$32/100)^17*(3/12)</f>
      </c>
      <c r="CC24" s="42">
        <f>$D$31*100*(1+$D$32/100)^17*(3/12)</f>
      </c>
      <c r="CD24" s="42">
        <f>$D$31*100*(1+$D$32/100)^17*(3/12)</f>
      </c>
      <c r="CE24" s="42">
        <f>$D$31*100*(1+$D$32/100)^18*(3/12)</f>
      </c>
      <c r="CF24" s="42">
        <f>$D$31*100*(1+$D$32/100)^18*(3/12)</f>
      </c>
      <c r="CG24" s="42">
        <f>$D$31*100*(1+$D$32/100)^18*(3/12)</f>
      </c>
      <c r="CH24" s="42">
        <f>$D$31*100*(1+$D$32/100)^18*(3/12)</f>
      </c>
      <c r="CI24" s="42">
        <f>$D$31*100*(1+$D$32/100)^19*(3/12)</f>
      </c>
      <c r="CJ24" s="42">
        <f>$D$31*100*(1+$D$32/100)^19*(3/12)</f>
      </c>
      <c r="CK24" s="42">
        <f>$D$31*100*(1+$D$32/100)^19*(3/12)</f>
      </c>
      <c r="CL24" s="42">
        <f>$D$31*100*(1+$D$32/100)^19*(3/12)</f>
      </c>
      <c r="CM24" s="48"/>
    </row>
    <row r="26" spans="2:2" x14ac:dyDescent="0.25">
      <c r="B26" s="37" t="s">
        <v>351</v>
      </c>
    </row>
    <row r="29" spans="2:91" x14ac:dyDescent="0.25">
      <c r="B29" s="9" t="s">
        <v>229</v>
      </c>
      <c r="C29" s="10"/>
      <c r="D29" s="43" t="s">
        <v>230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231</v>
      </c>
    </row>
    <row r="31" spans="2:4" x14ac:dyDescent="0.25">
      <c r="B31" s="33" t="s">
        <v>352</v>
      </c>
      <c r="C31" s="44" t="s">
        <v>353</v>
      </c>
      <c r="D31" s="45">
        <f>'입력값'!C18</f>
      </c>
    </row>
    <row r="32" spans="2:4" x14ac:dyDescent="0.25">
      <c r="B32" s="33" t="s">
        <v>354</v>
      </c>
      <c r="C32" s="44" t="s">
        <v>355</v>
      </c>
      <c r="D32" s="59">
        <f>'입력값'!C19</f>
      </c>
    </row>
    <row r="33" spans="2:4" x14ac:dyDescent="0.25">
      <c r="B33" s="33" t="s">
        <v>356</v>
      </c>
      <c r="C33" s="44" t="s">
        <v>357</v>
      </c>
      <c r="D33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358</v>
      </c>
    </row>
    <row r="4" spans="2:91" x14ac:dyDescent="0.25">
      <c r="B4" s="9" t="s">
        <v>359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6" t="s">
        <v>312</v>
      </c>
      <c r="C8" s="34" t="s">
        <v>237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360</v>
      </c>
    </row>
    <row r="11" spans="2:3" x14ac:dyDescent="0.25">
      <c r="B11" s="33" t="s">
        <v>336</v>
      </c>
      <c r="C11" s="34" t="s">
        <v>237</v>
      </c>
    </row>
    <row r="12" spans="2:3" x14ac:dyDescent="0.25">
      <c r="B12" s="33" t="s">
        <v>337</v>
      </c>
      <c r="C12" s="34" t="s">
        <v>237</v>
      </c>
    </row>
    <row r="13" spans="2:3" x14ac:dyDescent="0.25">
      <c r="B13" s="33" t="s">
        <v>338</v>
      </c>
      <c r="C13" s="34" t="s">
        <v>237</v>
      </c>
    </row>
    <row r="14" spans="2:3" x14ac:dyDescent="0.25">
      <c r="B14" s="33" t="s">
        <v>339</v>
      </c>
      <c r="C14" s="34" t="s">
        <v>237</v>
      </c>
    </row>
    <row r="15" spans="2:3" x14ac:dyDescent="0.25">
      <c r="B15" s="33" t="s">
        <v>340</v>
      </c>
      <c r="C15" s="34" t="s">
        <v>237</v>
      </c>
    </row>
    <row r="16" spans="2:3" x14ac:dyDescent="0.25">
      <c r="B16" s="33" t="s">
        <v>341</v>
      </c>
      <c r="C16" s="34" t="s">
        <v>237</v>
      </c>
    </row>
    <row r="17" spans="2:3" x14ac:dyDescent="0.25">
      <c r="B17" s="33" t="s">
        <v>342</v>
      </c>
      <c r="C17" s="34" t="s">
        <v>237</v>
      </c>
    </row>
    <row r="18" spans="2:3" x14ac:dyDescent="0.25">
      <c r="B18" s="33" t="s">
        <v>343</v>
      </c>
      <c r="C18" s="34" t="s">
        <v>237</v>
      </c>
    </row>
    <row r="19" spans="2:3" x14ac:dyDescent="0.25">
      <c r="B19" s="33" t="s">
        <v>344</v>
      </c>
      <c r="C19" s="34" t="s">
        <v>237</v>
      </c>
    </row>
    <row r="20" spans="2:3" x14ac:dyDescent="0.25">
      <c r="B20" s="33" t="s">
        <v>345</v>
      </c>
      <c r="C20" s="34" t="s">
        <v>237</v>
      </c>
    </row>
    <row r="21" spans="2:3" x14ac:dyDescent="0.25">
      <c r="B21" s="33" t="s">
        <v>346</v>
      </c>
      <c r="C21" s="34" t="s">
        <v>237</v>
      </c>
    </row>
    <row r="22" spans="2:3" x14ac:dyDescent="0.25">
      <c r="B22" s="33" t="s">
        <v>347</v>
      </c>
      <c r="C22" s="34" t="s">
        <v>237</v>
      </c>
    </row>
    <row r="23" spans="2:90" x14ac:dyDescent="0.25">
      <c r="B23" s="46" t="s">
        <v>350</v>
      </c>
      <c r="C23" s="34" t="s">
        <v>237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361</v>
      </c>
      <c r="C25" s="51" t="s">
        <v>237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362</v>
      </c>
      <c r="C26" s="34" t="s">
        <v>363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364</v>
      </c>
      <c r="C28" s="34" t="s">
        <v>237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365</v>
      </c>
      <c r="C29" s="34" t="s">
        <v>237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366</v>
      </c>
      <c r="C30" s="34" t="s">
        <v>237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367</v>
      </c>
      <c r="C31" s="34" t="s">
        <v>237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368</v>
      </c>
      <c r="C32" s="34" t="s">
        <v>237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369</v>
      </c>
      <c r="C33" s="34" t="s">
        <v>363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370</v>
      </c>
    </row>
    <row r="36" spans="2:90" x14ac:dyDescent="0.25">
      <c r="B36" s="33" t="s">
        <v>371</v>
      </c>
      <c r="C36" s="34" t="s">
        <v>237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372</v>
      </c>
      <c r="C37" s="34" t="s">
        <v>237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373</v>
      </c>
      <c r="C38" s="34" t="s">
        <v>237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374</v>
      </c>
      <c r="C39" s="34" t="s">
        <v>237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375</v>
      </c>
      <c r="C40" s="34" t="s">
        <v>237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6" t="s">
        <v>376</v>
      </c>
      <c r="C41" s="34" t="s">
        <v>237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377</v>
      </c>
      <c r="C43" s="34" t="s">
        <v>237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378</v>
      </c>
      <c r="C44" s="34" t="s">
        <v>237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379</v>
      </c>
      <c r="C45" s="51" t="s">
        <v>237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380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381</v>
      </c>
      <c r="C50" s="34" t="s">
        <v>237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382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383</v>
      </c>
      <c r="C53" s="34" t="s">
        <v>237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384</v>
      </c>
      <c r="C54" s="34" t="s">
        <v>237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385</v>
      </c>
      <c r="C55" s="34" t="s">
        <v>237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386</v>
      </c>
      <c r="C56" s="34" t="s">
        <v>237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387</v>
      </c>
      <c r="C57" s="34" t="s">
        <v>237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388</v>
      </c>
      <c r="C58" s="34" t="s">
        <v>237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389</v>
      </c>
      <c r="C59" s="34" t="s">
        <v>237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390</v>
      </c>
      <c r="C60" s="34" t="s">
        <v>237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391</v>
      </c>
      <c r="C61" s="34" t="s">
        <v>237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392</v>
      </c>
      <c r="C62" s="34" t="s">
        <v>237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393</v>
      </c>
      <c r="C63" s="34" t="s">
        <v>237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394</v>
      </c>
      <c r="C64" s="34" t="s">
        <v>237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395</v>
      </c>
      <c r="C65" s="34" t="s">
        <v>237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396</v>
      </c>
      <c r="C66" s="34" t="s">
        <v>237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397</v>
      </c>
      <c r="C67" s="34" t="s">
        <v>237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398</v>
      </c>
    </row>
    <row r="70" spans="2:2" x14ac:dyDescent="0.25">
      <c r="B70" s="37" t="s">
        <v>351</v>
      </c>
    </row>
    <row r="73" spans="2:91" x14ac:dyDescent="0.25">
      <c r="B73" s="9" t="s">
        <v>229</v>
      </c>
      <c r="C73" s="10"/>
      <c r="D73" s="43" t="s">
        <v>230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231</v>
      </c>
    </row>
    <row r="75" spans="2:4" x14ac:dyDescent="0.25">
      <c r="B75" s="33" t="s">
        <v>399</v>
      </c>
      <c r="C75" s="44" t="s">
        <v>400</v>
      </c>
      <c r="D75" s="59">
        <f>'입력값'!C15</f>
      </c>
    </row>
    <row r="76" spans="2:4" x14ac:dyDescent="0.25">
      <c r="B76" s="33" t="s">
        <v>401</v>
      </c>
      <c r="C76" s="44" t="s">
        <v>402</v>
      </c>
      <c r="D76" s="62">
        <f>'입력값'!C16</f>
      </c>
    </row>
    <row r="77" spans="2:4" x14ac:dyDescent="0.25">
      <c r="B77" s="33" t="s">
        <v>403</v>
      </c>
      <c r="C77" s="44" t="s">
        <v>404</v>
      </c>
      <c r="D77" s="45">
        <f>'입력값'!C17</f>
      </c>
    </row>
    <row r="78" spans="2:4" x14ac:dyDescent="0.25">
      <c r="B78" s="33" t="s">
        <v>405</v>
      </c>
      <c r="C78" s="44" t="s">
        <v>406</v>
      </c>
      <c r="D78" s="45">
        <f>'입력값'!C21</f>
      </c>
    </row>
    <row r="79" spans="2:4" x14ac:dyDescent="0.25">
      <c r="B79" s="33" t="s">
        <v>407</v>
      </c>
      <c r="C79" s="44" t="s">
        <v>408</v>
      </c>
      <c r="D79" s="45">
        <f>'입력값'!C22</f>
      </c>
    </row>
    <row r="80" spans="2:4" x14ac:dyDescent="0.25">
      <c r="B80" s="33" t="s">
        <v>409</v>
      </c>
      <c r="C80" s="44" t="s">
        <v>410</v>
      </c>
      <c r="D80" s="59">
        <f>'입력값'!C32</f>
      </c>
    </row>
    <row r="81" spans="2:4" x14ac:dyDescent="0.25">
      <c r="B81" s="33" t="s">
        <v>411</v>
      </c>
      <c r="C81" s="44" t="s">
        <v>412</v>
      </c>
      <c r="D81" s="59">
        <f>'입력값'!C33</f>
      </c>
    </row>
    <row r="82" spans="2:4" x14ac:dyDescent="0.25">
      <c r="B82" s="33" t="s">
        <v>413</v>
      </c>
      <c r="C82" s="44" t="s">
        <v>414</v>
      </c>
      <c r="D82" s="59">
        <f>'입력값'!C34</f>
      </c>
    </row>
    <row r="83" spans="2:4" x14ac:dyDescent="0.25">
      <c r="B83" s="33" t="s">
        <v>415</v>
      </c>
      <c r="C83" s="44" t="s">
        <v>416</v>
      </c>
      <c r="D83" s="59">
        <f>'입력값'!C35</f>
      </c>
    </row>
    <row r="84" spans="2:4" x14ac:dyDescent="0.25">
      <c r="B84" s="33" t="s">
        <v>417</v>
      </c>
      <c r="C84" s="44" t="s">
        <v>418</v>
      </c>
      <c r="D84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419</v>
      </c>
    </row>
    <row r="4" spans="2:91" x14ac:dyDescent="0.25">
      <c r="B4" s="9" t="s">
        <v>420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7" t="s">
        <v>421</v>
      </c>
      <c r="C9" s="51" t="s">
        <v>237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263</v>
      </c>
      <c r="C10" s="34" t="s">
        <v>237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6" t="s">
        <v>422</v>
      </c>
      <c r="C11" s="34" t="s">
        <v>423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424</v>
      </c>
      <c r="C13" s="34" t="s">
        <v>237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CL9-CL10-CL14-'Opex'!CL23-$D$73*100+CL19</f>
      </c>
    </row>
    <row r="14" spans="2:90" x14ac:dyDescent="0.25">
      <c r="B14" s="33" t="s">
        <v>425</v>
      </c>
      <c r="C14" s="34" t="s">
        <v>237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426</v>
      </c>
      <c r="C15" s="34" t="s">
        <v>237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427</v>
      </c>
      <c r="C16" s="51" t="s">
        <v>237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IF(AND(0&gt;=($D$77-1),OR(ISBLANK(K11),K11&gt;=$D$75),OR(ISBLANK(K48),K48&gt;=$D$76)),MAX(0,K18-$D$74*100),0)</f>
      </c>
      <c r="L16" s="42">
        <f>IF(AND(0&gt;=($D$77-1),OR(ISBLANK(L11),L11&gt;=$D$75),OR(ISBLANK(L48),L48&gt;=$D$76)),MAX(0,L18-$D$74*100),0)</f>
      </c>
      <c r="M16" s="42">
        <f>IF(AND(0&gt;=($D$77-1),OR(ISBLANK(M11),M11&gt;=$D$75),OR(ISBLANK(M48),M48&gt;=$D$76)),MAX(0,M18-$D$74*100),0)</f>
      </c>
      <c r="N16" s="42">
        <f>IF(AND(0&gt;=($D$77-1),OR(ISBLANK(N11),N11&gt;=$D$75),OR(ISBLANK(N48),N48&gt;=$D$76)),MAX(0,N18-$D$74*100),0)</f>
      </c>
      <c r="O16" s="42">
        <f>IF(AND(1&gt;=($D$77-1),OR(ISBLANK(O11),O11&gt;=$D$75),OR(ISBLANK(O48),O48&gt;=$D$76)),MAX(0,O18-$D$74*100),0)</f>
      </c>
      <c r="P16" s="42">
        <f>IF(AND(1&gt;=($D$77-1),OR(ISBLANK(P11),P11&gt;=$D$75),OR(ISBLANK(P48),P48&gt;=$D$76)),MAX(0,P18-$D$74*100),0)</f>
      </c>
      <c r="Q16" s="42">
        <f>IF(AND(1&gt;=($D$77-1),OR(ISBLANK(Q11),Q11&gt;=$D$75),OR(ISBLANK(Q48),Q48&gt;=$D$76)),MAX(0,Q18-$D$74*100),0)</f>
      </c>
      <c r="R16" s="42">
        <f>IF(AND(1&gt;=($D$77-1),OR(ISBLANK(R11),R11&gt;=$D$75),OR(ISBLANK(R48),R48&gt;=$D$76)),MAX(0,R18-$D$74*100),0)</f>
      </c>
      <c r="S16" s="42">
        <f>IF(AND(2&gt;=($D$77-1),OR(ISBLANK(S11),S11&gt;=$D$75),OR(ISBLANK(S48),S48&gt;=$D$76)),MAX(0,S18-$D$74*100),0)</f>
      </c>
      <c r="T16" s="42">
        <f>IF(AND(2&gt;=($D$77-1),OR(ISBLANK(T11),T11&gt;=$D$75),OR(ISBLANK(T48),T48&gt;=$D$76)),MAX(0,T18-$D$74*100),0)</f>
      </c>
      <c r="U16" s="42">
        <f>IF(AND(2&gt;=($D$77-1),OR(ISBLANK(U11),U11&gt;=$D$75),OR(ISBLANK(U48),U48&gt;=$D$76)),MAX(0,U18-$D$74*100),0)</f>
      </c>
      <c r="V16" s="42">
        <f>IF(AND(2&gt;=($D$77-1),OR(ISBLANK(V11),V11&gt;=$D$75),OR(ISBLANK(V48),V48&gt;=$D$76)),MAX(0,V18-$D$74*100),0)</f>
      </c>
      <c r="W16" s="42">
        <f>IF(AND(3&gt;=($D$77-1),OR(ISBLANK(W11),W11&gt;=$D$75),OR(ISBLANK(W48),W48&gt;=$D$76)),MAX(0,W18-$D$74*100),0)</f>
      </c>
      <c r="X16" s="42">
        <f>IF(AND(3&gt;=($D$77-1),OR(ISBLANK(X11),X11&gt;=$D$75),OR(ISBLANK(X48),X48&gt;=$D$76)),MAX(0,X18-$D$74*100),0)</f>
      </c>
      <c r="Y16" s="42">
        <f>IF(AND(3&gt;=($D$77-1),OR(ISBLANK(Y11),Y11&gt;=$D$75),OR(ISBLANK(Y48),Y48&gt;=$D$76)),MAX(0,Y18-$D$74*100),0)</f>
      </c>
      <c r="Z16" s="42">
        <f>IF(AND(3&gt;=($D$77-1),OR(ISBLANK(Z11),Z11&gt;=$D$75),OR(ISBLANK(Z48),Z48&gt;=$D$76)),MAX(0,Z18-$D$74*100),0)</f>
      </c>
      <c r="AA16" s="42">
        <f>IF(AND(4&gt;=($D$77-1),OR(ISBLANK(AA11),AA11&gt;=$D$75),OR(ISBLANK(AA48),AA48&gt;=$D$76)),MAX(0,AA18-$D$74*100),0)</f>
      </c>
      <c r="AB16" s="42">
        <f>IF(AND(4&gt;=($D$77-1),OR(ISBLANK(AB11),AB11&gt;=$D$75),OR(ISBLANK(AB48),AB48&gt;=$D$76)),MAX(0,AB18-$D$74*100),0)</f>
      </c>
      <c r="AC16" s="42">
        <f>IF(AND(4&gt;=($D$77-1),OR(ISBLANK(AC11),AC11&gt;=$D$75),OR(ISBLANK(AC48),AC48&gt;=$D$76)),MAX(0,AC18-$D$74*100),0)</f>
      </c>
      <c r="AD16" s="42">
        <f>IF(AND(4&gt;=($D$77-1),OR(ISBLANK(AD11),AD11&gt;=$D$75),OR(ISBLANK(AD48),AD48&gt;=$D$76)),MAX(0,AD18-$D$74*100),0)</f>
      </c>
      <c r="AE16" s="42">
        <f>IF(AND(5&gt;=($D$77-1),OR(ISBLANK(AE11),AE11&gt;=$D$75),OR(ISBLANK(AE48),AE48&gt;=$D$76)),MAX(0,AE18-$D$74*100),0)</f>
      </c>
      <c r="AF16" s="42">
        <f>IF(AND(5&gt;=($D$77-1),OR(ISBLANK(AF11),AF11&gt;=$D$75),OR(ISBLANK(AF48),AF48&gt;=$D$76)),MAX(0,AF18-$D$74*100),0)</f>
      </c>
      <c r="AG16" s="42">
        <f>IF(AND(5&gt;=($D$77-1),OR(ISBLANK(AG11),AG11&gt;=$D$75),OR(ISBLANK(AG48),AG48&gt;=$D$76)),MAX(0,AG18-$D$74*100),0)</f>
      </c>
      <c r="AH16" s="42">
        <f>IF(AND(5&gt;=($D$77-1),OR(ISBLANK(AH11),AH11&gt;=$D$75),OR(ISBLANK(AH48),AH48&gt;=$D$76)),MAX(0,AH18-$D$74*100),0)</f>
      </c>
      <c r="AI16" s="42">
        <f>IF(AND(6&gt;=($D$77-1),OR(ISBLANK(AI11),AI11&gt;=$D$75),OR(ISBLANK(AI48),AI48&gt;=$D$76)),MAX(0,AI18-$D$74*100),0)</f>
      </c>
      <c r="AJ16" s="42">
        <f>IF(AND(6&gt;=($D$77-1),OR(ISBLANK(AJ11),AJ11&gt;=$D$75),OR(ISBLANK(AJ48),AJ48&gt;=$D$76)),MAX(0,AJ18-$D$74*100),0)</f>
      </c>
      <c r="AK16" s="42">
        <f>IF(AND(6&gt;=($D$77-1),OR(ISBLANK(AK11),AK11&gt;=$D$75),OR(ISBLANK(AK48),AK48&gt;=$D$76)),MAX(0,AK18-$D$74*100),0)</f>
      </c>
      <c r="AL16" s="42">
        <f>IF(AND(6&gt;=($D$77-1),OR(ISBLANK(AL11),AL11&gt;=$D$75),OR(ISBLANK(AL48),AL48&gt;=$D$76)),MAX(0,AL18-$D$74*100),0)</f>
      </c>
      <c r="AM16" s="42">
        <f>IF(AND(7&gt;=($D$77-1),OR(ISBLANK(AM11),AM11&gt;=$D$75),OR(ISBLANK(AM48),AM48&gt;=$D$76)),MAX(0,AM18-$D$74*100),0)</f>
      </c>
      <c r="AN16" s="42">
        <f>IF(AND(7&gt;=($D$77-1),OR(ISBLANK(AN11),AN11&gt;=$D$75),OR(ISBLANK(AN48),AN48&gt;=$D$76)),MAX(0,AN18-$D$74*100),0)</f>
      </c>
      <c r="AO16" s="42">
        <f>IF(AND(7&gt;=($D$77-1),OR(ISBLANK(AO11),AO11&gt;=$D$75),OR(ISBLANK(AO48),AO48&gt;=$D$76)),MAX(0,AO18-$D$74*100),0)</f>
      </c>
      <c r="AP16" s="42">
        <f>IF(AND(7&gt;=($D$77-1),OR(ISBLANK(AP11),AP11&gt;=$D$75),OR(ISBLANK(AP48),AP48&gt;=$D$76)),MAX(0,AP18-$D$74*100),0)</f>
      </c>
      <c r="AQ16" s="42">
        <f>IF(AND(8&gt;=($D$77-1),OR(ISBLANK(AQ11),AQ11&gt;=$D$75),OR(ISBLANK(AQ48),AQ48&gt;=$D$76)),MAX(0,AQ18-$D$74*100),0)</f>
      </c>
      <c r="AR16" s="42">
        <f>IF(AND(8&gt;=($D$77-1),OR(ISBLANK(AR11),AR11&gt;=$D$75),OR(ISBLANK(AR48),AR48&gt;=$D$76)),MAX(0,AR18-$D$74*100),0)</f>
      </c>
      <c r="AS16" s="42">
        <f>IF(AND(8&gt;=($D$77-1),OR(ISBLANK(AS11),AS11&gt;=$D$75),OR(ISBLANK(AS48),AS48&gt;=$D$76)),MAX(0,AS18-$D$74*100),0)</f>
      </c>
      <c r="AT16" s="42">
        <f>IF(AND(8&gt;=($D$77-1),OR(ISBLANK(AT11),AT11&gt;=$D$75),OR(ISBLANK(AT48),AT48&gt;=$D$76)),MAX(0,AT18-$D$74*100),0)</f>
      </c>
      <c r="AU16" s="42">
        <f>IF(AND(9&gt;=($D$77-1),OR(ISBLANK(AU11),AU11&gt;=$D$75),OR(ISBLANK(AU48),AU48&gt;=$D$76)),MAX(0,AU18-$D$74*100),0)</f>
      </c>
      <c r="AV16" s="42">
        <f>IF(AND(9&gt;=($D$77-1),OR(ISBLANK(AV11),AV11&gt;=$D$75),OR(ISBLANK(AV48),AV48&gt;=$D$76)),MAX(0,AV18-$D$74*100),0)</f>
      </c>
      <c r="AW16" s="42">
        <f>IF(AND(9&gt;=($D$77-1),OR(ISBLANK(AW11),AW11&gt;=$D$75),OR(ISBLANK(AW48),AW48&gt;=$D$76)),MAX(0,AW18-$D$74*100),0)</f>
      </c>
      <c r="AX16" s="42">
        <f>IF(AND(9&gt;=($D$77-1),OR(ISBLANK(AX11),AX11&gt;=$D$75),OR(ISBLANK(AX48),AX48&gt;=$D$76)),MAX(0,AX18-$D$74*100),0)</f>
      </c>
      <c r="AY16" s="42">
        <f>IF(AND(10&gt;=($D$77-1),OR(ISBLANK(AY11),AY11&gt;=$D$75),OR(ISBLANK(AY48),AY48&gt;=$D$76)),MAX(0,AY18-$D$74*100),0)</f>
      </c>
      <c r="AZ16" s="42">
        <f>IF(AND(10&gt;=($D$77-1),OR(ISBLANK(AZ11),AZ11&gt;=$D$75),OR(ISBLANK(AZ48),AZ48&gt;=$D$76)),MAX(0,AZ18-$D$74*100),0)</f>
      </c>
      <c r="BA16" s="42">
        <f>IF(AND(10&gt;=($D$77-1),OR(ISBLANK(BA11),BA11&gt;=$D$75),OR(ISBLANK(BA48),BA48&gt;=$D$76)),MAX(0,BA18-$D$74*100),0)</f>
      </c>
      <c r="BB16" s="42">
        <f>IF(AND(10&gt;=($D$77-1),OR(ISBLANK(BB11),BB11&gt;=$D$75),OR(ISBLANK(BB48),BB48&gt;=$D$76)),MAX(0,BB18-$D$74*100),0)</f>
      </c>
      <c r="BC16" s="42">
        <f>IF(AND(11&gt;=($D$77-1),OR(ISBLANK(BC11),BC11&gt;=$D$75),OR(ISBLANK(BC48),BC48&gt;=$D$76)),MAX(0,BC18-$D$74*100),0)</f>
      </c>
      <c r="BD16" s="42">
        <f>IF(AND(11&gt;=($D$77-1),OR(ISBLANK(BD11),BD11&gt;=$D$75),OR(ISBLANK(BD48),BD48&gt;=$D$76)),MAX(0,BD18-$D$74*100),0)</f>
      </c>
      <c r="BE16" s="42">
        <f>IF(AND(11&gt;=($D$77-1),OR(ISBLANK(BE11),BE11&gt;=$D$75),OR(ISBLANK(BE48),BE48&gt;=$D$76)),MAX(0,BE18-$D$74*100),0)</f>
      </c>
      <c r="BF16" s="42">
        <f>IF(AND(11&gt;=($D$77-1),OR(ISBLANK(BF11),BF11&gt;=$D$75),OR(ISBLANK(BF48),BF48&gt;=$D$76)),MAX(0,BF18-$D$74*100),0)</f>
      </c>
      <c r="BG16" s="42">
        <f>IF(AND(12&gt;=($D$77-1),OR(ISBLANK(BG11),BG11&gt;=$D$75),OR(ISBLANK(BG48),BG48&gt;=$D$76)),MAX(0,BG18-$D$74*100),0)</f>
      </c>
      <c r="BH16" s="42">
        <f>IF(AND(12&gt;=($D$77-1),OR(ISBLANK(BH11),BH11&gt;=$D$75),OR(ISBLANK(BH48),BH48&gt;=$D$76)),MAX(0,BH18-$D$74*100),0)</f>
      </c>
      <c r="BI16" s="42">
        <f>IF(AND(12&gt;=($D$77-1),OR(ISBLANK(BI11),BI11&gt;=$D$75),OR(ISBLANK(BI48),BI48&gt;=$D$76)),MAX(0,BI18-$D$74*100),0)</f>
      </c>
      <c r="BJ16" s="42">
        <f>IF(AND(12&gt;=($D$77-1),OR(ISBLANK(BJ11),BJ11&gt;=$D$75),OR(ISBLANK(BJ48),BJ48&gt;=$D$76)),MAX(0,BJ18-$D$74*100),0)</f>
      </c>
      <c r="BK16" s="42">
        <f>IF(AND(13&gt;=($D$77-1),OR(ISBLANK(BK11),BK11&gt;=$D$75),OR(ISBLANK(BK48),BK48&gt;=$D$76)),MAX(0,BK18-$D$74*100),0)</f>
      </c>
      <c r="BL16" s="42">
        <f>IF(AND(13&gt;=($D$77-1),OR(ISBLANK(BL11),BL11&gt;=$D$75),OR(ISBLANK(BL48),BL48&gt;=$D$76)),MAX(0,BL18-$D$74*100),0)</f>
      </c>
      <c r="BM16" s="42">
        <f>IF(AND(13&gt;=($D$77-1),OR(ISBLANK(BM11),BM11&gt;=$D$75),OR(ISBLANK(BM48),BM48&gt;=$D$76)),MAX(0,BM18-$D$74*100),0)</f>
      </c>
      <c r="BN16" s="42">
        <f>IF(AND(13&gt;=($D$77-1),OR(ISBLANK(BN11),BN11&gt;=$D$75),OR(ISBLANK(BN48),BN48&gt;=$D$76)),MAX(0,BN18-$D$74*100),0)</f>
      </c>
      <c r="BO16" s="42">
        <f>IF(AND(14&gt;=($D$77-1),OR(ISBLANK(BO11),BO11&gt;=$D$75),OR(ISBLANK(BO48),BO48&gt;=$D$76)),MAX(0,BO18-$D$74*100),0)</f>
      </c>
      <c r="BP16" s="42">
        <f>IF(AND(14&gt;=($D$77-1),OR(ISBLANK(BP11),BP11&gt;=$D$75),OR(ISBLANK(BP48),BP48&gt;=$D$76)),MAX(0,BP18-$D$74*100),0)</f>
      </c>
      <c r="BQ16" s="42">
        <f>IF(AND(14&gt;=($D$77-1),OR(ISBLANK(BQ11),BQ11&gt;=$D$75),OR(ISBLANK(BQ48),BQ48&gt;=$D$76)),MAX(0,BQ18-$D$74*100),0)</f>
      </c>
      <c r="BR16" s="42">
        <f>IF(AND(14&gt;=($D$77-1),OR(ISBLANK(BR11),BR11&gt;=$D$75),OR(ISBLANK(BR48),BR48&gt;=$D$76)),MAX(0,BR18-$D$74*100),0)</f>
      </c>
      <c r="BS16" s="42">
        <f>IF(AND(15&gt;=($D$77-1),OR(ISBLANK(BS11),BS11&gt;=$D$75),OR(ISBLANK(BS48),BS48&gt;=$D$76)),MAX(0,BS18-$D$74*100),0)</f>
      </c>
      <c r="BT16" s="42">
        <f>IF(AND(15&gt;=($D$77-1),OR(ISBLANK(BT11),BT11&gt;=$D$75),OR(ISBLANK(BT48),BT48&gt;=$D$76)),MAX(0,BT18-$D$74*100),0)</f>
      </c>
      <c r="BU16" s="42">
        <f>IF(AND(15&gt;=($D$77-1),OR(ISBLANK(BU11),BU11&gt;=$D$75),OR(ISBLANK(BU48),BU48&gt;=$D$76)),MAX(0,BU18-$D$74*100),0)</f>
      </c>
      <c r="BV16" s="42">
        <f>IF(AND(15&gt;=($D$77-1),OR(ISBLANK(BV11),BV11&gt;=$D$75),OR(ISBLANK(BV48),BV48&gt;=$D$76)),MAX(0,BV18-$D$74*100),0)</f>
      </c>
      <c r="BW16" s="42">
        <f>IF(AND(16&gt;=($D$77-1),OR(ISBLANK(BW11),BW11&gt;=$D$75),OR(ISBLANK(BW48),BW48&gt;=$D$76)),MAX(0,BW18-$D$74*100),0)</f>
      </c>
      <c r="BX16" s="42">
        <f>IF(AND(16&gt;=($D$77-1),OR(ISBLANK(BX11),BX11&gt;=$D$75),OR(ISBLANK(BX48),BX48&gt;=$D$76)),MAX(0,BX18-$D$74*100),0)</f>
      </c>
      <c r="BY16" s="42">
        <f>IF(AND(16&gt;=($D$77-1),OR(ISBLANK(BY11),BY11&gt;=$D$75),OR(ISBLANK(BY48),BY48&gt;=$D$76)),MAX(0,BY18-$D$74*100),0)</f>
      </c>
      <c r="BZ16" s="42">
        <f>IF(AND(16&gt;=($D$77-1),OR(ISBLANK(BZ11),BZ11&gt;=$D$75),OR(ISBLANK(BZ48),BZ48&gt;=$D$76)),MAX(0,BZ18-$D$74*100),0)</f>
      </c>
      <c r="CA16" s="42">
        <f>IF(AND(17&gt;=($D$77-1),OR(ISBLANK(CA11),CA11&gt;=$D$75),OR(ISBLANK(CA48),CA48&gt;=$D$76)),MAX(0,CA18-$D$74*100),0)</f>
      </c>
      <c r="CB16" s="42">
        <f>IF(AND(17&gt;=($D$77-1),OR(ISBLANK(CB11),CB11&gt;=$D$75),OR(ISBLANK(CB48),CB48&gt;=$D$76)),MAX(0,CB18-$D$74*100),0)</f>
      </c>
      <c r="CC16" s="42">
        <f>IF(AND(17&gt;=($D$77-1),OR(ISBLANK(CC11),CC11&gt;=$D$75),OR(ISBLANK(CC48),CC48&gt;=$D$76)),MAX(0,CC18-$D$74*100),0)</f>
      </c>
      <c r="CD16" s="42">
        <f>IF(AND(17&gt;=($D$77-1),OR(ISBLANK(CD11),CD11&gt;=$D$75),OR(ISBLANK(CD48),CD48&gt;=$D$76)),MAX(0,CD18-$D$74*100),0)</f>
      </c>
      <c r="CE16" s="42">
        <f>IF(AND(18&gt;=($D$77-1),OR(ISBLANK(CE11),CE11&gt;=$D$75),OR(ISBLANK(CE48),CE48&gt;=$D$76)),MAX(0,CE18-$D$74*100),0)</f>
      </c>
      <c r="CF16" s="42">
        <f>IF(AND(18&gt;=($D$77-1),OR(ISBLANK(CF11),CF11&gt;=$D$75),OR(ISBLANK(CF48),CF48&gt;=$D$76)),MAX(0,CF18-$D$74*100),0)</f>
      </c>
      <c r="CG16" s="42">
        <f>IF(AND(18&gt;=($D$77-1),OR(ISBLANK(CG11),CG11&gt;=$D$75),OR(ISBLANK(CG48),CG48&gt;=$D$76)),MAX(0,CG18-$D$74*100),0)</f>
      </c>
      <c r="CH16" s="42">
        <f>IF(AND(18&gt;=($D$77-1),OR(ISBLANK(CH11),CH11&gt;=$D$75),OR(ISBLANK(CH48),CH48&gt;=$D$76)),MAX(0,CH18-$D$74*100),0)</f>
      </c>
      <c r="CI16" s="42">
        <f>IF(AND(19&gt;=($D$77-1),OR(ISBLANK(CI11),CI11&gt;=$D$75),OR(ISBLANK(CI48),CI48&gt;=$D$76)),MAX(0,CI18-$D$74*100),0)</f>
      </c>
      <c r="CJ16" s="42">
        <f>IF(AND(19&gt;=($D$77-1),OR(ISBLANK(CJ11),CJ11&gt;=$D$75),OR(ISBLANK(CJ48),CJ48&gt;=$D$76)),MAX(0,CJ18-$D$74*100),0)</f>
      </c>
      <c r="CK16" s="42">
        <f>IF(AND(19&gt;=($D$77-1),OR(ISBLANK(CK11),CK11&gt;=$D$75),OR(ISBLANK(CK48),CK48&gt;=$D$76)),MAX(0,CK18-$D$74*100),0)</f>
      </c>
      <c r="CL16" s="42">
        <f>MAX(0,CL18)</f>
      </c>
      <c r="CM16" s="48"/>
    </row>
    <row r="17" spans="2:90" x14ac:dyDescent="0.25">
      <c r="B17" s="33" t="s">
        <v>428</v>
      </c>
      <c r="C17" s="34" t="s">
        <v>237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429</v>
      </c>
      <c r="C18" s="34" t="s">
        <v>237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430</v>
      </c>
      <c r="C19" s="34" t="s">
        <v>237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431</v>
      </c>
      <c r="C20" s="34" t="s">
        <v>237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432</v>
      </c>
      <c r="C21" s="34" t="s">
        <v>237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433</v>
      </c>
      <c r="C22" s="34" t="s">
        <v>237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434</v>
      </c>
      <c r="C23" s="34" t="s">
        <v>237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435</v>
      </c>
      <c r="C24" s="63" t="s">
        <v>237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382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436</v>
      </c>
      <c r="C27" s="34" t="s">
        <v>237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437</v>
      </c>
      <c r="C28" s="34" t="s">
        <v>237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438</v>
      </c>
      <c r="C29" s="34" t="s">
        <v>423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439</v>
      </c>
      <c r="C30" s="34" t="s">
        <v>423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440</v>
      </c>
      <c r="C31" s="34" t="s">
        <v>237</v>
      </c>
    </row>
    <row r="32" spans="2:3" x14ac:dyDescent="0.25">
      <c r="B32" s="33" t="s">
        <v>441</v>
      </c>
      <c r="C32" s="34" t="s">
        <v>237</v>
      </c>
    </row>
    <row r="33" spans="2:3" x14ac:dyDescent="0.25">
      <c r="B33" s="33" t="s">
        <v>442</v>
      </c>
      <c r="C33" s="34" t="s">
        <v>237</v>
      </c>
    </row>
    <row r="34" spans="2:3" x14ac:dyDescent="0.25">
      <c r="B34" s="33" t="s">
        <v>443</v>
      </c>
      <c r="C34" s="34" t="s">
        <v>237</v>
      </c>
    </row>
    <row r="35" spans="2:3" x14ac:dyDescent="0.25">
      <c r="B35" s="33" t="s">
        <v>444</v>
      </c>
      <c r="C35" s="34" t="s">
        <v>445</v>
      </c>
    </row>
    <row r="36" spans="2:3" x14ac:dyDescent="0.25">
      <c r="B36" s="33" t="s">
        <v>446</v>
      </c>
      <c r="C36" s="34" t="s">
        <v>445</v>
      </c>
    </row>
    <row r="37" spans="2:3" x14ac:dyDescent="0.25">
      <c r="B37" s="33" t="s">
        <v>447</v>
      </c>
      <c r="C37" s="34" t="s">
        <v>445</v>
      </c>
    </row>
    <row r="38" spans="2:3" x14ac:dyDescent="0.25">
      <c r="B38" s="33" t="s">
        <v>448</v>
      </c>
      <c r="C38" s="34" t="s">
        <v>237</v>
      </c>
    </row>
    <row r="39" spans="2:3" x14ac:dyDescent="0.25">
      <c r="B39" s="33" t="s">
        <v>449</v>
      </c>
      <c r="C39" s="34" t="s">
        <v>237</v>
      </c>
    </row>
    <row r="40" spans="2:3" x14ac:dyDescent="0.25">
      <c r="B40" s="33" t="s">
        <v>450</v>
      </c>
      <c r="C40" s="34" t="s">
        <v>237</v>
      </c>
    </row>
    <row r="41" spans="2:3" x14ac:dyDescent="0.25">
      <c r="B41" s="33" t="s">
        <v>451</v>
      </c>
      <c r="C41" s="34" t="s">
        <v>237</v>
      </c>
    </row>
    <row r="42" spans="2:3" x14ac:dyDescent="0.25">
      <c r="B42" s="33" t="s">
        <v>452</v>
      </c>
      <c r="C42" s="34" t="s">
        <v>237</v>
      </c>
    </row>
    <row r="43" spans="2:3" x14ac:dyDescent="0.25">
      <c r="B43" s="33" t="s">
        <v>453</v>
      </c>
      <c r="C43" s="34" t="s">
        <v>237</v>
      </c>
    </row>
    <row r="45" spans="2:91" x14ac:dyDescent="0.25">
      <c r="B45" s="9" t="s">
        <v>454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455</v>
      </c>
      <c r="C46" s="34" t="s">
        <v>237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456</v>
      </c>
      <c r="C47" s="34" t="s">
        <v>423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457</v>
      </c>
      <c r="C48" s="34" t="s">
        <v>423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458</v>
      </c>
      <c r="C49" s="34" t="s">
        <v>237</v>
      </c>
      <c r="D49" s="14">
        <f>CL17</f>
      </c>
    </row>
    <row r="51" spans="2:91" x14ac:dyDescent="0.25">
      <c r="B51" s="9" t="s">
        <v>459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460</v>
      </c>
      <c r="C55" s="34" t="s">
        <v>237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461</v>
      </c>
      <c r="C56" s="34" t="s">
        <v>237</v>
      </c>
      <c r="E56" s="31">
        <f>'Revenue'!E17-'Opex'!E24+'IS(Q)'!E44+'IS(Q)'!E31+'Revenue'!E22-('Debt'!E8)</f>
      </c>
      <c r="F56" s="31">
        <f>'Revenue'!F17-'Opex'!F24+'IS(Q)'!F44+'IS(Q)'!F31+'Revenue'!F22-('Debt'!F8)</f>
      </c>
      <c r="G56" s="31">
        <f>'Revenue'!G17-'Opex'!G24+'IS(Q)'!G44+'IS(Q)'!G31+'Revenue'!G22-('Debt'!G8)</f>
      </c>
      <c r="H56" s="31">
        <f>'Revenue'!H17-'Opex'!H24+'IS(Q)'!H44+'IS(Q)'!H31+'Revenue'!H22-('Debt'!H8)</f>
      </c>
      <c r="I56" s="31">
        <f>'Revenue'!I17-'Opex'!I24+'IS(Q)'!I44+'IS(Q)'!I31+'Revenue'!I22-('Debt'!I8)</f>
      </c>
      <c r="J56" s="31">
        <f>'Revenue'!J17-'Opex'!J24+'IS(Q)'!J44+'IS(Q)'!J31+'Revenue'!J22-('Debt'!J8)</f>
      </c>
      <c r="K56" s="31">
        <f>'Revenue'!K17-'Opex'!K24+'IS(Q)'!K44+'IS(Q)'!K31+'Revenue'!K22-('Debt'!K8)</f>
      </c>
      <c r="L56" s="31">
        <f>'Revenue'!L17-'Opex'!L24+'IS(Q)'!L44+'IS(Q)'!L31+'Revenue'!L22-('Debt'!L8)</f>
      </c>
      <c r="M56" s="31">
        <f>'Revenue'!M17-'Opex'!M24+'IS(Q)'!M44+'IS(Q)'!M31+'Revenue'!M22-('Debt'!M8)</f>
      </c>
      <c r="N56" s="31">
        <f>'Revenue'!N17-'Opex'!N24+'IS(Q)'!N44+'IS(Q)'!N31+'Revenue'!N22-('Debt'!N8)</f>
      </c>
      <c r="O56" s="31">
        <f>'Revenue'!O17-'Opex'!O24+'IS(Q)'!O44+'IS(Q)'!O31+'Revenue'!O22-('Debt'!O8)</f>
      </c>
      <c r="P56" s="31">
        <f>'Revenue'!P17-'Opex'!P24+'IS(Q)'!P44+'IS(Q)'!P31+'Revenue'!P22-('Debt'!P8)</f>
      </c>
      <c r="Q56" s="31">
        <f>'Revenue'!Q17-'Opex'!Q24+'IS(Q)'!Q44+'IS(Q)'!Q31+'Revenue'!Q22-('Debt'!Q8)</f>
      </c>
      <c r="R56" s="31">
        <f>'Revenue'!R17-'Opex'!R24+'IS(Q)'!R44+'IS(Q)'!R31+'Revenue'!R22-('Debt'!R8)</f>
      </c>
      <c r="S56" s="31">
        <f>'Revenue'!S17-'Opex'!S24+'IS(Q)'!S44+'IS(Q)'!S31+'Revenue'!S22-('Debt'!S8)</f>
      </c>
      <c r="T56" s="31">
        <f>'Revenue'!T17-'Opex'!T24+'IS(Q)'!T44+'IS(Q)'!T31+'Revenue'!T22-('Debt'!T8)</f>
      </c>
      <c r="U56" s="31">
        <f>'Revenue'!U17-'Opex'!U24+'IS(Q)'!U44+'IS(Q)'!U31+'Revenue'!U22-('Debt'!U8)</f>
      </c>
      <c r="V56" s="31">
        <f>'Revenue'!V17-'Opex'!V24+'IS(Q)'!V44+'IS(Q)'!V31+'Revenue'!V22-('Debt'!V8)</f>
      </c>
      <c r="W56" s="31">
        <f>'Revenue'!W17-'Opex'!W24+'IS(Q)'!W44+'IS(Q)'!W31+'Revenue'!W22-('Debt'!W8)</f>
      </c>
      <c r="X56" s="31">
        <f>'Revenue'!X17-'Opex'!X24+'IS(Q)'!X44+'IS(Q)'!X31+'Revenue'!X22-('Debt'!X8)</f>
      </c>
      <c r="Y56" s="31">
        <f>'Revenue'!Y17-'Opex'!Y24+'IS(Q)'!Y44+'IS(Q)'!Y31+'Revenue'!Y22-('Debt'!Y8)</f>
      </c>
      <c r="Z56" s="31">
        <f>'Revenue'!Z17-'Opex'!Z24+'IS(Q)'!Z44+'IS(Q)'!Z31+'Revenue'!Z22-('Debt'!Z8)</f>
      </c>
      <c r="AA56" s="31">
        <f>'Revenue'!AA17-'Opex'!AA24+'IS(Q)'!AA44+'IS(Q)'!AA31+'Revenue'!AA22-('Debt'!AA8)</f>
      </c>
      <c r="AB56" s="31">
        <f>'Revenue'!AB17-'Opex'!AB24+'IS(Q)'!AB44+'IS(Q)'!AB31+'Revenue'!AB22-('Debt'!AB8)</f>
      </c>
      <c r="AC56" s="31">
        <f>'Revenue'!AC17-'Opex'!AC24+'IS(Q)'!AC44+'IS(Q)'!AC31+'Revenue'!AC22-('Debt'!AC8)</f>
      </c>
      <c r="AD56" s="31">
        <f>'Revenue'!AD17-'Opex'!AD24+'IS(Q)'!AD44+'IS(Q)'!AD31+'Revenue'!AD22-('Debt'!AD8)</f>
      </c>
      <c r="AE56" s="31">
        <f>'Revenue'!AE17-'Opex'!AE24+'IS(Q)'!AE44+'IS(Q)'!AE31+'Revenue'!AE22-('Debt'!AE8)</f>
      </c>
      <c r="AF56" s="31">
        <f>'Revenue'!AF17-'Opex'!AF24+'IS(Q)'!AF44+'IS(Q)'!AF31+'Revenue'!AF22-('Debt'!AF8)</f>
      </c>
      <c r="AG56" s="31">
        <f>'Revenue'!AG17-'Opex'!AG24+'IS(Q)'!AG44+'IS(Q)'!AG31+'Revenue'!AG22-('Debt'!AG8)</f>
      </c>
      <c r="AH56" s="31">
        <f>'Revenue'!AH17-'Opex'!AH24+'IS(Q)'!AH44+'IS(Q)'!AH31+'Revenue'!AH22-('Debt'!AH8)</f>
      </c>
      <c r="AI56" s="31">
        <f>'Revenue'!AI17-'Opex'!AI24+'IS(Q)'!AI44+'IS(Q)'!AI31+'Revenue'!AI22-('Debt'!AI8)</f>
      </c>
      <c r="AJ56" s="31">
        <f>'Revenue'!AJ17-'Opex'!AJ24+'IS(Q)'!AJ44+'IS(Q)'!AJ31+'Revenue'!AJ22-('Debt'!AJ8)</f>
      </c>
      <c r="AK56" s="31">
        <f>'Revenue'!AK17-'Opex'!AK24+'IS(Q)'!AK44+'IS(Q)'!AK31+'Revenue'!AK22-('Debt'!AK8)</f>
      </c>
      <c r="AL56" s="31">
        <f>'Revenue'!AL17-'Opex'!AL24+'IS(Q)'!AL44+'IS(Q)'!AL31+'Revenue'!AL22-('Debt'!AL8)</f>
      </c>
      <c r="AM56" s="31">
        <f>'Revenue'!AM17-'Opex'!AM24+'IS(Q)'!AM44+'IS(Q)'!AM31+'Revenue'!AM22-('Debt'!AM8)</f>
      </c>
      <c r="AN56" s="31">
        <f>'Revenue'!AN17-'Opex'!AN24+'IS(Q)'!AN44+'IS(Q)'!AN31+'Revenue'!AN22-('Debt'!AN8)</f>
      </c>
      <c r="AO56" s="31">
        <f>'Revenue'!AO17-'Opex'!AO24+'IS(Q)'!AO44+'IS(Q)'!AO31+'Revenue'!AO22-('Debt'!AO8)</f>
      </c>
      <c r="AP56" s="31">
        <f>'Revenue'!AP17-'Opex'!AP24+'IS(Q)'!AP44+'IS(Q)'!AP31+'Revenue'!AP22-('Debt'!AP8)</f>
      </c>
      <c r="AQ56" s="31">
        <f>'Revenue'!AQ17-'Opex'!AQ24+'IS(Q)'!AQ44+'IS(Q)'!AQ31+'Revenue'!AQ22-('Debt'!AQ8)</f>
      </c>
      <c r="AR56" s="31">
        <f>'Revenue'!AR17-'Opex'!AR24+'IS(Q)'!AR44+'IS(Q)'!AR31+'Revenue'!AR22-('Debt'!AR8)</f>
      </c>
      <c r="AS56" s="31">
        <f>'Revenue'!AS17-'Opex'!AS24+'IS(Q)'!AS44+'IS(Q)'!AS31+'Revenue'!AS22-('Debt'!AS8)</f>
      </c>
      <c r="AT56" s="31">
        <f>'Revenue'!AT17-'Opex'!AT24+'IS(Q)'!AT44+'IS(Q)'!AT31+'Revenue'!AT22-('Debt'!AT8)</f>
      </c>
      <c r="AU56" s="31">
        <f>'Revenue'!AU17-'Opex'!AU24+'IS(Q)'!AU44+'IS(Q)'!AU31+'Revenue'!AU22-('Debt'!AU8)</f>
      </c>
      <c r="AV56" s="31">
        <f>'Revenue'!AV17-'Opex'!AV24+'IS(Q)'!AV44+'IS(Q)'!AV31+'Revenue'!AV22-('Debt'!AV8)</f>
      </c>
      <c r="AW56" s="31">
        <f>'Revenue'!AW17-'Opex'!AW24+'IS(Q)'!AW44+'IS(Q)'!AW31+'Revenue'!AW22-('Debt'!AW8)</f>
      </c>
      <c r="AX56" s="31">
        <f>'Revenue'!AX17-'Opex'!AX24+'IS(Q)'!AX44+'IS(Q)'!AX31+'Revenue'!AX22-('Debt'!AX8)</f>
      </c>
      <c r="AY56" s="31">
        <f>'Revenue'!AY17-'Opex'!AY24+'IS(Q)'!AY44+'IS(Q)'!AY31+'Revenue'!AY22-('Debt'!AY8)</f>
      </c>
      <c r="AZ56" s="31">
        <f>'Revenue'!AZ17-'Opex'!AZ24+'IS(Q)'!AZ44+'IS(Q)'!AZ31+'Revenue'!AZ22-('Debt'!AZ8)</f>
      </c>
      <c r="BA56" s="31">
        <f>'Revenue'!BA17-'Opex'!BA24+'IS(Q)'!BA44+'IS(Q)'!BA31+'Revenue'!BA22-('Debt'!BA8)</f>
      </c>
      <c r="BB56" s="31">
        <f>'Revenue'!BB17-'Opex'!BB24+'IS(Q)'!BB44+'IS(Q)'!BB31+'Revenue'!BB22-('Debt'!BB8)</f>
      </c>
      <c r="BC56" s="31">
        <f>'Revenue'!BC17-'Opex'!BC24+'IS(Q)'!BC44+'IS(Q)'!BC31+'Revenue'!BC22-('Debt'!BC8)</f>
      </c>
      <c r="BD56" s="31">
        <f>'Revenue'!BD17-'Opex'!BD24+'IS(Q)'!BD44+'IS(Q)'!BD31+'Revenue'!BD22-('Debt'!BD8)</f>
      </c>
      <c r="BE56" s="31">
        <f>'Revenue'!BE17-'Opex'!BE24+'IS(Q)'!BE44+'IS(Q)'!BE31+'Revenue'!BE22-('Debt'!BE8)</f>
      </c>
      <c r="BF56" s="31">
        <f>'Revenue'!BF17-'Opex'!BF24+'IS(Q)'!BF44+'IS(Q)'!BF31+'Revenue'!BF22-('Debt'!BF8)</f>
      </c>
      <c r="BG56" s="31">
        <f>'Revenue'!BG17-'Opex'!BG24+'IS(Q)'!BG44+'IS(Q)'!BG31+'Revenue'!BG22-('Debt'!BG8)</f>
      </c>
      <c r="BH56" s="31">
        <f>'Revenue'!BH17-'Opex'!BH24+'IS(Q)'!BH44+'IS(Q)'!BH31+'Revenue'!BH22-('Debt'!BH8)</f>
      </c>
      <c r="BI56" s="31">
        <f>'Revenue'!BI17-'Opex'!BI24+'IS(Q)'!BI44+'IS(Q)'!BI31+'Revenue'!BI22-('Debt'!BI8)</f>
      </c>
      <c r="BJ56" s="31">
        <f>'Revenue'!BJ17-'Opex'!BJ24+'IS(Q)'!BJ44+'IS(Q)'!BJ31+'Revenue'!BJ22-('Debt'!BJ8)</f>
      </c>
      <c r="BK56" s="31">
        <f>'Revenue'!BK17-'Opex'!BK24+'IS(Q)'!BK44+'IS(Q)'!BK31+'Revenue'!BK22-('Debt'!BK8)</f>
      </c>
      <c r="BL56" s="31">
        <f>'Revenue'!BL17-'Opex'!BL24+'IS(Q)'!BL44+'IS(Q)'!BL31+'Revenue'!BL22-('Debt'!BL8)</f>
      </c>
      <c r="BM56" s="31">
        <f>'Revenue'!BM17-'Opex'!BM24+'IS(Q)'!BM44+'IS(Q)'!BM31+'Revenue'!BM22-('Debt'!BM8)</f>
      </c>
      <c r="BN56" s="31">
        <f>'Revenue'!BN17-'Opex'!BN24+'IS(Q)'!BN44+'IS(Q)'!BN31+'Revenue'!BN22-('Debt'!BN8)</f>
      </c>
      <c r="BO56" s="31">
        <f>'Revenue'!BO17-'Opex'!BO24+'IS(Q)'!BO44+'IS(Q)'!BO31+'Revenue'!BO22-('Debt'!BO8)</f>
      </c>
      <c r="BP56" s="31">
        <f>'Revenue'!BP17-'Opex'!BP24+'IS(Q)'!BP44+'IS(Q)'!BP31+'Revenue'!BP22-('Debt'!BP8)</f>
      </c>
      <c r="BQ56" s="31">
        <f>'Revenue'!BQ17-'Opex'!BQ24+'IS(Q)'!BQ44+'IS(Q)'!BQ31+'Revenue'!BQ22-('Debt'!BQ8)</f>
      </c>
      <c r="BR56" s="31">
        <f>'Revenue'!BR17-'Opex'!BR24+'IS(Q)'!BR44+'IS(Q)'!BR31+'Revenue'!BR22-('Debt'!BR8)</f>
      </c>
      <c r="BS56" s="31">
        <f>'Revenue'!BS17-'Opex'!BS24+'IS(Q)'!BS44+'IS(Q)'!BS31+'Revenue'!BS22-('Debt'!BS8)</f>
      </c>
      <c r="BT56" s="31">
        <f>'Revenue'!BT17-'Opex'!BT24+'IS(Q)'!BT44+'IS(Q)'!BT31+'Revenue'!BT22-('Debt'!BT8)</f>
      </c>
      <c r="BU56" s="31">
        <f>'Revenue'!BU17-'Opex'!BU24+'IS(Q)'!BU44+'IS(Q)'!BU31+'Revenue'!BU22-('Debt'!BU8)</f>
      </c>
      <c r="BV56" s="31">
        <f>'Revenue'!BV17-'Opex'!BV24+'IS(Q)'!BV44+'IS(Q)'!BV31+'Revenue'!BV22-('Debt'!BV8)</f>
      </c>
      <c r="BW56" s="31">
        <f>'Revenue'!BW17-'Opex'!BW24+'IS(Q)'!BW44+'IS(Q)'!BW31+'Revenue'!BW22-('Debt'!BW8)</f>
      </c>
      <c r="BX56" s="31">
        <f>'Revenue'!BX17-'Opex'!BX24+'IS(Q)'!BX44+'IS(Q)'!BX31+'Revenue'!BX22-('Debt'!BX8)</f>
      </c>
      <c r="BY56" s="31">
        <f>'Revenue'!BY17-'Opex'!BY24+'IS(Q)'!BY44+'IS(Q)'!BY31+'Revenue'!BY22-('Debt'!BY8)</f>
      </c>
      <c r="BZ56" s="31">
        <f>'Revenue'!BZ17-'Opex'!BZ24+'IS(Q)'!BZ44+'IS(Q)'!BZ31+'Revenue'!BZ22-('Debt'!BZ8)</f>
      </c>
      <c r="CA56" s="31">
        <f>'Revenue'!CA17-'Opex'!CA24+'IS(Q)'!CA44+'IS(Q)'!CA31+'Revenue'!CA22-('Debt'!CA8)</f>
      </c>
      <c r="CB56" s="31">
        <f>'Revenue'!CB17-'Opex'!CB24+'IS(Q)'!CB44+'IS(Q)'!CB31+'Revenue'!CB22-('Debt'!CB8)</f>
      </c>
      <c r="CC56" s="31">
        <f>'Revenue'!CC17-'Opex'!CC24+'IS(Q)'!CC44+'IS(Q)'!CC31+'Revenue'!CC22-('Debt'!CC8)</f>
      </c>
      <c r="CD56" s="31">
        <f>'Revenue'!CD17-'Opex'!CD24+'IS(Q)'!CD44+'IS(Q)'!CD31+'Revenue'!CD22-('Debt'!CD8)</f>
      </c>
      <c r="CE56" s="31">
        <f>'Revenue'!CE17-'Opex'!CE24+'IS(Q)'!CE44+'IS(Q)'!CE31+'Revenue'!CE22-('Debt'!CE8)</f>
      </c>
      <c r="CF56" s="31">
        <f>'Revenue'!CF17-'Opex'!CF24+'IS(Q)'!CF44+'IS(Q)'!CF31+'Revenue'!CF22-('Debt'!CF8)</f>
      </c>
      <c r="CG56" s="31">
        <f>'Revenue'!CG17-'Opex'!CG24+'IS(Q)'!CG44+'IS(Q)'!CG31+'Revenue'!CG22-('Debt'!CG8)</f>
      </c>
      <c r="CH56" s="31">
        <f>'Revenue'!CH17-'Opex'!CH24+'IS(Q)'!CH44+'IS(Q)'!CH31+'Revenue'!CH22-('Debt'!CH8)</f>
      </c>
      <c r="CI56" s="31">
        <f>'Revenue'!CI17-'Opex'!CI24+'IS(Q)'!CI44+'IS(Q)'!CI31+'Revenue'!CI22-('Debt'!CI8)</f>
      </c>
      <c r="CJ56" s="31">
        <f>'Revenue'!CJ17-'Opex'!CJ24+'IS(Q)'!CJ44+'IS(Q)'!CJ31+'Revenue'!CJ22-('Debt'!CJ8)</f>
      </c>
      <c r="CK56" s="31">
        <f>'Revenue'!CK17-'Opex'!CK24+'IS(Q)'!CK44+'IS(Q)'!CK31+'Revenue'!CK22-('Debt'!CK8)</f>
      </c>
      <c r="CL56" s="31">
        <f>'Revenue'!CL17-'Opex'!CL24+'IS(Q)'!CL44-$D$73*100+'IS(Q)'!CL31+'Revenue'!CL22-('Debt'!CL8)</f>
      </c>
    </row>
    <row r="57" spans="2:90" x14ac:dyDescent="0.25">
      <c r="B57" s="33" t="s">
        <v>462</v>
      </c>
      <c r="C57" s="34" t="s">
        <v>237</v>
      </c>
      <c r="E57" s="31">
        <f>'Revenue'!E17-'Opex'!E24+'IS(Q)'!E31+'Revenue'!E22-('Debt'!E8)</f>
      </c>
      <c r="F57" s="31">
        <f>'Revenue'!F17-'Opex'!F24+'IS(Q)'!F31+'Revenue'!F22-('Debt'!F8)</f>
      </c>
      <c r="G57" s="31">
        <f>'Revenue'!G17-'Opex'!G24+'IS(Q)'!G31+'Revenue'!G22-('Debt'!G8)</f>
      </c>
      <c r="H57" s="31">
        <f>'Revenue'!H17-'Opex'!H24+'IS(Q)'!H31+'Revenue'!H22-('Debt'!H8)</f>
      </c>
      <c r="I57" s="31">
        <f>'Revenue'!I17-'Opex'!I24+'IS(Q)'!I31+'Revenue'!I22-('Debt'!I8)</f>
      </c>
      <c r="J57" s="31">
        <f>'Revenue'!J17-'Opex'!J24+'IS(Q)'!J31+'Revenue'!J22-('Debt'!J8)</f>
      </c>
      <c r="K57" s="31">
        <f>'Revenue'!K17-'Opex'!K24+'IS(Q)'!K31+'Revenue'!K22-('Debt'!K8)</f>
      </c>
      <c r="L57" s="31">
        <f>'Revenue'!L17-'Opex'!L24+'IS(Q)'!L31+'Revenue'!L22-('Debt'!L8)</f>
      </c>
      <c r="M57" s="31">
        <f>'Revenue'!M17-'Opex'!M24+'IS(Q)'!M31+'Revenue'!M22-('Debt'!M8)</f>
      </c>
      <c r="N57" s="31">
        <f>'Revenue'!N17-'Opex'!N24+'IS(Q)'!N31+'Revenue'!N22-('Debt'!N8)</f>
      </c>
      <c r="O57" s="31">
        <f>'Revenue'!O17-'Opex'!O24+'IS(Q)'!O31+'Revenue'!O22-('Debt'!O8)</f>
      </c>
      <c r="P57" s="31">
        <f>'Revenue'!P17-'Opex'!P24+'IS(Q)'!P31+'Revenue'!P22-('Debt'!P8)</f>
      </c>
      <c r="Q57" s="31">
        <f>'Revenue'!Q17-'Opex'!Q24+'IS(Q)'!Q31+'Revenue'!Q22-('Debt'!Q8)</f>
      </c>
      <c r="R57" s="31">
        <f>'Revenue'!R17-'Opex'!R24+'IS(Q)'!R31+'Revenue'!R22-('Debt'!R8)</f>
      </c>
      <c r="S57" s="31">
        <f>'Revenue'!S17-'Opex'!S24+'IS(Q)'!S31+'Revenue'!S22-('Debt'!S8)</f>
      </c>
      <c r="T57" s="31">
        <f>'Revenue'!T17-'Opex'!T24+'IS(Q)'!T31+'Revenue'!T22-('Debt'!T8)</f>
      </c>
      <c r="U57" s="31">
        <f>'Revenue'!U17-'Opex'!U24+'IS(Q)'!U31+'Revenue'!U22-('Debt'!U8)</f>
      </c>
      <c r="V57" s="31">
        <f>'Revenue'!V17-'Opex'!V24+'IS(Q)'!V31+'Revenue'!V22-('Debt'!V8)</f>
      </c>
      <c r="W57" s="31">
        <f>'Revenue'!W17-'Opex'!W24+'IS(Q)'!W31+'Revenue'!W22-('Debt'!W8)</f>
      </c>
      <c r="X57" s="31">
        <f>'Revenue'!X17-'Opex'!X24+'IS(Q)'!X31+'Revenue'!X22-('Debt'!X8)</f>
      </c>
      <c r="Y57" s="31">
        <f>'Revenue'!Y17-'Opex'!Y24+'IS(Q)'!Y31+'Revenue'!Y22-('Debt'!Y8)</f>
      </c>
      <c r="Z57" s="31">
        <f>'Revenue'!Z17-'Opex'!Z24+'IS(Q)'!Z31+'Revenue'!Z22-('Debt'!Z8)</f>
      </c>
      <c r="AA57" s="31">
        <f>'Revenue'!AA17-'Opex'!AA24+'IS(Q)'!AA31+'Revenue'!AA22-('Debt'!AA8)</f>
      </c>
      <c r="AB57" s="31">
        <f>'Revenue'!AB17-'Opex'!AB24+'IS(Q)'!AB31+'Revenue'!AB22-('Debt'!AB8)</f>
      </c>
      <c r="AC57" s="31">
        <f>'Revenue'!AC17-'Opex'!AC24+'IS(Q)'!AC31+'Revenue'!AC22-('Debt'!AC8)</f>
      </c>
      <c r="AD57" s="31">
        <f>'Revenue'!AD17-'Opex'!AD24+'IS(Q)'!AD31+'Revenue'!AD22-('Debt'!AD8)</f>
      </c>
      <c r="AE57" s="31">
        <f>'Revenue'!AE17-'Opex'!AE24+'IS(Q)'!AE31+'Revenue'!AE22-('Debt'!AE8)</f>
      </c>
      <c r="AF57" s="31">
        <f>'Revenue'!AF17-'Opex'!AF24+'IS(Q)'!AF31+'Revenue'!AF22-('Debt'!AF8)</f>
      </c>
      <c r="AG57" s="31">
        <f>'Revenue'!AG17-'Opex'!AG24+'IS(Q)'!AG31+'Revenue'!AG22-('Debt'!AG8)</f>
      </c>
      <c r="AH57" s="31">
        <f>'Revenue'!AH17-'Opex'!AH24+'IS(Q)'!AH31+'Revenue'!AH22-('Debt'!AH8)</f>
      </c>
      <c r="AI57" s="31">
        <f>'Revenue'!AI17-'Opex'!AI24+'IS(Q)'!AI31+'Revenue'!AI22-('Debt'!AI8)</f>
      </c>
      <c r="AJ57" s="31">
        <f>'Revenue'!AJ17-'Opex'!AJ24+'IS(Q)'!AJ31+'Revenue'!AJ22-('Debt'!AJ8)</f>
      </c>
      <c r="AK57" s="31">
        <f>'Revenue'!AK17-'Opex'!AK24+'IS(Q)'!AK31+'Revenue'!AK22-('Debt'!AK8)</f>
      </c>
      <c r="AL57" s="31">
        <f>'Revenue'!AL17-'Opex'!AL24+'IS(Q)'!AL31+'Revenue'!AL22-('Debt'!AL8)</f>
      </c>
      <c r="AM57" s="31">
        <f>'Revenue'!AM17-'Opex'!AM24+'IS(Q)'!AM31+'Revenue'!AM22-('Debt'!AM8)</f>
      </c>
      <c r="AN57" s="31">
        <f>'Revenue'!AN17-'Opex'!AN24+'IS(Q)'!AN31+'Revenue'!AN22-('Debt'!AN8)</f>
      </c>
      <c r="AO57" s="31">
        <f>'Revenue'!AO17-'Opex'!AO24+'IS(Q)'!AO31+'Revenue'!AO22-('Debt'!AO8)</f>
      </c>
      <c r="AP57" s="31">
        <f>'Revenue'!AP17-'Opex'!AP24+'IS(Q)'!AP31+'Revenue'!AP22-('Debt'!AP8)</f>
      </c>
      <c r="AQ57" s="31">
        <f>'Revenue'!AQ17-'Opex'!AQ24+'IS(Q)'!AQ31+'Revenue'!AQ22-('Debt'!AQ8)</f>
      </c>
      <c r="AR57" s="31">
        <f>'Revenue'!AR17-'Opex'!AR24+'IS(Q)'!AR31+'Revenue'!AR22-('Debt'!AR8)</f>
      </c>
      <c r="AS57" s="31">
        <f>'Revenue'!AS17-'Opex'!AS24+'IS(Q)'!AS31+'Revenue'!AS22-('Debt'!AS8)</f>
      </c>
      <c r="AT57" s="31">
        <f>'Revenue'!AT17-'Opex'!AT24+'IS(Q)'!AT31+'Revenue'!AT22-('Debt'!AT8)</f>
      </c>
      <c r="AU57" s="31">
        <f>'Revenue'!AU17-'Opex'!AU24+'IS(Q)'!AU31+'Revenue'!AU22-('Debt'!AU8)</f>
      </c>
      <c r="AV57" s="31">
        <f>'Revenue'!AV17-'Opex'!AV24+'IS(Q)'!AV31+'Revenue'!AV22-('Debt'!AV8)</f>
      </c>
      <c r="AW57" s="31">
        <f>'Revenue'!AW17-'Opex'!AW24+'IS(Q)'!AW31+'Revenue'!AW22-('Debt'!AW8)</f>
      </c>
      <c r="AX57" s="31">
        <f>'Revenue'!AX17-'Opex'!AX24+'IS(Q)'!AX31+'Revenue'!AX22-('Debt'!AX8)</f>
      </c>
      <c r="AY57" s="31">
        <f>'Revenue'!AY17-'Opex'!AY24+'IS(Q)'!AY31+'Revenue'!AY22-('Debt'!AY8)</f>
      </c>
      <c r="AZ57" s="31">
        <f>'Revenue'!AZ17-'Opex'!AZ24+'IS(Q)'!AZ31+'Revenue'!AZ22-('Debt'!AZ8)</f>
      </c>
      <c r="BA57" s="31">
        <f>'Revenue'!BA17-'Opex'!BA24+'IS(Q)'!BA31+'Revenue'!BA22-('Debt'!BA8)</f>
      </c>
      <c r="BB57" s="31">
        <f>'Revenue'!BB17-'Opex'!BB24+'IS(Q)'!BB31+'Revenue'!BB22-('Debt'!BB8)</f>
      </c>
      <c r="BC57" s="31">
        <f>'Revenue'!BC17-'Opex'!BC24+'IS(Q)'!BC31+'Revenue'!BC22-('Debt'!BC8)</f>
      </c>
      <c r="BD57" s="31">
        <f>'Revenue'!BD17-'Opex'!BD24+'IS(Q)'!BD31+'Revenue'!BD22-('Debt'!BD8)</f>
      </c>
      <c r="BE57" s="31">
        <f>'Revenue'!BE17-'Opex'!BE24+'IS(Q)'!BE31+'Revenue'!BE22-('Debt'!BE8)</f>
      </c>
      <c r="BF57" s="31">
        <f>'Revenue'!BF17-'Opex'!BF24+'IS(Q)'!BF31+'Revenue'!BF22-('Debt'!BF8)</f>
      </c>
      <c r="BG57" s="31">
        <f>'Revenue'!BG17-'Opex'!BG24+'IS(Q)'!BG31+'Revenue'!BG22-('Debt'!BG8)</f>
      </c>
      <c r="BH57" s="31">
        <f>'Revenue'!BH17-'Opex'!BH24+'IS(Q)'!BH31+'Revenue'!BH22-('Debt'!BH8)</f>
      </c>
      <c r="BI57" s="31">
        <f>'Revenue'!BI17-'Opex'!BI24+'IS(Q)'!BI31+'Revenue'!BI22-('Debt'!BI8)</f>
      </c>
      <c r="BJ57" s="31">
        <f>'Revenue'!BJ17-'Opex'!BJ24+'IS(Q)'!BJ31+'Revenue'!BJ22-('Debt'!BJ8)</f>
      </c>
      <c r="BK57" s="31">
        <f>'Revenue'!BK17-'Opex'!BK24+'IS(Q)'!BK31+'Revenue'!BK22-('Debt'!BK8)</f>
      </c>
      <c r="BL57" s="31">
        <f>'Revenue'!BL17-'Opex'!BL24+'IS(Q)'!BL31+'Revenue'!BL22-('Debt'!BL8)</f>
      </c>
      <c r="BM57" s="31">
        <f>'Revenue'!BM17-'Opex'!BM24+'IS(Q)'!BM31+'Revenue'!BM22-('Debt'!BM8)</f>
      </c>
      <c r="BN57" s="31">
        <f>'Revenue'!BN17-'Opex'!BN24+'IS(Q)'!BN31+'Revenue'!BN22-('Debt'!BN8)</f>
      </c>
      <c r="BO57" s="31">
        <f>'Revenue'!BO17-'Opex'!BO24+'IS(Q)'!BO31+'Revenue'!BO22-('Debt'!BO8)</f>
      </c>
      <c r="BP57" s="31">
        <f>'Revenue'!BP17-'Opex'!BP24+'IS(Q)'!BP31+'Revenue'!BP22-('Debt'!BP8)</f>
      </c>
      <c r="BQ57" s="31">
        <f>'Revenue'!BQ17-'Opex'!BQ24+'IS(Q)'!BQ31+'Revenue'!BQ22-('Debt'!BQ8)</f>
      </c>
      <c r="BR57" s="31">
        <f>'Revenue'!BR17-'Opex'!BR24+'IS(Q)'!BR31+'Revenue'!BR22-('Debt'!BR8)</f>
      </c>
      <c r="BS57" s="31">
        <f>'Revenue'!BS17-'Opex'!BS24+'IS(Q)'!BS31+'Revenue'!BS22-('Debt'!BS8)</f>
      </c>
      <c r="BT57" s="31">
        <f>'Revenue'!BT17-'Opex'!BT24+'IS(Q)'!BT31+'Revenue'!BT22-('Debt'!BT8)</f>
      </c>
      <c r="BU57" s="31">
        <f>'Revenue'!BU17-'Opex'!BU24+'IS(Q)'!BU31+'Revenue'!BU22-('Debt'!BU8)</f>
      </c>
      <c r="BV57" s="31">
        <f>'Revenue'!BV17-'Opex'!BV24+'IS(Q)'!BV31+'Revenue'!BV22-('Debt'!BV8)</f>
      </c>
      <c r="BW57" s="31">
        <f>'Revenue'!BW17-'Opex'!BW24+'IS(Q)'!BW31+'Revenue'!BW22-('Debt'!BW8)</f>
      </c>
      <c r="BX57" s="31">
        <f>'Revenue'!BX17-'Opex'!BX24+'IS(Q)'!BX31+'Revenue'!BX22-('Debt'!BX8)</f>
      </c>
      <c r="BY57" s="31">
        <f>'Revenue'!BY17-'Opex'!BY24+'IS(Q)'!BY31+'Revenue'!BY22-('Debt'!BY8)</f>
      </c>
      <c r="BZ57" s="31">
        <f>'Revenue'!BZ17-'Opex'!BZ24+'IS(Q)'!BZ31+'Revenue'!BZ22-('Debt'!BZ8)</f>
      </c>
      <c r="CA57" s="31">
        <f>'Revenue'!CA17-'Opex'!CA24+'IS(Q)'!CA31+'Revenue'!CA22-('Debt'!CA8)</f>
      </c>
      <c r="CB57" s="31">
        <f>'Revenue'!CB17-'Opex'!CB24+'IS(Q)'!CB31+'Revenue'!CB22-('Debt'!CB8)</f>
      </c>
      <c r="CC57" s="31">
        <f>'Revenue'!CC17-'Opex'!CC24+'IS(Q)'!CC31+'Revenue'!CC22-('Debt'!CC8)</f>
      </c>
      <c r="CD57" s="31">
        <f>'Revenue'!CD17-'Opex'!CD24+'IS(Q)'!CD31+'Revenue'!CD22-('Debt'!CD8)</f>
      </c>
      <c r="CE57" s="31">
        <f>'Revenue'!CE17-'Opex'!CE24+'IS(Q)'!CE31+'Revenue'!CE22-('Debt'!CE8)</f>
      </c>
      <c r="CF57" s="31">
        <f>'Revenue'!CF17-'Opex'!CF24+'IS(Q)'!CF31+'Revenue'!CF22-('Debt'!CF8)</f>
      </c>
      <c r="CG57" s="31">
        <f>'Revenue'!CG17-'Opex'!CG24+'IS(Q)'!CG31+'Revenue'!CG22-('Debt'!CG8)</f>
      </c>
      <c r="CH57" s="31">
        <f>'Revenue'!CH17-'Opex'!CH24+'IS(Q)'!CH31+'Revenue'!CH22-('Debt'!CH8)</f>
      </c>
      <c r="CI57" s="31">
        <f>'Revenue'!CI17-'Opex'!CI24+'IS(Q)'!CI31+'Revenue'!CI22-('Debt'!CI8)</f>
      </c>
      <c r="CJ57" s="31">
        <f>'Revenue'!CJ17-'Opex'!CJ24+'IS(Q)'!CJ31+'Revenue'!CJ22-('Debt'!CJ8)</f>
      </c>
      <c r="CK57" s="31">
        <f>'Revenue'!CK17-'Opex'!CK24+'IS(Q)'!CK31+'Revenue'!CK22-('Debt'!CK8)</f>
      </c>
      <c r="CL57" s="31">
        <f>'Revenue'!CL17-'Opex'!CL24-$D$73*100+'IS(Q)'!CL31+'Revenue'!CL22-('Debt'!CL8)</f>
      </c>
    </row>
    <row r="58" spans="2:90" x14ac:dyDescent="0.25">
      <c r="B58" s="33" t="s">
        <v>463</v>
      </c>
      <c r="C58" s="34" t="s">
        <v>237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464</v>
      </c>
      <c r="C59" s="34" t="s">
        <v>237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465</v>
      </c>
      <c r="C60" s="34" t="s">
        <v>237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6" t="s">
        <v>466</v>
      </c>
      <c r="C62" s="34" t="s">
        <v>363</v>
      </c>
      <c r="D62" s="15">
        <f>(1+IRR(E57:CL57,0.020476572460195186))^4-1</f>
      </c>
    </row>
    <row r="63" spans="2:4" x14ac:dyDescent="0.25">
      <c r="B63" s="46" t="s">
        <v>467</v>
      </c>
      <c r="C63" s="34" t="s">
        <v>363</v>
      </c>
      <c r="D63" s="15">
        <f>(1+IRR(E56:CL56,0.01873021186520507))^4-1</f>
      </c>
    </row>
    <row r="64" spans="2:4" x14ac:dyDescent="0.25">
      <c r="B64" s="46" t="s">
        <v>468</v>
      </c>
      <c r="C64" s="34" t="s">
        <v>363</v>
      </c>
      <c r="D64" s="15">
        <f>(1+IRR(E58:CL58,0.029916661783614185))^4-1</f>
      </c>
    </row>
    <row r="65" spans="2:4" x14ac:dyDescent="0.25">
      <c r="B65" s="46" t="s">
        <v>469</v>
      </c>
      <c r="C65" s="34" t="s">
        <v>363</v>
      </c>
      <c r="D65" s="15">
        <f>(1+IRR(E59:CL59,0.024356261515786404))^4-1</f>
      </c>
    </row>
    <row r="66" spans="2:4" x14ac:dyDescent="0.25">
      <c r="B66" s="46" t="s">
        <v>470</v>
      </c>
      <c r="C66" s="34" t="s">
        <v>363</v>
      </c>
      <c r="D66" s="15">
        <f>(1+IRR(E60:CL60,0.01683102724296992))^4-1</f>
      </c>
    </row>
    <row r="68" spans="2:2" x14ac:dyDescent="0.25">
      <c r="B68" s="37" t="s">
        <v>471</v>
      </c>
    </row>
    <row r="71" spans="2:91" x14ac:dyDescent="0.25">
      <c r="B71" s="9" t="s">
        <v>229</v>
      </c>
      <c r="C71" s="10"/>
      <c r="D71" s="43" t="s">
        <v>230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231</v>
      </c>
    </row>
    <row r="73" spans="2:4" x14ac:dyDescent="0.25">
      <c r="B73" s="33" t="s">
        <v>403</v>
      </c>
      <c r="C73" s="44" t="s">
        <v>404</v>
      </c>
      <c r="D73" s="45">
        <f>'입력값'!C17</f>
      </c>
    </row>
    <row r="74" spans="2:4" x14ac:dyDescent="0.25">
      <c r="B74" s="33" t="s">
        <v>472</v>
      </c>
      <c r="C74" s="44" t="s">
        <v>473</v>
      </c>
      <c r="D74" s="45">
        <f>'입력값'!C25</f>
      </c>
    </row>
    <row r="75" spans="2:4" x14ac:dyDescent="0.25">
      <c r="B75" s="33" t="s">
        <v>474</v>
      </c>
      <c r="C75" s="44" t="s">
        <v>475</v>
      </c>
      <c r="D75" s="66">
        <f>'입력값'!C26</f>
      </c>
    </row>
    <row r="76" spans="2:4" x14ac:dyDescent="0.25">
      <c r="B76" s="33" t="s">
        <v>476</v>
      </c>
      <c r="C76" s="44" t="s">
        <v>477</v>
      </c>
      <c r="D76" s="66">
        <f>'입력값'!C27</f>
      </c>
    </row>
    <row r="77" spans="2:4" x14ac:dyDescent="0.25">
      <c r="B77" s="33" t="s">
        <v>478</v>
      </c>
      <c r="C77" s="44" t="s">
        <v>479</v>
      </c>
      <c r="D77" s="67">
        <f>'입력값'!C28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2026-09-22T10:17:05Z</dcterms:created>
  <dcterms:modified xsi:type="dcterms:W3CDTF">2026-09-22T10:17:05Z</dcterms:modified>
</cp:coreProperties>
</file>