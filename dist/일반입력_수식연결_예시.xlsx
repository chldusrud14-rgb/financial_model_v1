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<sst xmlns="http://schemas.openxmlformats.org/spreadsheetml/2006/main" count="823" uniqueCount="279">
  <si>
    <t>태양광 발전사업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</si>
  <si>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</si>
  <si>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</si>
  <si>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</si>
  <si>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</si>
  <si>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</si>
  <si>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</si>
  <si>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</si>
  <si>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</si>
  <si>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</si>
  <si>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</si>
  <si>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</si>
  <si>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</si>
  <si>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</si>
  <si>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</si>
  <si>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</si>
  <si>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</si>
  <si>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</si>
  <si>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</si>
  <si>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</si>
  <si>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</si>
  <si>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</si>
  <si>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</si>
  <si>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</si>
  <si>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</si>
  <si>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</si>
  <si>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</si>
  <si>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</si>
  <si>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</si>
  <si>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</si>
  <si>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</si>
  <si>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</si>
  <si>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</si>
  <si>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</si>
  <si>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</si>
  <si>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</si>
  <si>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</si>
  <si>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</si>
  <si>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</si>
  <si>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</si>
  <si>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</si>
  <si>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</si>
  <si>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</si>
  <si>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</si>
  <si>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</si>
  <si>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</si>
  <si>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</si>
  <si>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</si>
  <si>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</si>
  <si>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</si>
  <si>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</si>
  <si>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</si>
  <si>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</si>
  <si>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</si>
  <si>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</si>
  <si>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</si>
  <si>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</si>
  <si>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</si>
  <si>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</si>
  <si>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</si>
  <si>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</si>
  <si>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</si>
  <si>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</si>
  <si>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</si>
  <si>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</si>
  <si>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</si>
  <si>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</si>
  <si>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</si>
  <si>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</si>
  <si>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</si>
  <si>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</si>
  <si>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</si>
  <si>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</si>
  <si>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</si>
  <si>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</si>
  <si>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</si>
  <si>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</si>
  <si>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</si>
  <si>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</si>
  <si>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</si>
  <si>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</si>
  <si>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</si>
  <si>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</si>
  <si>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</si>
  <si>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</si>
  <si>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에스컬레이션[%/yr]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</si>
  <si>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</si>
  <si>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</si>
  <si>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</si>
  <si>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</si>
  <si>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</si>
  <si>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</si>
  <si>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</si>
  <si>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</si>
  <si>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</si>
  <si>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</si>
  <si>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</si>
  <si>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※ 노란색 셀 = 화면에서 직접 key-in한 입력값(재무모델링 관례). 세금·최저한세·배당가능이익 캡 등 IS(Q)/CF(Q)의 계산 결과는 반복계산·조건부 누적 로직이 얽혀 있어 여기 대상이 아니며 값(baked) 기준입니다. "예시 불러오기"로 채운 실측 오버라이드 분기도 공식이 아니라 실측 사실이라 수식화 대상이 아닙니다.</t>
  </si>
  <si>
    <t>자금조달 — 자본금 + 5개 트랜치</t>
  </si>
  <si>
    <t>금액[KRWm]</t>
  </si>
  <si>
    <t>투입순서</t>
  </si>
  <si>
    <t>건설금리</t>
  </si>
  <si>
    <t>운영금리</t>
  </si>
  <si>
    <t>상환개시</t>
  </si>
  <si>
    <t>자본금</t>
  </si>
  <si>
    <t/>
  </si>
  <si>
    <t>2026-09-30</t>
  </si>
  <si>
    <t>-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</si>
  <si>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</si>
  <si>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</si>
  <si>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</si>
  <si>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</si>
  <si>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</si>
  <si>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</si>
  <si>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</si>
  <si>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</si>
  <si>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</si>
  <si>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</si>
  <si>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</si>
  <si>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</si>
  <si>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</si>
  <si>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</si>
  <si>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</si>
  <si>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</si>
  <si>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</si>
  <si>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</si>
  <si>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</si>
  <si>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</si>
  <si>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</si>
  <si>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</si>
  <si>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</si>
  <si>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</si>
  <si>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</si>
  <si>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</si>
  <si>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</si>
  <si>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</si>
  <si>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</si>
  <si>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</si>
  <si>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</si>
  <si>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</si>
  <si>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</si>
  <si>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</si>
  <si>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</si>
  <si>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</si>
  <si>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</si>
  <si>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</si>
  <si>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</si>
  <si>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</si>
  <si>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</si>
  <si>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</si>
  <si>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</si>
  <si>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</si>
  <si>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</si>
  <si>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</si>
  <si>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</si>
  <si>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</si>
  <si>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</si>
  <si>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</si>
  <si>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</si>
  <si>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</si>
  <si>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</si>
  <si>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</si>
  <si>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</si>
  <si>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</si>
  <si>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</si>
  <si>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</si>
  <si>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</si>
  <si>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</si>
  <si>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</si>
  <si>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</si>
  <si>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</si>
  <si>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</si>
  <si>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</si>
  <si>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</si>
  <si>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</si>
  <si>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</si>
  <si>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</si>
  <si>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</si>
  <si>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</si>
  <si>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</si>
  <si>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</si>
  <si>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</si>
  <si>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</si>
  <si>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</si>
  <si>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</si>
  <si>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</si>
  <si>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</si>
  <si>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</si>
  <si>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</si>
  <si>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</si>
  <si>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</si>
  <si>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</si>
  <si>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</si>
  <si>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</si>
  <si>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</si>
  <si>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</si>
  <si>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</si>
  <si>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</si>
  <si>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</si>
  <si>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</si>
  <si>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</si>
  <si>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</si>
  <si>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</si>
  <si>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</si>
  <si>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기초잔액</t>
  </si>
  <si>
    <t>[KRWm]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</si>
  <si>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</si>
  <si>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</si>
  <si>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</si>
  <si>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</si>
  <si>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</si>
  <si>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</si>
  <si>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또는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</si>
  <si>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</si>
  <si>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</si>
  <si>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</si>
  <si>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</si>
  <si>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</si>
  <si>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</si>
  <si>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</si>
  <si>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</si>
  <si>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</si>
  <si>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[원/kWh]</t>
  </si>
  <si>
    <t>영업수익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</si>
  <si>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</si>
  <si>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</si>
  <si>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</si>
  <si>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</si>
  <si>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</si>
  <si>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</si>
  <si>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</si>
  <si>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</si>
  <si>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</si>
  <si>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</si>
  <si>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</si>
  <si>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</si>
  <si>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</si>
  <si>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</si>
  <si>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</si>
  <si>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</si>
  <si>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</si>
  <si>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</si>
  <si>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실측 오버라이드가 적용된 분기(있다면)는 항목별 실제값이 아니라 공식 기준 비중을 실제 합계에 비례 배분한 근사치(baked)이고, 그 외 분기는 "입력값" 시트를 참조하는 수식입니다.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</si>
  <si>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</si>
  <si>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</si>
  <si>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</si>
  <si>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</si>
  <si>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</si>
  <si>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</si>
  <si>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</si>
  <si>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</si>
  <si>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</si>
  <si>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</si>
  <si>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</si>
  <si>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</si>
  <si>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</si>
  <si>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</si>
  <si>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</si>
  <si>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</si>
  <si>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</si>
  <si>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대리은행수수료</t>
  </si>
  <si>
    <t>법인세차감전순이익</t>
  </si>
  <si>
    <t>법인세비용</t>
  </si>
  <si>
    <t>당기순이익</t>
  </si>
  <si>
    <t>※ 영업비용 세부내역은 실측 오버라이드가 적용된 분기의 경우 항목별 실제값이 아니라, 공식(항목별 물가상승률) 기준 비중을 실제 합계에 비례 배분한 근사치입니다 —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</si>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</sst>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i/>
      <color rgb="FF9AA6A1"/>
      <sz val="8"/>
      <name val="맑은 고딕"/>
    </font>
    <font>
      <b/>
      <color rgb="FFFFFFFF"/>
      <sz val="8"/>
      <name val="맑은 고딕"/>
    </font>
    <font>
      <color rgb="FF9AA6A1"/>
      <sz val="9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1" fontId="11" fillId="3" borderId="0" xfId="0" applyNumberFormat="1" applyFont="1" applyFill="1"/>
    <xf numFmtId="0" fontId="13" fillId="0" borderId="0" xfId="0" applyFont="1"/>
    <xf numFmtId="165" fontId="11" fillId="0" borderId="0" xfId="0" applyNumberFormat="1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49" fontId="14" fillId="4" borderId="0" xfId="0" applyNumberFormat="1" applyFont="1" applyFill="1" applyAlignment="1">
      <alignment horizontal="center" textRotation="90"/>
    </xf>
    <xf numFmtId="0" fontId="10" fillId="5" borderId="0" xfId="0" applyFont="1" applyFill="1"/>
    <xf numFmtId="0" fontId="0" fillId="5" borderId="0" xfId="0" applyFill="1"/>
    <xf numFmtId="0" fontId="11" fillId="0" borderId="0" xfId="0" applyFont="1"/>
    <xf numFmtId="0" fontId="15" fillId="0" borderId="0" xfId="0" applyFont="1" applyAlignment="1">
      <alignment horizontal="center"/>
    </xf>
    <xf numFmtId="0" fontId="10" fillId="0" borderId="0" xfId="0" applyFont="1"/>
    <xf numFmtId="165" fontId="13" fillId="0" borderId="0" xfId="0" applyNumberFormat="1" applyFont="1"/>
    <xf numFmtId="0" fontId="15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7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B7B76"/>
  </sheetPr>
  <dimension ref="A1:CM58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10" width="12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1410.69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>
        <v>154.8</v>
      </c>
    </row>
    <row r="11" spans="2:3" x14ac:dyDescent="0.25">
      <c r="B11" s="5" t="s">
        <v>52</v>
      </c>
      <c r="C11" s="21">
        <v>0</v>
      </c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6" spans="2:91" x14ac:dyDescent="0.25">
      <c r="B16" s="9" t="s">
        <v>56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</row>
    <row r="18" spans="2:8" x14ac:dyDescent="0.25">
      <c r="B18" s="23" t="s">
        <v>57</v>
      </c>
      <c r="C18" s="23" t="s">
        <v>58</v>
      </c>
      <c r="D18" s="23" t="s">
        <v>59</v>
      </c>
      <c r="E18" s="23" t="s">
        <v>60</v>
      </c>
      <c r="F18" s="23" t="s">
        <v>61</v>
      </c>
      <c r="G18" s="23" t="s">
        <v>62</v>
      </c>
      <c r="H18" s="23" t="s">
        <v>63</v>
      </c>
    </row>
    <row r="19" spans="2:8" x14ac:dyDescent="0.25">
      <c r="B19" s="17" t="s">
        <v>64</v>
      </c>
      <c r="C19" s="19">
        <v>1260.69</v>
      </c>
      <c r="D19" s="24">
        <v>0.055</v>
      </c>
      <c r="E19" s="24">
        <v>0.055</v>
      </c>
      <c r="F19" s="21">
        <v>2</v>
      </c>
      <c r="G19" s="21">
        <v>15</v>
      </c>
      <c r="H19" s="25">
        <v>1</v>
      </c>
    </row>
    <row r="20" spans="2:8" x14ac:dyDescent="0.25">
      <c r="B20" s="17" t="s">
        <v>65</v>
      </c>
      <c r="C20" s="19">
        <v>0</v>
      </c>
      <c r="D20" s="24">
        <v>0.055</v>
      </c>
      <c r="E20" s="24">
        <v>0.055</v>
      </c>
      <c r="F20" s="21">
        <v>2</v>
      </c>
      <c r="G20" s="21">
        <v>15</v>
      </c>
      <c r="H20" s="25">
        <v>1</v>
      </c>
    </row>
    <row r="21" spans="2:8" x14ac:dyDescent="0.25">
      <c r="B21" s="17" t="s">
        <v>66</v>
      </c>
      <c r="C21" s="19">
        <v>0</v>
      </c>
      <c r="D21" s="24">
        <v>0.055</v>
      </c>
      <c r="E21" s="24">
        <v>0.055</v>
      </c>
      <c r="F21" s="21">
        <v>2</v>
      </c>
      <c r="G21" s="21">
        <v>15</v>
      </c>
      <c r="H21" s="25">
        <v>1</v>
      </c>
    </row>
    <row r="22" spans="2:8" x14ac:dyDescent="0.25">
      <c r="B22" s="17" t="s">
        <v>67</v>
      </c>
      <c r="C22" s="19">
        <v>0</v>
      </c>
      <c r="D22" s="24">
        <v>0.055</v>
      </c>
      <c r="E22" s="24">
        <v>0.055</v>
      </c>
      <c r="F22" s="21">
        <v>2</v>
      </c>
      <c r="G22" s="21">
        <v>15</v>
      </c>
      <c r="H22" s="25">
        <v>1</v>
      </c>
    </row>
    <row r="23" spans="2:8" x14ac:dyDescent="0.25">
      <c r="B23" s="17" t="s">
        <v>68</v>
      </c>
      <c r="C23" s="19">
        <v>0</v>
      </c>
      <c r="D23" s="24">
        <v>0.055</v>
      </c>
      <c r="E23" s="24">
        <v>0.055</v>
      </c>
      <c r="F23" s="21">
        <v>2</v>
      </c>
      <c r="G23" s="21">
        <v>15</v>
      </c>
      <c r="H23" s="25">
        <v>1</v>
      </c>
    </row>
    <row r="25" spans="2:91" x14ac:dyDescent="0.25">
      <c r="B25" s="9" t="s">
        <v>69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</row>
    <row r="27" spans="2:3" x14ac:dyDescent="0.25">
      <c r="B27" s="23" t="s">
        <v>70</v>
      </c>
      <c r="C27" s="23" t="s">
        <v>58</v>
      </c>
    </row>
    <row r="28" spans="2:3" x14ac:dyDescent="0.25">
      <c r="B28" s="17" t="s">
        <v>71</v>
      </c>
      <c r="C28" s="19"/>
    </row>
    <row r="29" spans="2:3" x14ac:dyDescent="0.25">
      <c r="B29" s="17" t="s">
        <v>72</v>
      </c>
      <c r="C29" s="19"/>
    </row>
    <row r="30" spans="2:3" x14ac:dyDescent="0.25">
      <c r="B30" s="17" t="s">
        <v>73</v>
      </c>
      <c r="C30" s="19"/>
    </row>
    <row r="31" spans="2:3" x14ac:dyDescent="0.25">
      <c r="B31" s="17" t="s">
        <v>74</v>
      </c>
      <c r="C31" s="19"/>
    </row>
    <row r="32" spans="2:3" x14ac:dyDescent="0.25">
      <c r="B32" s="17" t="s">
        <v>75</v>
      </c>
      <c r="C32" s="19"/>
    </row>
    <row r="33" spans="2:3" x14ac:dyDescent="0.25">
      <c r="B33" s="17" t="s">
        <v>76</v>
      </c>
      <c r="C33" s="19"/>
    </row>
    <row r="34" spans="2:3" x14ac:dyDescent="0.25">
      <c r="B34" s="17" t="s">
        <v>77</v>
      </c>
      <c r="C34" s="19"/>
    </row>
    <row r="35" spans="2:3" x14ac:dyDescent="0.25">
      <c r="B35" s="17" t="s">
        <v>78</v>
      </c>
      <c r="C35" s="19"/>
    </row>
    <row r="36" spans="2:3" x14ac:dyDescent="0.25">
      <c r="B36" s="17" t="s">
        <v>79</v>
      </c>
      <c r="C36" s="19"/>
    </row>
    <row r="37" spans="2:3" x14ac:dyDescent="0.25">
      <c r="B37" s="17" t="s">
        <v>80</v>
      </c>
      <c r="C37" s="19"/>
    </row>
    <row r="38" spans="2:3" x14ac:dyDescent="0.25">
      <c r="B38" s="17" t="s">
        <v>81</v>
      </c>
      <c r="C38" s="19"/>
    </row>
    <row r="39" spans="2:3" x14ac:dyDescent="0.25">
      <c r="B39" s="17" t="s">
        <v>82</v>
      </c>
      <c r="C39" s="19"/>
    </row>
    <row r="41" spans="2:91" x14ac:dyDescent="0.25">
      <c r="B41" s="9" t="s">
        <v>83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</row>
    <row r="43" spans="2:4" x14ac:dyDescent="0.25">
      <c r="B43" s="23" t="s">
        <v>70</v>
      </c>
      <c r="C43" s="23" t="s">
        <v>84</v>
      </c>
      <c r="D43" s="23" t="s">
        <v>85</v>
      </c>
    </row>
    <row r="44" spans="2:4" x14ac:dyDescent="0.25">
      <c r="B44" s="17" t="s">
        <v>86</v>
      </c>
      <c r="C44" s="19">
        <v>5</v>
      </c>
      <c r="D44" s="21">
        <v>0</v>
      </c>
    </row>
    <row r="45" spans="2:4" x14ac:dyDescent="0.25">
      <c r="B45" s="17" t="s">
        <v>87</v>
      </c>
      <c r="C45" s="19">
        <v>8</v>
      </c>
      <c r="D45" s="21">
        <v>1.5</v>
      </c>
    </row>
    <row r="46" spans="2:4" x14ac:dyDescent="0.25">
      <c r="B46" s="17" t="s">
        <v>88</v>
      </c>
      <c r="C46" s="19">
        <v>0</v>
      </c>
      <c r="D46" s="21">
        <v>0</v>
      </c>
    </row>
    <row r="47" spans="2:4" x14ac:dyDescent="0.25">
      <c r="B47" s="17" t="s">
        <v>89</v>
      </c>
      <c r="C47" s="19">
        <v>0</v>
      </c>
      <c r="D47" s="21">
        <v>0</v>
      </c>
    </row>
    <row r="48" spans="2:4" x14ac:dyDescent="0.25">
      <c r="B48" s="17" t="s">
        <v>90</v>
      </c>
      <c r="C48" s="19">
        <v>0</v>
      </c>
      <c r="D48" s="21">
        <v>2</v>
      </c>
    </row>
    <row r="49" spans="2:4" x14ac:dyDescent="0.25">
      <c r="B49" s="17" t="s">
        <v>91</v>
      </c>
      <c r="C49" s="19">
        <v>0</v>
      </c>
      <c r="D49" s="21">
        <v>2</v>
      </c>
    </row>
    <row r="50" spans="2:4" x14ac:dyDescent="0.25">
      <c r="B50" s="17" t="s">
        <v>79</v>
      </c>
      <c r="C50" s="19">
        <v>0</v>
      </c>
      <c r="D50" s="21">
        <v>2</v>
      </c>
    </row>
    <row r="51" spans="2:4" x14ac:dyDescent="0.25">
      <c r="B51" s="17" t="s">
        <v>92</v>
      </c>
      <c r="C51" s="19">
        <v>0</v>
      </c>
      <c r="D51" s="21">
        <v>0</v>
      </c>
    </row>
    <row r="52" spans="2:4" x14ac:dyDescent="0.25">
      <c r="B52" s="17" t="s">
        <v>93</v>
      </c>
      <c r="C52" s="19">
        <v>0</v>
      </c>
      <c r="D52" s="21">
        <v>0</v>
      </c>
    </row>
    <row r="53" spans="2:4" x14ac:dyDescent="0.25">
      <c r="B53" s="17" t="s">
        <v>94</v>
      </c>
      <c r="C53" s="19">
        <v>0</v>
      </c>
      <c r="D53" s="21">
        <v>0</v>
      </c>
    </row>
    <row r="54" spans="2:4" x14ac:dyDescent="0.25">
      <c r="B54" s="17" t="s">
        <v>95</v>
      </c>
      <c r="C54" s="19">
        <v>0</v>
      </c>
      <c r="D54" s="21">
        <v>0</v>
      </c>
    </row>
    <row r="55" spans="2:4" x14ac:dyDescent="0.25">
      <c r="B55" s="17" t="s">
        <v>96</v>
      </c>
      <c r="C55" s="19">
        <v>0</v>
      </c>
      <c r="D55" s="21">
        <v>0</v>
      </c>
    </row>
    <row r="58" spans="2:2" x14ac:dyDescent="0.25">
      <c r="B58" s="2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5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98</v>
      </c>
    </row>
    <row r="4" spans="2:91" x14ac:dyDescent="0.25">
      <c r="B4" s="9" t="s">
        <v>56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3" t="s">
        <v>57</v>
      </c>
      <c r="C6" s="23" t="s">
        <v>99</v>
      </c>
      <c r="D6" s="23" t="s">
        <v>100</v>
      </c>
      <c r="E6" s="23" t="s">
        <v>101</v>
      </c>
      <c r="F6" s="23" t="s">
        <v>102</v>
      </c>
      <c r="G6" s="23" t="s">
        <v>61</v>
      </c>
      <c r="H6" s="23" t="s">
        <v>62</v>
      </c>
      <c r="I6" s="23" t="s">
        <v>63</v>
      </c>
      <c r="J6" s="23" t="s">
        <v>103</v>
      </c>
    </row>
    <row r="7" spans="2:3" x14ac:dyDescent="0.25">
      <c r="B7" s="27" t="s">
        <v>104</v>
      </c>
      <c r="C7" s="27">
        <f>'입력값'!C9*100</f>
      </c>
    </row>
    <row r="8" spans="2:10" x14ac:dyDescent="0.25">
      <c r="B8" s="27" t="s">
        <v>64</v>
      </c>
      <c r="C8" s="27">
        <f>'입력값'!C19*100</f>
      </c>
      <c r="D8" s="28" t="s">
        <v>105</v>
      </c>
      <c r="E8" s="29">
        <f>'입력값'!D19</f>
      </c>
      <c r="F8" s="29">
        <f>'입력값'!E19</f>
      </c>
      <c r="G8" s="30">
        <f>'입력값'!F19</f>
      </c>
      <c r="H8" s="30">
        <f>'입력값'!G19</f>
      </c>
      <c r="I8" s="28">
        <f>'입력값'!H19</f>
      </c>
      <c r="J8" s="31" t="s">
        <v>106</v>
      </c>
    </row>
    <row r="9" spans="2:10" x14ac:dyDescent="0.25">
      <c r="B9" s="27" t="s">
        <v>65</v>
      </c>
      <c r="C9" s="27">
        <f>'입력값'!C20*100</f>
      </c>
      <c r="D9" s="28" t="s">
        <v>105</v>
      </c>
      <c r="E9" s="29">
        <f>'입력값'!D20</f>
      </c>
      <c r="F9" s="29">
        <f>'입력값'!E20</f>
      </c>
      <c r="G9" s="30">
        <f>'입력값'!F20</f>
      </c>
      <c r="H9" s="30">
        <f>'입력값'!G20</f>
      </c>
      <c r="I9" s="28">
        <f>'입력값'!H20</f>
      </c>
      <c r="J9" s="31" t="s">
        <v>107</v>
      </c>
    </row>
    <row r="10" spans="2:10" x14ac:dyDescent="0.25">
      <c r="B10" s="27" t="s">
        <v>66</v>
      </c>
      <c r="C10" s="27">
        <f>'입력값'!C21*100</f>
      </c>
      <c r="D10" s="28" t="s">
        <v>105</v>
      </c>
      <c r="E10" s="29">
        <f>'입력값'!D21</f>
      </c>
      <c r="F10" s="29">
        <f>'입력값'!E21</f>
      </c>
      <c r="G10" s="30">
        <f>'입력값'!F21</f>
      </c>
      <c r="H10" s="30">
        <f>'입력값'!G21</f>
      </c>
      <c r="I10" s="28">
        <f>'입력값'!H21</f>
      </c>
      <c r="J10" s="31" t="s">
        <v>107</v>
      </c>
    </row>
    <row r="11" spans="2:10" x14ac:dyDescent="0.25">
      <c r="B11" s="27" t="s">
        <v>67</v>
      </c>
      <c r="C11" s="27">
        <f>'입력값'!C22*100</f>
      </c>
      <c r="D11" s="28" t="s">
        <v>105</v>
      </c>
      <c r="E11" s="29">
        <f>'입력값'!D22</f>
      </c>
      <c r="F11" s="29">
        <f>'입력값'!E22</f>
      </c>
      <c r="G11" s="30">
        <f>'입력값'!F22</f>
      </c>
      <c r="H11" s="30">
        <f>'입력값'!G22</f>
      </c>
      <c r="I11" s="28">
        <f>'입력값'!H22</f>
      </c>
      <c r="J11" s="31" t="s">
        <v>107</v>
      </c>
    </row>
    <row r="12" spans="2:10" x14ac:dyDescent="0.25">
      <c r="B12" s="27" t="s">
        <v>68</v>
      </c>
      <c r="C12" s="27">
        <f>'입력값'!C23*100</f>
      </c>
      <c r="D12" s="28" t="s">
        <v>105</v>
      </c>
      <c r="E12" s="29">
        <f>'입력값'!D23</f>
      </c>
      <c r="F12" s="29">
        <f>'입력값'!E23</f>
      </c>
      <c r="G12" s="30">
        <f>'입력값'!F23</f>
      </c>
      <c r="H12" s="30">
        <f>'입력값'!G23</f>
      </c>
      <c r="I12" s="28">
        <f>'입력값'!H23</f>
      </c>
      <c r="J12" s="31" t="s">
        <v>107</v>
      </c>
    </row>
    <row r="14" spans="2:91" x14ac:dyDescent="0.25">
      <c r="B14" s="9" t="s">
        <v>108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</row>
    <row r="16" spans="2:3" x14ac:dyDescent="0.25">
      <c r="B16" s="27" t="s">
        <v>109</v>
      </c>
      <c r="C16" s="27">
        <v>4405.281216532376</v>
      </c>
    </row>
    <row r="17" spans="2:3" x14ac:dyDescent="0.25">
      <c r="B17" s="27" t="s">
        <v>110</v>
      </c>
      <c r="C17" s="27">
        <v>145474.28121653237</v>
      </c>
    </row>
    <row r="18" spans="2:3" x14ac:dyDescent="0.25">
      <c r="B18" s="27" t="s">
        <v>111</v>
      </c>
      <c r="C18" s="27">
        <f>'입력값'!C8*100</f>
      </c>
    </row>
    <row r="20" spans="2:91" x14ac:dyDescent="0.25">
      <c r="B20" s="9" t="s">
        <v>112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3" x14ac:dyDescent="0.25">
      <c r="B22" s="23" t="s">
        <v>70</v>
      </c>
      <c r="C22" s="23" t="s">
        <v>99</v>
      </c>
    </row>
    <row r="23" spans="2:2" x14ac:dyDescent="0.25">
      <c r="B23" s="31">
        <f>'입력값'!B28</f>
      </c>
    </row>
    <row r="24" spans="2:2" x14ac:dyDescent="0.25">
      <c r="B24" s="31">
        <f>'입력값'!B29</f>
      </c>
    </row>
    <row r="25" spans="2:2" x14ac:dyDescent="0.25">
      <c r="B25" s="31">
        <f>'입력값'!B30</f>
      </c>
    </row>
    <row r="26" spans="2:2" x14ac:dyDescent="0.25">
      <c r="B26" s="31">
        <f>'입력값'!B31</f>
      </c>
    </row>
    <row r="27" spans="2:2" x14ac:dyDescent="0.25">
      <c r="B27" s="31">
        <f>'입력값'!B32</f>
      </c>
    </row>
    <row r="28" spans="2:2" x14ac:dyDescent="0.25">
      <c r="B28" s="31">
        <f>'입력값'!B33</f>
      </c>
    </row>
    <row r="29" spans="2:2" x14ac:dyDescent="0.25">
      <c r="B29" s="31">
        <f>'입력값'!B34</f>
      </c>
    </row>
    <row r="30" spans="2:2" x14ac:dyDescent="0.25">
      <c r="B30" s="31">
        <f>'입력값'!B35</f>
      </c>
    </row>
    <row r="31" spans="2:2" x14ac:dyDescent="0.25">
      <c r="B31" s="31">
        <f>'입력값'!B36</f>
      </c>
    </row>
    <row r="32" spans="2:2" x14ac:dyDescent="0.25">
      <c r="B32" s="31">
        <f>'입력값'!B37</f>
      </c>
    </row>
    <row r="33" spans="2:2" x14ac:dyDescent="0.25">
      <c r="B33" s="31">
        <f>'입력값'!B38</f>
      </c>
    </row>
    <row r="34" spans="2:2" x14ac:dyDescent="0.25">
      <c r="B34" s="31">
        <f>'입력값'!B39</f>
      </c>
    </row>
    <row r="35" spans="2:3" x14ac:dyDescent="0.25">
      <c r="B35" s="32" t="s">
        <v>113</v>
      </c>
      <c r="C35" s="33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114</v>
      </c>
    </row>
    <row r="4" spans="2:91" x14ac:dyDescent="0.25">
      <c r="B4" s="9" t="s">
        <v>115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3" t="s">
        <v>116</v>
      </c>
      <c r="C6" s="23" t="s">
        <v>117</v>
      </c>
      <c r="D6" s="23" t="s">
        <v>118</v>
      </c>
      <c r="E6" s="34" t="s">
        <v>119</v>
      </c>
      <c r="F6" s="34" t="s">
        <v>120</v>
      </c>
      <c r="G6" s="34" t="s">
        <v>121</v>
      </c>
      <c r="H6" s="34" t="s">
        <v>122</v>
      </c>
      <c r="I6" s="34" t="s">
        <v>123</v>
      </c>
      <c r="J6" s="34" t="s">
        <v>124</v>
      </c>
      <c r="K6" s="34" t="s">
        <v>125</v>
      </c>
      <c r="L6" s="34" t="s">
        <v>126</v>
      </c>
      <c r="M6" s="34" t="s">
        <v>127</v>
      </c>
      <c r="N6" s="34" t="s">
        <v>106</v>
      </c>
      <c r="O6" s="34" t="s">
        <v>128</v>
      </c>
      <c r="P6" s="34" t="s">
        <v>129</v>
      </c>
      <c r="Q6" s="34" t="s">
        <v>130</v>
      </c>
      <c r="R6" s="34" t="s">
        <v>131</v>
      </c>
      <c r="S6" s="34" t="s">
        <v>132</v>
      </c>
      <c r="T6" s="34" t="s">
        <v>133</v>
      </c>
      <c r="U6" s="34" t="s">
        <v>134</v>
      </c>
      <c r="V6" s="34" t="s">
        <v>135</v>
      </c>
      <c r="W6" s="34" t="s">
        <v>136</v>
      </c>
      <c r="X6" s="34" t="s">
        <v>137</v>
      </c>
      <c r="Y6" s="34" t="s">
        <v>138</v>
      </c>
      <c r="Z6" s="34" t="s">
        <v>139</v>
      </c>
      <c r="AA6" s="34" t="s">
        <v>140</v>
      </c>
      <c r="AB6" s="34" t="s">
        <v>141</v>
      </c>
      <c r="AC6" s="34" t="s">
        <v>142</v>
      </c>
      <c r="AD6" s="34" t="s">
        <v>143</v>
      </c>
      <c r="AE6" s="34" t="s">
        <v>144</v>
      </c>
      <c r="AF6" s="34" t="s">
        <v>145</v>
      </c>
      <c r="AG6" s="34" t="s">
        <v>146</v>
      </c>
      <c r="AH6" s="34" t="s">
        <v>147</v>
      </c>
      <c r="AI6" s="34" t="s">
        <v>148</v>
      </c>
      <c r="AJ6" s="34" t="s">
        <v>149</v>
      </c>
      <c r="AK6" s="34" t="s">
        <v>150</v>
      </c>
      <c r="AL6" s="34" t="s">
        <v>151</v>
      </c>
      <c r="AM6" s="34" t="s">
        <v>152</v>
      </c>
      <c r="AN6" s="34" t="s">
        <v>153</v>
      </c>
      <c r="AO6" s="34" t="s">
        <v>154</v>
      </c>
      <c r="AP6" s="34" t="s">
        <v>155</v>
      </c>
      <c r="AQ6" s="34" t="s">
        <v>156</v>
      </c>
      <c r="AR6" s="34" t="s">
        <v>157</v>
      </c>
      <c r="AS6" s="34" t="s">
        <v>158</v>
      </c>
      <c r="AT6" s="34" t="s">
        <v>159</v>
      </c>
      <c r="AU6" s="34" t="s">
        <v>160</v>
      </c>
      <c r="AV6" s="34" t="s">
        <v>161</v>
      </c>
      <c r="AW6" s="34" t="s">
        <v>162</v>
      </c>
      <c r="AX6" s="34" t="s">
        <v>163</v>
      </c>
      <c r="AY6" s="34" t="s">
        <v>164</v>
      </c>
      <c r="AZ6" s="34" t="s">
        <v>165</v>
      </c>
      <c r="BA6" s="34" t="s">
        <v>166</v>
      </c>
      <c r="BB6" s="34" t="s">
        <v>167</v>
      </c>
      <c r="BC6" s="34" t="s">
        <v>168</v>
      </c>
      <c r="BD6" s="34" t="s">
        <v>169</v>
      </c>
      <c r="BE6" s="34" t="s">
        <v>170</v>
      </c>
      <c r="BF6" s="34" t="s">
        <v>171</v>
      </c>
      <c r="BG6" s="34" t="s">
        <v>172</v>
      </c>
      <c r="BH6" s="34" t="s">
        <v>173</v>
      </c>
      <c r="BI6" s="34" t="s">
        <v>174</v>
      </c>
      <c r="BJ6" s="34" t="s">
        <v>175</v>
      </c>
      <c r="BK6" s="34" t="s">
        <v>176</v>
      </c>
      <c r="BL6" s="34" t="s">
        <v>177</v>
      </c>
      <c r="BM6" s="34" t="s">
        <v>178</v>
      </c>
      <c r="BN6" s="34" t="s">
        <v>179</v>
      </c>
      <c r="BO6" s="34" t="s">
        <v>180</v>
      </c>
      <c r="BP6" s="34" t="s">
        <v>181</v>
      </c>
      <c r="BQ6" s="34" t="s">
        <v>182</v>
      </c>
      <c r="BR6" s="34" t="s">
        <v>183</v>
      </c>
      <c r="BS6" s="34" t="s">
        <v>184</v>
      </c>
      <c r="BT6" s="34" t="s">
        <v>185</v>
      </c>
      <c r="BU6" s="34" t="s">
        <v>186</v>
      </c>
      <c r="BV6" s="34" t="s">
        <v>187</v>
      </c>
      <c r="BW6" s="34" t="s">
        <v>188</v>
      </c>
      <c r="BX6" s="34" t="s">
        <v>189</v>
      </c>
      <c r="BY6" s="34" t="s">
        <v>190</v>
      </c>
      <c r="BZ6" s="34" t="s">
        <v>191</v>
      </c>
      <c r="CA6" s="34" t="s">
        <v>192</v>
      </c>
      <c r="CB6" s="34" t="s">
        <v>193</v>
      </c>
      <c r="CC6" s="34" t="s">
        <v>194</v>
      </c>
      <c r="CD6" s="34" t="s">
        <v>195</v>
      </c>
      <c r="CE6" s="34" t="s">
        <v>196</v>
      </c>
      <c r="CF6" s="34" t="s">
        <v>197</v>
      </c>
      <c r="CG6" s="34" t="s">
        <v>198</v>
      </c>
      <c r="CH6" s="34" t="s">
        <v>199</v>
      </c>
      <c r="CI6" s="34" t="s">
        <v>200</v>
      </c>
      <c r="CJ6" s="34" t="s">
        <v>201</v>
      </c>
      <c r="CK6" s="34" t="s">
        <v>202</v>
      </c>
      <c r="CL6" s="34" t="s">
        <v>203</v>
      </c>
    </row>
    <row r="8" spans="2:91" x14ac:dyDescent="0.25">
      <c r="B8" s="35" t="s">
        <v>64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</row>
    <row r="9" spans="2:90" x14ac:dyDescent="0.25">
      <c r="B9" s="37" t="s">
        <v>204</v>
      </c>
      <c r="C9" s="38" t="s">
        <v>205</v>
      </c>
      <c r="E9" s="27">
        <v>0</v>
      </c>
      <c r="F9" s="27">
        <f>E14</f>
      </c>
      <c r="G9" s="27">
        <f>F14</f>
      </c>
      <c r="H9" s="27">
        <f>G14</f>
      </c>
      <c r="I9" s="27">
        <f>H14</f>
      </c>
      <c r="J9" s="27">
        <f>I14</f>
      </c>
      <c r="K9" s="27">
        <f>J14</f>
      </c>
      <c r="L9" s="27">
        <f>K14</f>
      </c>
      <c r="M9" s="27">
        <f>L14</f>
      </c>
      <c r="N9" s="27">
        <f>M14</f>
      </c>
      <c r="O9" s="27">
        <f>N14</f>
      </c>
      <c r="P9" s="27">
        <f>O14</f>
      </c>
      <c r="Q9" s="27">
        <f>P14</f>
      </c>
      <c r="R9" s="27">
        <f>Q14</f>
      </c>
      <c r="S9" s="27">
        <f>R14</f>
      </c>
      <c r="T9" s="27">
        <f>S14</f>
      </c>
      <c r="U9" s="27">
        <f>T14</f>
      </c>
      <c r="V9" s="27">
        <f>U14</f>
      </c>
      <c r="W9" s="27">
        <f>V14</f>
      </c>
      <c r="X9" s="27">
        <f>W14</f>
      </c>
      <c r="Y9" s="27">
        <f>X14</f>
      </c>
      <c r="Z9" s="27">
        <f>Y14</f>
      </c>
      <c r="AA9" s="27">
        <f>Z14</f>
      </c>
      <c r="AB9" s="27">
        <f>AA14</f>
      </c>
      <c r="AC9" s="27">
        <f>AB14</f>
      </c>
      <c r="AD9" s="27">
        <f>AC14</f>
      </c>
      <c r="AE9" s="27">
        <f>AD14</f>
      </c>
      <c r="AF9" s="27">
        <f>AE14</f>
      </c>
      <c r="AG9" s="27">
        <f>AF14</f>
      </c>
      <c r="AH9" s="27">
        <f>AG14</f>
      </c>
      <c r="AI9" s="27">
        <f>AH14</f>
      </c>
      <c r="AJ9" s="27">
        <f>AI14</f>
      </c>
      <c r="AK9" s="27">
        <f>AJ14</f>
      </c>
      <c r="AL9" s="27">
        <f>AK14</f>
      </c>
      <c r="AM9" s="27">
        <f>AL14</f>
      </c>
      <c r="AN9" s="27">
        <f>AM14</f>
      </c>
      <c r="AO9" s="27">
        <f>AN14</f>
      </c>
      <c r="AP9" s="27">
        <f>AO14</f>
      </c>
      <c r="AQ9" s="27">
        <f>AP14</f>
      </c>
      <c r="AR9" s="27">
        <f>AQ14</f>
      </c>
      <c r="AS9" s="27">
        <f>AR14</f>
      </c>
      <c r="AT9" s="27">
        <f>AS14</f>
      </c>
      <c r="AU9" s="27">
        <f>AT14</f>
      </c>
      <c r="AV9" s="27">
        <f>AU14</f>
      </c>
      <c r="AW9" s="27">
        <f>AV14</f>
      </c>
      <c r="AX9" s="27">
        <f>AW14</f>
      </c>
      <c r="AY9" s="27">
        <f>AX14</f>
      </c>
      <c r="AZ9" s="27">
        <f>AY14</f>
      </c>
      <c r="BA9" s="27">
        <f>AZ14</f>
      </c>
      <c r="BB9" s="27">
        <f>BA14</f>
      </c>
      <c r="BC9" s="27">
        <f>BB14</f>
      </c>
      <c r="BD9" s="27">
        <f>BC14</f>
      </c>
      <c r="BE9" s="27">
        <f>BD14</f>
      </c>
      <c r="BF9" s="27">
        <f>BE14</f>
      </c>
      <c r="BG9" s="27">
        <f>BF14</f>
      </c>
      <c r="BH9" s="27">
        <f>BG14</f>
      </c>
      <c r="BI9" s="27">
        <f>BH14</f>
      </c>
      <c r="BJ9" s="27">
        <f>BI14</f>
      </c>
      <c r="BK9" s="27">
        <f>BJ14</f>
      </c>
      <c r="BL9" s="27">
        <f>BK14</f>
      </c>
      <c r="BM9" s="27">
        <f>BL14</f>
      </c>
      <c r="BN9" s="27">
        <f>BM14</f>
      </c>
      <c r="BO9" s="27">
        <f>BN14</f>
      </c>
      <c r="BP9" s="27">
        <f>BO14</f>
      </c>
      <c r="BQ9" s="27">
        <f>BP14</f>
      </c>
      <c r="BR9" s="27">
        <f>BQ14</f>
      </c>
      <c r="BS9" s="27">
        <f>BR14</f>
      </c>
      <c r="BT9" s="27">
        <f>BS14</f>
      </c>
      <c r="BU9" s="27">
        <f>BT14</f>
      </c>
      <c r="BV9" s="27">
        <f>BU14</f>
      </c>
      <c r="BW9" s="27">
        <f>BV14</f>
      </c>
      <c r="BX9" s="27">
        <f>BW14</f>
      </c>
      <c r="BY9" s="27">
        <f>BX14</f>
      </c>
      <c r="BZ9" s="27">
        <f>BY14</f>
      </c>
      <c r="CA9" s="27">
        <f>BZ14</f>
      </c>
      <c r="CB9" s="27">
        <f>CA14</f>
      </c>
      <c r="CC9" s="27">
        <f>CB14</f>
      </c>
      <c r="CD9" s="27">
        <f>CC14</f>
      </c>
      <c r="CE9" s="27">
        <f>CD14</f>
      </c>
      <c r="CF9" s="27">
        <f>CE14</f>
      </c>
      <c r="CG9" s="27">
        <f>CF14</f>
      </c>
      <c r="CH9" s="27">
        <f>CG14</f>
      </c>
      <c r="CI9" s="27">
        <f>CH14</f>
      </c>
      <c r="CJ9" s="27">
        <f>CI14</f>
      </c>
      <c r="CK9" s="27">
        <f>CJ14</f>
      </c>
      <c r="CL9" s="27">
        <f>CK14</f>
      </c>
    </row>
    <row r="10" spans="2:90" x14ac:dyDescent="0.25">
      <c r="B10" s="37" t="s">
        <v>206</v>
      </c>
      <c r="C10" s="38" t="s">
        <v>205</v>
      </c>
      <c r="D10" s="14">
        <v>126069</v>
      </c>
      <c r="E10" s="27">
        <v>21011.500000000004</v>
      </c>
      <c r="F10" s="27">
        <v>21269.688251214837</v>
      </c>
      <c r="G10" s="27">
        <v>21531.04910662572</v>
      </c>
      <c r="H10" s="27">
        <v>21795.621551032847</v>
      </c>
      <c r="I10" s="27">
        <v>22063.445048279656</v>
      </c>
      <c r="J10" s="27">
        <v>18397.696042846932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0</v>
      </c>
      <c r="Q10" s="27">
        <v>0</v>
      </c>
      <c r="R10" s="27">
        <v>0</v>
      </c>
      <c r="S10" s="27">
        <v>0</v>
      </c>
      <c r="T10" s="27">
        <v>0</v>
      </c>
      <c r="U10" s="27">
        <v>0</v>
      </c>
      <c r="V10" s="27">
        <v>0</v>
      </c>
      <c r="W10" s="27">
        <v>0</v>
      </c>
      <c r="X10" s="27">
        <v>0</v>
      </c>
      <c r="Y10" s="27">
        <v>0</v>
      </c>
      <c r="Z10" s="27">
        <v>0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7">
        <v>0</v>
      </c>
      <c r="BV10" s="27">
        <v>0</v>
      </c>
      <c r="BW10" s="27">
        <v>0</v>
      </c>
      <c r="BX10" s="27">
        <v>0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0</v>
      </c>
      <c r="CF10" s="27">
        <v>0</v>
      </c>
      <c r="CG10" s="27">
        <v>0</v>
      </c>
      <c r="CH10" s="27">
        <v>0</v>
      </c>
      <c r="CI10" s="27">
        <v>0</v>
      </c>
      <c r="CJ10" s="27">
        <v>0</v>
      </c>
      <c r="CK10" s="27">
        <v>0</v>
      </c>
      <c r="CL10" s="27">
        <v>0</v>
      </c>
    </row>
    <row r="11" spans="2:90" x14ac:dyDescent="0.25">
      <c r="B11" s="37" t="s">
        <v>108</v>
      </c>
      <c r="C11" s="38" t="s">
        <v>205</v>
      </c>
      <c r="D11" s="14">
        <v>4405.281216532376</v>
      </c>
      <c r="E11" s="27">
        <v>0</v>
      </c>
      <c r="F11" s="27">
        <v>288.90812500000004</v>
      </c>
      <c r="G11" s="27">
        <v>581.3663384542041</v>
      </c>
      <c r="H11" s="27">
        <v>877.4182636703079</v>
      </c>
      <c r="I11" s="27">
        <v>1177.1080599970094</v>
      </c>
      <c r="J11" s="27">
        <v>1480.4804294108546</v>
      </c>
      <c r="K11" s="27">
        <v>0</v>
      </c>
      <c r="L11" s="27">
        <v>0</v>
      </c>
      <c r="M11" s="27">
        <v>0</v>
      </c>
      <c r="N11" s="27">
        <v>0</v>
      </c>
      <c r="O11" s="27">
        <v>0</v>
      </c>
      <c r="P11" s="27">
        <v>0</v>
      </c>
      <c r="Q11" s="27">
        <v>0</v>
      </c>
      <c r="R11" s="27">
        <v>0</v>
      </c>
      <c r="S11" s="27">
        <v>0</v>
      </c>
      <c r="T11" s="27">
        <v>0</v>
      </c>
      <c r="U11" s="27">
        <v>0</v>
      </c>
      <c r="V11" s="27">
        <v>0</v>
      </c>
      <c r="W11" s="27">
        <v>0</v>
      </c>
      <c r="X11" s="27">
        <v>0</v>
      </c>
      <c r="Y11" s="27">
        <v>0</v>
      </c>
      <c r="Z11" s="27">
        <v>0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  <c r="BO11" s="27">
        <v>0</v>
      </c>
      <c r="BP11" s="27">
        <v>0</v>
      </c>
      <c r="BQ11" s="27">
        <v>0</v>
      </c>
      <c r="BR11" s="27">
        <v>0</v>
      </c>
      <c r="BS11" s="27">
        <v>0</v>
      </c>
      <c r="BT11" s="27">
        <v>0</v>
      </c>
      <c r="BU11" s="27">
        <v>0</v>
      </c>
      <c r="BV11" s="27">
        <v>0</v>
      </c>
      <c r="BW11" s="27">
        <v>0</v>
      </c>
      <c r="BX11" s="27">
        <v>0</v>
      </c>
      <c r="BY11" s="27">
        <v>0</v>
      </c>
      <c r="BZ11" s="27">
        <v>0</v>
      </c>
      <c r="CA11" s="27">
        <v>0</v>
      </c>
      <c r="CB11" s="27">
        <v>0</v>
      </c>
      <c r="CC11" s="27">
        <v>0</v>
      </c>
      <c r="CD11" s="27">
        <v>0</v>
      </c>
      <c r="CE11" s="27">
        <v>0</v>
      </c>
      <c r="CF11" s="27">
        <v>0</v>
      </c>
      <c r="CG11" s="27">
        <v>0</v>
      </c>
      <c r="CH11" s="27">
        <v>0</v>
      </c>
      <c r="CI11" s="27">
        <v>0</v>
      </c>
      <c r="CJ11" s="27">
        <v>0</v>
      </c>
      <c r="CK11" s="27">
        <v>0</v>
      </c>
      <c r="CL11" s="27">
        <v>0</v>
      </c>
    </row>
    <row r="12" spans="2:90" x14ac:dyDescent="0.25">
      <c r="B12" s="37" t="s">
        <v>207</v>
      </c>
      <c r="C12" s="38" t="s">
        <v>205</v>
      </c>
      <c r="D12" s="14">
        <v>58070.53312500009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f>K9*'입력값'!E19/4</f>
      </c>
      <c r="L12" s="27">
        <f>L9*'입력값'!E19/4</f>
      </c>
      <c r="M12" s="27">
        <f>M9*'입력값'!E19/4</f>
      </c>
      <c r="N12" s="27">
        <f>N9*'입력값'!E19/4</f>
      </c>
      <c r="O12" s="27">
        <f>O9*'입력값'!E19/4</f>
      </c>
      <c r="P12" s="27">
        <f>P9*'입력값'!E19/4</f>
      </c>
      <c r="Q12" s="27">
        <f>Q9*'입력값'!E19/4</f>
      </c>
      <c r="R12" s="27">
        <f>R9*'입력값'!E19/4</f>
      </c>
      <c r="S12" s="27">
        <f>S9*'입력값'!E19/4</f>
      </c>
      <c r="T12" s="27">
        <f>T9*'입력값'!E19/4</f>
      </c>
      <c r="U12" s="27">
        <f>U9*'입력값'!E19/4</f>
      </c>
      <c r="V12" s="27">
        <f>V9*'입력값'!E19/4</f>
      </c>
      <c r="W12" s="27">
        <f>W9*'입력값'!E19/4</f>
      </c>
      <c r="X12" s="27">
        <f>X9*'입력값'!E19/4</f>
      </c>
      <c r="Y12" s="27">
        <f>Y9*'입력값'!E19/4</f>
      </c>
      <c r="Z12" s="27">
        <f>Z9*'입력값'!E19/4</f>
      </c>
      <c r="AA12" s="27">
        <f>AA9*'입력값'!E19/4</f>
      </c>
      <c r="AB12" s="27">
        <f>AB9*'입력값'!E19/4</f>
      </c>
      <c r="AC12" s="27">
        <f>AC9*'입력값'!E19/4</f>
      </c>
      <c r="AD12" s="27">
        <f>AD9*'입력값'!E19/4</f>
      </c>
      <c r="AE12" s="27">
        <f>AE9*'입력값'!E19/4</f>
      </c>
      <c r="AF12" s="27">
        <f>AF9*'입력값'!E19/4</f>
      </c>
      <c r="AG12" s="27">
        <f>AG9*'입력값'!E19/4</f>
      </c>
      <c r="AH12" s="27">
        <f>AH9*'입력값'!E19/4</f>
      </c>
      <c r="AI12" s="27">
        <f>AI9*'입력값'!E19/4</f>
      </c>
      <c r="AJ12" s="27">
        <f>AJ9*'입력값'!E19/4</f>
      </c>
      <c r="AK12" s="27">
        <f>AK9*'입력값'!E19/4</f>
      </c>
      <c r="AL12" s="27">
        <f>AL9*'입력값'!E19/4</f>
      </c>
      <c r="AM12" s="27">
        <f>AM9*'입력값'!E19/4</f>
      </c>
      <c r="AN12" s="27">
        <f>AN9*'입력값'!E19/4</f>
      </c>
      <c r="AO12" s="27">
        <f>AO9*'입력값'!E19/4</f>
      </c>
      <c r="AP12" s="27">
        <f>AP9*'입력값'!E19/4</f>
      </c>
      <c r="AQ12" s="27">
        <f>AQ9*'입력값'!E19/4</f>
      </c>
      <c r="AR12" s="27">
        <f>AR9*'입력값'!E19/4</f>
      </c>
      <c r="AS12" s="27">
        <f>AS9*'입력값'!E19/4</f>
      </c>
      <c r="AT12" s="27">
        <f>AT9*'입력값'!E19/4</f>
      </c>
      <c r="AU12" s="27">
        <f>AU9*'입력값'!E19/4</f>
      </c>
      <c r="AV12" s="27">
        <f>AV9*'입력값'!E19/4</f>
      </c>
      <c r="AW12" s="27">
        <f>AW9*'입력값'!E19/4</f>
      </c>
      <c r="AX12" s="27">
        <f>AX9*'입력값'!E19/4</f>
      </c>
      <c r="AY12" s="27">
        <f>AY9*'입력값'!E19/4</f>
      </c>
      <c r="AZ12" s="27">
        <f>AZ9*'입력값'!E19/4</f>
      </c>
      <c r="BA12" s="27">
        <f>BA9*'입력값'!E19/4</f>
      </c>
      <c r="BB12" s="27">
        <f>BB9*'입력값'!E19/4</f>
      </c>
      <c r="BC12" s="27">
        <f>BC9*'입력값'!E19/4</f>
      </c>
      <c r="BD12" s="27">
        <f>BD9*'입력값'!E19/4</f>
      </c>
      <c r="BE12" s="27">
        <f>BE9*'입력값'!E19/4</f>
      </c>
      <c r="BF12" s="27">
        <f>BF9*'입력값'!E19/4</f>
      </c>
      <c r="BG12" s="27">
        <f>BG9*'입력값'!E19/4</f>
      </c>
      <c r="BH12" s="27">
        <f>BH9*'입력값'!E19/4</f>
      </c>
      <c r="BI12" s="27">
        <f>BI9*'입력값'!E19/4</f>
      </c>
      <c r="BJ12" s="27">
        <f>BJ9*'입력값'!E19/4</f>
      </c>
      <c r="BK12" s="27">
        <f>BK9*'입력값'!E19/4</f>
      </c>
      <c r="BL12" s="27">
        <f>BL9*'입력값'!E19/4</f>
      </c>
      <c r="BM12" s="27">
        <f>BM9*'입력값'!E19/4</f>
      </c>
      <c r="BN12" s="27">
        <f>BN9*'입력값'!E19/4</f>
      </c>
      <c r="BO12" s="27">
        <f>BO9*'입력값'!E19/4</f>
      </c>
      <c r="BP12" s="27">
        <f>BP9*'입력값'!E19/4</f>
      </c>
      <c r="BQ12" s="27">
        <f>BQ9*'입력값'!E19/4</f>
      </c>
      <c r="BR12" s="27">
        <f>BR9*'입력값'!E19/4</f>
      </c>
      <c r="BS12" s="27">
        <f>BS9*'입력값'!E19/4</f>
      </c>
      <c r="BT12" s="27">
        <f>BT9*'입력값'!E19/4</f>
      </c>
      <c r="BU12" s="27">
        <f>BU9*'입력값'!E19/4</f>
      </c>
      <c r="BV12" s="27">
        <f>BV9*'입력값'!E19/4</f>
      </c>
      <c r="BW12" s="27">
        <f>BW9*'입력값'!E19/4</f>
      </c>
      <c r="BX12" s="27">
        <f>BX9*'입력값'!E19/4</f>
      </c>
      <c r="BY12" s="27">
        <f>BY9*'입력값'!E19/4</f>
      </c>
      <c r="BZ12" s="27">
        <f>BZ9*'입력값'!E19/4</f>
      </c>
      <c r="CA12" s="27">
        <f>CA9*'입력값'!E19/4</f>
      </c>
      <c r="CB12" s="27">
        <f>CB9*'입력값'!E19/4</f>
      </c>
      <c r="CC12" s="27">
        <f>CC9*'입력값'!E19/4</f>
      </c>
      <c r="CD12" s="27">
        <f>CD9*'입력값'!E19/4</f>
      </c>
      <c r="CE12" s="27">
        <f>CE9*'입력값'!E19/4</f>
      </c>
      <c r="CF12" s="27">
        <f>CF9*'입력값'!E19/4</f>
      </c>
      <c r="CG12" s="27">
        <f>CG9*'입력값'!E19/4</f>
      </c>
      <c r="CH12" s="27">
        <f>CH9*'입력값'!E19/4</f>
      </c>
      <c r="CI12" s="27">
        <f>CI9*'입력값'!E19/4</f>
      </c>
      <c r="CJ12" s="27">
        <f>CJ9*'입력값'!E19/4</f>
      </c>
      <c r="CK12" s="27">
        <f>CK9*'입력값'!E19/4</f>
      </c>
      <c r="CL12" s="27">
        <f>CL9*'입력값'!E19/4</f>
      </c>
    </row>
    <row r="13" spans="2:90" x14ac:dyDescent="0.25">
      <c r="B13" s="37" t="s">
        <v>208</v>
      </c>
      <c r="C13" s="38" t="s">
        <v>205</v>
      </c>
      <c r="D13" s="14">
        <v>126068.99999999987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f>'입력값'!C19*100/60</f>
      </c>
      <c r="O13" s="27">
        <f>'입력값'!C19*100/60</f>
      </c>
      <c r="P13" s="27">
        <f>'입력값'!C19*100/60</f>
      </c>
      <c r="Q13" s="27">
        <f>'입력값'!C19*100/60</f>
      </c>
      <c r="R13" s="27">
        <f>'입력값'!C19*100/60</f>
      </c>
      <c r="S13" s="27">
        <f>'입력값'!C19*100/60</f>
      </c>
      <c r="T13" s="27">
        <f>'입력값'!C19*100/60</f>
      </c>
      <c r="U13" s="27">
        <f>'입력값'!C19*100/60</f>
      </c>
      <c r="V13" s="27">
        <f>'입력값'!C19*100/60</f>
      </c>
      <c r="W13" s="27">
        <f>'입력값'!C19*100/60</f>
      </c>
      <c r="X13" s="27">
        <f>'입력값'!C19*100/60</f>
      </c>
      <c r="Y13" s="27">
        <f>'입력값'!C19*100/60</f>
      </c>
      <c r="Z13" s="27">
        <f>'입력값'!C19*100/60</f>
      </c>
      <c r="AA13" s="27">
        <f>'입력값'!C19*100/60</f>
      </c>
      <c r="AB13" s="27">
        <f>'입력값'!C19*100/60</f>
      </c>
      <c r="AC13" s="27">
        <f>'입력값'!C19*100/60</f>
      </c>
      <c r="AD13" s="27">
        <f>'입력값'!C19*100/60</f>
      </c>
      <c r="AE13" s="27">
        <f>'입력값'!C19*100/60</f>
      </c>
      <c r="AF13" s="27">
        <f>'입력값'!C19*100/60</f>
      </c>
      <c r="AG13" s="27">
        <f>'입력값'!C19*100/60</f>
      </c>
      <c r="AH13" s="27">
        <f>'입력값'!C19*100/60</f>
      </c>
      <c r="AI13" s="27">
        <f>'입력값'!C19*100/60</f>
      </c>
      <c r="AJ13" s="27">
        <f>'입력값'!C19*100/60</f>
      </c>
      <c r="AK13" s="27">
        <f>'입력값'!C19*100/60</f>
      </c>
      <c r="AL13" s="27">
        <f>'입력값'!C19*100/60</f>
      </c>
      <c r="AM13" s="27">
        <f>'입력값'!C19*100/60</f>
      </c>
      <c r="AN13" s="27">
        <f>'입력값'!C19*100/60</f>
      </c>
      <c r="AO13" s="27">
        <f>'입력값'!C19*100/60</f>
      </c>
      <c r="AP13" s="27">
        <f>'입력값'!C19*100/60</f>
      </c>
      <c r="AQ13" s="27">
        <f>'입력값'!C19*100/60</f>
      </c>
      <c r="AR13" s="27">
        <f>'입력값'!C19*100/60</f>
      </c>
      <c r="AS13" s="27">
        <f>'입력값'!C19*100/60</f>
      </c>
      <c r="AT13" s="27">
        <f>'입력값'!C19*100/60</f>
      </c>
      <c r="AU13" s="27">
        <f>'입력값'!C19*100/60</f>
      </c>
      <c r="AV13" s="27">
        <f>'입력값'!C19*100/60</f>
      </c>
      <c r="AW13" s="27">
        <f>'입력값'!C19*100/60</f>
      </c>
      <c r="AX13" s="27">
        <f>'입력값'!C19*100/60</f>
      </c>
      <c r="AY13" s="27">
        <f>'입력값'!C19*100/60</f>
      </c>
      <c r="AZ13" s="27">
        <f>'입력값'!C19*100/60</f>
      </c>
      <c r="BA13" s="27">
        <f>'입력값'!C19*100/60</f>
      </c>
      <c r="BB13" s="27">
        <f>'입력값'!C19*100/60</f>
      </c>
      <c r="BC13" s="27">
        <f>'입력값'!C19*100/60</f>
      </c>
      <c r="BD13" s="27">
        <f>'입력값'!C19*100/60</f>
      </c>
      <c r="BE13" s="27">
        <f>'입력값'!C19*100/60</f>
      </c>
      <c r="BF13" s="27">
        <f>'입력값'!C19*100/60</f>
      </c>
      <c r="BG13" s="27">
        <f>'입력값'!C19*100/60</f>
      </c>
      <c r="BH13" s="27">
        <f>'입력값'!C19*100/60</f>
      </c>
      <c r="BI13" s="27">
        <f>'입력값'!C19*100/60</f>
      </c>
      <c r="BJ13" s="27">
        <f>'입력값'!C19*100/60</f>
      </c>
      <c r="BK13" s="27">
        <f>'입력값'!C19*100/60</f>
      </c>
      <c r="BL13" s="27">
        <f>'입력값'!C19*100/60</f>
      </c>
      <c r="BM13" s="27">
        <f>'입력값'!C19*100/60</f>
      </c>
      <c r="BN13" s="27">
        <f>'입력값'!C19*100/60</f>
      </c>
      <c r="BO13" s="27">
        <f>'입력값'!C19*100/60</f>
      </c>
      <c r="BP13" s="27">
        <f>'입력값'!C19*100/60</f>
      </c>
      <c r="BQ13" s="27">
        <f>'입력값'!C19*100/60</f>
      </c>
      <c r="BR13" s="27">
        <f>'입력값'!C19*100/60</f>
      </c>
      <c r="BS13" s="27">
        <f>'입력값'!C19*100/60</f>
      </c>
      <c r="BT13" s="27">
        <f>'입력값'!C19*100/60</f>
      </c>
      <c r="BU13" s="27">
        <f>'입력값'!C19*100/60</f>
      </c>
      <c r="BV13" s="27">
        <v>0</v>
      </c>
      <c r="BW13" s="27">
        <v>0</v>
      </c>
      <c r="BX13" s="27">
        <v>0</v>
      </c>
      <c r="BY13" s="27">
        <v>0</v>
      </c>
      <c r="BZ13" s="27">
        <v>0</v>
      </c>
      <c r="CA13" s="27">
        <v>0</v>
      </c>
      <c r="CB13" s="27">
        <v>0</v>
      </c>
      <c r="CC13" s="27">
        <v>0</v>
      </c>
      <c r="CD13" s="27">
        <v>0</v>
      </c>
      <c r="CE13" s="27">
        <v>0</v>
      </c>
      <c r="CF13" s="27">
        <v>0</v>
      </c>
      <c r="CG13" s="27">
        <v>0</v>
      </c>
      <c r="CH13" s="27">
        <v>0</v>
      </c>
      <c r="CI13" s="27">
        <v>0</v>
      </c>
      <c r="CJ13" s="27">
        <v>0</v>
      </c>
      <c r="CK13" s="27">
        <v>0</v>
      </c>
      <c r="CL13" s="27">
        <v>0</v>
      </c>
    </row>
    <row r="14" spans="2:90" x14ac:dyDescent="0.25">
      <c r="B14" s="39" t="s">
        <v>209</v>
      </c>
      <c r="C14" s="38" t="s">
        <v>205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6" x14ac:dyDescent="0.25">
      <c r="B15" s="37" t="s">
        <v>210</v>
      </c>
      <c r="C15" s="38" t="s">
        <v>205</v>
      </c>
      <c r="D15" s="27">
        <v>1.3005774235352874e-10</v>
      </c>
      <c r="F15" s="27" t="s">
        <v>211</v>
      </c>
    </row>
    <row r="17" spans="2:91" x14ac:dyDescent="0.25">
      <c r="B17" s="35" t="s">
        <v>65</v>
      </c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</row>
    <row r="18" spans="2:90" x14ac:dyDescent="0.25">
      <c r="B18" s="37" t="s">
        <v>204</v>
      </c>
      <c r="C18" s="38" t="s">
        <v>205</v>
      </c>
      <c r="E18" s="27">
        <v>0</v>
      </c>
      <c r="F18" s="27">
        <f>E23</f>
      </c>
      <c r="G18" s="27">
        <f>F23</f>
      </c>
      <c r="H18" s="27">
        <f>G23</f>
      </c>
      <c r="I18" s="27">
        <f>H23</f>
      </c>
      <c r="J18" s="27">
        <f>I23</f>
      </c>
      <c r="K18" s="27">
        <f>J23</f>
      </c>
      <c r="L18" s="27">
        <f>K23</f>
      </c>
      <c r="M18" s="27">
        <f>L23</f>
      </c>
      <c r="N18" s="27">
        <f>M23</f>
      </c>
      <c r="O18" s="27">
        <f>N23</f>
      </c>
      <c r="P18" s="27">
        <f>O23</f>
      </c>
      <c r="Q18" s="27">
        <f>P23</f>
      </c>
      <c r="R18" s="27">
        <f>Q23</f>
      </c>
      <c r="S18" s="27">
        <f>R23</f>
      </c>
      <c r="T18" s="27">
        <f>S23</f>
      </c>
      <c r="U18" s="27">
        <f>T23</f>
      </c>
      <c r="V18" s="27">
        <f>U23</f>
      </c>
      <c r="W18" s="27">
        <f>V23</f>
      </c>
      <c r="X18" s="27">
        <f>W23</f>
      </c>
      <c r="Y18" s="27">
        <f>X23</f>
      </c>
      <c r="Z18" s="27">
        <f>Y23</f>
      </c>
      <c r="AA18" s="27">
        <f>Z23</f>
      </c>
      <c r="AB18" s="27">
        <f>AA23</f>
      </c>
      <c r="AC18" s="27">
        <f>AB23</f>
      </c>
      <c r="AD18" s="27">
        <f>AC23</f>
      </c>
      <c r="AE18" s="27">
        <f>AD23</f>
      </c>
      <c r="AF18" s="27">
        <f>AE23</f>
      </c>
      <c r="AG18" s="27">
        <f>AF23</f>
      </c>
      <c r="AH18" s="27">
        <f>AG23</f>
      </c>
      <c r="AI18" s="27">
        <f>AH23</f>
      </c>
      <c r="AJ18" s="27">
        <f>AI23</f>
      </c>
      <c r="AK18" s="27">
        <f>AJ23</f>
      </c>
      <c r="AL18" s="27">
        <f>AK23</f>
      </c>
      <c r="AM18" s="27">
        <f>AL23</f>
      </c>
      <c r="AN18" s="27">
        <f>AM23</f>
      </c>
      <c r="AO18" s="27">
        <f>AN23</f>
      </c>
      <c r="AP18" s="27">
        <f>AO23</f>
      </c>
      <c r="AQ18" s="27">
        <f>AP23</f>
      </c>
      <c r="AR18" s="27">
        <f>AQ23</f>
      </c>
      <c r="AS18" s="27">
        <f>AR23</f>
      </c>
      <c r="AT18" s="27">
        <f>AS23</f>
      </c>
      <c r="AU18" s="27">
        <f>AT23</f>
      </c>
      <c r="AV18" s="27">
        <f>AU23</f>
      </c>
      <c r="AW18" s="27">
        <f>AV23</f>
      </c>
      <c r="AX18" s="27">
        <f>AW23</f>
      </c>
      <c r="AY18" s="27">
        <f>AX23</f>
      </c>
      <c r="AZ18" s="27">
        <f>AY23</f>
      </c>
      <c r="BA18" s="27">
        <f>AZ23</f>
      </c>
      <c r="BB18" s="27">
        <f>BA23</f>
      </c>
      <c r="BC18" s="27">
        <f>BB23</f>
      </c>
      <c r="BD18" s="27">
        <f>BC23</f>
      </c>
      <c r="BE18" s="27">
        <f>BD23</f>
      </c>
      <c r="BF18" s="27">
        <f>BE23</f>
      </c>
      <c r="BG18" s="27">
        <f>BF23</f>
      </c>
      <c r="BH18" s="27">
        <f>BG23</f>
      </c>
      <c r="BI18" s="27">
        <f>BH23</f>
      </c>
      <c r="BJ18" s="27">
        <f>BI23</f>
      </c>
      <c r="BK18" s="27">
        <f>BJ23</f>
      </c>
      <c r="BL18" s="27">
        <f>BK23</f>
      </c>
      <c r="BM18" s="27">
        <f>BL23</f>
      </c>
      <c r="BN18" s="27">
        <f>BM23</f>
      </c>
      <c r="BO18" s="27">
        <f>BN23</f>
      </c>
      <c r="BP18" s="27">
        <f>BO23</f>
      </c>
      <c r="BQ18" s="27">
        <f>BP23</f>
      </c>
      <c r="BR18" s="27">
        <f>BQ23</f>
      </c>
      <c r="BS18" s="27">
        <f>BR23</f>
      </c>
      <c r="BT18" s="27">
        <f>BS23</f>
      </c>
      <c r="BU18" s="27">
        <f>BT23</f>
      </c>
      <c r="BV18" s="27">
        <f>BU23</f>
      </c>
      <c r="BW18" s="27">
        <f>BV23</f>
      </c>
      <c r="BX18" s="27">
        <f>BW23</f>
      </c>
      <c r="BY18" s="27">
        <f>BX23</f>
      </c>
      <c r="BZ18" s="27">
        <f>BY23</f>
      </c>
      <c r="CA18" s="27">
        <f>BZ23</f>
      </c>
      <c r="CB18" s="27">
        <f>CA23</f>
      </c>
      <c r="CC18" s="27">
        <f>CB23</f>
      </c>
      <c r="CD18" s="27">
        <f>CC23</f>
      </c>
      <c r="CE18" s="27">
        <f>CD23</f>
      </c>
      <c r="CF18" s="27">
        <f>CE23</f>
      </c>
      <c r="CG18" s="27">
        <f>CF23</f>
      </c>
      <c r="CH18" s="27">
        <f>CG23</f>
      </c>
      <c r="CI18" s="27">
        <f>CH23</f>
      </c>
      <c r="CJ18" s="27">
        <f>CI23</f>
      </c>
      <c r="CK18" s="27">
        <f>CJ23</f>
      </c>
      <c r="CL18" s="27">
        <f>CK23</f>
      </c>
    </row>
    <row r="19" spans="2:90" x14ac:dyDescent="0.25">
      <c r="B19" s="37" t="s">
        <v>206</v>
      </c>
      <c r="C19" s="38" t="s">
        <v>205</v>
      </c>
      <c r="D19" s="14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  <c r="Z19" s="27">
        <v>0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  <c r="BQ19" s="27">
        <v>0</v>
      </c>
      <c r="BR19" s="27">
        <v>0</v>
      </c>
      <c r="BS19" s="27">
        <v>0</v>
      </c>
      <c r="BT19" s="27">
        <v>0</v>
      </c>
      <c r="BU19" s="27">
        <v>0</v>
      </c>
      <c r="BV19" s="27">
        <v>0</v>
      </c>
      <c r="BW19" s="27">
        <v>0</v>
      </c>
      <c r="BX19" s="27">
        <v>0</v>
      </c>
      <c r="BY19" s="27">
        <v>0</v>
      </c>
      <c r="BZ19" s="27">
        <v>0</v>
      </c>
      <c r="CA19" s="27">
        <v>0</v>
      </c>
      <c r="CB19" s="27">
        <v>0</v>
      </c>
      <c r="CC19" s="27">
        <v>0</v>
      </c>
      <c r="CD19" s="27">
        <v>0</v>
      </c>
      <c r="CE19" s="27">
        <v>0</v>
      </c>
      <c r="CF19" s="27">
        <v>0</v>
      </c>
      <c r="CG19" s="27">
        <v>0</v>
      </c>
      <c r="CH19" s="27">
        <v>0</v>
      </c>
      <c r="CI19" s="27">
        <v>0</v>
      </c>
      <c r="CJ19" s="27">
        <v>0</v>
      </c>
      <c r="CK19" s="27">
        <v>0</v>
      </c>
      <c r="CL19" s="27">
        <v>0</v>
      </c>
    </row>
    <row r="20" spans="2:90" x14ac:dyDescent="0.25">
      <c r="B20" s="37" t="s">
        <v>108</v>
      </c>
      <c r="C20" s="38" t="s">
        <v>205</v>
      </c>
      <c r="D20" s="14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  <c r="Z20" s="27">
        <v>0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  <c r="BQ20" s="27">
        <v>0</v>
      </c>
      <c r="BR20" s="27">
        <v>0</v>
      </c>
      <c r="BS20" s="27">
        <v>0</v>
      </c>
      <c r="BT20" s="27">
        <v>0</v>
      </c>
      <c r="BU20" s="27">
        <v>0</v>
      </c>
      <c r="BV20" s="27">
        <v>0</v>
      </c>
      <c r="BW20" s="27">
        <v>0</v>
      </c>
      <c r="BX20" s="27">
        <v>0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0</v>
      </c>
      <c r="CF20" s="27">
        <v>0</v>
      </c>
      <c r="CG20" s="27">
        <v>0</v>
      </c>
      <c r="CH20" s="27">
        <v>0</v>
      </c>
      <c r="CI20" s="27">
        <v>0</v>
      </c>
      <c r="CJ20" s="27">
        <v>0</v>
      </c>
      <c r="CK20" s="27">
        <v>0</v>
      </c>
      <c r="CL20" s="27">
        <v>0</v>
      </c>
    </row>
    <row r="21" spans="2:90" x14ac:dyDescent="0.25">
      <c r="B21" s="37" t="s">
        <v>207</v>
      </c>
      <c r="C21" s="38" t="s">
        <v>205</v>
      </c>
      <c r="D21" s="14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f>K18*'입력값'!E20/4</f>
      </c>
      <c r="L21" s="27">
        <f>L18*'입력값'!E20/4</f>
      </c>
      <c r="M21" s="27">
        <f>M18*'입력값'!E20/4</f>
      </c>
      <c r="N21" s="27">
        <f>N18*'입력값'!E20/4</f>
      </c>
      <c r="O21" s="27">
        <f>O18*'입력값'!E20/4</f>
      </c>
      <c r="P21" s="27">
        <f>P18*'입력값'!E20/4</f>
      </c>
      <c r="Q21" s="27">
        <f>Q18*'입력값'!E20/4</f>
      </c>
      <c r="R21" s="27">
        <f>R18*'입력값'!E20/4</f>
      </c>
      <c r="S21" s="27">
        <f>S18*'입력값'!E20/4</f>
      </c>
      <c r="T21" s="27">
        <f>T18*'입력값'!E20/4</f>
      </c>
      <c r="U21" s="27">
        <f>U18*'입력값'!E20/4</f>
      </c>
      <c r="V21" s="27">
        <f>V18*'입력값'!E20/4</f>
      </c>
      <c r="W21" s="27">
        <f>W18*'입력값'!E20/4</f>
      </c>
      <c r="X21" s="27">
        <f>X18*'입력값'!E20/4</f>
      </c>
      <c r="Y21" s="27">
        <f>Y18*'입력값'!E20/4</f>
      </c>
      <c r="Z21" s="27">
        <f>Z18*'입력값'!E20/4</f>
      </c>
      <c r="AA21" s="27">
        <f>AA18*'입력값'!E20/4</f>
      </c>
      <c r="AB21" s="27">
        <f>AB18*'입력값'!E20/4</f>
      </c>
      <c r="AC21" s="27">
        <f>AC18*'입력값'!E20/4</f>
      </c>
      <c r="AD21" s="27">
        <f>AD18*'입력값'!E20/4</f>
      </c>
      <c r="AE21" s="27">
        <f>AE18*'입력값'!E20/4</f>
      </c>
      <c r="AF21" s="27">
        <f>AF18*'입력값'!E20/4</f>
      </c>
      <c r="AG21" s="27">
        <f>AG18*'입력값'!E20/4</f>
      </c>
      <c r="AH21" s="27">
        <f>AH18*'입력값'!E20/4</f>
      </c>
      <c r="AI21" s="27">
        <f>AI18*'입력값'!E20/4</f>
      </c>
      <c r="AJ21" s="27">
        <f>AJ18*'입력값'!E20/4</f>
      </c>
      <c r="AK21" s="27">
        <f>AK18*'입력값'!E20/4</f>
      </c>
      <c r="AL21" s="27">
        <f>AL18*'입력값'!E20/4</f>
      </c>
      <c r="AM21" s="27">
        <f>AM18*'입력값'!E20/4</f>
      </c>
      <c r="AN21" s="27">
        <f>AN18*'입력값'!E20/4</f>
      </c>
      <c r="AO21" s="27">
        <f>AO18*'입력값'!E20/4</f>
      </c>
      <c r="AP21" s="27">
        <f>AP18*'입력값'!E20/4</f>
      </c>
      <c r="AQ21" s="27">
        <f>AQ18*'입력값'!E20/4</f>
      </c>
      <c r="AR21" s="27">
        <f>AR18*'입력값'!E20/4</f>
      </c>
      <c r="AS21" s="27">
        <f>AS18*'입력값'!E20/4</f>
      </c>
      <c r="AT21" s="27">
        <f>AT18*'입력값'!E20/4</f>
      </c>
      <c r="AU21" s="27">
        <f>AU18*'입력값'!E20/4</f>
      </c>
      <c r="AV21" s="27">
        <f>AV18*'입력값'!E20/4</f>
      </c>
      <c r="AW21" s="27">
        <f>AW18*'입력값'!E20/4</f>
      </c>
      <c r="AX21" s="27">
        <f>AX18*'입력값'!E20/4</f>
      </c>
      <c r="AY21" s="27">
        <f>AY18*'입력값'!E20/4</f>
      </c>
      <c r="AZ21" s="27">
        <f>AZ18*'입력값'!E20/4</f>
      </c>
      <c r="BA21" s="27">
        <f>BA18*'입력값'!E20/4</f>
      </c>
      <c r="BB21" s="27">
        <f>BB18*'입력값'!E20/4</f>
      </c>
      <c r="BC21" s="27">
        <f>BC18*'입력값'!E20/4</f>
      </c>
      <c r="BD21" s="27">
        <f>BD18*'입력값'!E20/4</f>
      </c>
      <c r="BE21" s="27">
        <f>BE18*'입력값'!E20/4</f>
      </c>
      <c r="BF21" s="27">
        <f>BF18*'입력값'!E20/4</f>
      </c>
      <c r="BG21" s="27">
        <f>BG18*'입력값'!E20/4</f>
      </c>
      <c r="BH21" s="27">
        <f>BH18*'입력값'!E20/4</f>
      </c>
      <c r="BI21" s="27">
        <f>BI18*'입력값'!E20/4</f>
      </c>
      <c r="BJ21" s="27">
        <f>BJ18*'입력값'!E20/4</f>
      </c>
      <c r="BK21" s="27">
        <f>BK18*'입력값'!E20/4</f>
      </c>
      <c r="BL21" s="27">
        <f>BL18*'입력값'!E20/4</f>
      </c>
      <c r="BM21" s="27">
        <f>BM18*'입력값'!E20/4</f>
      </c>
      <c r="BN21" s="27">
        <f>BN18*'입력값'!E20/4</f>
      </c>
      <c r="BO21" s="27">
        <f>BO18*'입력값'!E20/4</f>
      </c>
      <c r="BP21" s="27">
        <f>BP18*'입력값'!E20/4</f>
      </c>
      <c r="BQ21" s="27">
        <f>BQ18*'입력값'!E20/4</f>
      </c>
      <c r="BR21" s="27">
        <f>BR18*'입력값'!E20/4</f>
      </c>
      <c r="BS21" s="27">
        <f>BS18*'입력값'!E20/4</f>
      </c>
      <c r="BT21" s="27">
        <f>BT18*'입력값'!E20/4</f>
      </c>
      <c r="BU21" s="27">
        <f>BU18*'입력값'!E20/4</f>
      </c>
      <c r="BV21" s="27">
        <f>BV18*'입력값'!E20/4</f>
      </c>
      <c r="BW21" s="27">
        <f>BW18*'입력값'!E20/4</f>
      </c>
      <c r="BX21" s="27">
        <f>BX18*'입력값'!E20/4</f>
      </c>
      <c r="BY21" s="27">
        <f>BY18*'입력값'!E20/4</f>
      </c>
      <c r="BZ21" s="27">
        <f>BZ18*'입력값'!E20/4</f>
      </c>
      <c r="CA21" s="27">
        <f>CA18*'입력값'!E20/4</f>
      </c>
      <c r="CB21" s="27">
        <f>CB18*'입력값'!E20/4</f>
      </c>
      <c r="CC21" s="27">
        <f>CC18*'입력값'!E20/4</f>
      </c>
      <c r="CD21" s="27">
        <f>CD18*'입력값'!E20/4</f>
      </c>
      <c r="CE21" s="27">
        <f>CE18*'입력값'!E20/4</f>
      </c>
      <c r="CF21" s="27">
        <f>CF18*'입력값'!E20/4</f>
      </c>
      <c r="CG21" s="27">
        <f>CG18*'입력값'!E20/4</f>
      </c>
      <c r="CH21" s="27">
        <f>CH18*'입력값'!E20/4</f>
      </c>
      <c r="CI21" s="27">
        <f>CI18*'입력값'!E20/4</f>
      </c>
      <c r="CJ21" s="27">
        <f>CJ18*'입력값'!E20/4</f>
      </c>
      <c r="CK21" s="27">
        <f>CK18*'입력값'!E20/4</f>
      </c>
      <c r="CL21" s="27">
        <f>CL18*'입력값'!E20/4</f>
      </c>
    </row>
    <row r="22" spans="2:90" x14ac:dyDescent="0.25">
      <c r="B22" s="37" t="s">
        <v>208</v>
      </c>
      <c r="C22" s="38" t="s">
        <v>205</v>
      </c>
      <c r="D22" s="14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>
        <v>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  <c r="BQ22" s="27">
        <v>0</v>
      </c>
      <c r="BR22" s="27">
        <v>0</v>
      </c>
      <c r="BS22" s="27">
        <v>0</v>
      </c>
      <c r="BT22" s="27">
        <v>0</v>
      </c>
      <c r="BU22" s="27">
        <v>0</v>
      </c>
      <c r="BV22" s="27">
        <v>0</v>
      </c>
      <c r="BW22" s="27">
        <v>0</v>
      </c>
      <c r="BX22" s="27">
        <v>0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0</v>
      </c>
      <c r="CF22" s="27">
        <v>0</v>
      </c>
      <c r="CG22" s="27">
        <v>0</v>
      </c>
      <c r="CH22" s="27">
        <v>0</v>
      </c>
      <c r="CI22" s="27">
        <v>0</v>
      </c>
      <c r="CJ22" s="27">
        <v>0</v>
      </c>
      <c r="CK22" s="27">
        <v>0</v>
      </c>
      <c r="CL22" s="27">
        <v>0</v>
      </c>
    </row>
    <row r="23" spans="2:90" x14ac:dyDescent="0.25">
      <c r="B23" s="39" t="s">
        <v>209</v>
      </c>
      <c r="C23" s="38" t="s">
        <v>205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37" t="s">
        <v>210</v>
      </c>
      <c r="C24" s="38" t="s">
        <v>205</v>
      </c>
      <c r="D24" s="27">
        <v>0</v>
      </c>
      <c r="F24" s="27" t="s">
        <v>211</v>
      </c>
      <c r="H24" s="40" t="s">
        <v>212</v>
      </c>
    </row>
    <row r="26" spans="2:91" x14ac:dyDescent="0.25">
      <c r="B26" s="35" t="s">
        <v>66</v>
      </c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</row>
    <row r="27" spans="2:90" x14ac:dyDescent="0.25">
      <c r="B27" s="37" t="s">
        <v>204</v>
      </c>
      <c r="C27" s="38" t="s">
        <v>205</v>
      </c>
      <c r="E27" s="27">
        <v>0</v>
      </c>
      <c r="F27" s="27">
        <f>E32</f>
      </c>
      <c r="G27" s="27">
        <f>F32</f>
      </c>
      <c r="H27" s="27">
        <f>G32</f>
      </c>
      <c r="I27" s="27">
        <f>H32</f>
      </c>
      <c r="J27" s="27">
        <f>I32</f>
      </c>
      <c r="K27" s="27">
        <f>J32</f>
      </c>
      <c r="L27" s="27">
        <f>K32</f>
      </c>
      <c r="M27" s="27">
        <f>L32</f>
      </c>
      <c r="N27" s="27">
        <f>M32</f>
      </c>
      <c r="O27" s="27">
        <f>N32</f>
      </c>
      <c r="P27" s="27">
        <f>O32</f>
      </c>
      <c r="Q27" s="27">
        <f>P32</f>
      </c>
      <c r="R27" s="27">
        <f>Q32</f>
      </c>
      <c r="S27" s="27">
        <f>R32</f>
      </c>
      <c r="T27" s="27">
        <f>S32</f>
      </c>
      <c r="U27" s="27">
        <f>T32</f>
      </c>
      <c r="V27" s="27">
        <f>U32</f>
      </c>
      <c r="W27" s="27">
        <f>V32</f>
      </c>
      <c r="X27" s="27">
        <f>W32</f>
      </c>
      <c r="Y27" s="27">
        <f>X32</f>
      </c>
      <c r="Z27" s="27">
        <f>Y32</f>
      </c>
      <c r="AA27" s="27">
        <f>Z32</f>
      </c>
      <c r="AB27" s="27">
        <f>AA32</f>
      </c>
      <c r="AC27" s="27">
        <f>AB32</f>
      </c>
      <c r="AD27" s="27">
        <f>AC32</f>
      </c>
      <c r="AE27" s="27">
        <f>AD32</f>
      </c>
      <c r="AF27" s="27">
        <f>AE32</f>
      </c>
      <c r="AG27" s="27">
        <f>AF32</f>
      </c>
      <c r="AH27" s="27">
        <f>AG32</f>
      </c>
      <c r="AI27" s="27">
        <f>AH32</f>
      </c>
      <c r="AJ27" s="27">
        <f>AI32</f>
      </c>
      <c r="AK27" s="27">
        <f>AJ32</f>
      </c>
      <c r="AL27" s="27">
        <f>AK32</f>
      </c>
      <c r="AM27" s="27">
        <f>AL32</f>
      </c>
      <c r="AN27" s="27">
        <f>AM32</f>
      </c>
      <c r="AO27" s="27">
        <f>AN32</f>
      </c>
      <c r="AP27" s="27">
        <f>AO32</f>
      </c>
      <c r="AQ27" s="27">
        <f>AP32</f>
      </c>
      <c r="AR27" s="27">
        <f>AQ32</f>
      </c>
      <c r="AS27" s="27">
        <f>AR32</f>
      </c>
      <c r="AT27" s="27">
        <f>AS32</f>
      </c>
      <c r="AU27" s="27">
        <f>AT32</f>
      </c>
      <c r="AV27" s="27">
        <f>AU32</f>
      </c>
      <c r="AW27" s="27">
        <f>AV32</f>
      </c>
      <c r="AX27" s="27">
        <f>AW32</f>
      </c>
      <c r="AY27" s="27">
        <f>AX32</f>
      </c>
      <c r="AZ27" s="27">
        <f>AY32</f>
      </c>
      <c r="BA27" s="27">
        <f>AZ32</f>
      </c>
      <c r="BB27" s="27">
        <f>BA32</f>
      </c>
      <c r="BC27" s="27">
        <f>BB32</f>
      </c>
      <c r="BD27" s="27">
        <f>BC32</f>
      </c>
      <c r="BE27" s="27">
        <f>BD32</f>
      </c>
      <c r="BF27" s="27">
        <f>BE32</f>
      </c>
      <c r="BG27" s="27">
        <f>BF32</f>
      </c>
      <c r="BH27" s="27">
        <f>BG32</f>
      </c>
      <c r="BI27" s="27">
        <f>BH32</f>
      </c>
      <c r="BJ27" s="27">
        <f>BI32</f>
      </c>
      <c r="BK27" s="27">
        <f>BJ32</f>
      </c>
      <c r="BL27" s="27">
        <f>BK32</f>
      </c>
      <c r="BM27" s="27">
        <f>BL32</f>
      </c>
      <c r="BN27" s="27">
        <f>BM32</f>
      </c>
      <c r="BO27" s="27">
        <f>BN32</f>
      </c>
      <c r="BP27" s="27">
        <f>BO32</f>
      </c>
      <c r="BQ27" s="27">
        <f>BP32</f>
      </c>
      <c r="BR27" s="27">
        <f>BQ32</f>
      </c>
      <c r="BS27" s="27">
        <f>BR32</f>
      </c>
      <c r="BT27" s="27">
        <f>BS32</f>
      </c>
      <c r="BU27" s="27">
        <f>BT32</f>
      </c>
      <c r="BV27" s="27">
        <f>BU32</f>
      </c>
      <c r="BW27" s="27">
        <f>BV32</f>
      </c>
      <c r="BX27" s="27">
        <f>BW32</f>
      </c>
      <c r="BY27" s="27">
        <f>BX32</f>
      </c>
      <c r="BZ27" s="27">
        <f>BY32</f>
      </c>
      <c r="CA27" s="27">
        <f>BZ32</f>
      </c>
      <c r="CB27" s="27">
        <f>CA32</f>
      </c>
      <c r="CC27" s="27">
        <f>CB32</f>
      </c>
      <c r="CD27" s="27">
        <f>CC32</f>
      </c>
      <c r="CE27" s="27">
        <f>CD32</f>
      </c>
      <c r="CF27" s="27">
        <f>CE32</f>
      </c>
      <c r="CG27" s="27">
        <f>CF32</f>
      </c>
      <c r="CH27" s="27">
        <f>CG32</f>
      </c>
      <c r="CI27" s="27">
        <f>CH32</f>
      </c>
      <c r="CJ27" s="27">
        <f>CI32</f>
      </c>
      <c r="CK27" s="27">
        <f>CJ32</f>
      </c>
      <c r="CL27" s="27">
        <f>CK32</f>
      </c>
    </row>
    <row r="28" spans="2:90" x14ac:dyDescent="0.25">
      <c r="B28" s="37" t="s">
        <v>206</v>
      </c>
      <c r="C28" s="38" t="s">
        <v>205</v>
      </c>
      <c r="D28" s="14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7">
        <v>0</v>
      </c>
      <c r="BS28" s="27">
        <v>0</v>
      </c>
      <c r="BT28" s="27">
        <v>0</v>
      </c>
      <c r="BU28" s="27">
        <v>0</v>
      </c>
      <c r="BV28" s="27">
        <v>0</v>
      </c>
      <c r="BW28" s="27">
        <v>0</v>
      </c>
      <c r="BX28" s="27">
        <v>0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0</v>
      </c>
      <c r="CF28" s="27">
        <v>0</v>
      </c>
      <c r="CG28" s="27">
        <v>0</v>
      </c>
      <c r="CH28" s="27">
        <v>0</v>
      </c>
      <c r="CI28" s="27">
        <v>0</v>
      </c>
      <c r="CJ28" s="27">
        <v>0</v>
      </c>
      <c r="CK28" s="27">
        <v>0</v>
      </c>
      <c r="CL28" s="27">
        <v>0</v>
      </c>
    </row>
    <row r="29" spans="2:90" x14ac:dyDescent="0.25">
      <c r="B29" s="37" t="s">
        <v>108</v>
      </c>
      <c r="C29" s="38" t="s">
        <v>205</v>
      </c>
      <c r="D29" s="14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  <c r="BQ29" s="27">
        <v>0</v>
      </c>
      <c r="BR29" s="27">
        <v>0</v>
      </c>
      <c r="BS29" s="27">
        <v>0</v>
      </c>
      <c r="BT29" s="27">
        <v>0</v>
      </c>
      <c r="BU29" s="27">
        <v>0</v>
      </c>
      <c r="BV29" s="27">
        <v>0</v>
      </c>
      <c r="BW29" s="27">
        <v>0</v>
      </c>
      <c r="BX29" s="27">
        <v>0</v>
      </c>
      <c r="BY29" s="27">
        <v>0</v>
      </c>
      <c r="BZ29" s="27">
        <v>0</v>
      </c>
      <c r="CA29" s="27">
        <v>0</v>
      </c>
      <c r="CB29" s="27">
        <v>0</v>
      </c>
      <c r="CC29" s="27">
        <v>0</v>
      </c>
      <c r="CD29" s="27">
        <v>0</v>
      </c>
      <c r="CE29" s="27">
        <v>0</v>
      </c>
      <c r="CF29" s="27">
        <v>0</v>
      </c>
      <c r="CG29" s="27">
        <v>0</v>
      </c>
      <c r="CH29" s="27">
        <v>0</v>
      </c>
      <c r="CI29" s="27">
        <v>0</v>
      </c>
      <c r="CJ29" s="27">
        <v>0</v>
      </c>
      <c r="CK29" s="27">
        <v>0</v>
      </c>
      <c r="CL29" s="27">
        <v>0</v>
      </c>
    </row>
    <row r="30" spans="2:90" x14ac:dyDescent="0.25">
      <c r="B30" s="37" t="s">
        <v>207</v>
      </c>
      <c r="C30" s="38" t="s">
        <v>205</v>
      </c>
      <c r="D30" s="14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f>K27*'입력값'!E21/4</f>
      </c>
      <c r="L30" s="27">
        <f>L27*'입력값'!E21/4</f>
      </c>
      <c r="M30" s="27">
        <f>M27*'입력값'!E21/4</f>
      </c>
      <c r="N30" s="27">
        <f>N27*'입력값'!E21/4</f>
      </c>
      <c r="O30" s="27">
        <f>O27*'입력값'!E21/4</f>
      </c>
      <c r="P30" s="27">
        <f>P27*'입력값'!E21/4</f>
      </c>
      <c r="Q30" s="27">
        <f>Q27*'입력값'!E21/4</f>
      </c>
      <c r="R30" s="27">
        <f>R27*'입력값'!E21/4</f>
      </c>
      <c r="S30" s="27">
        <f>S27*'입력값'!E21/4</f>
      </c>
      <c r="T30" s="27">
        <f>T27*'입력값'!E21/4</f>
      </c>
      <c r="U30" s="27">
        <f>U27*'입력값'!E21/4</f>
      </c>
      <c r="V30" s="27">
        <f>V27*'입력값'!E21/4</f>
      </c>
      <c r="W30" s="27">
        <f>W27*'입력값'!E21/4</f>
      </c>
      <c r="X30" s="27">
        <f>X27*'입력값'!E21/4</f>
      </c>
      <c r="Y30" s="27">
        <f>Y27*'입력값'!E21/4</f>
      </c>
      <c r="Z30" s="27">
        <f>Z27*'입력값'!E21/4</f>
      </c>
      <c r="AA30" s="27">
        <f>AA27*'입력값'!E21/4</f>
      </c>
      <c r="AB30" s="27">
        <f>AB27*'입력값'!E21/4</f>
      </c>
      <c r="AC30" s="27">
        <f>AC27*'입력값'!E21/4</f>
      </c>
      <c r="AD30" s="27">
        <f>AD27*'입력값'!E21/4</f>
      </c>
      <c r="AE30" s="27">
        <f>AE27*'입력값'!E21/4</f>
      </c>
      <c r="AF30" s="27">
        <f>AF27*'입력값'!E21/4</f>
      </c>
      <c r="AG30" s="27">
        <f>AG27*'입력값'!E21/4</f>
      </c>
      <c r="AH30" s="27">
        <f>AH27*'입력값'!E21/4</f>
      </c>
      <c r="AI30" s="27">
        <f>AI27*'입력값'!E21/4</f>
      </c>
      <c r="AJ30" s="27">
        <f>AJ27*'입력값'!E21/4</f>
      </c>
      <c r="AK30" s="27">
        <f>AK27*'입력값'!E21/4</f>
      </c>
      <c r="AL30" s="27">
        <f>AL27*'입력값'!E21/4</f>
      </c>
      <c r="AM30" s="27">
        <f>AM27*'입력값'!E21/4</f>
      </c>
      <c r="AN30" s="27">
        <f>AN27*'입력값'!E21/4</f>
      </c>
      <c r="AO30" s="27">
        <f>AO27*'입력값'!E21/4</f>
      </c>
      <c r="AP30" s="27">
        <f>AP27*'입력값'!E21/4</f>
      </c>
      <c r="AQ30" s="27">
        <f>AQ27*'입력값'!E21/4</f>
      </c>
      <c r="AR30" s="27">
        <f>AR27*'입력값'!E21/4</f>
      </c>
      <c r="AS30" s="27">
        <f>AS27*'입력값'!E21/4</f>
      </c>
      <c r="AT30" s="27">
        <f>AT27*'입력값'!E21/4</f>
      </c>
      <c r="AU30" s="27">
        <f>AU27*'입력값'!E21/4</f>
      </c>
      <c r="AV30" s="27">
        <f>AV27*'입력값'!E21/4</f>
      </c>
      <c r="AW30" s="27">
        <f>AW27*'입력값'!E21/4</f>
      </c>
      <c r="AX30" s="27">
        <f>AX27*'입력값'!E21/4</f>
      </c>
      <c r="AY30" s="27">
        <f>AY27*'입력값'!E21/4</f>
      </c>
      <c r="AZ30" s="27">
        <f>AZ27*'입력값'!E21/4</f>
      </c>
      <c r="BA30" s="27">
        <f>BA27*'입력값'!E21/4</f>
      </c>
      <c r="BB30" s="27">
        <f>BB27*'입력값'!E21/4</f>
      </c>
      <c r="BC30" s="27">
        <f>BC27*'입력값'!E21/4</f>
      </c>
      <c r="BD30" s="27">
        <f>BD27*'입력값'!E21/4</f>
      </c>
      <c r="BE30" s="27">
        <f>BE27*'입력값'!E21/4</f>
      </c>
      <c r="BF30" s="27">
        <f>BF27*'입력값'!E21/4</f>
      </c>
      <c r="BG30" s="27">
        <f>BG27*'입력값'!E21/4</f>
      </c>
      <c r="BH30" s="27">
        <f>BH27*'입력값'!E21/4</f>
      </c>
      <c r="BI30" s="27">
        <f>BI27*'입력값'!E21/4</f>
      </c>
      <c r="BJ30" s="27">
        <f>BJ27*'입력값'!E21/4</f>
      </c>
      <c r="BK30" s="27">
        <f>BK27*'입력값'!E21/4</f>
      </c>
      <c r="BL30" s="27">
        <f>BL27*'입력값'!E21/4</f>
      </c>
      <c r="BM30" s="27">
        <f>BM27*'입력값'!E21/4</f>
      </c>
      <c r="BN30" s="27">
        <f>BN27*'입력값'!E21/4</f>
      </c>
      <c r="BO30" s="27">
        <f>BO27*'입력값'!E21/4</f>
      </c>
      <c r="BP30" s="27">
        <f>BP27*'입력값'!E21/4</f>
      </c>
      <c r="BQ30" s="27">
        <f>BQ27*'입력값'!E21/4</f>
      </c>
      <c r="BR30" s="27">
        <f>BR27*'입력값'!E21/4</f>
      </c>
      <c r="BS30" s="27">
        <f>BS27*'입력값'!E21/4</f>
      </c>
      <c r="BT30" s="27">
        <f>BT27*'입력값'!E21/4</f>
      </c>
      <c r="BU30" s="27">
        <f>BU27*'입력값'!E21/4</f>
      </c>
      <c r="BV30" s="27">
        <f>BV27*'입력값'!E21/4</f>
      </c>
      <c r="BW30" s="27">
        <f>BW27*'입력값'!E21/4</f>
      </c>
      <c r="BX30" s="27">
        <f>BX27*'입력값'!E21/4</f>
      </c>
      <c r="BY30" s="27">
        <f>BY27*'입력값'!E21/4</f>
      </c>
      <c r="BZ30" s="27">
        <f>BZ27*'입력값'!E21/4</f>
      </c>
      <c r="CA30" s="27">
        <f>CA27*'입력값'!E21/4</f>
      </c>
      <c r="CB30" s="27">
        <f>CB27*'입력값'!E21/4</f>
      </c>
      <c r="CC30" s="27">
        <f>CC27*'입력값'!E21/4</f>
      </c>
      <c r="CD30" s="27">
        <f>CD27*'입력값'!E21/4</f>
      </c>
      <c r="CE30" s="27">
        <f>CE27*'입력값'!E21/4</f>
      </c>
      <c r="CF30" s="27">
        <f>CF27*'입력값'!E21/4</f>
      </c>
      <c r="CG30" s="27">
        <f>CG27*'입력값'!E21/4</f>
      </c>
      <c r="CH30" s="27">
        <f>CH27*'입력값'!E21/4</f>
      </c>
      <c r="CI30" s="27">
        <f>CI27*'입력값'!E21/4</f>
      </c>
      <c r="CJ30" s="27">
        <f>CJ27*'입력값'!E21/4</f>
      </c>
      <c r="CK30" s="27">
        <f>CK27*'입력값'!E21/4</f>
      </c>
      <c r="CL30" s="27">
        <f>CL27*'입력값'!E21/4</f>
      </c>
    </row>
    <row r="31" spans="2:90" x14ac:dyDescent="0.25">
      <c r="B31" s="37" t="s">
        <v>208</v>
      </c>
      <c r="C31" s="38" t="s">
        <v>205</v>
      </c>
      <c r="D31" s="14">
        <v>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0</v>
      </c>
      <c r="P31" s="27">
        <v>0</v>
      </c>
      <c r="Q31" s="27">
        <v>0</v>
      </c>
      <c r="R31" s="27">
        <v>0</v>
      </c>
      <c r="S31" s="27">
        <v>0</v>
      </c>
      <c r="T31" s="27">
        <v>0</v>
      </c>
      <c r="U31" s="27">
        <v>0</v>
      </c>
      <c r="V31" s="27">
        <v>0</v>
      </c>
      <c r="W31" s="27">
        <v>0</v>
      </c>
      <c r="X31" s="27">
        <v>0</v>
      </c>
      <c r="Y31" s="27">
        <v>0</v>
      </c>
      <c r="Z31" s="27">
        <v>0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  <c r="BQ31" s="27">
        <v>0</v>
      </c>
      <c r="BR31" s="27">
        <v>0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</v>
      </c>
      <c r="BY31" s="27">
        <v>0</v>
      </c>
      <c r="BZ31" s="27">
        <v>0</v>
      </c>
      <c r="CA31" s="27">
        <v>0</v>
      </c>
      <c r="CB31" s="27">
        <v>0</v>
      </c>
      <c r="CC31" s="27">
        <v>0</v>
      </c>
      <c r="CD31" s="27">
        <v>0</v>
      </c>
      <c r="CE31" s="27">
        <v>0</v>
      </c>
      <c r="CF31" s="27">
        <v>0</v>
      </c>
      <c r="CG31" s="27">
        <v>0</v>
      </c>
      <c r="CH31" s="27">
        <v>0</v>
      </c>
      <c r="CI31" s="27">
        <v>0</v>
      </c>
      <c r="CJ31" s="27">
        <v>0</v>
      </c>
      <c r="CK31" s="27">
        <v>0</v>
      </c>
      <c r="CL31" s="27">
        <v>0</v>
      </c>
    </row>
    <row r="32" spans="2:90" x14ac:dyDescent="0.25">
      <c r="B32" s="39" t="s">
        <v>209</v>
      </c>
      <c r="C32" s="38" t="s">
        <v>205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37" t="s">
        <v>210</v>
      </c>
      <c r="C33" s="38" t="s">
        <v>205</v>
      </c>
      <c r="D33" s="27">
        <v>0</v>
      </c>
      <c r="F33" s="27" t="s">
        <v>211</v>
      </c>
      <c r="H33" s="40" t="s">
        <v>212</v>
      </c>
    </row>
    <row r="35" spans="2:91" x14ac:dyDescent="0.25">
      <c r="B35" s="35" t="s">
        <v>67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</row>
    <row r="36" spans="2:90" x14ac:dyDescent="0.25">
      <c r="B36" s="37" t="s">
        <v>204</v>
      </c>
      <c r="C36" s="38" t="s">
        <v>205</v>
      </c>
      <c r="E36" s="27">
        <v>0</v>
      </c>
      <c r="F36" s="27">
        <f>E41</f>
      </c>
      <c r="G36" s="27">
        <f>F41</f>
      </c>
      <c r="H36" s="27">
        <f>G41</f>
      </c>
      <c r="I36" s="27">
        <f>H41</f>
      </c>
      <c r="J36" s="27">
        <f>I41</f>
      </c>
      <c r="K36" s="27">
        <f>J41</f>
      </c>
      <c r="L36" s="27">
        <f>K41</f>
      </c>
      <c r="M36" s="27">
        <f>L41</f>
      </c>
      <c r="N36" s="27">
        <f>M41</f>
      </c>
      <c r="O36" s="27">
        <f>N41</f>
      </c>
      <c r="P36" s="27">
        <f>O41</f>
      </c>
      <c r="Q36" s="27">
        <f>P41</f>
      </c>
      <c r="R36" s="27">
        <f>Q41</f>
      </c>
      <c r="S36" s="27">
        <f>R41</f>
      </c>
      <c r="T36" s="27">
        <f>S41</f>
      </c>
      <c r="U36" s="27">
        <f>T41</f>
      </c>
      <c r="V36" s="27">
        <f>U41</f>
      </c>
      <c r="W36" s="27">
        <f>V41</f>
      </c>
      <c r="X36" s="27">
        <f>W41</f>
      </c>
      <c r="Y36" s="27">
        <f>X41</f>
      </c>
      <c r="Z36" s="27">
        <f>Y41</f>
      </c>
      <c r="AA36" s="27">
        <f>Z41</f>
      </c>
      <c r="AB36" s="27">
        <f>AA41</f>
      </c>
      <c r="AC36" s="27">
        <f>AB41</f>
      </c>
      <c r="AD36" s="27">
        <f>AC41</f>
      </c>
      <c r="AE36" s="27">
        <f>AD41</f>
      </c>
      <c r="AF36" s="27">
        <f>AE41</f>
      </c>
      <c r="AG36" s="27">
        <f>AF41</f>
      </c>
      <c r="AH36" s="27">
        <f>AG41</f>
      </c>
      <c r="AI36" s="27">
        <f>AH41</f>
      </c>
      <c r="AJ36" s="27">
        <f>AI41</f>
      </c>
      <c r="AK36" s="27">
        <f>AJ41</f>
      </c>
      <c r="AL36" s="27">
        <f>AK41</f>
      </c>
      <c r="AM36" s="27">
        <f>AL41</f>
      </c>
      <c r="AN36" s="27">
        <f>AM41</f>
      </c>
      <c r="AO36" s="27">
        <f>AN41</f>
      </c>
      <c r="AP36" s="27">
        <f>AO41</f>
      </c>
      <c r="AQ36" s="27">
        <f>AP41</f>
      </c>
      <c r="AR36" s="27">
        <f>AQ41</f>
      </c>
      <c r="AS36" s="27">
        <f>AR41</f>
      </c>
      <c r="AT36" s="27">
        <f>AS41</f>
      </c>
      <c r="AU36" s="27">
        <f>AT41</f>
      </c>
      <c r="AV36" s="27">
        <f>AU41</f>
      </c>
      <c r="AW36" s="27">
        <f>AV41</f>
      </c>
      <c r="AX36" s="27">
        <f>AW41</f>
      </c>
      <c r="AY36" s="27">
        <f>AX41</f>
      </c>
      <c r="AZ36" s="27">
        <f>AY41</f>
      </c>
      <c r="BA36" s="27">
        <f>AZ41</f>
      </c>
      <c r="BB36" s="27">
        <f>BA41</f>
      </c>
      <c r="BC36" s="27">
        <f>BB41</f>
      </c>
      <c r="BD36" s="27">
        <f>BC41</f>
      </c>
      <c r="BE36" s="27">
        <f>BD41</f>
      </c>
      <c r="BF36" s="27">
        <f>BE41</f>
      </c>
      <c r="BG36" s="27">
        <f>BF41</f>
      </c>
      <c r="BH36" s="27">
        <f>BG41</f>
      </c>
      <c r="BI36" s="27">
        <f>BH41</f>
      </c>
      <c r="BJ36" s="27">
        <f>BI41</f>
      </c>
      <c r="BK36" s="27">
        <f>BJ41</f>
      </c>
      <c r="BL36" s="27">
        <f>BK41</f>
      </c>
      <c r="BM36" s="27">
        <f>BL41</f>
      </c>
      <c r="BN36" s="27">
        <f>BM41</f>
      </c>
      <c r="BO36" s="27">
        <f>BN41</f>
      </c>
      <c r="BP36" s="27">
        <f>BO41</f>
      </c>
      <c r="BQ36" s="27">
        <f>BP41</f>
      </c>
      <c r="BR36" s="27">
        <f>BQ41</f>
      </c>
      <c r="BS36" s="27">
        <f>BR41</f>
      </c>
      <c r="BT36" s="27">
        <f>BS41</f>
      </c>
      <c r="BU36" s="27">
        <f>BT41</f>
      </c>
      <c r="BV36" s="27">
        <f>BU41</f>
      </c>
      <c r="BW36" s="27">
        <f>BV41</f>
      </c>
      <c r="BX36" s="27">
        <f>BW41</f>
      </c>
      <c r="BY36" s="27">
        <f>BX41</f>
      </c>
      <c r="BZ36" s="27">
        <f>BY41</f>
      </c>
      <c r="CA36" s="27">
        <f>BZ41</f>
      </c>
      <c r="CB36" s="27">
        <f>CA41</f>
      </c>
      <c r="CC36" s="27">
        <f>CB41</f>
      </c>
      <c r="CD36" s="27">
        <f>CC41</f>
      </c>
      <c r="CE36" s="27">
        <f>CD41</f>
      </c>
      <c r="CF36" s="27">
        <f>CE41</f>
      </c>
      <c r="CG36" s="27">
        <f>CF41</f>
      </c>
      <c r="CH36" s="27">
        <f>CG41</f>
      </c>
      <c r="CI36" s="27">
        <f>CH41</f>
      </c>
      <c r="CJ36" s="27">
        <f>CI41</f>
      </c>
      <c r="CK36" s="27">
        <f>CJ41</f>
      </c>
      <c r="CL36" s="27">
        <f>CK41</f>
      </c>
    </row>
    <row r="37" spans="2:90" x14ac:dyDescent="0.25">
      <c r="B37" s="37" t="s">
        <v>206</v>
      </c>
      <c r="C37" s="38" t="s">
        <v>205</v>
      </c>
      <c r="D37" s="14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</v>
      </c>
      <c r="BW37" s="27">
        <v>0</v>
      </c>
      <c r="BX37" s="27">
        <v>0</v>
      </c>
      <c r="BY37" s="27">
        <v>0</v>
      </c>
      <c r="BZ37" s="27">
        <v>0</v>
      </c>
      <c r="CA37" s="27">
        <v>0</v>
      </c>
      <c r="CB37" s="27">
        <v>0</v>
      </c>
      <c r="CC37" s="27">
        <v>0</v>
      </c>
      <c r="CD37" s="27">
        <v>0</v>
      </c>
      <c r="CE37" s="27">
        <v>0</v>
      </c>
      <c r="CF37" s="27">
        <v>0</v>
      </c>
      <c r="CG37" s="27">
        <v>0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</row>
    <row r="38" spans="2:90" x14ac:dyDescent="0.25">
      <c r="B38" s="37" t="s">
        <v>108</v>
      </c>
      <c r="C38" s="38" t="s">
        <v>205</v>
      </c>
      <c r="D38" s="14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0</v>
      </c>
      <c r="CF38" s="27">
        <v>0</v>
      </c>
      <c r="CG38" s="27">
        <v>0</v>
      </c>
      <c r="CH38" s="27">
        <v>0</v>
      </c>
      <c r="CI38" s="27">
        <v>0</v>
      </c>
      <c r="CJ38" s="27">
        <v>0</v>
      </c>
      <c r="CK38" s="27">
        <v>0</v>
      </c>
      <c r="CL38" s="27">
        <v>0</v>
      </c>
    </row>
    <row r="39" spans="2:90" x14ac:dyDescent="0.25">
      <c r="B39" s="37" t="s">
        <v>207</v>
      </c>
      <c r="C39" s="38" t="s">
        <v>205</v>
      </c>
      <c r="D39" s="14">
        <v>0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f>K36*'입력값'!E22/4</f>
      </c>
      <c r="L39" s="27">
        <f>L36*'입력값'!E22/4</f>
      </c>
      <c r="M39" s="27">
        <f>M36*'입력값'!E22/4</f>
      </c>
      <c r="N39" s="27">
        <f>N36*'입력값'!E22/4</f>
      </c>
      <c r="O39" s="27">
        <f>O36*'입력값'!E22/4</f>
      </c>
      <c r="P39" s="27">
        <f>P36*'입력값'!E22/4</f>
      </c>
      <c r="Q39" s="27">
        <f>Q36*'입력값'!E22/4</f>
      </c>
      <c r="R39" s="27">
        <f>R36*'입력값'!E22/4</f>
      </c>
      <c r="S39" s="27">
        <f>S36*'입력값'!E22/4</f>
      </c>
      <c r="T39" s="27">
        <f>T36*'입력값'!E22/4</f>
      </c>
      <c r="U39" s="27">
        <f>U36*'입력값'!E22/4</f>
      </c>
      <c r="V39" s="27">
        <f>V36*'입력값'!E22/4</f>
      </c>
      <c r="W39" s="27">
        <f>W36*'입력값'!E22/4</f>
      </c>
      <c r="X39" s="27">
        <f>X36*'입력값'!E22/4</f>
      </c>
      <c r="Y39" s="27">
        <f>Y36*'입력값'!E22/4</f>
      </c>
      <c r="Z39" s="27">
        <f>Z36*'입력값'!E22/4</f>
      </c>
      <c r="AA39" s="27">
        <f>AA36*'입력값'!E22/4</f>
      </c>
      <c r="AB39" s="27">
        <f>AB36*'입력값'!E22/4</f>
      </c>
      <c r="AC39" s="27">
        <f>AC36*'입력값'!E22/4</f>
      </c>
      <c r="AD39" s="27">
        <f>AD36*'입력값'!E22/4</f>
      </c>
      <c r="AE39" s="27">
        <f>AE36*'입력값'!E22/4</f>
      </c>
      <c r="AF39" s="27">
        <f>AF36*'입력값'!E22/4</f>
      </c>
      <c r="AG39" s="27">
        <f>AG36*'입력값'!E22/4</f>
      </c>
      <c r="AH39" s="27">
        <f>AH36*'입력값'!E22/4</f>
      </c>
      <c r="AI39" s="27">
        <f>AI36*'입력값'!E22/4</f>
      </c>
      <c r="AJ39" s="27">
        <f>AJ36*'입력값'!E22/4</f>
      </c>
      <c r="AK39" s="27">
        <f>AK36*'입력값'!E22/4</f>
      </c>
      <c r="AL39" s="27">
        <f>AL36*'입력값'!E22/4</f>
      </c>
      <c r="AM39" s="27">
        <f>AM36*'입력값'!E22/4</f>
      </c>
      <c r="AN39" s="27">
        <f>AN36*'입력값'!E22/4</f>
      </c>
      <c r="AO39" s="27">
        <f>AO36*'입력값'!E22/4</f>
      </c>
      <c r="AP39" s="27">
        <f>AP36*'입력값'!E22/4</f>
      </c>
      <c r="AQ39" s="27">
        <f>AQ36*'입력값'!E22/4</f>
      </c>
      <c r="AR39" s="27">
        <f>AR36*'입력값'!E22/4</f>
      </c>
      <c r="AS39" s="27">
        <f>AS36*'입력값'!E22/4</f>
      </c>
      <c r="AT39" s="27">
        <f>AT36*'입력값'!E22/4</f>
      </c>
      <c r="AU39" s="27">
        <f>AU36*'입력값'!E22/4</f>
      </c>
      <c r="AV39" s="27">
        <f>AV36*'입력값'!E22/4</f>
      </c>
      <c r="AW39" s="27">
        <f>AW36*'입력값'!E22/4</f>
      </c>
      <c r="AX39" s="27">
        <f>AX36*'입력값'!E22/4</f>
      </c>
      <c r="AY39" s="27">
        <f>AY36*'입력값'!E22/4</f>
      </c>
      <c r="AZ39" s="27">
        <f>AZ36*'입력값'!E22/4</f>
      </c>
      <c r="BA39" s="27">
        <f>BA36*'입력값'!E22/4</f>
      </c>
      <c r="BB39" s="27">
        <f>BB36*'입력값'!E22/4</f>
      </c>
      <c r="BC39" s="27">
        <f>BC36*'입력값'!E22/4</f>
      </c>
      <c r="BD39" s="27">
        <f>BD36*'입력값'!E22/4</f>
      </c>
      <c r="BE39" s="27">
        <f>BE36*'입력값'!E22/4</f>
      </c>
      <c r="BF39" s="27">
        <f>BF36*'입력값'!E22/4</f>
      </c>
      <c r="BG39" s="27">
        <f>BG36*'입력값'!E22/4</f>
      </c>
      <c r="BH39" s="27">
        <f>BH36*'입력값'!E22/4</f>
      </c>
      <c r="BI39" s="27">
        <f>BI36*'입력값'!E22/4</f>
      </c>
      <c r="BJ39" s="27">
        <f>BJ36*'입력값'!E22/4</f>
      </c>
      <c r="BK39" s="27">
        <f>BK36*'입력값'!E22/4</f>
      </c>
      <c r="BL39" s="27">
        <f>BL36*'입력값'!E22/4</f>
      </c>
      <c r="BM39" s="27">
        <f>BM36*'입력값'!E22/4</f>
      </c>
      <c r="BN39" s="27">
        <f>BN36*'입력값'!E22/4</f>
      </c>
      <c r="BO39" s="27">
        <f>BO36*'입력값'!E22/4</f>
      </c>
      <c r="BP39" s="27">
        <f>BP36*'입력값'!E22/4</f>
      </c>
      <c r="BQ39" s="27">
        <f>BQ36*'입력값'!E22/4</f>
      </c>
      <c r="BR39" s="27">
        <f>BR36*'입력값'!E22/4</f>
      </c>
      <c r="BS39" s="27">
        <f>BS36*'입력값'!E22/4</f>
      </c>
      <c r="BT39" s="27">
        <f>BT36*'입력값'!E22/4</f>
      </c>
      <c r="BU39" s="27">
        <f>BU36*'입력값'!E22/4</f>
      </c>
      <c r="BV39" s="27">
        <f>BV36*'입력값'!E22/4</f>
      </c>
      <c r="BW39" s="27">
        <f>BW36*'입력값'!E22/4</f>
      </c>
      <c r="BX39" s="27">
        <f>BX36*'입력값'!E22/4</f>
      </c>
      <c r="BY39" s="27">
        <f>BY36*'입력값'!E22/4</f>
      </c>
      <c r="BZ39" s="27">
        <f>BZ36*'입력값'!E22/4</f>
      </c>
      <c r="CA39" s="27">
        <f>CA36*'입력값'!E22/4</f>
      </c>
      <c r="CB39" s="27">
        <f>CB36*'입력값'!E22/4</f>
      </c>
      <c r="CC39" s="27">
        <f>CC36*'입력값'!E22/4</f>
      </c>
      <c r="CD39" s="27">
        <f>CD36*'입력값'!E22/4</f>
      </c>
      <c r="CE39" s="27">
        <f>CE36*'입력값'!E22/4</f>
      </c>
      <c r="CF39" s="27">
        <f>CF36*'입력값'!E22/4</f>
      </c>
      <c r="CG39" s="27">
        <f>CG36*'입력값'!E22/4</f>
      </c>
      <c r="CH39" s="27">
        <f>CH36*'입력값'!E22/4</f>
      </c>
      <c r="CI39" s="27">
        <f>CI36*'입력값'!E22/4</f>
      </c>
      <c r="CJ39" s="27">
        <f>CJ36*'입력값'!E22/4</f>
      </c>
      <c r="CK39" s="27">
        <f>CK36*'입력값'!E22/4</f>
      </c>
      <c r="CL39" s="27">
        <f>CL36*'입력값'!E22/4</f>
      </c>
    </row>
    <row r="40" spans="2:90" x14ac:dyDescent="0.25">
      <c r="B40" s="37" t="s">
        <v>208</v>
      </c>
      <c r="C40" s="38" t="s">
        <v>205</v>
      </c>
      <c r="D40" s="14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</row>
    <row r="41" spans="2:90" x14ac:dyDescent="0.25">
      <c r="B41" s="39" t="s">
        <v>209</v>
      </c>
      <c r="C41" s="38" t="s">
        <v>205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37" t="s">
        <v>210</v>
      </c>
      <c r="C42" s="38" t="s">
        <v>205</v>
      </c>
      <c r="D42" s="27">
        <v>0</v>
      </c>
      <c r="F42" s="27" t="s">
        <v>211</v>
      </c>
      <c r="H42" s="40" t="s">
        <v>212</v>
      </c>
    </row>
    <row r="44" spans="2:91" x14ac:dyDescent="0.25">
      <c r="B44" s="35" t="s">
        <v>68</v>
      </c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6"/>
      <c r="CJ44" s="36"/>
      <c r="CK44" s="36"/>
      <c r="CL44" s="36"/>
      <c r="CM44" s="36"/>
    </row>
    <row r="45" spans="2:90" x14ac:dyDescent="0.25">
      <c r="B45" s="37" t="s">
        <v>204</v>
      </c>
      <c r="C45" s="38" t="s">
        <v>205</v>
      </c>
      <c r="E45" s="27">
        <v>0</v>
      </c>
      <c r="F45" s="27">
        <f>E50</f>
      </c>
      <c r="G45" s="27">
        <f>F50</f>
      </c>
      <c r="H45" s="27">
        <f>G50</f>
      </c>
      <c r="I45" s="27">
        <f>H50</f>
      </c>
      <c r="J45" s="27">
        <f>I50</f>
      </c>
      <c r="K45" s="27">
        <f>J50</f>
      </c>
      <c r="L45" s="27">
        <f>K50</f>
      </c>
      <c r="M45" s="27">
        <f>L50</f>
      </c>
      <c r="N45" s="27">
        <f>M50</f>
      </c>
      <c r="O45" s="27">
        <f>N50</f>
      </c>
      <c r="P45" s="27">
        <f>O50</f>
      </c>
      <c r="Q45" s="27">
        <f>P50</f>
      </c>
      <c r="R45" s="27">
        <f>Q50</f>
      </c>
      <c r="S45" s="27">
        <f>R50</f>
      </c>
      <c r="T45" s="27">
        <f>S50</f>
      </c>
      <c r="U45" s="27">
        <f>T50</f>
      </c>
      <c r="V45" s="27">
        <f>U50</f>
      </c>
      <c r="W45" s="27">
        <f>V50</f>
      </c>
      <c r="X45" s="27">
        <f>W50</f>
      </c>
      <c r="Y45" s="27">
        <f>X50</f>
      </c>
      <c r="Z45" s="27">
        <f>Y50</f>
      </c>
      <c r="AA45" s="27">
        <f>Z50</f>
      </c>
      <c r="AB45" s="27">
        <f>AA50</f>
      </c>
      <c r="AC45" s="27">
        <f>AB50</f>
      </c>
      <c r="AD45" s="27">
        <f>AC50</f>
      </c>
      <c r="AE45" s="27">
        <f>AD50</f>
      </c>
      <c r="AF45" s="27">
        <f>AE50</f>
      </c>
      <c r="AG45" s="27">
        <f>AF50</f>
      </c>
      <c r="AH45" s="27">
        <f>AG50</f>
      </c>
      <c r="AI45" s="27">
        <f>AH50</f>
      </c>
      <c r="AJ45" s="27">
        <f>AI50</f>
      </c>
      <c r="AK45" s="27">
        <f>AJ50</f>
      </c>
      <c r="AL45" s="27">
        <f>AK50</f>
      </c>
      <c r="AM45" s="27">
        <f>AL50</f>
      </c>
      <c r="AN45" s="27">
        <f>AM50</f>
      </c>
      <c r="AO45" s="27">
        <f>AN50</f>
      </c>
      <c r="AP45" s="27">
        <f>AO50</f>
      </c>
      <c r="AQ45" s="27">
        <f>AP50</f>
      </c>
      <c r="AR45" s="27">
        <f>AQ50</f>
      </c>
      <c r="AS45" s="27">
        <f>AR50</f>
      </c>
      <c r="AT45" s="27">
        <f>AS50</f>
      </c>
      <c r="AU45" s="27">
        <f>AT50</f>
      </c>
      <c r="AV45" s="27">
        <f>AU50</f>
      </c>
      <c r="AW45" s="27">
        <f>AV50</f>
      </c>
      <c r="AX45" s="27">
        <f>AW50</f>
      </c>
      <c r="AY45" s="27">
        <f>AX50</f>
      </c>
      <c r="AZ45" s="27">
        <f>AY50</f>
      </c>
      <c r="BA45" s="27">
        <f>AZ50</f>
      </c>
      <c r="BB45" s="27">
        <f>BA50</f>
      </c>
      <c r="BC45" s="27">
        <f>BB50</f>
      </c>
      <c r="BD45" s="27">
        <f>BC50</f>
      </c>
      <c r="BE45" s="27">
        <f>BD50</f>
      </c>
      <c r="BF45" s="27">
        <f>BE50</f>
      </c>
      <c r="BG45" s="27">
        <f>BF50</f>
      </c>
      <c r="BH45" s="27">
        <f>BG50</f>
      </c>
      <c r="BI45" s="27">
        <f>BH50</f>
      </c>
      <c r="BJ45" s="27">
        <f>BI50</f>
      </c>
      <c r="BK45" s="27">
        <f>BJ50</f>
      </c>
      <c r="BL45" s="27">
        <f>BK50</f>
      </c>
      <c r="BM45" s="27">
        <f>BL50</f>
      </c>
      <c r="BN45" s="27">
        <f>BM50</f>
      </c>
      <c r="BO45" s="27">
        <f>BN50</f>
      </c>
      <c r="BP45" s="27">
        <f>BO50</f>
      </c>
      <c r="BQ45" s="27">
        <f>BP50</f>
      </c>
      <c r="BR45" s="27">
        <f>BQ50</f>
      </c>
      <c r="BS45" s="27">
        <f>BR50</f>
      </c>
      <c r="BT45" s="27">
        <f>BS50</f>
      </c>
      <c r="BU45" s="27">
        <f>BT50</f>
      </c>
      <c r="BV45" s="27">
        <f>BU50</f>
      </c>
      <c r="BW45" s="27">
        <f>BV50</f>
      </c>
      <c r="BX45" s="27">
        <f>BW50</f>
      </c>
      <c r="BY45" s="27">
        <f>BX50</f>
      </c>
      <c r="BZ45" s="27">
        <f>BY50</f>
      </c>
      <c r="CA45" s="27">
        <f>BZ50</f>
      </c>
      <c r="CB45" s="27">
        <f>CA50</f>
      </c>
      <c r="CC45" s="27">
        <f>CB50</f>
      </c>
      <c r="CD45" s="27">
        <f>CC50</f>
      </c>
      <c r="CE45" s="27">
        <f>CD50</f>
      </c>
      <c r="CF45" s="27">
        <f>CE50</f>
      </c>
      <c r="CG45" s="27">
        <f>CF50</f>
      </c>
      <c r="CH45" s="27">
        <f>CG50</f>
      </c>
      <c r="CI45" s="27">
        <f>CH50</f>
      </c>
      <c r="CJ45" s="27">
        <f>CI50</f>
      </c>
      <c r="CK45" s="27">
        <f>CJ50</f>
      </c>
      <c r="CL45" s="27">
        <f>CK50</f>
      </c>
    </row>
    <row r="46" spans="2:90" x14ac:dyDescent="0.25">
      <c r="B46" s="37" t="s">
        <v>206</v>
      </c>
      <c r="C46" s="38" t="s">
        <v>205</v>
      </c>
      <c r="D46" s="14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P46" s="27">
        <v>0</v>
      </c>
      <c r="BQ46" s="27">
        <v>0</v>
      </c>
      <c r="BR46" s="27">
        <v>0</v>
      </c>
      <c r="BS46" s="27">
        <v>0</v>
      </c>
      <c r="BT46" s="27">
        <v>0</v>
      </c>
      <c r="BU46" s="27">
        <v>0</v>
      </c>
      <c r="BV46" s="27">
        <v>0</v>
      </c>
      <c r="BW46" s="27">
        <v>0</v>
      </c>
      <c r="BX46" s="27">
        <v>0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0</v>
      </c>
      <c r="CF46" s="27">
        <v>0</v>
      </c>
      <c r="CG46" s="27">
        <v>0</v>
      </c>
      <c r="CH46" s="27">
        <v>0</v>
      </c>
      <c r="CI46" s="27">
        <v>0</v>
      </c>
      <c r="CJ46" s="27">
        <v>0</v>
      </c>
      <c r="CK46" s="27">
        <v>0</v>
      </c>
      <c r="CL46" s="27">
        <v>0</v>
      </c>
    </row>
    <row r="47" spans="2:90" x14ac:dyDescent="0.25">
      <c r="B47" s="37" t="s">
        <v>108</v>
      </c>
      <c r="C47" s="38" t="s">
        <v>205</v>
      </c>
      <c r="D47" s="14">
        <v>0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7">
        <v>0</v>
      </c>
      <c r="L47" s="27">
        <v>0</v>
      </c>
      <c r="M47" s="27">
        <v>0</v>
      </c>
      <c r="N47" s="27">
        <v>0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</v>
      </c>
      <c r="BI47" s="27">
        <v>0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  <c r="BP47" s="27">
        <v>0</v>
      </c>
      <c r="BQ47" s="27">
        <v>0</v>
      </c>
      <c r="BR47" s="27">
        <v>0</v>
      </c>
      <c r="BS47" s="27">
        <v>0</v>
      </c>
      <c r="BT47" s="27">
        <v>0</v>
      </c>
      <c r="BU47" s="27">
        <v>0</v>
      </c>
      <c r="BV47" s="27">
        <v>0</v>
      </c>
      <c r="BW47" s="27">
        <v>0</v>
      </c>
      <c r="BX47" s="27">
        <v>0</v>
      </c>
      <c r="BY47" s="27">
        <v>0</v>
      </c>
      <c r="BZ47" s="27">
        <v>0</v>
      </c>
      <c r="CA47" s="27">
        <v>0</v>
      </c>
      <c r="CB47" s="27">
        <v>0</v>
      </c>
      <c r="CC47" s="27">
        <v>0</v>
      </c>
      <c r="CD47" s="27">
        <v>0</v>
      </c>
      <c r="CE47" s="27">
        <v>0</v>
      </c>
      <c r="CF47" s="27">
        <v>0</v>
      </c>
      <c r="CG47" s="27">
        <v>0</v>
      </c>
      <c r="CH47" s="27">
        <v>0</v>
      </c>
      <c r="CI47" s="27">
        <v>0</v>
      </c>
      <c r="CJ47" s="27">
        <v>0</v>
      </c>
      <c r="CK47" s="27">
        <v>0</v>
      </c>
      <c r="CL47" s="27">
        <v>0</v>
      </c>
    </row>
    <row r="48" spans="2:90" x14ac:dyDescent="0.25">
      <c r="B48" s="37" t="s">
        <v>207</v>
      </c>
      <c r="C48" s="38" t="s">
        <v>205</v>
      </c>
      <c r="D48" s="14">
        <v>0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7">
        <f>K45*'입력값'!E23/4</f>
      </c>
      <c r="L48" s="27">
        <f>L45*'입력값'!E23/4</f>
      </c>
      <c r="M48" s="27">
        <f>M45*'입력값'!E23/4</f>
      </c>
      <c r="N48" s="27">
        <f>N45*'입력값'!E23/4</f>
      </c>
      <c r="O48" s="27">
        <f>O45*'입력값'!E23/4</f>
      </c>
      <c r="P48" s="27">
        <f>P45*'입력값'!E23/4</f>
      </c>
      <c r="Q48" s="27">
        <f>Q45*'입력값'!E23/4</f>
      </c>
      <c r="R48" s="27">
        <f>R45*'입력값'!E23/4</f>
      </c>
      <c r="S48" s="27">
        <f>S45*'입력값'!E23/4</f>
      </c>
      <c r="T48" s="27">
        <f>T45*'입력값'!E23/4</f>
      </c>
      <c r="U48" s="27">
        <f>U45*'입력값'!E23/4</f>
      </c>
      <c r="V48" s="27">
        <f>V45*'입력값'!E23/4</f>
      </c>
      <c r="W48" s="27">
        <f>W45*'입력값'!E23/4</f>
      </c>
      <c r="X48" s="27">
        <f>X45*'입력값'!E23/4</f>
      </c>
      <c r="Y48" s="27">
        <f>Y45*'입력값'!E23/4</f>
      </c>
      <c r="Z48" s="27">
        <f>Z45*'입력값'!E23/4</f>
      </c>
      <c r="AA48" s="27">
        <f>AA45*'입력값'!E23/4</f>
      </c>
      <c r="AB48" s="27">
        <f>AB45*'입력값'!E23/4</f>
      </c>
      <c r="AC48" s="27">
        <f>AC45*'입력값'!E23/4</f>
      </c>
      <c r="AD48" s="27">
        <f>AD45*'입력값'!E23/4</f>
      </c>
      <c r="AE48" s="27">
        <f>AE45*'입력값'!E23/4</f>
      </c>
      <c r="AF48" s="27">
        <f>AF45*'입력값'!E23/4</f>
      </c>
      <c r="AG48" s="27">
        <f>AG45*'입력값'!E23/4</f>
      </c>
      <c r="AH48" s="27">
        <f>AH45*'입력값'!E23/4</f>
      </c>
      <c r="AI48" s="27">
        <f>AI45*'입력값'!E23/4</f>
      </c>
      <c r="AJ48" s="27">
        <f>AJ45*'입력값'!E23/4</f>
      </c>
      <c r="AK48" s="27">
        <f>AK45*'입력값'!E23/4</f>
      </c>
      <c r="AL48" s="27">
        <f>AL45*'입력값'!E23/4</f>
      </c>
      <c r="AM48" s="27">
        <f>AM45*'입력값'!E23/4</f>
      </c>
      <c r="AN48" s="27">
        <f>AN45*'입력값'!E23/4</f>
      </c>
      <c r="AO48" s="27">
        <f>AO45*'입력값'!E23/4</f>
      </c>
      <c r="AP48" s="27">
        <f>AP45*'입력값'!E23/4</f>
      </c>
      <c r="AQ48" s="27">
        <f>AQ45*'입력값'!E23/4</f>
      </c>
      <c r="AR48" s="27">
        <f>AR45*'입력값'!E23/4</f>
      </c>
      <c r="AS48" s="27">
        <f>AS45*'입력값'!E23/4</f>
      </c>
      <c r="AT48" s="27">
        <f>AT45*'입력값'!E23/4</f>
      </c>
      <c r="AU48" s="27">
        <f>AU45*'입력값'!E23/4</f>
      </c>
      <c r="AV48" s="27">
        <f>AV45*'입력값'!E23/4</f>
      </c>
      <c r="AW48" s="27">
        <f>AW45*'입력값'!E23/4</f>
      </c>
      <c r="AX48" s="27">
        <f>AX45*'입력값'!E23/4</f>
      </c>
      <c r="AY48" s="27">
        <f>AY45*'입력값'!E23/4</f>
      </c>
      <c r="AZ48" s="27">
        <f>AZ45*'입력값'!E23/4</f>
      </c>
      <c r="BA48" s="27">
        <f>BA45*'입력값'!E23/4</f>
      </c>
      <c r="BB48" s="27">
        <f>BB45*'입력값'!E23/4</f>
      </c>
      <c r="BC48" s="27">
        <f>BC45*'입력값'!E23/4</f>
      </c>
      <c r="BD48" s="27">
        <f>BD45*'입력값'!E23/4</f>
      </c>
      <c r="BE48" s="27">
        <f>BE45*'입력값'!E23/4</f>
      </c>
      <c r="BF48" s="27">
        <f>BF45*'입력값'!E23/4</f>
      </c>
      <c r="BG48" s="27">
        <f>BG45*'입력값'!E23/4</f>
      </c>
      <c r="BH48" s="27">
        <f>BH45*'입력값'!E23/4</f>
      </c>
      <c r="BI48" s="27">
        <f>BI45*'입력값'!E23/4</f>
      </c>
      <c r="BJ48" s="27">
        <f>BJ45*'입력값'!E23/4</f>
      </c>
      <c r="BK48" s="27">
        <f>BK45*'입력값'!E23/4</f>
      </c>
      <c r="BL48" s="27">
        <f>BL45*'입력값'!E23/4</f>
      </c>
      <c r="BM48" s="27">
        <f>BM45*'입력값'!E23/4</f>
      </c>
      <c r="BN48" s="27">
        <f>BN45*'입력값'!E23/4</f>
      </c>
      <c r="BO48" s="27">
        <f>BO45*'입력값'!E23/4</f>
      </c>
      <c r="BP48" s="27">
        <f>BP45*'입력값'!E23/4</f>
      </c>
      <c r="BQ48" s="27">
        <f>BQ45*'입력값'!E23/4</f>
      </c>
      <c r="BR48" s="27">
        <f>BR45*'입력값'!E23/4</f>
      </c>
      <c r="BS48" s="27">
        <f>BS45*'입력값'!E23/4</f>
      </c>
      <c r="BT48" s="27">
        <f>BT45*'입력값'!E23/4</f>
      </c>
      <c r="BU48" s="27">
        <f>BU45*'입력값'!E23/4</f>
      </c>
      <c r="BV48" s="27">
        <f>BV45*'입력값'!E23/4</f>
      </c>
      <c r="BW48" s="27">
        <f>BW45*'입력값'!E23/4</f>
      </c>
      <c r="BX48" s="27">
        <f>BX45*'입력값'!E23/4</f>
      </c>
      <c r="BY48" s="27">
        <f>BY45*'입력값'!E23/4</f>
      </c>
      <c r="BZ48" s="27">
        <f>BZ45*'입력값'!E23/4</f>
      </c>
      <c r="CA48" s="27">
        <f>CA45*'입력값'!E23/4</f>
      </c>
      <c r="CB48" s="27">
        <f>CB45*'입력값'!E23/4</f>
      </c>
      <c r="CC48" s="27">
        <f>CC45*'입력값'!E23/4</f>
      </c>
      <c r="CD48" s="27">
        <f>CD45*'입력값'!E23/4</f>
      </c>
      <c r="CE48" s="27">
        <f>CE45*'입력값'!E23/4</f>
      </c>
      <c r="CF48" s="27">
        <f>CF45*'입력값'!E23/4</f>
      </c>
      <c r="CG48" s="27">
        <f>CG45*'입력값'!E23/4</f>
      </c>
      <c r="CH48" s="27">
        <f>CH45*'입력값'!E23/4</f>
      </c>
      <c r="CI48" s="27">
        <f>CI45*'입력값'!E23/4</f>
      </c>
      <c r="CJ48" s="27">
        <f>CJ45*'입력값'!E23/4</f>
      </c>
      <c r="CK48" s="27">
        <f>CK45*'입력값'!E23/4</f>
      </c>
      <c r="CL48" s="27">
        <f>CL45*'입력값'!E23/4</f>
      </c>
    </row>
    <row r="49" spans="2:90" x14ac:dyDescent="0.25">
      <c r="B49" s="37" t="s">
        <v>208</v>
      </c>
      <c r="C49" s="38" t="s">
        <v>205</v>
      </c>
      <c r="D49" s="14">
        <v>0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</v>
      </c>
      <c r="AX49" s="27">
        <v>0</v>
      </c>
      <c r="AY49" s="27">
        <v>0</v>
      </c>
      <c r="AZ49" s="27">
        <v>0</v>
      </c>
      <c r="BA49" s="27">
        <v>0</v>
      </c>
      <c r="BB49" s="27">
        <v>0</v>
      </c>
      <c r="BC49" s="27">
        <v>0</v>
      </c>
      <c r="BD49" s="27">
        <v>0</v>
      </c>
      <c r="BE49" s="27">
        <v>0</v>
      </c>
      <c r="BF49" s="27">
        <v>0</v>
      </c>
      <c r="BG49" s="27">
        <v>0</v>
      </c>
      <c r="BH49" s="27">
        <v>0</v>
      </c>
      <c r="BI49" s="27">
        <v>0</v>
      </c>
      <c r="BJ49" s="27">
        <v>0</v>
      </c>
      <c r="BK49" s="27">
        <v>0</v>
      </c>
      <c r="BL49" s="27">
        <v>0</v>
      </c>
      <c r="BM49" s="27">
        <v>0</v>
      </c>
      <c r="BN49" s="27">
        <v>0</v>
      </c>
      <c r="BO49" s="27">
        <v>0</v>
      </c>
      <c r="BP49" s="27">
        <v>0</v>
      </c>
      <c r="BQ49" s="27">
        <v>0</v>
      </c>
      <c r="BR49" s="27">
        <v>0</v>
      </c>
      <c r="BS49" s="27">
        <v>0</v>
      </c>
      <c r="BT49" s="27">
        <v>0</v>
      </c>
      <c r="BU49" s="27">
        <v>0</v>
      </c>
      <c r="BV49" s="27">
        <v>0</v>
      </c>
      <c r="BW49" s="27">
        <v>0</v>
      </c>
      <c r="BX49" s="27">
        <v>0</v>
      </c>
      <c r="BY49" s="27">
        <v>0</v>
      </c>
      <c r="BZ49" s="27">
        <v>0</v>
      </c>
      <c r="CA49" s="27">
        <v>0</v>
      </c>
      <c r="CB49" s="27">
        <v>0</v>
      </c>
      <c r="CC49" s="27">
        <v>0</v>
      </c>
      <c r="CD49" s="27">
        <v>0</v>
      </c>
      <c r="CE49" s="27">
        <v>0</v>
      </c>
      <c r="CF49" s="27">
        <v>0</v>
      </c>
      <c r="CG49" s="27">
        <v>0</v>
      </c>
      <c r="CH49" s="27">
        <v>0</v>
      </c>
      <c r="CI49" s="27">
        <v>0</v>
      </c>
      <c r="CJ49" s="27">
        <v>0</v>
      </c>
      <c r="CK49" s="27">
        <v>0</v>
      </c>
      <c r="CL49" s="27">
        <v>0</v>
      </c>
    </row>
    <row r="50" spans="2:90" x14ac:dyDescent="0.25">
      <c r="B50" s="39" t="s">
        <v>209</v>
      </c>
      <c r="C50" s="38" t="s">
        <v>205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37" t="s">
        <v>210</v>
      </c>
      <c r="C51" s="38" t="s">
        <v>205</v>
      </c>
      <c r="D51" s="27">
        <v>0</v>
      </c>
      <c r="F51" s="27" t="s">
        <v>211</v>
      </c>
      <c r="H51" s="40" t="s">
        <v>212</v>
      </c>
    </row>
    <row r="53" spans="2:91" x14ac:dyDescent="0.25">
      <c r="B53" s="9" t="s">
        <v>213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37" t="s">
        <v>204</v>
      </c>
      <c r="C54" s="38" t="s">
        <v>205</v>
      </c>
      <c r="E54" s="27">
        <v>0</v>
      </c>
      <c r="F54" s="27">
        <v>21011.500000000007</v>
      </c>
      <c r="G54" s="27">
        <v>42281.188251214844</v>
      </c>
      <c r="H54" s="27">
        <v>63812.23735784057</v>
      </c>
      <c r="I54" s="27">
        <v>85607.85890887342</v>
      </c>
      <c r="J54" s="27">
        <v>107671.30395715307</v>
      </c>
      <c r="K54" s="27">
        <v>126069</v>
      </c>
      <c r="L54" s="27">
        <v>126069</v>
      </c>
      <c r="M54" s="27">
        <v>126069</v>
      </c>
      <c r="N54" s="27">
        <v>126069</v>
      </c>
      <c r="O54" s="27">
        <v>123967.85</v>
      </c>
      <c r="P54" s="27">
        <v>121866.70000000001</v>
      </c>
      <c r="Q54" s="27">
        <v>119765.55000000002</v>
      </c>
      <c r="R54" s="27">
        <v>117664.40000000002</v>
      </c>
      <c r="S54" s="27">
        <v>115563.25000000003</v>
      </c>
      <c r="T54" s="27">
        <v>113462.10000000003</v>
      </c>
      <c r="U54" s="27">
        <v>111360.95000000004</v>
      </c>
      <c r="V54" s="27">
        <v>109259.80000000005</v>
      </c>
      <c r="W54" s="27">
        <v>107158.65000000005</v>
      </c>
      <c r="X54" s="27">
        <v>105057.50000000006</v>
      </c>
      <c r="Y54" s="27">
        <v>102956.35000000006</v>
      </c>
      <c r="Z54" s="27">
        <v>100855.20000000007</v>
      </c>
      <c r="AA54" s="27">
        <v>98754.05000000008</v>
      </c>
      <c r="AB54" s="27">
        <v>96652.90000000008</v>
      </c>
      <c r="AC54" s="27">
        <v>94551.75000000009</v>
      </c>
      <c r="AD54" s="27">
        <v>92450.6000000001</v>
      </c>
      <c r="AE54" s="27">
        <v>90349.4500000001</v>
      </c>
      <c r="AF54" s="27">
        <v>88248.3000000001</v>
      </c>
      <c r="AG54" s="27">
        <v>86147.15000000011</v>
      </c>
      <c r="AH54" s="27">
        <v>84046.00000000012</v>
      </c>
      <c r="AI54" s="27">
        <v>81944.85000000012</v>
      </c>
      <c r="AJ54" s="27">
        <v>79843.70000000013</v>
      </c>
      <c r="AK54" s="27">
        <v>77742.55000000013</v>
      </c>
      <c r="AL54" s="27">
        <v>75641.40000000014</v>
      </c>
      <c r="AM54" s="27">
        <v>73540.25000000015</v>
      </c>
      <c r="AN54" s="27">
        <v>71439.10000000015</v>
      </c>
      <c r="AO54" s="27">
        <v>69337.95000000016</v>
      </c>
      <c r="AP54" s="27">
        <v>67236.80000000016</v>
      </c>
      <c r="AQ54" s="27">
        <v>65135.65000000016</v>
      </c>
      <c r="AR54" s="27">
        <v>63034.50000000016</v>
      </c>
      <c r="AS54" s="27">
        <v>60933.35000000016</v>
      </c>
      <c r="AT54" s="27">
        <v>58832.20000000016</v>
      </c>
      <c r="AU54" s="27">
        <v>56731.050000000156</v>
      </c>
      <c r="AV54" s="27">
        <v>54629.900000000154</v>
      </c>
      <c r="AW54" s="27">
        <v>52528.75000000015</v>
      </c>
      <c r="AX54" s="27">
        <v>50427.60000000015</v>
      </c>
      <c r="AY54" s="27">
        <v>48326.45000000015</v>
      </c>
      <c r="AZ54" s="27">
        <v>46225.30000000015</v>
      </c>
      <c r="BA54" s="27">
        <v>44124.15000000015</v>
      </c>
      <c r="BB54" s="27">
        <v>42023.000000000146</v>
      </c>
      <c r="BC54" s="27">
        <v>39921.850000000144</v>
      </c>
      <c r="BD54" s="27">
        <v>37820.70000000014</v>
      </c>
      <c r="BE54" s="27">
        <v>35719.55000000014</v>
      </c>
      <c r="BF54" s="27">
        <v>33618.40000000014</v>
      </c>
      <c r="BG54" s="27">
        <v>31517.25000000014</v>
      </c>
      <c r="BH54" s="27">
        <v>29416.100000000137</v>
      </c>
      <c r="BI54" s="27">
        <v>27314.950000000135</v>
      </c>
      <c r="BJ54" s="27">
        <v>25213.800000000134</v>
      </c>
      <c r="BK54" s="27">
        <v>23112.650000000132</v>
      </c>
      <c r="BL54" s="27">
        <v>21011.50000000013</v>
      </c>
      <c r="BM54" s="27">
        <v>18910.35000000013</v>
      </c>
      <c r="BN54" s="27">
        <v>16809.200000000128</v>
      </c>
      <c r="BO54" s="27">
        <v>14708.050000000128</v>
      </c>
      <c r="BP54" s="27">
        <v>12606.900000000129</v>
      </c>
      <c r="BQ54" s="27">
        <v>10505.75000000013</v>
      </c>
      <c r="BR54" s="27">
        <v>8404.60000000013</v>
      </c>
      <c r="BS54" s="27">
        <v>6303.45000000013</v>
      </c>
      <c r="BT54" s="27">
        <v>4202.30000000013</v>
      </c>
      <c r="BU54" s="27">
        <v>2101.15000000013</v>
      </c>
      <c r="BV54" s="27">
        <v>1.3005774235352874e-10</v>
      </c>
      <c r="BW54" s="27">
        <v>1.3005774235352874e-10</v>
      </c>
      <c r="BX54" s="27">
        <v>1.3005774235352874e-10</v>
      </c>
      <c r="BY54" s="27">
        <v>1.3005774235352874e-10</v>
      </c>
      <c r="BZ54" s="27">
        <v>1.3005774235352874e-10</v>
      </c>
      <c r="CA54" s="27">
        <v>1.3005774235352874e-10</v>
      </c>
      <c r="CB54" s="27">
        <v>1.3005774235352874e-10</v>
      </c>
      <c r="CC54" s="27">
        <v>1.3005774235352874e-10</v>
      </c>
      <c r="CD54" s="27">
        <v>1.3005774235352874e-10</v>
      </c>
      <c r="CE54" s="27">
        <v>1.3005774235352874e-10</v>
      </c>
      <c r="CF54" s="27">
        <v>1.3005774235352874e-10</v>
      </c>
      <c r="CG54" s="27">
        <v>1.3005774235352874e-10</v>
      </c>
      <c r="CH54" s="27">
        <v>1.3005774235352874e-10</v>
      </c>
      <c r="CI54" s="27">
        <v>1.3005774235352874e-10</v>
      </c>
      <c r="CJ54" s="27">
        <v>1.3005774235352874e-10</v>
      </c>
      <c r="CK54" s="27">
        <v>1.3005774235352874e-10</v>
      </c>
      <c r="CL54" s="27">
        <v>1.3005774235352874e-10</v>
      </c>
    </row>
    <row r="55" spans="2:90" x14ac:dyDescent="0.25">
      <c r="B55" s="37" t="s">
        <v>214</v>
      </c>
      <c r="C55" s="38" t="s">
        <v>205</v>
      </c>
      <c r="D55" s="14">
        <v>58070.53312500009</v>
      </c>
      <c r="E55" s="27">
        <f>E12+E21+E30+E39+E48</f>
      </c>
      <c r="F55" s="27">
        <f>F12+F21+F30+F39+F48</f>
      </c>
      <c r="G55" s="27">
        <f>G12+G21+G30+G39+G48</f>
      </c>
      <c r="H55" s="27">
        <f>H12+H21+H30+H39+H48</f>
      </c>
      <c r="I55" s="27">
        <f>I12+I21+I30+I39+I48</f>
      </c>
      <c r="J55" s="27">
        <f>J12+J21+J30+J39+J48</f>
      </c>
      <c r="K55" s="27">
        <f>K12+K21+K30+K39+K48</f>
      </c>
      <c r="L55" s="27">
        <f>L12+L21+L30+L39+L48</f>
      </c>
      <c r="M55" s="27">
        <f>M12+M21+M30+M39+M48</f>
      </c>
      <c r="N55" s="27">
        <f>N12+N21+N30+N39+N48</f>
      </c>
      <c r="O55" s="27">
        <f>O12+O21+O30+O39+O48</f>
      </c>
      <c r="P55" s="27">
        <f>P12+P21+P30+P39+P48</f>
      </c>
      <c r="Q55" s="27">
        <f>Q12+Q21+Q30+Q39+Q48</f>
      </c>
      <c r="R55" s="27">
        <f>R12+R21+R30+R39+R48</f>
      </c>
      <c r="S55" s="27">
        <f>S12+S21+S30+S39+S48</f>
      </c>
      <c r="T55" s="27">
        <f>T12+T21+T30+T39+T48</f>
      </c>
      <c r="U55" s="27">
        <f>U12+U21+U30+U39+U48</f>
      </c>
      <c r="V55" s="27">
        <f>V12+V21+V30+V39+V48</f>
      </c>
      <c r="W55" s="27">
        <f>W12+W21+W30+W39+W48</f>
      </c>
      <c r="X55" s="27">
        <f>X12+X21+X30+X39+X48</f>
      </c>
      <c r="Y55" s="27">
        <f>Y12+Y21+Y30+Y39+Y48</f>
      </c>
      <c r="Z55" s="27">
        <f>Z12+Z21+Z30+Z39+Z48</f>
      </c>
      <c r="AA55" s="27">
        <f>AA12+AA21+AA30+AA39+AA48</f>
      </c>
      <c r="AB55" s="27">
        <f>AB12+AB21+AB30+AB39+AB48</f>
      </c>
      <c r="AC55" s="27">
        <f>AC12+AC21+AC30+AC39+AC48</f>
      </c>
      <c r="AD55" s="27">
        <f>AD12+AD21+AD30+AD39+AD48</f>
      </c>
      <c r="AE55" s="27">
        <f>AE12+AE21+AE30+AE39+AE48</f>
      </c>
      <c r="AF55" s="27">
        <f>AF12+AF21+AF30+AF39+AF48</f>
      </c>
      <c r="AG55" s="27">
        <f>AG12+AG21+AG30+AG39+AG48</f>
      </c>
      <c r="AH55" s="27">
        <f>AH12+AH21+AH30+AH39+AH48</f>
      </c>
      <c r="AI55" s="27">
        <f>AI12+AI21+AI30+AI39+AI48</f>
      </c>
      <c r="AJ55" s="27">
        <f>AJ12+AJ21+AJ30+AJ39+AJ48</f>
      </c>
      <c r="AK55" s="27">
        <f>AK12+AK21+AK30+AK39+AK48</f>
      </c>
      <c r="AL55" s="27">
        <f>AL12+AL21+AL30+AL39+AL48</f>
      </c>
      <c r="AM55" s="27">
        <f>AM12+AM21+AM30+AM39+AM48</f>
      </c>
      <c r="AN55" s="27">
        <f>AN12+AN21+AN30+AN39+AN48</f>
      </c>
      <c r="AO55" s="27">
        <f>AO12+AO21+AO30+AO39+AO48</f>
      </c>
      <c r="AP55" s="27">
        <f>AP12+AP21+AP30+AP39+AP48</f>
      </c>
      <c r="AQ55" s="27">
        <f>AQ12+AQ21+AQ30+AQ39+AQ48</f>
      </c>
      <c r="AR55" s="27">
        <f>AR12+AR21+AR30+AR39+AR48</f>
      </c>
      <c r="AS55" s="27">
        <f>AS12+AS21+AS30+AS39+AS48</f>
      </c>
      <c r="AT55" s="27">
        <f>AT12+AT21+AT30+AT39+AT48</f>
      </c>
      <c r="AU55" s="27">
        <f>AU12+AU21+AU30+AU39+AU48</f>
      </c>
      <c r="AV55" s="27">
        <f>AV12+AV21+AV30+AV39+AV48</f>
      </c>
      <c r="AW55" s="27">
        <f>AW12+AW21+AW30+AW39+AW48</f>
      </c>
      <c r="AX55" s="27">
        <f>AX12+AX21+AX30+AX39+AX48</f>
      </c>
      <c r="AY55" s="27">
        <f>AY12+AY21+AY30+AY39+AY48</f>
      </c>
      <c r="AZ55" s="27">
        <f>AZ12+AZ21+AZ30+AZ39+AZ48</f>
      </c>
      <c r="BA55" s="27">
        <f>BA12+BA21+BA30+BA39+BA48</f>
      </c>
      <c r="BB55" s="27">
        <f>BB12+BB21+BB30+BB39+BB48</f>
      </c>
      <c r="BC55" s="27">
        <f>BC12+BC21+BC30+BC39+BC48</f>
      </c>
      <c r="BD55" s="27">
        <f>BD12+BD21+BD30+BD39+BD48</f>
      </c>
      <c r="BE55" s="27">
        <f>BE12+BE21+BE30+BE39+BE48</f>
      </c>
      <c r="BF55" s="27">
        <f>BF12+BF21+BF30+BF39+BF48</f>
      </c>
      <c r="BG55" s="27">
        <f>BG12+BG21+BG30+BG39+BG48</f>
      </c>
      <c r="BH55" s="27">
        <f>BH12+BH21+BH30+BH39+BH48</f>
      </c>
      <c r="BI55" s="27">
        <f>BI12+BI21+BI30+BI39+BI48</f>
      </c>
      <c r="BJ55" s="27">
        <f>BJ12+BJ21+BJ30+BJ39+BJ48</f>
      </c>
      <c r="BK55" s="27">
        <f>BK12+BK21+BK30+BK39+BK48</f>
      </c>
      <c r="BL55" s="27">
        <f>BL12+BL21+BL30+BL39+BL48</f>
      </c>
      <c r="BM55" s="27">
        <f>BM12+BM21+BM30+BM39+BM48</f>
      </c>
      <c r="BN55" s="27">
        <f>BN12+BN21+BN30+BN39+BN48</f>
      </c>
      <c r="BO55" s="27">
        <f>BO12+BO21+BO30+BO39+BO48</f>
      </c>
      <c r="BP55" s="27">
        <f>BP12+BP21+BP30+BP39+BP48</f>
      </c>
      <c r="BQ55" s="27">
        <f>BQ12+BQ21+BQ30+BQ39+BQ48</f>
      </c>
      <c r="BR55" s="27">
        <f>BR12+BR21+BR30+BR39+BR48</f>
      </c>
      <c r="BS55" s="27">
        <f>BS12+BS21+BS30+BS39+BS48</f>
      </c>
      <c r="BT55" s="27">
        <f>BT12+BT21+BT30+BT39+BT48</f>
      </c>
      <c r="BU55" s="27">
        <f>BU12+BU21+BU30+BU39+BU48</f>
      </c>
      <c r="BV55" s="27">
        <f>BV12+BV21+BV30+BV39+BV48</f>
      </c>
      <c r="BW55" s="27">
        <f>BW12+BW21+BW30+BW39+BW48</f>
      </c>
      <c r="BX55" s="27">
        <f>BX12+BX21+BX30+BX39+BX48</f>
      </c>
      <c r="BY55" s="27">
        <f>BY12+BY21+BY30+BY39+BY48</f>
      </c>
      <c r="BZ55" s="27">
        <f>BZ12+BZ21+BZ30+BZ39+BZ48</f>
      </c>
      <c r="CA55" s="27">
        <f>CA12+CA21+CA30+CA39+CA48</f>
      </c>
      <c r="CB55" s="27">
        <f>CB12+CB21+CB30+CB39+CB48</f>
      </c>
      <c r="CC55" s="27">
        <f>CC12+CC21+CC30+CC39+CC48</f>
      </c>
      <c r="CD55" s="27">
        <f>CD12+CD21+CD30+CD39+CD48</f>
      </c>
      <c r="CE55" s="27">
        <f>CE12+CE21+CE30+CE39+CE48</f>
      </c>
      <c r="CF55" s="27">
        <f>CF12+CF21+CF30+CF39+CF48</f>
      </c>
      <c r="CG55" s="27">
        <f>CG12+CG21+CG30+CG39+CG48</f>
      </c>
      <c r="CH55" s="27">
        <f>CH12+CH21+CH30+CH39+CH48</f>
      </c>
      <c r="CI55" s="27">
        <f>CI12+CI21+CI30+CI39+CI48</f>
      </c>
      <c r="CJ55" s="27">
        <f>CJ12+CJ21+CJ30+CJ39+CJ48</f>
      </c>
      <c r="CK55" s="27">
        <f>CK12+CK21+CK30+CK39+CK48</f>
      </c>
      <c r="CL55" s="27">
        <f>CL12+CL21+CL30+CL39+CL48</f>
      </c>
    </row>
    <row r="56" spans="2:90" x14ac:dyDescent="0.25">
      <c r="B56" s="37" t="s">
        <v>208</v>
      </c>
      <c r="C56" s="38" t="s">
        <v>205</v>
      </c>
      <c r="D56" s="14">
        <v>126068.99999999987</v>
      </c>
      <c r="E56" s="27">
        <f>E13+E22+E31+E40+E49</f>
      </c>
      <c r="F56" s="27">
        <f>F13+F22+F31+F40+F49</f>
      </c>
      <c r="G56" s="27">
        <f>G13+G22+G31+G40+G49</f>
      </c>
      <c r="H56" s="27">
        <f>H13+H22+H31+H40+H49</f>
      </c>
      <c r="I56" s="27">
        <f>I13+I22+I31+I40+I49</f>
      </c>
      <c r="J56" s="27">
        <f>J13+J22+J31+J40+J49</f>
      </c>
      <c r="K56" s="27">
        <f>K13+K22+K31+K40+K49</f>
      </c>
      <c r="L56" s="27">
        <f>L13+L22+L31+L40+L49</f>
      </c>
      <c r="M56" s="27">
        <f>M13+M22+M31+M40+M49</f>
      </c>
      <c r="N56" s="27">
        <f>N13+N22+N31+N40+N49</f>
      </c>
      <c r="O56" s="27">
        <f>O13+O22+O31+O40+O49</f>
      </c>
      <c r="P56" s="27">
        <f>P13+P22+P31+P40+P49</f>
      </c>
      <c r="Q56" s="27">
        <f>Q13+Q22+Q31+Q40+Q49</f>
      </c>
      <c r="R56" s="27">
        <f>R13+R22+R31+R40+R49</f>
      </c>
      <c r="S56" s="27">
        <f>S13+S22+S31+S40+S49</f>
      </c>
      <c r="T56" s="27">
        <f>T13+T22+T31+T40+T49</f>
      </c>
      <c r="U56" s="27">
        <f>U13+U22+U31+U40+U49</f>
      </c>
      <c r="V56" s="27">
        <f>V13+V22+V31+V40+V49</f>
      </c>
      <c r="W56" s="27">
        <f>W13+W22+W31+W40+W49</f>
      </c>
      <c r="X56" s="27">
        <f>X13+X22+X31+X40+X49</f>
      </c>
      <c r="Y56" s="27">
        <f>Y13+Y22+Y31+Y40+Y49</f>
      </c>
      <c r="Z56" s="27">
        <f>Z13+Z22+Z31+Z40+Z49</f>
      </c>
      <c r="AA56" s="27">
        <f>AA13+AA22+AA31+AA40+AA49</f>
      </c>
      <c r="AB56" s="27">
        <f>AB13+AB22+AB31+AB40+AB49</f>
      </c>
      <c r="AC56" s="27">
        <f>AC13+AC22+AC31+AC40+AC49</f>
      </c>
      <c r="AD56" s="27">
        <f>AD13+AD22+AD31+AD40+AD49</f>
      </c>
      <c r="AE56" s="27">
        <f>AE13+AE22+AE31+AE40+AE49</f>
      </c>
      <c r="AF56" s="27">
        <f>AF13+AF22+AF31+AF40+AF49</f>
      </c>
      <c r="AG56" s="27">
        <f>AG13+AG22+AG31+AG40+AG49</f>
      </c>
      <c r="AH56" s="27">
        <f>AH13+AH22+AH31+AH40+AH49</f>
      </c>
      <c r="AI56" s="27">
        <f>AI13+AI22+AI31+AI40+AI49</f>
      </c>
      <c r="AJ56" s="27">
        <f>AJ13+AJ22+AJ31+AJ40+AJ49</f>
      </c>
      <c r="AK56" s="27">
        <f>AK13+AK22+AK31+AK40+AK49</f>
      </c>
      <c r="AL56" s="27">
        <f>AL13+AL22+AL31+AL40+AL49</f>
      </c>
      <c r="AM56" s="27">
        <f>AM13+AM22+AM31+AM40+AM49</f>
      </c>
      <c r="AN56" s="27">
        <f>AN13+AN22+AN31+AN40+AN49</f>
      </c>
      <c r="AO56" s="27">
        <f>AO13+AO22+AO31+AO40+AO49</f>
      </c>
      <c r="AP56" s="27">
        <f>AP13+AP22+AP31+AP40+AP49</f>
      </c>
      <c r="AQ56" s="27">
        <f>AQ13+AQ22+AQ31+AQ40+AQ49</f>
      </c>
      <c r="AR56" s="27">
        <f>AR13+AR22+AR31+AR40+AR49</f>
      </c>
      <c r="AS56" s="27">
        <f>AS13+AS22+AS31+AS40+AS49</f>
      </c>
      <c r="AT56" s="27">
        <f>AT13+AT22+AT31+AT40+AT49</f>
      </c>
      <c r="AU56" s="27">
        <f>AU13+AU22+AU31+AU40+AU49</f>
      </c>
      <c r="AV56" s="27">
        <f>AV13+AV22+AV31+AV40+AV49</f>
      </c>
      <c r="AW56" s="27">
        <f>AW13+AW22+AW31+AW40+AW49</f>
      </c>
      <c r="AX56" s="27">
        <f>AX13+AX22+AX31+AX40+AX49</f>
      </c>
      <c r="AY56" s="27">
        <f>AY13+AY22+AY31+AY40+AY49</f>
      </c>
      <c r="AZ56" s="27">
        <f>AZ13+AZ22+AZ31+AZ40+AZ49</f>
      </c>
      <c r="BA56" s="27">
        <f>BA13+BA22+BA31+BA40+BA49</f>
      </c>
      <c r="BB56" s="27">
        <f>BB13+BB22+BB31+BB40+BB49</f>
      </c>
      <c r="BC56" s="27">
        <f>BC13+BC22+BC31+BC40+BC49</f>
      </c>
      <c r="BD56" s="27">
        <f>BD13+BD22+BD31+BD40+BD49</f>
      </c>
      <c r="BE56" s="27">
        <f>BE13+BE22+BE31+BE40+BE49</f>
      </c>
      <c r="BF56" s="27">
        <f>BF13+BF22+BF31+BF40+BF49</f>
      </c>
      <c r="BG56" s="27">
        <f>BG13+BG22+BG31+BG40+BG49</f>
      </c>
      <c r="BH56" s="27">
        <f>BH13+BH22+BH31+BH40+BH49</f>
      </c>
      <c r="BI56" s="27">
        <f>BI13+BI22+BI31+BI40+BI49</f>
      </c>
      <c r="BJ56" s="27">
        <f>BJ13+BJ22+BJ31+BJ40+BJ49</f>
      </c>
      <c r="BK56" s="27">
        <f>BK13+BK22+BK31+BK40+BK49</f>
      </c>
      <c r="BL56" s="27">
        <f>BL13+BL22+BL31+BL40+BL49</f>
      </c>
      <c r="BM56" s="27">
        <f>BM13+BM22+BM31+BM40+BM49</f>
      </c>
      <c r="BN56" s="27">
        <f>BN13+BN22+BN31+BN40+BN49</f>
      </c>
      <c r="BO56" s="27">
        <f>BO13+BO22+BO31+BO40+BO49</f>
      </c>
      <c r="BP56" s="27">
        <f>BP13+BP22+BP31+BP40+BP49</f>
      </c>
      <c r="BQ56" s="27">
        <f>BQ13+BQ22+BQ31+BQ40+BQ49</f>
      </c>
      <c r="BR56" s="27">
        <f>BR13+BR22+BR31+BR40+BR49</f>
      </c>
      <c r="BS56" s="27">
        <f>BS13+BS22+BS31+BS40+BS49</f>
      </c>
      <c r="BT56" s="27">
        <f>BT13+BT22+BT31+BT40+BT49</f>
      </c>
      <c r="BU56" s="27">
        <f>BU13+BU22+BU31+BU40+BU49</f>
      </c>
      <c r="BV56" s="27">
        <f>BV13+BV22+BV31+BV40+BV49</f>
      </c>
      <c r="BW56" s="27">
        <f>BW13+BW22+BW31+BW40+BW49</f>
      </c>
      <c r="BX56" s="27">
        <f>BX13+BX22+BX31+BX40+BX49</f>
      </c>
      <c r="BY56" s="27">
        <f>BY13+BY22+BY31+BY40+BY49</f>
      </c>
      <c r="BZ56" s="27">
        <f>BZ13+BZ22+BZ31+BZ40+BZ49</f>
      </c>
      <c r="CA56" s="27">
        <f>CA13+CA22+CA31+CA40+CA49</f>
      </c>
      <c r="CB56" s="27">
        <f>CB13+CB22+CB31+CB40+CB49</f>
      </c>
      <c r="CC56" s="27">
        <f>CC13+CC22+CC31+CC40+CC49</f>
      </c>
      <c r="CD56" s="27">
        <f>CD13+CD22+CD31+CD40+CD49</f>
      </c>
      <c r="CE56" s="27">
        <f>CE13+CE22+CE31+CE40+CE49</f>
      </c>
      <c r="CF56" s="27">
        <f>CF13+CF22+CF31+CF40+CF49</f>
      </c>
      <c r="CG56" s="27">
        <f>CG13+CG22+CG31+CG40+CG49</f>
      </c>
      <c r="CH56" s="27">
        <f>CH13+CH22+CH31+CH40+CH49</f>
      </c>
      <c r="CI56" s="27">
        <f>CI13+CI22+CI31+CI40+CI49</f>
      </c>
      <c r="CJ56" s="27">
        <f>CJ13+CJ22+CJ31+CJ40+CJ49</f>
      </c>
      <c r="CK56" s="27">
        <f>CK13+CK22+CK31+CK40+CK49</f>
      </c>
      <c r="CL56" s="27">
        <f>CL13+CL22+CL31+CL40+CL49</f>
      </c>
    </row>
    <row r="57" spans="2:91" x14ac:dyDescent="0.25">
      <c r="B57" s="35" t="s">
        <v>215</v>
      </c>
      <c r="C57" s="41" t="s">
        <v>205</v>
      </c>
      <c r="D57" s="33">
        <v>184139.5331250001</v>
      </c>
      <c r="E57" s="33">
        <f>E55+E56</f>
      </c>
      <c r="F57" s="33">
        <f>F55+F56</f>
      </c>
      <c r="G57" s="33">
        <f>G55+G56</f>
      </c>
      <c r="H57" s="33">
        <f>H55+H56</f>
      </c>
      <c r="I57" s="33">
        <f>I55+I56</f>
      </c>
      <c r="J57" s="33">
        <f>J55+J56</f>
      </c>
      <c r="K57" s="33">
        <f>K55+K56</f>
      </c>
      <c r="L57" s="33">
        <f>L55+L56</f>
      </c>
      <c r="M57" s="33">
        <f>M55+M56</f>
      </c>
      <c r="N57" s="33">
        <f>N55+N56</f>
      </c>
      <c r="O57" s="33">
        <f>O55+O56</f>
      </c>
      <c r="P57" s="33">
        <f>P55+P56</f>
      </c>
      <c r="Q57" s="33">
        <f>Q55+Q56</f>
      </c>
      <c r="R57" s="33">
        <f>R55+R56</f>
      </c>
      <c r="S57" s="33">
        <f>S55+S56</f>
      </c>
      <c r="T57" s="33">
        <f>T55+T56</f>
      </c>
      <c r="U57" s="33">
        <f>U55+U56</f>
      </c>
      <c r="V57" s="33">
        <f>V55+V56</f>
      </c>
      <c r="W57" s="33">
        <f>W55+W56</f>
      </c>
      <c r="X57" s="33">
        <f>X55+X56</f>
      </c>
      <c r="Y57" s="33">
        <f>Y55+Y56</f>
      </c>
      <c r="Z57" s="33">
        <f>Z55+Z56</f>
      </c>
      <c r="AA57" s="33">
        <f>AA55+AA56</f>
      </c>
      <c r="AB57" s="33">
        <f>AB55+AB56</f>
      </c>
      <c r="AC57" s="33">
        <f>AC55+AC56</f>
      </c>
      <c r="AD57" s="33">
        <f>AD55+AD56</f>
      </c>
      <c r="AE57" s="33">
        <f>AE55+AE56</f>
      </c>
      <c r="AF57" s="33">
        <f>AF55+AF56</f>
      </c>
      <c r="AG57" s="33">
        <f>AG55+AG56</f>
      </c>
      <c r="AH57" s="33">
        <f>AH55+AH56</f>
      </c>
      <c r="AI57" s="33">
        <f>AI55+AI56</f>
      </c>
      <c r="AJ57" s="33">
        <f>AJ55+AJ56</f>
      </c>
      <c r="AK57" s="33">
        <f>AK55+AK56</f>
      </c>
      <c r="AL57" s="33">
        <f>AL55+AL56</f>
      </c>
      <c r="AM57" s="33">
        <f>AM55+AM56</f>
      </c>
      <c r="AN57" s="33">
        <f>AN55+AN56</f>
      </c>
      <c r="AO57" s="33">
        <f>AO55+AO56</f>
      </c>
      <c r="AP57" s="33">
        <f>AP55+AP56</f>
      </c>
      <c r="AQ57" s="33">
        <f>AQ55+AQ56</f>
      </c>
      <c r="AR57" s="33">
        <f>AR55+AR56</f>
      </c>
      <c r="AS57" s="33">
        <f>AS55+AS56</f>
      </c>
      <c r="AT57" s="33">
        <f>AT55+AT56</f>
      </c>
      <c r="AU57" s="33">
        <f>AU55+AU56</f>
      </c>
      <c r="AV57" s="33">
        <f>AV55+AV56</f>
      </c>
      <c r="AW57" s="33">
        <f>AW55+AW56</f>
      </c>
      <c r="AX57" s="33">
        <f>AX55+AX56</f>
      </c>
      <c r="AY57" s="33">
        <f>AY55+AY56</f>
      </c>
      <c r="AZ57" s="33">
        <f>AZ55+AZ56</f>
      </c>
      <c r="BA57" s="33">
        <f>BA55+BA56</f>
      </c>
      <c r="BB57" s="33">
        <f>BB55+BB56</f>
      </c>
      <c r="BC57" s="33">
        <f>BC55+BC56</f>
      </c>
      <c r="BD57" s="33">
        <f>BD55+BD56</f>
      </c>
      <c r="BE57" s="33">
        <f>BE55+BE56</f>
      </c>
      <c r="BF57" s="33">
        <f>BF55+BF56</f>
      </c>
      <c r="BG57" s="33">
        <f>BG55+BG56</f>
      </c>
      <c r="BH57" s="33">
        <f>BH55+BH56</f>
      </c>
      <c r="BI57" s="33">
        <f>BI55+BI56</f>
      </c>
      <c r="BJ57" s="33">
        <f>BJ55+BJ56</f>
      </c>
      <c r="BK57" s="33">
        <f>BK55+BK56</f>
      </c>
      <c r="BL57" s="33">
        <f>BL55+BL56</f>
      </c>
      <c r="BM57" s="33">
        <f>BM55+BM56</f>
      </c>
      <c r="BN57" s="33">
        <f>BN55+BN56</f>
      </c>
      <c r="BO57" s="33">
        <f>BO55+BO56</f>
      </c>
      <c r="BP57" s="33">
        <f>BP55+BP56</f>
      </c>
      <c r="BQ57" s="33">
        <f>BQ55+BQ56</f>
      </c>
      <c r="BR57" s="33">
        <f>BR55+BR56</f>
      </c>
      <c r="BS57" s="33">
        <f>BS55+BS56</f>
      </c>
      <c r="BT57" s="33">
        <f>BT55+BT56</f>
      </c>
      <c r="BU57" s="33">
        <f>BU55+BU56</f>
      </c>
      <c r="BV57" s="33">
        <f>BV55+BV56</f>
      </c>
      <c r="BW57" s="33">
        <f>BW55+BW56</f>
      </c>
      <c r="BX57" s="33">
        <f>BX55+BX56</f>
      </c>
      <c r="BY57" s="33">
        <f>BY55+BY56</f>
      </c>
      <c r="BZ57" s="33">
        <f>BZ55+BZ56</f>
      </c>
      <c r="CA57" s="33">
        <f>CA55+CA56</f>
      </c>
      <c r="CB57" s="33">
        <f>CB55+CB56</f>
      </c>
      <c r="CC57" s="33">
        <f>CC55+CC56</f>
      </c>
      <c r="CD57" s="33">
        <f>CD55+CD56</f>
      </c>
      <c r="CE57" s="33">
        <f>CE55+CE56</f>
      </c>
      <c r="CF57" s="33">
        <f>CF55+CF56</f>
      </c>
      <c r="CG57" s="33">
        <f>CG55+CG56</f>
      </c>
      <c r="CH57" s="33">
        <f>CH55+CH56</f>
      </c>
      <c r="CI57" s="33">
        <f>CI55+CI56</f>
      </c>
      <c r="CJ57" s="33">
        <f>CJ55+CJ56</f>
      </c>
      <c r="CK57" s="33">
        <f>CK55+CK56</f>
      </c>
      <c r="CL57" s="33">
        <f>CL55+CL56</f>
      </c>
      <c r="CM57" s="36"/>
    </row>
    <row r="58" spans="2:90" x14ac:dyDescent="0.25">
      <c r="B58" s="37" t="s">
        <v>209</v>
      </c>
      <c r="C58" s="38" t="s">
        <v>205</v>
      </c>
      <c r="E58" s="27">
        <f>E14+E23+E32+E41+E50</f>
      </c>
      <c r="F58" s="27">
        <f>F14+F23+F32+F41+F50</f>
      </c>
      <c r="G58" s="27">
        <f>G14+G23+G32+G41+G50</f>
      </c>
      <c r="H58" s="27">
        <f>H14+H23+H32+H41+H50</f>
      </c>
      <c r="I58" s="27">
        <f>I14+I23+I32+I41+I50</f>
      </c>
      <c r="J58" s="27">
        <f>J14+J23+J32+J41+J50</f>
      </c>
      <c r="K58" s="27">
        <f>K14+K23+K32+K41+K50</f>
      </c>
      <c r="L58" s="27">
        <f>L14+L23+L32+L41+L50</f>
      </c>
      <c r="M58" s="27">
        <f>M14+M23+M32+M41+M50</f>
      </c>
      <c r="N58" s="27">
        <f>N14+N23+N32+N41+N50</f>
      </c>
      <c r="O58" s="27">
        <f>O14+O23+O32+O41+O50</f>
      </c>
      <c r="P58" s="27">
        <f>P14+P23+P32+P41+P50</f>
      </c>
      <c r="Q58" s="27">
        <f>Q14+Q23+Q32+Q41+Q50</f>
      </c>
      <c r="R58" s="27">
        <f>R14+R23+R32+R41+R50</f>
      </c>
      <c r="S58" s="27">
        <f>S14+S23+S32+S41+S50</f>
      </c>
      <c r="T58" s="27">
        <f>T14+T23+T32+T41+T50</f>
      </c>
      <c r="U58" s="27">
        <f>U14+U23+U32+U41+U50</f>
      </c>
      <c r="V58" s="27">
        <f>V14+V23+V32+V41+V50</f>
      </c>
      <c r="W58" s="27">
        <f>W14+W23+W32+W41+W50</f>
      </c>
      <c r="X58" s="27">
        <f>X14+X23+X32+X41+X50</f>
      </c>
      <c r="Y58" s="27">
        <f>Y14+Y23+Y32+Y41+Y50</f>
      </c>
      <c r="Z58" s="27">
        <f>Z14+Z23+Z32+Z41+Z50</f>
      </c>
      <c r="AA58" s="27">
        <f>AA14+AA23+AA32+AA41+AA50</f>
      </c>
      <c r="AB58" s="27">
        <f>AB14+AB23+AB32+AB41+AB50</f>
      </c>
      <c r="AC58" s="27">
        <f>AC14+AC23+AC32+AC41+AC50</f>
      </c>
      <c r="AD58" s="27">
        <f>AD14+AD23+AD32+AD41+AD50</f>
      </c>
      <c r="AE58" s="27">
        <f>AE14+AE23+AE32+AE41+AE50</f>
      </c>
      <c r="AF58" s="27">
        <f>AF14+AF23+AF32+AF41+AF50</f>
      </c>
      <c r="AG58" s="27">
        <f>AG14+AG23+AG32+AG41+AG50</f>
      </c>
      <c r="AH58" s="27">
        <f>AH14+AH23+AH32+AH41+AH50</f>
      </c>
      <c r="AI58" s="27">
        <f>AI14+AI23+AI32+AI41+AI50</f>
      </c>
      <c r="AJ58" s="27">
        <f>AJ14+AJ23+AJ32+AJ41+AJ50</f>
      </c>
      <c r="AK58" s="27">
        <f>AK14+AK23+AK32+AK41+AK50</f>
      </c>
      <c r="AL58" s="27">
        <f>AL14+AL23+AL32+AL41+AL50</f>
      </c>
      <c r="AM58" s="27">
        <f>AM14+AM23+AM32+AM41+AM50</f>
      </c>
      <c r="AN58" s="27">
        <f>AN14+AN23+AN32+AN41+AN50</f>
      </c>
      <c r="AO58" s="27">
        <f>AO14+AO23+AO32+AO41+AO50</f>
      </c>
      <c r="AP58" s="27">
        <f>AP14+AP23+AP32+AP41+AP50</f>
      </c>
      <c r="AQ58" s="27">
        <f>AQ14+AQ23+AQ32+AQ41+AQ50</f>
      </c>
      <c r="AR58" s="27">
        <f>AR14+AR23+AR32+AR41+AR50</f>
      </c>
      <c r="AS58" s="27">
        <f>AS14+AS23+AS32+AS41+AS50</f>
      </c>
      <c r="AT58" s="27">
        <f>AT14+AT23+AT32+AT41+AT50</f>
      </c>
      <c r="AU58" s="27">
        <f>AU14+AU23+AU32+AU41+AU50</f>
      </c>
      <c r="AV58" s="27">
        <f>AV14+AV23+AV32+AV41+AV50</f>
      </c>
      <c r="AW58" s="27">
        <f>AW14+AW23+AW32+AW41+AW50</f>
      </c>
      <c r="AX58" s="27">
        <f>AX14+AX23+AX32+AX41+AX50</f>
      </c>
      <c r="AY58" s="27">
        <f>AY14+AY23+AY32+AY41+AY50</f>
      </c>
      <c r="AZ58" s="27">
        <f>AZ14+AZ23+AZ32+AZ41+AZ50</f>
      </c>
      <c r="BA58" s="27">
        <f>BA14+BA23+BA32+BA41+BA50</f>
      </c>
      <c r="BB58" s="27">
        <f>BB14+BB23+BB32+BB41+BB50</f>
      </c>
      <c r="BC58" s="27">
        <f>BC14+BC23+BC32+BC41+BC50</f>
      </c>
      <c r="BD58" s="27">
        <f>BD14+BD23+BD32+BD41+BD50</f>
      </c>
      <c r="BE58" s="27">
        <f>BE14+BE23+BE32+BE41+BE50</f>
      </c>
      <c r="BF58" s="27">
        <f>BF14+BF23+BF32+BF41+BF50</f>
      </c>
      <c r="BG58" s="27">
        <f>BG14+BG23+BG32+BG41+BG50</f>
      </c>
      <c r="BH58" s="27">
        <f>BH14+BH23+BH32+BH41+BH50</f>
      </c>
      <c r="BI58" s="27">
        <f>BI14+BI23+BI32+BI41+BI50</f>
      </c>
      <c r="BJ58" s="27">
        <f>BJ14+BJ23+BJ32+BJ41+BJ50</f>
      </c>
      <c r="BK58" s="27">
        <f>BK14+BK23+BK32+BK41+BK50</f>
      </c>
      <c r="BL58" s="27">
        <f>BL14+BL23+BL32+BL41+BL50</f>
      </c>
      <c r="BM58" s="27">
        <f>BM14+BM23+BM32+BM41+BM50</f>
      </c>
      <c r="BN58" s="27">
        <f>BN14+BN23+BN32+BN41+BN50</f>
      </c>
      <c r="BO58" s="27">
        <f>BO14+BO23+BO32+BO41+BO50</f>
      </c>
      <c r="BP58" s="27">
        <f>BP14+BP23+BP32+BP41+BP50</f>
      </c>
      <c r="BQ58" s="27">
        <f>BQ14+BQ23+BQ32+BQ41+BQ50</f>
      </c>
      <c r="BR58" s="27">
        <f>BR14+BR23+BR32+BR41+BR50</f>
      </c>
      <c r="BS58" s="27">
        <f>BS14+BS23+BS32+BS41+BS50</f>
      </c>
      <c r="BT58" s="27">
        <f>BT14+BT23+BT32+BT41+BT50</f>
      </c>
      <c r="BU58" s="27">
        <f>BU14+BU23+BU32+BU41+BU50</f>
      </c>
      <c r="BV58" s="27">
        <f>BV14+BV23+BV32+BV41+BV50</f>
      </c>
      <c r="BW58" s="27">
        <f>BW14+BW23+BW32+BW41+BW50</f>
      </c>
      <c r="BX58" s="27">
        <f>BX14+BX23+BX32+BX41+BX50</f>
      </c>
      <c r="BY58" s="27">
        <f>BY14+BY23+BY32+BY41+BY50</f>
      </c>
      <c r="BZ58" s="27">
        <f>BZ14+BZ23+BZ32+BZ41+BZ50</f>
      </c>
      <c r="CA58" s="27">
        <f>CA14+CA23+CA32+CA41+CA50</f>
      </c>
      <c r="CB58" s="27">
        <f>CB14+CB23+CB32+CB41+CB50</f>
      </c>
      <c r="CC58" s="27">
        <f>CC14+CC23+CC32+CC41+CC50</f>
      </c>
      <c r="CD58" s="27">
        <f>CD14+CD23+CD32+CD41+CD50</f>
      </c>
      <c r="CE58" s="27">
        <f>CE14+CE23+CE32+CE41+CE50</f>
      </c>
      <c r="CF58" s="27">
        <f>CF14+CF23+CF32+CF41+CF50</f>
      </c>
      <c r="CG58" s="27">
        <f>CG14+CG23+CG32+CG41+CG50</f>
      </c>
      <c r="CH58" s="27">
        <f>CH14+CH23+CH32+CH41+CH50</f>
      </c>
      <c r="CI58" s="27">
        <f>CI14+CI23+CI32+CI41+CI50</f>
      </c>
      <c r="CJ58" s="27">
        <f>CJ14+CJ23+CJ32+CJ41+CJ50</f>
      </c>
      <c r="CK58" s="27">
        <f>CK14+CK23+CK32+CK41+CK50</f>
      </c>
      <c r="CL58" s="27">
        <f>CL14+CL23+CL32+CL41+CL50</f>
      </c>
    </row>
    <row r="60" spans="2:90" x14ac:dyDescent="0.25">
      <c r="B60" s="37" t="s">
        <v>216</v>
      </c>
      <c r="C60" s="38" t="s">
        <v>205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5000</v>
      </c>
      <c r="K60" s="27">
        <v>3466.8975</v>
      </c>
      <c r="L60" s="27">
        <v>5568.047500000001</v>
      </c>
      <c r="M60" s="27">
        <v>7640.3066875</v>
      </c>
      <c r="N60" s="27">
        <v>7582.525062500001</v>
      </c>
      <c r="O60" s="27">
        <v>7524.743437500001</v>
      </c>
      <c r="P60" s="27">
        <v>7466.9618125000015</v>
      </c>
      <c r="Q60" s="27">
        <v>7409.180187500001</v>
      </c>
      <c r="R60" s="27">
        <v>7351.3985625000005</v>
      </c>
      <c r="S60" s="27">
        <v>7293.616937500001</v>
      </c>
      <c r="T60" s="27">
        <v>7235.835312500001</v>
      </c>
      <c r="U60" s="27">
        <v>7178.053687500002</v>
      </c>
      <c r="V60" s="27">
        <v>7120.272062500002</v>
      </c>
      <c r="W60" s="27">
        <v>7062.490437500002</v>
      </c>
      <c r="X60" s="27">
        <v>7004.708812500003</v>
      </c>
      <c r="Y60" s="27">
        <v>6946.927187500002</v>
      </c>
      <c r="Z60" s="27">
        <v>6889.145562500002</v>
      </c>
      <c r="AA60" s="27">
        <v>6831.363937500002</v>
      </c>
      <c r="AB60" s="27">
        <v>6773.582312500002</v>
      </c>
      <c r="AC60" s="27">
        <v>6715.800687500003</v>
      </c>
      <c r="AD60" s="27">
        <v>6658.019062500003</v>
      </c>
      <c r="AE60" s="27">
        <v>6600.237437500004</v>
      </c>
      <c r="AF60" s="27">
        <v>6542.455812500004</v>
      </c>
      <c r="AG60" s="27">
        <v>6484.674187500003</v>
      </c>
      <c r="AH60" s="27">
        <v>6426.892562500003</v>
      </c>
      <c r="AI60" s="27">
        <v>6369.110937500003</v>
      </c>
      <c r="AJ60" s="27">
        <v>6311.329312500004</v>
      </c>
      <c r="AK60" s="27">
        <v>6253.547687500004</v>
      </c>
      <c r="AL60" s="27">
        <v>6195.766062500004</v>
      </c>
      <c r="AM60" s="27">
        <v>6137.984437500005</v>
      </c>
      <c r="AN60" s="27">
        <v>6080.202812500005</v>
      </c>
      <c r="AO60" s="27">
        <v>6022.421187500005</v>
      </c>
      <c r="AP60" s="27">
        <v>5964.639562500004</v>
      </c>
      <c r="AQ60" s="27">
        <v>5906.8579375000045</v>
      </c>
      <c r="AR60" s="27">
        <v>5849.076312500005</v>
      </c>
      <c r="AS60" s="27">
        <v>5791.294687500005</v>
      </c>
      <c r="AT60" s="27">
        <v>5733.513062500004</v>
      </c>
      <c r="AU60" s="27">
        <v>5675.731437500004</v>
      </c>
      <c r="AV60" s="27">
        <v>5617.949812500005</v>
      </c>
      <c r="AW60" s="27">
        <v>5560.168187500005</v>
      </c>
      <c r="AX60" s="27">
        <v>5502.386562500004</v>
      </c>
      <c r="AY60" s="27">
        <v>5444.604937500004</v>
      </c>
      <c r="AZ60" s="27">
        <v>5386.823312500004</v>
      </c>
      <c r="BA60" s="27">
        <v>5329.041687500005</v>
      </c>
      <c r="BB60" s="27">
        <v>5271.260062500004</v>
      </c>
      <c r="BC60" s="27">
        <v>5213.478437500004</v>
      </c>
      <c r="BD60" s="27">
        <v>5155.696812500004</v>
      </c>
      <c r="BE60" s="27">
        <v>5097.915187500004</v>
      </c>
      <c r="BF60" s="27">
        <v>5040.133562500004</v>
      </c>
      <c r="BG60" s="27">
        <v>4982.351937500003</v>
      </c>
      <c r="BH60" s="27">
        <v>4924.570312500004</v>
      </c>
      <c r="BI60" s="27">
        <v>4866.788687500004</v>
      </c>
      <c r="BJ60" s="27">
        <v>4809.007062500004</v>
      </c>
      <c r="BK60" s="27">
        <v>4751.225437500004</v>
      </c>
      <c r="BL60" s="27">
        <v>4693.443812500003</v>
      </c>
      <c r="BM60" s="27">
        <v>4635.662187500004</v>
      </c>
      <c r="BN60" s="27">
        <v>4577.880562500004</v>
      </c>
      <c r="BO60" s="27">
        <v>4520.098937500004</v>
      </c>
      <c r="BP60" s="27">
        <v>4462.317312500004</v>
      </c>
      <c r="BQ60" s="27">
        <v>4404.535687500003</v>
      </c>
      <c r="BR60" s="27">
        <v>4346.754062500004</v>
      </c>
      <c r="BS60" s="27">
        <v>4288.972437500004</v>
      </c>
      <c r="BT60" s="27">
        <v>2130.0408125000035</v>
      </c>
      <c r="BU60" s="27">
        <v>3.5765879147220404e-12</v>
      </c>
      <c r="BV60" s="27">
        <v>3.5765879147220404e-12</v>
      </c>
      <c r="BW60" s="27">
        <v>3.5765879147220404e-12</v>
      </c>
      <c r="BX60" s="27">
        <v>3.5765879147220404e-12</v>
      </c>
      <c r="BY60" s="27">
        <v>3.5765879147220404e-12</v>
      </c>
      <c r="BZ60" s="27">
        <v>3.5765879147220404e-12</v>
      </c>
      <c r="CA60" s="27">
        <v>3.5765879147220404e-12</v>
      </c>
      <c r="CB60" s="27">
        <v>3.5765879147220404e-12</v>
      </c>
      <c r="CC60" s="27">
        <v>3.5765879147220404e-12</v>
      </c>
      <c r="CD60" s="27">
        <v>3.5765879147220404e-12</v>
      </c>
      <c r="CE60" s="27">
        <v>3.5765879147220404e-12</v>
      </c>
      <c r="CF60" s="27">
        <v>3.5765879147220404e-12</v>
      </c>
      <c r="CG60" s="27">
        <v>3.5765879147220404e-12</v>
      </c>
      <c r="CH60" s="27">
        <v>3.5765879147220404e-12</v>
      </c>
      <c r="CI60" s="27">
        <v>3.5765879147220404e-12</v>
      </c>
      <c r="CJ60" s="27">
        <v>3.5765879147220404e-12</v>
      </c>
      <c r="CK60" s="27">
        <v>1.7882939573610202e-12</v>
      </c>
      <c r="CL60" s="2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2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217</v>
      </c>
    </row>
    <row r="4" spans="2:91" x14ac:dyDescent="0.25">
      <c r="B4" s="9" t="s">
        <v>218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3" t="s">
        <v>116</v>
      </c>
      <c r="C6" s="23" t="s">
        <v>117</v>
      </c>
      <c r="D6" s="23" t="s">
        <v>118</v>
      </c>
      <c r="E6" s="34" t="s">
        <v>119</v>
      </c>
      <c r="F6" s="34" t="s">
        <v>120</v>
      </c>
      <c r="G6" s="34" t="s">
        <v>121</v>
      </c>
      <c r="H6" s="34" t="s">
        <v>122</v>
      </c>
      <c r="I6" s="34" t="s">
        <v>123</v>
      </c>
      <c r="J6" s="34" t="s">
        <v>124</v>
      </c>
      <c r="K6" s="34" t="s">
        <v>125</v>
      </c>
      <c r="L6" s="34" t="s">
        <v>126</v>
      </c>
      <c r="M6" s="34" t="s">
        <v>127</v>
      </c>
      <c r="N6" s="34" t="s">
        <v>106</v>
      </c>
      <c r="O6" s="34" t="s">
        <v>128</v>
      </c>
      <c r="P6" s="34" t="s">
        <v>129</v>
      </c>
      <c r="Q6" s="34" t="s">
        <v>130</v>
      </c>
      <c r="R6" s="34" t="s">
        <v>131</v>
      </c>
      <c r="S6" s="34" t="s">
        <v>132</v>
      </c>
      <c r="T6" s="34" t="s">
        <v>133</v>
      </c>
      <c r="U6" s="34" t="s">
        <v>134</v>
      </c>
      <c r="V6" s="34" t="s">
        <v>135</v>
      </c>
      <c r="W6" s="34" t="s">
        <v>136</v>
      </c>
      <c r="X6" s="34" t="s">
        <v>137</v>
      </c>
      <c r="Y6" s="34" t="s">
        <v>138</v>
      </c>
      <c r="Z6" s="34" t="s">
        <v>139</v>
      </c>
      <c r="AA6" s="34" t="s">
        <v>140</v>
      </c>
      <c r="AB6" s="34" t="s">
        <v>141</v>
      </c>
      <c r="AC6" s="34" t="s">
        <v>142</v>
      </c>
      <c r="AD6" s="34" t="s">
        <v>143</v>
      </c>
      <c r="AE6" s="34" t="s">
        <v>144</v>
      </c>
      <c r="AF6" s="34" t="s">
        <v>145</v>
      </c>
      <c r="AG6" s="34" t="s">
        <v>146</v>
      </c>
      <c r="AH6" s="34" t="s">
        <v>147</v>
      </c>
      <c r="AI6" s="34" t="s">
        <v>148</v>
      </c>
      <c r="AJ6" s="34" t="s">
        <v>149</v>
      </c>
      <c r="AK6" s="34" t="s">
        <v>150</v>
      </c>
      <c r="AL6" s="34" t="s">
        <v>151</v>
      </c>
      <c r="AM6" s="34" t="s">
        <v>152</v>
      </c>
      <c r="AN6" s="34" t="s">
        <v>153</v>
      </c>
      <c r="AO6" s="34" t="s">
        <v>154</v>
      </c>
      <c r="AP6" s="34" t="s">
        <v>155</v>
      </c>
      <c r="AQ6" s="34" t="s">
        <v>156</v>
      </c>
      <c r="AR6" s="34" t="s">
        <v>157</v>
      </c>
      <c r="AS6" s="34" t="s">
        <v>158</v>
      </c>
      <c r="AT6" s="34" t="s">
        <v>159</v>
      </c>
      <c r="AU6" s="34" t="s">
        <v>160</v>
      </c>
      <c r="AV6" s="34" t="s">
        <v>161</v>
      </c>
      <c r="AW6" s="34" t="s">
        <v>162</v>
      </c>
      <c r="AX6" s="34" t="s">
        <v>163</v>
      </c>
      <c r="AY6" s="34" t="s">
        <v>164</v>
      </c>
      <c r="AZ6" s="34" t="s">
        <v>165</v>
      </c>
      <c r="BA6" s="34" t="s">
        <v>166</v>
      </c>
      <c r="BB6" s="34" t="s">
        <v>167</v>
      </c>
      <c r="BC6" s="34" t="s">
        <v>168</v>
      </c>
      <c r="BD6" s="34" t="s">
        <v>169</v>
      </c>
      <c r="BE6" s="34" t="s">
        <v>170</v>
      </c>
      <c r="BF6" s="34" t="s">
        <v>171</v>
      </c>
      <c r="BG6" s="34" t="s">
        <v>172</v>
      </c>
      <c r="BH6" s="34" t="s">
        <v>173</v>
      </c>
      <c r="BI6" s="34" t="s">
        <v>174</v>
      </c>
      <c r="BJ6" s="34" t="s">
        <v>175</v>
      </c>
      <c r="BK6" s="34" t="s">
        <v>176</v>
      </c>
      <c r="BL6" s="34" t="s">
        <v>177</v>
      </c>
      <c r="BM6" s="34" t="s">
        <v>178</v>
      </c>
      <c r="BN6" s="34" t="s">
        <v>179</v>
      </c>
      <c r="BO6" s="34" t="s">
        <v>180</v>
      </c>
      <c r="BP6" s="34" t="s">
        <v>181</v>
      </c>
      <c r="BQ6" s="34" t="s">
        <v>182</v>
      </c>
      <c r="BR6" s="34" t="s">
        <v>183</v>
      </c>
      <c r="BS6" s="34" t="s">
        <v>184</v>
      </c>
      <c r="BT6" s="34" t="s">
        <v>185</v>
      </c>
      <c r="BU6" s="34" t="s">
        <v>186</v>
      </c>
      <c r="BV6" s="34" t="s">
        <v>187</v>
      </c>
      <c r="BW6" s="34" t="s">
        <v>188</v>
      </c>
      <c r="BX6" s="34" t="s">
        <v>189</v>
      </c>
      <c r="BY6" s="34" t="s">
        <v>190</v>
      </c>
      <c r="BZ6" s="34" t="s">
        <v>191</v>
      </c>
      <c r="CA6" s="34" t="s">
        <v>192</v>
      </c>
      <c r="CB6" s="34" t="s">
        <v>193</v>
      </c>
      <c r="CC6" s="34" t="s">
        <v>194</v>
      </c>
      <c r="CD6" s="34" t="s">
        <v>195</v>
      </c>
      <c r="CE6" s="34" t="s">
        <v>196</v>
      </c>
      <c r="CF6" s="34" t="s">
        <v>197</v>
      </c>
      <c r="CG6" s="34" t="s">
        <v>198</v>
      </c>
      <c r="CH6" s="34" t="s">
        <v>199</v>
      </c>
      <c r="CI6" s="34" t="s">
        <v>200</v>
      </c>
      <c r="CJ6" s="34" t="s">
        <v>201</v>
      </c>
      <c r="CK6" s="34" t="s">
        <v>202</v>
      </c>
      <c r="CL6" s="34" t="s">
        <v>203</v>
      </c>
    </row>
    <row r="9" spans="2:90" x14ac:dyDescent="0.25">
      <c r="B9" s="37" t="s">
        <v>219</v>
      </c>
      <c r="C9" s="38" t="s">
        <v>220</v>
      </c>
      <c r="D9" s="42">
        <v>2621322.8224949995</v>
      </c>
      <c r="E9" s="43">
        <f>('입력값'!C7*'입력값'!C14*365)*MAX(0,1-'입력값'!C12/100*0)*(1-'입력값'!C13/100)*0</f>
      </c>
      <c r="F9" s="43">
        <f>('입력값'!C7*'입력값'!C14*365)*MAX(0,1-'입력값'!C12/100*0)*(1-'입력값'!C13/100)*0</f>
      </c>
      <c r="G9" s="43">
        <f>('입력값'!C7*'입력값'!C14*365)*MAX(0,1-'입력값'!C12/100*0)*(1-'입력값'!C13/100)*0</f>
      </c>
      <c r="H9" s="43">
        <f>('입력값'!C7*'입력값'!C14*365)*MAX(0,1-'입력값'!C12/100*0)*(1-'입력값'!C13/100)*0</f>
      </c>
      <c r="I9" s="43">
        <f>('입력값'!C7*'입력값'!C14*365)*MAX(0,1-'입력값'!C12/100*0)*(1-'입력값'!C13/100)*0</f>
      </c>
      <c r="J9" s="43">
        <f>('입력값'!C7*'입력값'!C14*365)*MAX(0,1-'입력값'!C12/100*0)*(1-'입력값'!C13/100)*0</f>
      </c>
      <c r="K9" s="43">
        <f>('입력값'!C7*'입력값'!C14*365)*MAX(0,1-'입력값'!C12/100*0)*(1-'입력값'!C13/100)*0.25</f>
      </c>
      <c r="L9" s="43">
        <f>('입력값'!C7*'입력값'!C14*365)*MAX(0,1-'입력값'!C12/100*0)*(1-'입력값'!C13/100)*0.25</f>
      </c>
      <c r="M9" s="43">
        <f>('입력값'!C7*'입력값'!C14*365)*MAX(0,1-'입력값'!C12/100*0)*(1-'입력값'!C13/100)*0.25</f>
      </c>
      <c r="N9" s="43">
        <f>('입력값'!C7*'입력값'!C14*365)*MAX(0,1-'입력값'!C12/100*0)*(1-'입력값'!C13/100)*0.25</f>
      </c>
      <c r="O9" s="43">
        <f>('입력값'!C7*'입력값'!C14*365)*MAX(0,1-'입력값'!C12/100*1)*(1-'입력값'!C13/100)*0.25</f>
      </c>
      <c r="P9" s="43">
        <f>('입력값'!C7*'입력값'!C14*365)*MAX(0,1-'입력값'!C12/100*1)*(1-'입력값'!C13/100)*0.25</f>
      </c>
      <c r="Q9" s="43">
        <f>('입력값'!C7*'입력값'!C14*365)*MAX(0,1-'입력값'!C12/100*1)*(1-'입력값'!C13/100)*0.25</f>
      </c>
      <c r="R9" s="43">
        <f>('입력값'!C7*'입력값'!C14*365)*MAX(0,1-'입력값'!C12/100*1)*(1-'입력값'!C13/100)*0.25</f>
      </c>
      <c r="S9" s="43">
        <f>('입력값'!C7*'입력값'!C14*365)*MAX(0,1-'입력값'!C12/100*2)*(1-'입력값'!C13/100)*0.25</f>
      </c>
      <c r="T9" s="43">
        <f>('입력값'!C7*'입력값'!C14*365)*MAX(0,1-'입력값'!C12/100*2)*(1-'입력값'!C13/100)*0.25</f>
      </c>
      <c r="U9" s="43">
        <f>('입력값'!C7*'입력값'!C14*365)*MAX(0,1-'입력값'!C12/100*2)*(1-'입력값'!C13/100)*0.25</f>
      </c>
      <c r="V9" s="43">
        <f>('입력값'!C7*'입력값'!C14*365)*MAX(0,1-'입력값'!C12/100*2)*(1-'입력값'!C13/100)*0.25</f>
      </c>
      <c r="W9" s="43">
        <f>('입력값'!C7*'입력값'!C14*365)*MAX(0,1-'입력값'!C12/100*3)*(1-'입력값'!C13/100)*0.25</f>
      </c>
      <c r="X9" s="43">
        <f>('입력값'!C7*'입력값'!C14*365)*MAX(0,1-'입력값'!C12/100*3)*(1-'입력값'!C13/100)*0.25</f>
      </c>
      <c r="Y9" s="43">
        <f>('입력값'!C7*'입력값'!C14*365)*MAX(0,1-'입력값'!C12/100*3)*(1-'입력값'!C13/100)*0.25</f>
      </c>
      <c r="Z9" s="43">
        <f>('입력값'!C7*'입력값'!C14*365)*MAX(0,1-'입력값'!C12/100*3)*(1-'입력값'!C13/100)*0.25</f>
      </c>
      <c r="AA9" s="43">
        <f>('입력값'!C7*'입력값'!C14*365)*MAX(0,1-'입력값'!C12/100*4)*(1-'입력값'!C13/100)*0.25</f>
      </c>
      <c r="AB9" s="43">
        <f>('입력값'!C7*'입력값'!C14*365)*MAX(0,1-'입력값'!C12/100*4)*(1-'입력값'!C13/100)*0.25</f>
      </c>
      <c r="AC9" s="43">
        <f>('입력값'!C7*'입력값'!C14*365)*MAX(0,1-'입력값'!C12/100*4)*(1-'입력값'!C13/100)*0.25</f>
      </c>
      <c r="AD9" s="43">
        <f>('입력값'!C7*'입력값'!C14*365)*MAX(0,1-'입력값'!C12/100*4)*(1-'입력값'!C13/100)*0.25</f>
      </c>
      <c r="AE9" s="43">
        <f>('입력값'!C7*'입력값'!C14*365)*MAX(0,1-'입력값'!C12/100*5)*(1-'입력값'!C13/100)*0.25</f>
      </c>
      <c r="AF9" s="43">
        <f>('입력값'!C7*'입력값'!C14*365)*MAX(0,1-'입력값'!C12/100*5)*(1-'입력값'!C13/100)*0.25</f>
      </c>
      <c r="AG9" s="43">
        <f>('입력값'!C7*'입력값'!C14*365)*MAX(0,1-'입력값'!C12/100*5)*(1-'입력값'!C13/100)*0.25</f>
      </c>
      <c r="AH9" s="43">
        <f>('입력값'!C7*'입력값'!C14*365)*MAX(0,1-'입력값'!C12/100*5)*(1-'입력값'!C13/100)*0.25</f>
      </c>
      <c r="AI9" s="43">
        <f>('입력값'!C7*'입력값'!C14*365)*MAX(0,1-'입력값'!C12/100*6)*(1-'입력값'!C13/100)*0.25</f>
      </c>
      <c r="AJ9" s="43">
        <f>('입력값'!C7*'입력값'!C14*365)*MAX(0,1-'입력값'!C12/100*6)*(1-'입력값'!C13/100)*0.25</f>
      </c>
      <c r="AK9" s="43">
        <f>('입력값'!C7*'입력값'!C14*365)*MAX(0,1-'입력값'!C12/100*6)*(1-'입력값'!C13/100)*0.25</f>
      </c>
      <c r="AL9" s="43">
        <f>('입력값'!C7*'입력값'!C14*365)*MAX(0,1-'입력값'!C12/100*6)*(1-'입력값'!C13/100)*0.25</f>
      </c>
      <c r="AM9" s="43">
        <f>('입력값'!C7*'입력값'!C14*365)*MAX(0,1-'입력값'!C12/100*7)*(1-'입력값'!C13/100)*0.25</f>
      </c>
      <c r="AN9" s="43">
        <f>('입력값'!C7*'입력값'!C14*365)*MAX(0,1-'입력값'!C12/100*7)*(1-'입력값'!C13/100)*0.25</f>
      </c>
      <c r="AO9" s="43">
        <f>('입력값'!C7*'입력값'!C14*365)*MAX(0,1-'입력값'!C12/100*7)*(1-'입력값'!C13/100)*0.25</f>
      </c>
      <c r="AP9" s="43">
        <f>('입력값'!C7*'입력값'!C14*365)*MAX(0,1-'입력값'!C12/100*7)*(1-'입력값'!C13/100)*0.25</f>
      </c>
      <c r="AQ9" s="43">
        <f>('입력값'!C7*'입력값'!C14*365)*MAX(0,1-'입력값'!C12/100*8)*(1-'입력값'!C13/100)*0.25</f>
      </c>
      <c r="AR9" s="43">
        <f>('입력값'!C7*'입력값'!C14*365)*MAX(0,1-'입력값'!C12/100*8)*(1-'입력값'!C13/100)*0.25</f>
      </c>
      <c r="AS9" s="43">
        <f>('입력값'!C7*'입력값'!C14*365)*MAX(0,1-'입력값'!C12/100*8)*(1-'입력값'!C13/100)*0.25</f>
      </c>
      <c r="AT9" s="43">
        <f>('입력값'!C7*'입력값'!C14*365)*MAX(0,1-'입력값'!C12/100*8)*(1-'입력값'!C13/100)*0.25</f>
      </c>
      <c r="AU9" s="43">
        <f>('입력값'!C7*'입력값'!C14*365)*MAX(0,1-'입력값'!C12/100*9)*(1-'입력값'!C13/100)*0.25</f>
      </c>
      <c r="AV9" s="43">
        <f>('입력값'!C7*'입력값'!C14*365)*MAX(0,1-'입력값'!C12/100*9)*(1-'입력값'!C13/100)*0.25</f>
      </c>
      <c r="AW9" s="43">
        <f>('입력값'!C7*'입력값'!C14*365)*MAX(0,1-'입력값'!C12/100*9)*(1-'입력값'!C13/100)*0.25</f>
      </c>
      <c r="AX9" s="43">
        <f>('입력값'!C7*'입력값'!C14*365)*MAX(0,1-'입력값'!C12/100*9)*(1-'입력값'!C13/100)*0.25</f>
      </c>
      <c r="AY9" s="43">
        <f>('입력값'!C7*'입력값'!C14*365)*MAX(0,1-'입력값'!C12/100*10)*(1-'입력값'!C13/100)*0.25</f>
      </c>
      <c r="AZ9" s="43">
        <f>('입력값'!C7*'입력값'!C14*365)*MAX(0,1-'입력값'!C12/100*10)*(1-'입력값'!C13/100)*0.25</f>
      </c>
      <c r="BA9" s="43">
        <f>('입력값'!C7*'입력값'!C14*365)*MAX(0,1-'입력값'!C12/100*10)*(1-'입력값'!C13/100)*0.25</f>
      </c>
      <c r="BB9" s="43">
        <f>('입력값'!C7*'입력값'!C14*365)*MAX(0,1-'입력값'!C12/100*10)*(1-'입력값'!C13/100)*0.25</f>
      </c>
      <c r="BC9" s="43">
        <f>('입력값'!C7*'입력값'!C14*365)*MAX(0,1-'입력값'!C12/100*11)*(1-'입력값'!C13/100)*0.25</f>
      </c>
      <c r="BD9" s="43">
        <f>('입력값'!C7*'입력값'!C14*365)*MAX(0,1-'입력값'!C12/100*11)*(1-'입력값'!C13/100)*0.25</f>
      </c>
      <c r="BE9" s="43">
        <f>('입력값'!C7*'입력값'!C14*365)*MAX(0,1-'입력값'!C12/100*11)*(1-'입력값'!C13/100)*0.25</f>
      </c>
      <c r="BF9" s="43">
        <f>('입력값'!C7*'입력값'!C14*365)*MAX(0,1-'입력값'!C12/100*11)*(1-'입력값'!C13/100)*0.25</f>
      </c>
      <c r="BG9" s="43">
        <f>('입력값'!C7*'입력값'!C14*365)*MAX(0,1-'입력값'!C12/100*12)*(1-'입력값'!C13/100)*0.25</f>
      </c>
      <c r="BH9" s="43">
        <f>('입력값'!C7*'입력값'!C14*365)*MAX(0,1-'입력값'!C12/100*12)*(1-'입력값'!C13/100)*0.25</f>
      </c>
      <c r="BI9" s="43">
        <f>('입력값'!C7*'입력값'!C14*365)*MAX(0,1-'입력값'!C12/100*12)*(1-'입력값'!C13/100)*0.25</f>
      </c>
      <c r="BJ9" s="43">
        <f>('입력값'!C7*'입력값'!C14*365)*MAX(0,1-'입력값'!C12/100*12)*(1-'입력값'!C13/100)*0.25</f>
      </c>
      <c r="BK9" s="43">
        <f>('입력값'!C7*'입력값'!C14*365)*MAX(0,1-'입력값'!C12/100*13)*(1-'입력값'!C13/100)*0.25</f>
      </c>
      <c r="BL9" s="43">
        <f>('입력값'!C7*'입력값'!C14*365)*MAX(0,1-'입력값'!C12/100*13)*(1-'입력값'!C13/100)*0.25</f>
      </c>
      <c r="BM9" s="43">
        <f>('입력값'!C7*'입력값'!C14*365)*MAX(0,1-'입력값'!C12/100*13)*(1-'입력값'!C13/100)*0.25</f>
      </c>
      <c r="BN9" s="43">
        <f>('입력값'!C7*'입력값'!C14*365)*MAX(0,1-'입력값'!C12/100*13)*(1-'입력값'!C13/100)*0.25</f>
      </c>
      <c r="BO9" s="43">
        <f>('입력값'!C7*'입력값'!C14*365)*MAX(0,1-'입력값'!C12/100*14)*(1-'입력값'!C13/100)*0.25</f>
      </c>
      <c r="BP9" s="43">
        <f>('입력값'!C7*'입력값'!C14*365)*MAX(0,1-'입력값'!C12/100*14)*(1-'입력값'!C13/100)*0.25</f>
      </c>
      <c r="BQ9" s="43">
        <f>('입력값'!C7*'입력값'!C14*365)*MAX(0,1-'입력값'!C12/100*14)*(1-'입력값'!C13/100)*0.25</f>
      </c>
      <c r="BR9" s="43">
        <f>('입력값'!C7*'입력값'!C14*365)*MAX(0,1-'입력값'!C12/100*14)*(1-'입력값'!C13/100)*0.25</f>
      </c>
      <c r="BS9" s="43">
        <f>('입력값'!C7*'입력값'!C14*365)*MAX(0,1-'입력값'!C12/100*15)*(1-'입력값'!C13/100)*0.25</f>
      </c>
      <c r="BT9" s="43">
        <f>('입력값'!C7*'입력값'!C14*365)*MAX(0,1-'입력값'!C12/100*15)*(1-'입력값'!C13/100)*0.25</f>
      </c>
      <c r="BU9" s="43">
        <f>('입력값'!C7*'입력값'!C14*365)*MAX(0,1-'입력값'!C12/100*15)*(1-'입력값'!C13/100)*0.25</f>
      </c>
      <c r="BV9" s="43">
        <f>('입력값'!C7*'입력값'!C14*365)*MAX(0,1-'입력값'!C12/100*15)*(1-'입력값'!C13/100)*0.25</f>
      </c>
      <c r="BW9" s="43">
        <f>('입력값'!C7*'입력값'!C14*365)*MAX(0,1-'입력값'!C12/100*16)*(1-'입력값'!C13/100)*0.25</f>
      </c>
      <c r="BX9" s="43">
        <f>('입력값'!C7*'입력값'!C14*365)*MAX(0,1-'입력값'!C12/100*16)*(1-'입력값'!C13/100)*0.25</f>
      </c>
      <c r="BY9" s="43">
        <f>('입력값'!C7*'입력값'!C14*365)*MAX(0,1-'입력값'!C12/100*16)*(1-'입력값'!C13/100)*0.25</f>
      </c>
      <c r="BZ9" s="43">
        <f>('입력값'!C7*'입력값'!C14*365)*MAX(0,1-'입력값'!C12/100*16)*(1-'입력값'!C13/100)*0.25</f>
      </c>
      <c r="CA9" s="43">
        <f>('입력값'!C7*'입력값'!C14*365)*MAX(0,1-'입력값'!C12/100*17)*(1-'입력값'!C13/100)*0.25</f>
      </c>
      <c r="CB9" s="43">
        <f>('입력값'!C7*'입력값'!C14*365)*MAX(0,1-'입력값'!C12/100*17)*(1-'입력값'!C13/100)*0.25</f>
      </c>
      <c r="CC9" s="43">
        <f>('입력값'!C7*'입력값'!C14*365)*MAX(0,1-'입력값'!C12/100*17)*(1-'입력값'!C13/100)*0.25</f>
      </c>
      <c r="CD9" s="43">
        <f>('입력값'!C7*'입력값'!C14*365)*MAX(0,1-'입력값'!C12/100*17)*(1-'입력값'!C13/100)*0.25</f>
      </c>
      <c r="CE9" s="43">
        <f>('입력값'!C7*'입력값'!C14*365)*MAX(0,1-'입력값'!C12/100*18)*(1-'입력값'!C13/100)*0.25</f>
      </c>
      <c r="CF9" s="43">
        <f>('입력값'!C7*'입력값'!C14*365)*MAX(0,1-'입력값'!C12/100*18)*(1-'입력값'!C13/100)*0.25</f>
      </c>
      <c r="CG9" s="43">
        <f>('입력값'!C7*'입력값'!C14*365)*MAX(0,1-'입력값'!C12/100*18)*(1-'입력값'!C13/100)*0.25</f>
      </c>
      <c r="CH9" s="43">
        <f>('입력값'!C7*'입력값'!C14*365)*MAX(0,1-'입력값'!C12/100*18)*(1-'입력값'!C13/100)*0.25</f>
      </c>
      <c r="CI9" s="43">
        <f>('입력값'!C7*'입력값'!C14*365)*MAX(0,1-'입력값'!C12/100*19)*(1-'입력값'!C13/100)*0.25</f>
      </c>
      <c r="CJ9" s="43">
        <f>('입력값'!C7*'입력값'!C14*365)*MAX(0,1-'입력값'!C12/100*19)*(1-'입력값'!C13/100)*0.25</f>
      </c>
      <c r="CK9" s="43">
        <f>('입력값'!C7*'입력값'!C14*365)*MAX(0,1-'입력값'!C12/100*19)*(1-'입력값'!C13/100)*0.25</f>
      </c>
      <c r="CL9" s="43">
        <f>('입력값'!C7*'입력값'!C14*365)*MAX(0,1-'입력값'!C12/100*19)*(1-'입력값'!C13/100)*0.25</f>
      </c>
    </row>
    <row r="10" spans="2:90" x14ac:dyDescent="0.25">
      <c r="B10" s="37" t="s">
        <v>221</v>
      </c>
      <c r="C10" s="38" t="s">
        <v>222</v>
      </c>
      <c r="E10" s="44"/>
      <c r="F10" s="44"/>
      <c r="G10" s="44"/>
      <c r="H10" s="44"/>
      <c r="I10" s="44"/>
      <c r="J10" s="44"/>
      <c r="K10" s="44">
        <f>'입력값'!C10*(1+'입력값'!C11/100)^0</f>
      </c>
      <c r="L10" s="44">
        <f>'입력값'!C10*(1+'입력값'!C11/100)^0</f>
      </c>
      <c r="M10" s="44">
        <f>'입력값'!C10*(1+'입력값'!C11/100)^0</f>
      </c>
      <c r="N10" s="44">
        <f>'입력값'!C10*(1+'입력값'!C11/100)^0</f>
      </c>
      <c r="O10" s="44">
        <f>'입력값'!C10*(1+'입력값'!C11/100)^1</f>
      </c>
      <c r="P10" s="44">
        <f>'입력값'!C10*(1+'입력값'!C11/100)^1</f>
      </c>
      <c r="Q10" s="44">
        <f>'입력값'!C10*(1+'입력값'!C11/100)^1</f>
      </c>
      <c r="R10" s="44">
        <f>'입력값'!C10*(1+'입력값'!C11/100)^1</f>
      </c>
      <c r="S10" s="44">
        <f>'입력값'!C10*(1+'입력값'!C11/100)^2</f>
      </c>
      <c r="T10" s="44">
        <f>'입력값'!C10*(1+'입력값'!C11/100)^2</f>
      </c>
      <c r="U10" s="44">
        <f>'입력값'!C10*(1+'입력값'!C11/100)^2</f>
      </c>
      <c r="V10" s="44">
        <f>'입력값'!C10*(1+'입력값'!C11/100)^2</f>
      </c>
      <c r="W10" s="44">
        <f>'입력값'!C10*(1+'입력값'!C11/100)^3</f>
      </c>
      <c r="X10" s="44">
        <f>'입력값'!C10*(1+'입력값'!C11/100)^3</f>
      </c>
      <c r="Y10" s="44">
        <f>'입력값'!C10*(1+'입력값'!C11/100)^3</f>
      </c>
      <c r="Z10" s="44">
        <f>'입력값'!C10*(1+'입력값'!C11/100)^3</f>
      </c>
      <c r="AA10" s="44">
        <f>'입력값'!C10*(1+'입력값'!C11/100)^4</f>
      </c>
      <c r="AB10" s="44">
        <f>'입력값'!C10*(1+'입력값'!C11/100)^4</f>
      </c>
      <c r="AC10" s="44">
        <f>'입력값'!C10*(1+'입력값'!C11/100)^4</f>
      </c>
      <c r="AD10" s="44">
        <f>'입력값'!C10*(1+'입력값'!C11/100)^4</f>
      </c>
      <c r="AE10" s="44">
        <f>'입력값'!C10*(1+'입력값'!C11/100)^5</f>
      </c>
      <c r="AF10" s="44">
        <f>'입력값'!C10*(1+'입력값'!C11/100)^5</f>
      </c>
      <c r="AG10" s="44">
        <f>'입력값'!C10*(1+'입력값'!C11/100)^5</f>
      </c>
      <c r="AH10" s="44">
        <f>'입력값'!C10*(1+'입력값'!C11/100)^5</f>
      </c>
      <c r="AI10" s="44">
        <f>'입력값'!C10*(1+'입력값'!C11/100)^6</f>
      </c>
      <c r="AJ10" s="44">
        <f>'입력값'!C10*(1+'입력값'!C11/100)^6</f>
      </c>
      <c r="AK10" s="44">
        <f>'입력값'!C10*(1+'입력값'!C11/100)^6</f>
      </c>
      <c r="AL10" s="44">
        <f>'입력값'!C10*(1+'입력값'!C11/100)^6</f>
      </c>
      <c r="AM10" s="44">
        <f>'입력값'!C10*(1+'입력값'!C11/100)^7</f>
      </c>
      <c r="AN10" s="44">
        <f>'입력값'!C10*(1+'입력값'!C11/100)^7</f>
      </c>
      <c r="AO10" s="44">
        <f>'입력값'!C10*(1+'입력값'!C11/100)^7</f>
      </c>
      <c r="AP10" s="44">
        <f>'입력값'!C10*(1+'입력값'!C11/100)^7</f>
      </c>
      <c r="AQ10" s="44">
        <f>'입력값'!C10*(1+'입력값'!C11/100)^8</f>
      </c>
      <c r="AR10" s="44">
        <f>'입력값'!C10*(1+'입력값'!C11/100)^8</f>
      </c>
      <c r="AS10" s="44">
        <f>'입력값'!C10*(1+'입력값'!C11/100)^8</f>
      </c>
      <c r="AT10" s="44">
        <f>'입력값'!C10*(1+'입력값'!C11/100)^8</f>
      </c>
      <c r="AU10" s="44">
        <f>'입력값'!C10*(1+'입력값'!C11/100)^9</f>
      </c>
      <c r="AV10" s="44">
        <f>'입력값'!C10*(1+'입력값'!C11/100)^9</f>
      </c>
      <c r="AW10" s="44">
        <f>'입력값'!C10*(1+'입력값'!C11/100)^9</f>
      </c>
      <c r="AX10" s="44">
        <f>'입력값'!C10*(1+'입력값'!C11/100)^9</f>
      </c>
      <c r="AY10" s="44">
        <f>'입력값'!C10*(1+'입력값'!C11/100)^10</f>
      </c>
      <c r="AZ10" s="44">
        <f>'입력값'!C10*(1+'입력값'!C11/100)^10</f>
      </c>
      <c r="BA10" s="44">
        <f>'입력값'!C10*(1+'입력값'!C11/100)^10</f>
      </c>
      <c r="BB10" s="44">
        <f>'입력값'!C10*(1+'입력값'!C11/100)^10</f>
      </c>
      <c r="BC10" s="44">
        <f>'입력값'!C10*(1+'입력값'!C11/100)^11</f>
      </c>
      <c r="BD10" s="44">
        <f>'입력값'!C10*(1+'입력값'!C11/100)^11</f>
      </c>
      <c r="BE10" s="44">
        <f>'입력값'!C10*(1+'입력값'!C11/100)^11</f>
      </c>
      <c r="BF10" s="44">
        <f>'입력값'!C10*(1+'입력값'!C11/100)^11</f>
      </c>
      <c r="BG10" s="44">
        <f>'입력값'!C10*(1+'입력값'!C11/100)^12</f>
      </c>
      <c r="BH10" s="44">
        <f>'입력값'!C10*(1+'입력값'!C11/100)^12</f>
      </c>
      <c r="BI10" s="44">
        <f>'입력값'!C10*(1+'입력값'!C11/100)^12</f>
      </c>
      <c r="BJ10" s="44">
        <f>'입력값'!C10*(1+'입력값'!C11/100)^12</f>
      </c>
      <c r="BK10" s="44">
        <f>'입력값'!C10*(1+'입력값'!C11/100)^13</f>
      </c>
      <c r="BL10" s="44">
        <f>'입력값'!C10*(1+'입력값'!C11/100)^13</f>
      </c>
      <c r="BM10" s="44">
        <f>'입력값'!C10*(1+'입력값'!C11/100)^13</f>
      </c>
      <c r="BN10" s="44">
        <f>'입력값'!C10*(1+'입력값'!C11/100)^13</f>
      </c>
      <c r="BO10" s="44">
        <f>'입력값'!C10*(1+'입력값'!C11/100)^14</f>
      </c>
      <c r="BP10" s="44">
        <f>'입력값'!C10*(1+'입력값'!C11/100)^14</f>
      </c>
      <c r="BQ10" s="44">
        <f>'입력값'!C10*(1+'입력값'!C11/100)^14</f>
      </c>
      <c r="BR10" s="44">
        <f>'입력값'!C10*(1+'입력값'!C11/100)^14</f>
      </c>
      <c r="BS10" s="44">
        <f>'입력값'!C10*(1+'입력값'!C11/100)^15</f>
      </c>
      <c r="BT10" s="44">
        <f>'입력값'!C10*(1+'입력값'!C11/100)^15</f>
      </c>
      <c r="BU10" s="44">
        <f>'입력값'!C10*(1+'입력값'!C11/100)^15</f>
      </c>
      <c r="BV10" s="44">
        <f>'입력값'!C10*(1+'입력값'!C11/100)^15</f>
      </c>
      <c r="BW10" s="44">
        <f>'입력값'!C10*(1+'입력값'!C11/100)^16</f>
      </c>
      <c r="BX10" s="44">
        <f>'입력값'!C10*(1+'입력값'!C11/100)^16</f>
      </c>
      <c r="BY10" s="44">
        <f>'입력값'!C10*(1+'입력값'!C11/100)^16</f>
      </c>
      <c r="BZ10" s="44">
        <f>'입력값'!C10*(1+'입력값'!C11/100)^16</f>
      </c>
      <c r="CA10" s="44">
        <f>'입력값'!C10*(1+'입력값'!C11/100)^17</f>
      </c>
      <c r="CB10" s="44">
        <f>'입력값'!C10*(1+'입력값'!C11/100)^17</f>
      </c>
      <c r="CC10" s="44">
        <f>'입력값'!C10*(1+'입력값'!C11/100)^17</f>
      </c>
      <c r="CD10" s="44">
        <f>'입력값'!C10*(1+'입력값'!C11/100)^17</f>
      </c>
      <c r="CE10" s="44">
        <f>'입력값'!C10*(1+'입력값'!C11/100)^18</f>
      </c>
      <c r="CF10" s="44">
        <f>'입력값'!C10*(1+'입력값'!C11/100)^18</f>
      </c>
      <c r="CG10" s="44">
        <f>'입력값'!C10*(1+'입력값'!C11/100)^18</f>
      </c>
      <c r="CH10" s="44">
        <f>'입력값'!C10*(1+'입력값'!C11/100)^18</f>
      </c>
      <c r="CI10" s="44">
        <f>'입력값'!C10*(1+'입력값'!C11/100)^19</f>
      </c>
      <c r="CJ10" s="44">
        <f>'입력값'!C10*(1+'입력값'!C11/100)^19</f>
      </c>
      <c r="CK10" s="44">
        <f>'입력값'!C10*(1+'입력값'!C11/100)^19</f>
      </c>
      <c r="CL10" s="44">
        <f>'입력값'!C10*(1+'입력값'!C11/100)^19</f>
      </c>
    </row>
    <row r="12" spans="2:91" x14ac:dyDescent="0.25">
      <c r="B12" s="35" t="s">
        <v>223</v>
      </c>
      <c r="C12" s="41" t="s">
        <v>205</v>
      </c>
      <c r="D12" s="33">
        <v>405780.7729222257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K9*K10/1000</f>
      </c>
      <c r="L12" s="33">
        <f>L9*L10/1000</f>
      </c>
      <c r="M12" s="33">
        <f>M9*M10/1000</f>
      </c>
      <c r="N12" s="33">
        <f>N9*N10/1000</f>
      </c>
      <c r="O12" s="33">
        <f>O9*O10/1000</f>
      </c>
      <c r="P12" s="33">
        <f>P9*P10/1000</f>
      </c>
      <c r="Q12" s="33">
        <f>Q9*Q10/1000</f>
      </c>
      <c r="R12" s="33">
        <f>R9*R10/1000</f>
      </c>
      <c r="S12" s="33">
        <f>S9*S10/1000</f>
      </c>
      <c r="T12" s="33">
        <f>T9*T10/1000</f>
      </c>
      <c r="U12" s="33">
        <f>U9*U10/1000</f>
      </c>
      <c r="V12" s="33">
        <f>V9*V10/1000</f>
      </c>
      <c r="W12" s="33">
        <f>W9*W10/1000</f>
      </c>
      <c r="X12" s="33">
        <f>X9*X10/1000</f>
      </c>
      <c r="Y12" s="33">
        <f>Y9*Y10/1000</f>
      </c>
      <c r="Z12" s="33">
        <f>Z9*Z10/1000</f>
      </c>
      <c r="AA12" s="33">
        <f>AA9*AA10/1000</f>
      </c>
      <c r="AB12" s="33">
        <f>AB9*AB10/1000</f>
      </c>
      <c r="AC12" s="33">
        <f>AC9*AC10/1000</f>
      </c>
      <c r="AD12" s="33">
        <f>AD9*AD10/1000</f>
      </c>
      <c r="AE12" s="33">
        <f>AE9*AE10/1000</f>
      </c>
      <c r="AF12" s="33">
        <f>AF9*AF10/1000</f>
      </c>
      <c r="AG12" s="33">
        <f>AG9*AG10/1000</f>
      </c>
      <c r="AH12" s="33">
        <f>AH9*AH10/1000</f>
      </c>
      <c r="AI12" s="33">
        <f>AI9*AI10/1000</f>
      </c>
      <c r="AJ12" s="33">
        <f>AJ9*AJ10/1000</f>
      </c>
      <c r="AK12" s="33">
        <f>AK9*AK10/1000</f>
      </c>
      <c r="AL12" s="33">
        <f>AL9*AL10/1000</f>
      </c>
      <c r="AM12" s="33">
        <f>AM9*AM10/1000</f>
      </c>
      <c r="AN12" s="33">
        <f>AN9*AN10/1000</f>
      </c>
      <c r="AO12" s="33">
        <f>AO9*AO10/1000</f>
      </c>
      <c r="AP12" s="33">
        <f>AP9*AP10/1000</f>
      </c>
      <c r="AQ12" s="33">
        <f>AQ9*AQ10/1000</f>
      </c>
      <c r="AR12" s="33">
        <f>AR9*AR10/1000</f>
      </c>
      <c r="AS12" s="33">
        <f>AS9*AS10/1000</f>
      </c>
      <c r="AT12" s="33">
        <f>AT9*AT10/1000</f>
      </c>
      <c r="AU12" s="33">
        <f>AU9*AU10/1000</f>
      </c>
      <c r="AV12" s="33">
        <f>AV9*AV10/1000</f>
      </c>
      <c r="AW12" s="33">
        <f>AW9*AW10/1000</f>
      </c>
      <c r="AX12" s="33">
        <f>AX9*AX10/1000</f>
      </c>
      <c r="AY12" s="33">
        <f>AY9*AY10/1000</f>
      </c>
      <c r="AZ12" s="33">
        <f>AZ9*AZ10/1000</f>
      </c>
      <c r="BA12" s="33">
        <f>BA9*BA10/1000</f>
      </c>
      <c r="BB12" s="33">
        <f>BB9*BB10/1000</f>
      </c>
      <c r="BC12" s="33">
        <f>BC9*BC10/1000</f>
      </c>
      <c r="BD12" s="33">
        <f>BD9*BD10/1000</f>
      </c>
      <c r="BE12" s="33">
        <f>BE9*BE10/1000</f>
      </c>
      <c r="BF12" s="33">
        <f>BF9*BF10/1000</f>
      </c>
      <c r="BG12" s="33">
        <f>BG9*BG10/1000</f>
      </c>
      <c r="BH12" s="33">
        <f>BH9*BH10/1000</f>
      </c>
      <c r="BI12" s="33">
        <f>BI9*BI10/1000</f>
      </c>
      <c r="BJ12" s="33">
        <f>BJ9*BJ10/1000</f>
      </c>
      <c r="BK12" s="33">
        <f>BK9*BK10/1000</f>
      </c>
      <c r="BL12" s="33">
        <f>BL9*BL10/1000</f>
      </c>
      <c r="BM12" s="33">
        <f>BM9*BM10/1000</f>
      </c>
      <c r="BN12" s="33">
        <f>BN9*BN10/1000</f>
      </c>
      <c r="BO12" s="33">
        <f>BO9*BO10/1000</f>
      </c>
      <c r="BP12" s="33">
        <f>BP9*BP10/1000</f>
      </c>
      <c r="BQ12" s="33">
        <f>BQ9*BQ10/1000</f>
      </c>
      <c r="BR12" s="33">
        <f>BR9*BR10/1000</f>
      </c>
      <c r="BS12" s="33">
        <f>BS9*BS10/1000</f>
      </c>
      <c r="BT12" s="33">
        <f>BT9*BT10/1000</f>
      </c>
      <c r="BU12" s="33">
        <f>BU9*BU10/1000</f>
      </c>
      <c r="BV12" s="33">
        <f>BV9*BV10/1000</f>
      </c>
      <c r="BW12" s="33">
        <f>BW9*BW10/1000</f>
      </c>
      <c r="BX12" s="33">
        <f>BX9*BX10/1000</f>
      </c>
      <c r="BY12" s="33">
        <f>BY9*BY10/1000</f>
      </c>
      <c r="BZ12" s="33">
        <f>BZ9*BZ10/1000</f>
      </c>
      <c r="CA12" s="33">
        <f>CA9*CA10/1000</f>
      </c>
      <c r="CB12" s="33">
        <f>CB9*CB10/1000</f>
      </c>
      <c r="CC12" s="33">
        <f>CC9*CC10/1000</f>
      </c>
      <c r="CD12" s="33">
        <f>CD9*CD10/1000</f>
      </c>
      <c r="CE12" s="33">
        <f>CE9*CE10/1000</f>
      </c>
      <c r="CF12" s="33">
        <f>CF9*CF10/1000</f>
      </c>
      <c r="CG12" s="33">
        <f>CG9*CG10/1000</f>
      </c>
      <c r="CH12" s="33">
        <f>CH9*CH10/1000</f>
      </c>
      <c r="CI12" s="33">
        <f>CI9*CI10/1000</f>
      </c>
      <c r="CJ12" s="33">
        <f>CJ9*CJ10/1000</f>
      </c>
      <c r="CK12" s="33">
        <f>CK9*CK10/1000</f>
      </c>
      <c r="CL12" s="33">
        <f>CL9*CL10/1000</f>
      </c>
      <c r="CM12" s="3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224</v>
      </c>
    </row>
    <row r="4" spans="2:91" x14ac:dyDescent="0.25">
      <c r="B4" s="9" t="s">
        <v>225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3" t="s">
        <v>116</v>
      </c>
      <c r="C6" s="23" t="s">
        <v>117</v>
      </c>
      <c r="D6" s="23" t="s">
        <v>118</v>
      </c>
      <c r="E6" s="34" t="s">
        <v>119</v>
      </c>
      <c r="F6" s="34" t="s">
        <v>120</v>
      </c>
      <c r="G6" s="34" t="s">
        <v>121</v>
      </c>
      <c r="H6" s="34" t="s">
        <v>122</v>
      </c>
      <c r="I6" s="34" t="s">
        <v>123</v>
      </c>
      <c r="J6" s="34" t="s">
        <v>124</v>
      </c>
      <c r="K6" s="34" t="s">
        <v>125</v>
      </c>
      <c r="L6" s="34" t="s">
        <v>126</v>
      </c>
      <c r="M6" s="34" t="s">
        <v>127</v>
      </c>
      <c r="N6" s="34" t="s">
        <v>106</v>
      </c>
      <c r="O6" s="34" t="s">
        <v>128</v>
      </c>
      <c r="P6" s="34" t="s">
        <v>129</v>
      </c>
      <c r="Q6" s="34" t="s">
        <v>130</v>
      </c>
      <c r="R6" s="34" t="s">
        <v>131</v>
      </c>
      <c r="S6" s="34" t="s">
        <v>132</v>
      </c>
      <c r="T6" s="34" t="s">
        <v>133</v>
      </c>
      <c r="U6" s="34" t="s">
        <v>134</v>
      </c>
      <c r="V6" s="34" t="s">
        <v>135</v>
      </c>
      <c r="W6" s="34" t="s">
        <v>136</v>
      </c>
      <c r="X6" s="34" t="s">
        <v>137</v>
      </c>
      <c r="Y6" s="34" t="s">
        <v>138</v>
      </c>
      <c r="Z6" s="34" t="s">
        <v>139</v>
      </c>
      <c r="AA6" s="34" t="s">
        <v>140</v>
      </c>
      <c r="AB6" s="34" t="s">
        <v>141</v>
      </c>
      <c r="AC6" s="34" t="s">
        <v>142</v>
      </c>
      <c r="AD6" s="34" t="s">
        <v>143</v>
      </c>
      <c r="AE6" s="34" t="s">
        <v>144</v>
      </c>
      <c r="AF6" s="34" t="s">
        <v>145</v>
      </c>
      <c r="AG6" s="34" t="s">
        <v>146</v>
      </c>
      <c r="AH6" s="34" t="s">
        <v>147</v>
      </c>
      <c r="AI6" s="34" t="s">
        <v>148</v>
      </c>
      <c r="AJ6" s="34" t="s">
        <v>149</v>
      </c>
      <c r="AK6" s="34" t="s">
        <v>150</v>
      </c>
      <c r="AL6" s="34" t="s">
        <v>151</v>
      </c>
      <c r="AM6" s="34" t="s">
        <v>152</v>
      </c>
      <c r="AN6" s="34" t="s">
        <v>153</v>
      </c>
      <c r="AO6" s="34" t="s">
        <v>154</v>
      </c>
      <c r="AP6" s="34" t="s">
        <v>155</v>
      </c>
      <c r="AQ6" s="34" t="s">
        <v>156</v>
      </c>
      <c r="AR6" s="34" t="s">
        <v>157</v>
      </c>
      <c r="AS6" s="34" t="s">
        <v>158</v>
      </c>
      <c r="AT6" s="34" t="s">
        <v>159</v>
      </c>
      <c r="AU6" s="34" t="s">
        <v>160</v>
      </c>
      <c r="AV6" s="34" t="s">
        <v>161</v>
      </c>
      <c r="AW6" s="34" t="s">
        <v>162</v>
      </c>
      <c r="AX6" s="34" t="s">
        <v>163</v>
      </c>
      <c r="AY6" s="34" t="s">
        <v>164</v>
      </c>
      <c r="AZ6" s="34" t="s">
        <v>165</v>
      </c>
      <c r="BA6" s="34" t="s">
        <v>166</v>
      </c>
      <c r="BB6" s="34" t="s">
        <v>167</v>
      </c>
      <c r="BC6" s="34" t="s">
        <v>168</v>
      </c>
      <c r="BD6" s="34" t="s">
        <v>169</v>
      </c>
      <c r="BE6" s="34" t="s">
        <v>170</v>
      </c>
      <c r="BF6" s="34" t="s">
        <v>171</v>
      </c>
      <c r="BG6" s="34" t="s">
        <v>172</v>
      </c>
      <c r="BH6" s="34" t="s">
        <v>173</v>
      </c>
      <c r="BI6" s="34" t="s">
        <v>174</v>
      </c>
      <c r="BJ6" s="34" t="s">
        <v>175</v>
      </c>
      <c r="BK6" s="34" t="s">
        <v>176</v>
      </c>
      <c r="BL6" s="34" t="s">
        <v>177</v>
      </c>
      <c r="BM6" s="34" t="s">
        <v>178</v>
      </c>
      <c r="BN6" s="34" t="s">
        <v>179</v>
      </c>
      <c r="BO6" s="34" t="s">
        <v>180</v>
      </c>
      <c r="BP6" s="34" t="s">
        <v>181</v>
      </c>
      <c r="BQ6" s="34" t="s">
        <v>182</v>
      </c>
      <c r="BR6" s="34" t="s">
        <v>183</v>
      </c>
      <c r="BS6" s="34" t="s">
        <v>184</v>
      </c>
      <c r="BT6" s="34" t="s">
        <v>185</v>
      </c>
      <c r="BU6" s="34" t="s">
        <v>186</v>
      </c>
      <c r="BV6" s="34" t="s">
        <v>187</v>
      </c>
      <c r="BW6" s="34" t="s">
        <v>188</v>
      </c>
      <c r="BX6" s="34" t="s">
        <v>189</v>
      </c>
      <c r="BY6" s="34" t="s">
        <v>190</v>
      </c>
      <c r="BZ6" s="34" t="s">
        <v>191</v>
      </c>
      <c r="CA6" s="34" t="s">
        <v>192</v>
      </c>
      <c r="CB6" s="34" t="s">
        <v>193</v>
      </c>
      <c r="CC6" s="34" t="s">
        <v>194</v>
      </c>
      <c r="CD6" s="34" t="s">
        <v>195</v>
      </c>
      <c r="CE6" s="34" t="s">
        <v>196</v>
      </c>
      <c r="CF6" s="34" t="s">
        <v>197</v>
      </c>
      <c r="CG6" s="34" t="s">
        <v>198</v>
      </c>
      <c r="CH6" s="34" t="s">
        <v>199</v>
      </c>
      <c r="CI6" s="34" t="s">
        <v>200</v>
      </c>
      <c r="CJ6" s="34" t="s">
        <v>201</v>
      </c>
      <c r="CK6" s="34" t="s">
        <v>202</v>
      </c>
      <c r="CL6" s="34" t="s">
        <v>203</v>
      </c>
    </row>
    <row r="8" spans="2:2" x14ac:dyDescent="0.25">
      <c r="B8" s="39" t="s">
        <v>226</v>
      </c>
    </row>
    <row r="9" spans="2:90" x14ac:dyDescent="0.25">
      <c r="B9" s="37" t="s">
        <v>227</v>
      </c>
      <c r="C9" s="38" t="s">
        <v>205</v>
      </c>
      <c r="D9" s="27">
        <v>-10000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f>-('입력값'!C44*100*(3/12))</f>
      </c>
      <c r="L9" s="27">
        <f>-('입력값'!C44*100*(3/12))</f>
      </c>
      <c r="M9" s="27">
        <f>-('입력값'!C44*100*(3/12))</f>
      </c>
      <c r="N9" s="27">
        <f>-('입력값'!C44*100*(3/12))</f>
      </c>
      <c r="O9" s="27">
        <f>-('입력값'!C44*100*(3/12))</f>
      </c>
      <c r="P9" s="27">
        <f>-('입력값'!C44*100*(3/12))</f>
      </c>
      <c r="Q9" s="27">
        <f>-('입력값'!C44*100*(3/12))</f>
      </c>
      <c r="R9" s="27">
        <f>-('입력값'!C44*100*(3/12))</f>
      </c>
      <c r="S9" s="27">
        <f>-('입력값'!C44*100*(3/12))</f>
      </c>
      <c r="T9" s="27">
        <f>-('입력값'!C44*100*(3/12))</f>
      </c>
      <c r="U9" s="27">
        <f>-('입력값'!C44*100*(3/12))</f>
      </c>
      <c r="V9" s="27">
        <f>-('입력값'!C44*100*(3/12))</f>
      </c>
      <c r="W9" s="27">
        <f>-('입력값'!C44*100*(3/12))</f>
      </c>
      <c r="X9" s="27">
        <f>-('입력값'!C44*100*(3/12))</f>
      </c>
      <c r="Y9" s="27">
        <f>-('입력값'!C44*100*(3/12))</f>
      </c>
      <c r="Z9" s="27">
        <f>-('입력값'!C44*100*(3/12))</f>
      </c>
      <c r="AA9" s="27">
        <f>-('입력값'!C44*100*(3/12))</f>
      </c>
      <c r="AB9" s="27">
        <f>-('입력값'!C44*100*(3/12))</f>
      </c>
      <c r="AC9" s="27">
        <f>-('입력값'!C44*100*(3/12))</f>
      </c>
      <c r="AD9" s="27">
        <f>-('입력값'!C44*100*(3/12))</f>
      </c>
      <c r="AE9" s="27">
        <f>-('입력값'!C44*100*(3/12))</f>
      </c>
      <c r="AF9" s="27">
        <f>-('입력값'!C44*100*(3/12))</f>
      </c>
      <c r="AG9" s="27">
        <f>-('입력값'!C44*100*(3/12))</f>
      </c>
      <c r="AH9" s="27">
        <f>-('입력값'!C44*100*(3/12))</f>
      </c>
      <c r="AI9" s="27">
        <f>-('입력값'!C44*100*(3/12))</f>
      </c>
      <c r="AJ9" s="27">
        <f>-('입력값'!C44*100*(3/12))</f>
      </c>
      <c r="AK9" s="27">
        <f>-('입력값'!C44*100*(3/12))</f>
      </c>
      <c r="AL9" s="27">
        <f>-('입력값'!C44*100*(3/12))</f>
      </c>
      <c r="AM9" s="27">
        <f>-('입력값'!C44*100*(3/12))</f>
      </c>
      <c r="AN9" s="27">
        <f>-('입력값'!C44*100*(3/12))</f>
      </c>
      <c r="AO9" s="27">
        <f>-('입력값'!C44*100*(3/12))</f>
      </c>
      <c r="AP9" s="27">
        <f>-('입력값'!C44*100*(3/12))</f>
      </c>
      <c r="AQ9" s="27">
        <f>-('입력값'!C44*100*(3/12))</f>
      </c>
      <c r="AR9" s="27">
        <f>-('입력값'!C44*100*(3/12))</f>
      </c>
      <c r="AS9" s="27">
        <f>-('입력값'!C44*100*(3/12))</f>
      </c>
      <c r="AT9" s="27">
        <f>-('입력값'!C44*100*(3/12))</f>
      </c>
      <c r="AU9" s="27">
        <f>-('입력값'!C44*100*(3/12))</f>
      </c>
      <c r="AV9" s="27">
        <f>-('입력값'!C44*100*(3/12))</f>
      </c>
      <c r="AW9" s="27">
        <f>-('입력값'!C44*100*(3/12))</f>
      </c>
      <c r="AX9" s="27">
        <f>-('입력값'!C44*100*(3/12))</f>
      </c>
      <c r="AY9" s="27">
        <f>-('입력값'!C44*100*(3/12))</f>
      </c>
      <c r="AZ9" s="27">
        <f>-('입력값'!C44*100*(3/12))</f>
      </c>
      <c r="BA9" s="27">
        <f>-('입력값'!C44*100*(3/12))</f>
      </c>
      <c r="BB9" s="27">
        <f>-('입력값'!C44*100*(3/12))</f>
      </c>
      <c r="BC9" s="27">
        <f>-('입력값'!C44*100*(3/12))</f>
      </c>
      <c r="BD9" s="27">
        <f>-('입력값'!C44*100*(3/12))</f>
      </c>
      <c r="BE9" s="27">
        <f>-('입력값'!C44*100*(3/12))</f>
      </c>
      <c r="BF9" s="27">
        <f>-('입력값'!C44*100*(3/12))</f>
      </c>
      <c r="BG9" s="27">
        <f>-('입력값'!C44*100*(3/12))</f>
      </c>
      <c r="BH9" s="27">
        <f>-('입력값'!C44*100*(3/12))</f>
      </c>
      <c r="BI9" s="27">
        <f>-('입력값'!C44*100*(3/12))</f>
      </c>
      <c r="BJ9" s="27">
        <f>-('입력값'!C44*100*(3/12))</f>
      </c>
      <c r="BK9" s="27">
        <f>-('입력값'!C44*100*(3/12))</f>
      </c>
      <c r="BL9" s="27">
        <f>-('입력값'!C44*100*(3/12))</f>
      </c>
      <c r="BM9" s="27">
        <f>-('입력값'!C44*100*(3/12))</f>
      </c>
      <c r="BN9" s="27">
        <f>-('입력값'!C44*100*(3/12))</f>
      </c>
      <c r="BO9" s="27">
        <f>-('입력값'!C44*100*(3/12))</f>
      </c>
      <c r="BP9" s="27">
        <f>-('입력값'!C44*100*(3/12))</f>
      </c>
      <c r="BQ9" s="27">
        <f>-('입력값'!C44*100*(3/12))</f>
      </c>
      <c r="BR9" s="27">
        <f>-('입력값'!C44*100*(3/12))</f>
      </c>
      <c r="BS9" s="27">
        <f>-('입력값'!C44*100*(3/12))</f>
      </c>
      <c r="BT9" s="27">
        <f>-('입력값'!C44*100*(3/12))</f>
      </c>
      <c r="BU9" s="27">
        <f>-('입력값'!C44*100*(3/12))</f>
      </c>
      <c r="BV9" s="27">
        <f>-('입력값'!C44*100*(3/12))</f>
      </c>
      <c r="BW9" s="27">
        <f>-('입력값'!C44*100*(3/12))</f>
      </c>
      <c r="BX9" s="27">
        <f>-('입력값'!C44*100*(3/12))</f>
      </c>
      <c r="BY9" s="27">
        <f>-('입력값'!C44*100*(3/12))</f>
      </c>
      <c r="BZ9" s="27">
        <f>-('입력값'!C44*100*(3/12))</f>
      </c>
      <c r="CA9" s="27">
        <f>-('입력값'!C44*100*(3/12))</f>
      </c>
      <c r="CB9" s="27">
        <f>-('입력값'!C44*100*(3/12))</f>
      </c>
      <c r="CC9" s="27">
        <f>-('입력값'!C44*100*(3/12))</f>
      </c>
      <c r="CD9" s="27">
        <f>-('입력값'!C44*100*(3/12))</f>
      </c>
      <c r="CE9" s="27">
        <f>-('입력값'!C44*100*(3/12))</f>
      </c>
      <c r="CF9" s="27">
        <f>-('입력값'!C44*100*(3/12))</f>
      </c>
      <c r="CG9" s="27">
        <f>-('입력값'!C44*100*(3/12))</f>
      </c>
      <c r="CH9" s="27">
        <f>-('입력값'!C44*100*(3/12))</f>
      </c>
      <c r="CI9" s="27">
        <f>-('입력값'!C44*100*(3/12))</f>
      </c>
      <c r="CJ9" s="27">
        <f>-('입력값'!C44*100*(3/12))</f>
      </c>
      <c r="CK9" s="27">
        <f>-('입력값'!C44*100*(3/12))</f>
      </c>
      <c r="CL9" s="27">
        <f>-('입력값'!C44*100*(3/12))</f>
      </c>
    </row>
    <row r="10" spans="2:90" x14ac:dyDescent="0.25">
      <c r="B10" s="37" t="s">
        <v>228</v>
      </c>
      <c r="C10" s="38" t="s">
        <v>205</v>
      </c>
      <c r="D10" s="27">
        <v>-18498.93368266963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f>-('입력값'!C45*100*(3/12)*(1+'입력값'!D45/100)^0)</f>
      </c>
      <c r="L10" s="27">
        <f>-('입력값'!C45*100*(3/12)*(1+'입력값'!D45/100)^0)</f>
      </c>
      <c r="M10" s="27">
        <f>-('입력값'!C45*100*(3/12)*(1+'입력값'!D45/100)^0)</f>
      </c>
      <c r="N10" s="27">
        <f>-('입력값'!C45*100*(3/12)*(1+'입력값'!D45/100)^0)</f>
      </c>
      <c r="O10" s="27">
        <f>-('입력값'!C45*100*(3/12)*(1+'입력값'!D45/100)^1)</f>
      </c>
      <c r="P10" s="27">
        <f>-('입력값'!C45*100*(3/12)*(1+'입력값'!D45/100)^1)</f>
      </c>
      <c r="Q10" s="27">
        <f>-('입력값'!C45*100*(3/12)*(1+'입력값'!D45/100)^1)</f>
      </c>
      <c r="R10" s="27">
        <f>-('입력값'!C45*100*(3/12)*(1+'입력값'!D45/100)^1)</f>
      </c>
      <c r="S10" s="27">
        <f>-('입력값'!C45*100*(3/12)*(1+'입력값'!D45/100)^2)</f>
      </c>
      <c r="T10" s="27">
        <f>-('입력값'!C45*100*(3/12)*(1+'입력값'!D45/100)^2)</f>
      </c>
      <c r="U10" s="27">
        <f>-('입력값'!C45*100*(3/12)*(1+'입력값'!D45/100)^2)</f>
      </c>
      <c r="V10" s="27">
        <f>-('입력값'!C45*100*(3/12)*(1+'입력값'!D45/100)^2)</f>
      </c>
      <c r="W10" s="27">
        <f>-('입력값'!C45*100*(3/12)*(1+'입력값'!D45/100)^3)</f>
      </c>
      <c r="X10" s="27">
        <f>-('입력값'!C45*100*(3/12)*(1+'입력값'!D45/100)^3)</f>
      </c>
      <c r="Y10" s="27">
        <f>-('입력값'!C45*100*(3/12)*(1+'입력값'!D45/100)^3)</f>
      </c>
      <c r="Z10" s="27">
        <f>-('입력값'!C45*100*(3/12)*(1+'입력값'!D45/100)^3)</f>
      </c>
      <c r="AA10" s="27">
        <f>-('입력값'!C45*100*(3/12)*(1+'입력값'!D45/100)^4)</f>
      </c>
      <c r="AB10" s="27">
        <f>-('입력값'!C45*100*(3/12)*(1+'입력값'!D45/100)^4)</f>
      </c>
      <c r="AC10" s="27">
        <f>-('입력값'!C45*100*(3/12)*(1+'입력값'!D45/100)^4)</f>
      </c>
      <c r="AD10" s="27">
        <f>-('입력값'!C45*100*(3/12)*(1+'입력값'!D45/100)^4)</f>
      </c>
      <c r="AE10" s="27">
        <f>-('입력값'!C45*100*(3/12)*(1+'입력값'!D45/100)^5)</f>
      </c>
      <c r="AF10" s="27">
        <f>-('입력값'!C45*100*(3/12)*(1+'입력값'!D45/100)^5)</f>
      </c>
      <c r="AG10" s="27">
        <f>-('입력값'!C45*100*(3/12)*(1+'입력값'!D45/100)^5)</f>
      </c>
      <c r="AH10" s="27">
        <f>-('입력값'!C45*100*(3/12)*(1+'입력값'!D45/100)^5)</f>
      </c>
      <c r="AI10" s="27">
        <f>-('입력값'!C45*100*(3/12)*(1+'입력값'!D45/100)^6)</f>
      </c>
      <c r="AJ10" s="27">
        <f>-('입력값'!C45*100*(3/12)*(1+'입력값'!D45/100)^6)</f>
      </c>
      <c r="AK10" s="27">
        <f>-('입력값'!C45*100*(3/12)*(1+'입력값'!D45/100)^6)</f>
      </c>
      <c r="AL10" s="27">
        <f>-('입력값'!C45*100*(3/12)*(1+'입력값'!D45/100)^6)</f>
      </c>
      <c r="AM10" s="27">
        <f>-('입력값'!C45*100*(3/12)*(1+'입력값'!D45/100)^7)</f>
      </c>
      <c r="AN10" s="27">
        <f>-('입력값'!C45*100*(3/12)*(1+'입력값'!D45/100)^7)</f>
      </c>
      <c r="AO10" s="27">
        <f>-('입력값'!C45*100*(3/12)*(1+'입력값'!D45/100)^7)</f>
      </c>
      <c r="AP10" s="27">
        <f>-('입력값'!C45*100*(3/12)*(1+'입력값'!D45/100)^7)</f>
      </c>
      <c r="AQ10" s="27">
        <f>-('입력값'!C45*100*(3/12)*(1+'입력값'!D45/100)^8)</f>
      </c>
      <c r="AR10" s="27">
        <f>-('입력값'!C45*100*(3/12)*(1+'입력값'!D45/100)^8)</f>
      </c>
      <c r="AS10" s="27">
        <f>-('입력값'!C45*100*(3/12)*(1+'입력값'!D45/100)^8)</f>
      </c>
      <c r="AT10" s="27">
        <f>-('입력값'!C45*100*(3/12)*(1+'입력값'!D45/100)^8)</f>
      </c>
      <c r="AU10" s="27">
        <f>-('입력값'!C45*100*(3/12)*(1+'입력값'!D45/100)^9)</f>
      </c>
      <c r="AV10" s="27">
        <f>-('입력값'!C45*100*(3/12)*(1+'입력값'!D45/100)^9)</f>
      </c>
      <c r="AW10" s="27">
        <f>-('입력값'!C45*100*(3/12)*(1+'입력값'!D45/100)^9)</f>
      </c>
      <c r="AX10" s="27">
        <f>-('입력값'!C45*100*(3/12)*(1+'입력값'!D45/100)^9)</f>
      </c>
      <c r="AY10" s="27">
        <f>-('입력값'!C45*100*(3/12)*(1+'입력값'!D45/100)^10)</f>
      </c>
      <c r="AZ10" s="27">
        <f>-('입력값'!C45*100*(3/12)*(1+'입력값'!D45/100)^10)</f>
      </c>
      <c r="BA10" s="27">
        <f>-('입력값'!C45*100*(3/12)*(1+'입력값'!D45/100)^10)</f>
      </c>
      <c r="BB10" s="27">
        <f>-('입력값'!C45*100*(3/12)*(1+'입력값'!D45/100)^10)</f>
      </c>
      <c r="BC10" s="27">
        <f>-('입력값'!C45*100*(3/12)*(1+'입력값'!D45/100)^11)</f>
      </c>
      <c r="BD10" s="27">
        <f>-('입력값'!C45*100*(3/12)*(1+'입력값'!D45/100)^11)</f>
      </c>
      <c r="BE10" s="27">
        <f>-('입력값'!C45*100*(3/12)*(1+'입력값'!D45/100)^11)</f>
      </c>
      <c r="BF10" s="27">
        <f>-('입력값'!C45*100*(3/12)*(1+'입력값'!D45/100)^11)</f>
      </c>
      <c r="BG10" s="27">
        <f>-('입력값'!C45*100*(3/12)*(1+'입력값'!D45/100)^12)</f>
      </c>
      <c r="BH10" s="27">
        <f>-('입력값'!C45*100*(3/12)*(1+'입력값'!D45/100)^12)</f>
      </c>
      <c r="BI10" s="27">
        <f>-('입력값'!C45*100*(3/12)*(1+'입력값'!D45/100)^12)</f>
      </c>
      <c r="BJ10" s="27">
        <f>-('입력값'!C45*100*(3/12)*(1+'입력값'!D45/100)^12)</f>
      </c>
      <c r="BK10" s="27">
        <f>-('입력값'!C45*100*(3/12)*(1+'입력값'!D45/100)^13)</f>
      </c>
      <c r="BL10" s="27">
        <f>-('입력값'!C45*100*(3/12)*(1+'입력값'!D45/100)^13)</f>
      </c>
      <c r="BM10" s="27">
        <f>-('입력값'!C45*100*(3/12)*(1+'입력값'!D45/100)^13)</f>
      </c>
      <c r="BN10" s="27">
        <f>-('입력값'!C45*100*(3/12)*(1+'입력값'!D45/100)^13)</f>
      </c>
      <c r="BO10" s="27">
        <f>-('입력값'!C45*100*(3/12)*(1+'입력값'!D45/100)^14)</f>
      </c>
      <c r="BP10" s="27">
        <f>-('입력값'!C45*100*(3/12)*(1+'입력값'!D45/100)^14)</f>
      </c>
      <c r="BQ10" s="27">
        <f>-('입력값'!C45*100*(3/12)*(1+'입력값'!D45/100)^14)</f>
      </c>
      <c r="BR10" s="27">
        <f>-('입력값'!C45*100*(3/12)*(1+'입력값'!D45/100)^14)</f>
      </c>
      <c r="BS10" s="27">
        <f>-('입력값'!C45*100*(3/12)*(1+'입력값'!D45/100)^15)</f>
      </c>
      <c r="BT10" s="27">
        <f>-('입력값'!C45*100*(3/12)*(1+'입력값'!D45/100)^15)</f>
      </c>
      <c r="BU10" s="27">
        <f>-('입력값'!C45*100*(3/12)*(1+'입력값'!D45/100)^15)</f>
      </c>
      <c r="BV10" s="27">
        <f>-('입력값'!C45*100*(3/12)*(1+'입력값'!D45/100)^15)</f>
      </c>
      <c r="BW10" s="27">
        <f>-('입력값'!C45*100*(3/12)*(1+'입력값'!D45/100)^16)</f>
      </c>
      <c r="BX10" s="27">
        <f>-('입력값'!C45*100*(3/12)*(1+'입력값'!D45/100)^16)</f>
      </c>
      <c r="BY10" s="27">
        <f>-('입력값'!C45*100*(3/12)*(1+'입력값'!D45/100)^16)</f>
      </c>
      <c r="BZ10" s="27">
        <f>-('입력값'!C45*100*(3/12)*(1+'입력값'!D45/100)^16)</f>
      </c>
      <c r="CA10" s="27">
        <f>-('입력값'!C45*100*(3/12)*(1+'입력값'!D45/100)^17)</f>
      </c>
      <c r="CB10" s="27">
        <f>-('입력값'!C45*100*(3/12)*(1+'입력값'!D45/100)^17)</f>
      </c>
      <c r="CC10" s="27">
        <f>-('입력값'!C45*100*(3/12)*(1+'입력값'!D45/100)^17)</f>
      </c>
      <c r="CD10" s="27">
        <f>-('입력값'!C45*100*(3/12)*(1+'입력값'!D45/100)^17)</f>
      </c>
      <c r="CE10" s="27">
        <f>-('입력값'!C45*100*(3/12)*(1+'입력값'!D45/100)^18)</f>
      </c>
      <c r="CF10" s="27">
        <f>-('입력값'!C45*100*(3/12)*(1+'입력값'!D45/100)^18)</f>
      </c>
      <c r="CG10" s="27">
        <f>-('입력값'!C45*100*(3/12)*(1+'입력값'!D45/100)^18)</f>
      </c>
      <c r="CH10" s="27">
        <f>-('입력값'!C45*100*(3/12)*(1+'입력값'!D45/100)^18)</f>
      </c>
      <c r="CI10" s="27">
        <f>-('입력값'!C45*100*(3/12)*(1+'입력값'!D45/100)^19)</f>
      </c>
      <c r="CJ10" s="27">
        <f>-('입력값'!C45*100*(3/12)*(1+'입력값'!D45/100)^19)</f>
      </c>
      <c r="CK10" s="27">
        <f>-('입력값'!C45*100*(3/12)*(1+'입력값'!D45/100)^19)</f>
      </c>
      <c r="CL10" s="27">
        <f>-('입력값'!C45*100*(3/12)*(1+'입력값'!D45/100)^19)</f>
      </c>
    </row>
    <row r="11" spans="2:90" x14ac:dyDescent="0.25">
      <c r="B11" s="37" t="s">
        <v>229</v>
      </c>
      <c r="C11" s="38" t="s">
        <v>205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f>-('입력값'!C46*100*(3/12))</f>
      </c>
      <c r="L11" s="27">
        <f>-('입력값'!C46*100*(3/12))</f>
      </c>
      <c r="M11" s="27">
        <f>-('입력값'!C46*100*(3/12))</f>
      </c>
      <c r="N11" s="27">
        <f>-('입력값'!C46*100*(3/12))</f>
      </c>
      <c r="O11" s="27">
        <f>-('입력값'!C46*100*(3/12))</f>
      </c>
      <c r="P11" s="27">
        <f>-('입력값'!C46*100*(3/12))</f>
      </c>
      <c r="Q11" s="27">
        <f>-('입력값'!C46*100*(3/12))</f>
      </c>
      <c r="R11" s="27">
        <f>-('입력값'!C46*100*(3/12))</f>
      </c>
      <c r="S11" s="27">
        <f>-('입력값'!C46*100*(3/12))</f>
      </c>
      <c r="T11" s="27">
        <f>-('입력값'!C46*100*(3/12))</f>
      </c>
      <c r="U11" s="27">
        <f>-('입력값'!C46*100*(3/12))</f>
      </c>
      <c r="V11" s="27">
        <f>-('입력값'!C46*100*(3/12))</f>
      </c>
      <c r="W11" s="27">
        <f>-('입력값'!C46*100*(3/12))</f>
      </c>
      <c r="X11" s="27">
        <f>-('입력값'!C46*100*(3/12))</f>
      </c>
      <c r="Y11" s="27">
        <f>-('입력값'!C46*100*(3/12))</f>
      </c>
      <c r="Z11" s="27">
        <f>-('입력값'!C46*100*(3/12))</f>
      </c>
      <c r="AA11" s="27">
        <f>-('입력값'!C46*100*(3/12))</f>
      </c>
      <c r="AB11" s="27">
        <f>-('입력값'!C46*100*(3/12))</f>
      </c>
      <c r="AC11" s="27">
        <f>-('입력값'!C46*100*(3/12))</f>
      </c>
      <c r="AD11" s="27">
        <f>-('입력값'!C46*100*(3/12))</f>
      </c>
      <c r="AE11" s="27">
        <f>-('입력값'!C46*100*(3/12))</f>
      </c>
      <c r="AF11" s="27">
        <f>-('입력값'!C46*100*(3/12))</f>
      </c>
      <c r="AG11" s="27">
        <f>-('입력값'!C46*100*(3/12))</f>
      </c>
      <c r="AH11" s="27">
        <f>-('입력값'!C46*100*(3/12))</f>
      </c>
      <c r="AI11" s="27">
        <f>-('입력값'!C46*100*(3/12))</f>
      </c>
      <c r="AJ11" s="27">
        <f>-('입력값'!C46*100*(3/12))</f>
      </c>
      <c r="AK11" s="27">
        <f>-('입력값'!C46*100*(3/12))</f>
      </c>
      <c r="AL11" s="27">
        <f>-('입력값'!C46*100*(3/12))</f>
      </c>
      <c r="AM11" s="27">
        <f>-('입력값'!C46*100*(3/12))</f>
      </c>
      <c r="AN11" s="27">
        <f>-('입력값'!C46*100*(3/12))</f>
      </c>
      <c r="AO11" s="27">
        <f>-('입력값'!C46*100*(3/12))</f>
      </c>
      <c r="AP11" s="27">
        <f>-('입력값'!C46*100*(3/12))</f>
      </c>
      <c r="AQ11" s="27">
        <f>-('입력값'!C46*100*(3/12))</f>
      </c>
      <c r="AR11" s="27">
        <f>-('입력값'!C46*100*(3/12))</f>
      </c>
      <c r="AS11" s="27">
        <f>-('입력값'!C46*100*(3/12))</f>
      </c>
      <c r="AT11" s="27">
        <f>-('입력값'!C46*100*(3/12))</f>
      </c>
      <c r="AU11" s="27">
        <f>-('입력값'!C46*100*(3/12))</f>
      </c>
      <c r="AV11" s="27">
        <f>-('입력값'!C46*100*(3/12))</f>
      </c>
      <c r="AW11" s="27">
        <f>-('입력값'!C46*100*(3/12))</f>
      </c>
      <c r="AX11" s="27">
        <f>-('입력값'!C46*100*(3/12))</f>
      </c>
      <c r="AY11" s="27">
        <f>-('입력값'!C46*100*(3/12))</f>
      </c>
      <c r="AZ11" s="27">
        <f>-('입력값'!C46*100*(3/12))</f>
      </c>
      <c r="BA11" s="27">
        <f>-('입력값'!C46*100*(3/12))</f>
      </c>
      <c r="BB11" s="27">
        <f>-('입력값'!C46*100*(3/12))</f>
      </c>
      <c r="BC11" s="27">
        <f>-('입력값'!C46*100*(3/12))</f>
      </c>
      <c r="BD11" s="27">
        <f>-('입력값'!C46*100*(3/12))</f>
      </c>
      <c r="BE11" s="27">
        <f>-('입력값'!C46*100*(3/12))</f>
      </c>
      <c r="BF11" s="27">
        <f>-('입력값'!C46*100*(3/12))</f>
      </c>
      <c r="BG11" s="27">
        <f>-('입력값'!C46*100*(3/12))</f>
      </c>
      <c r="BH11" s="27">
        <f>-('입력값'!C46*100*(3/12))</f>
      </c>
      <c r="BI11" s="27">
        <f>-('입력값'!C46*100*(3/12))</f>
      </c>
      <c r="BJ11" s="27">
        <f>-('입력값'!C46*100*(3/12))</f>
      </c>
      <c r="BK11" s="27">
        <f>-('입력값'!C46*100*(3/12))</f>
      </c>
      <c r="BL11" s="27">
        <f>-('입력값'!C46*100*(3/12))</f>
      </c>
      <c r="BM11" s="27">
        <f>-('입력값'!C46*100*(3/12))</f>
      </c>
      <c r="BN11" s="27">
        <f>-('입력값'!C46*100*(3/12))</f>
      </c>
      <c r="BO11" s="27">
        <f>-('입력값'!C46*100*(3/12))</f>
      </c>
      <c r="BP11" s="27">
        <f>-('입력값'!C46*100*(3/12))</f>
      </c>
      <c r="BQ11" s="27">
        <f>-('입력값'!C46*100*(3/12))</f>
      </c>
      <c r="BR11" s="27">
        <f>-('입력값'!C46*100*(3/12))</f>
      </c>
      <c r="BS11" s="27">
        <f>-('입력값'!C46*100*(3/12))</f>
      </c>
      <c r="BT11" s="27">
        <f>-('입력값'!C46*100*(3/12))</f>
      </c>
      <c r="BU11" s="27">
        <f>-('입력값'!C46*100*(3/12))</f>
      </c>
      <c r="BV11" s="27">
        <f>-('입력값'!C46*100*(3/12))</f>
      </c>
      <c r="BW11" s="27">
        <f>-('입력값'!C46*100*(3/12))</f>
      </c>
      <c r="BX11" s="27">
        <f>-('입력값'!C46*100*(3/12))</f>
      </c>
      <c r="BY11" s="27">
        <f>-('입력값'!C46*100*(3/12))</f>
      </c>
      <c r="BZ11" s="27">
        <f>-('입력값'!C46*100*(3/12))</f>
      </c>
      <c r="CA11" s="27">
        <f>-('입력값'!C46*100*(3/12))</f>
      </c>
      <c r="CB11" s="27">
        <f>-('입력값'!C46*100*(3/12))</f>
      </c>
      <c r="CC11" s="27">
        <f>-('입력값'!C46*100*(3/12))</f>
      </c>
      <c r="CD11" s="27">
        <f>-('입력값'!C46*100*(3/12))</f>
      </c>
      <c r="CE11" s="27">
        <f>-('입력값'!C46*100*(3/12))</f>
      </c>
      <c r="CF11" s="27">
        <f>-('입력값'!C46*100*(3/12))</f>
      </c>
      <c r="CG11" s="27">
        <f>-('입력값'!C46*100*(3/12))</f>
      </c>
      <c r="CH11" s="27">
        <f>-('입력값'!C46*100*(3/12))</f>
      </c>
      <c r="CI11" s="27">
        <f>-('입력값'!C46*100*(3/12))</f>
      </c>
      <c r="CJ11" s="27">
        <f>-('입력값'!C46*100*(3/12))</f>
      </c>
      <c r="CK11" s="27">
        <f>-('입력값'!C46*100*(3/12))</f>
      </c>
      <c r="CL11" s="27">
        <f>-('입력값'!C46*100*(3/12))</f>
      </c>
    </row>
    <row r="12" spans="2:90" x14ac:dyDescent="0.25">
      <c r="B12" s="37" t="s">
        <v>230</v>
      </c>
      <c r="C12" s="38" t="s">
        <v>205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f>-('입력값'!C47*100*(3/12))</f>
      </c>
      <c r="L12" s="27">
        <f>-('입력값'!C47*100*(3/12))</f>
      </c>
      <c r="M12" s="27">
        <f>-('입력값'!C47*100*(3/12))</f>
      </c>
      <c r="N12" s="27">
        <f>-('입력값'!C47*100*(3/12))</f>
      </c>
      <c r="O12" s="27">
        <f>-('입력값'!C47*100*(3/12))</f>
      </c>
      <c r="P12" s="27">
        <f>-('입력값'!C47*100*(3/12))</f>
      </c>
      <c r="Q12" s="27">
        <f>-('입력값'!C47*100*(3/12))</f>
      </c>
      <c r="R12" s="27">
        <f>-('입력값'!C47*100*(3/12))</f>
      </c>
      <c r="S12" s="27">
        <f>-('입력값'!C47*100*(3/12))</f>
      </c>
      <c r="T12" s="27">
        <f>-('입력값'!C47*100*(3/12))</f>
      </c>
      <c r="U12" s="27">
        <f>-('입력값'!C47*100*(3/12))</f>
      </c>
      <c r="V12" s="27">
        <f>-('입력값'!C47*100*(3/12))</f>
      </c>
      <c r="W12" s="27">
        <f>-('입력값'!C47*100*(3/12))</f>
      </c>
      <c r="X12" s="27">
        <f>-('입력값'!C47*100*(3/12))</f>
      </c>
      <c r="Y12" s="27">
        <f>-('입력값'!C47*100*(3/12))</f>
      </c>
      <c r="Z12" s="27">
        <f>-('입력값'!C47*100*(3/12))</f>
      </c>
      <c r="AA12" s="27">
        <f>-('입력값'!C47*100*(3/12))</f>
      </c>
      <c r="AB12" s="27">
        <f>-('입력값'!C47*100*(3/12))</f>
      </c>
      <c r="AC12" s="27">
        <f>-('입력값'!C47*100*(3/12))</f>
      </c>
      <c r="AD12" s="27">
        <f>-('입력값'!C47*100*(3/12))</f>
      </c>
      <c r="AE12" s="27">
        <f>-('입력값'!C47*100*(3/12))</f>
      </c>
      <c r="AF12" s="27">
        <f>-('입력값'!C47*100*(3/12))</f>
      </c>
      <c r="AG12" s="27">
        <f>-('입력값'!C47*100*(3/12))</f>
      </c>
      <c r="AH12" s="27">
        <f>-('입력값'!C47*100*(3/12))</f>
      </c>
      <c r="AI12" s="27">
        <f>-('입력값'!C47*100*(3/12))</f>
      </c>
      <c r="AJ12" s="27">
        <f>-('입력값'!C47*100*(3/12))</f>
      </c>
      <c r="AK12" s="27">
        <f>-('입력값'!C47*100*(3/12))</f>
      </c>
      <c r="AL12" s="27">
        <f>-('입력값'!C47*100*(3/12))</f>
      </c>
      <c r="AM12" s="27">
        <f>-('입력값'!C47*100*(3/12))</f>
      </c>
      <c r="AN12" s="27">
        <f>-('입력값'!C47*100*(3/12))</f>
      </c>
      <c r="AO12" s="27">
        <f>-('입력값'!C47*100*(3/12))</f>
      </c>
      <c r="AP12" s="27">
        <f>-('입력값'!C47*100*(3/12))</f>
      </c>
      <c r="AQ12" s="27">
        <f>-('입력값'!C47*100*(3/12))</f>
      </c>
      <c r="AR12" s="27">
        <f>-('입력값'!C47*100*(3/12))</f>
      </c>
      <c r="AS12" s="27">
        <f>-('입력값'!C47*100*(3/12))</f>
      </c>
      <c r="AT12" s="27">
        <f>-('입력값'!C47*100*(3/12))</f>
      </c>
      <c r="AU12" s="27">
        <f>-('입력값'!C47*100*(3/12))</f>
      </c>
      <c r="AV12" s="27">
        <f>-('입력값'!C47*100*(3/12))</f>
      </c>
      <c r="AW12" s="27">
        <f>-('입력값'!C47*100*(3/12))</f>
      </c>
      <c r="AX12" s="27">
        <f>-('입력값'!C47*100*(3/12))</f>
      </c>
      <c r="AY12" s="27">
        <f>-('입력값'!C47*100*(3/12))</f>
      </c>
      <c r="AZ12" s="27">
        <f>-('입력값'!C47*100*(3/12))</f>
      </c>
      <c r="BA12" s="27">
        <f>-('입력값'!C47*100*(3/12))</f>
      </c>
      <c r="BB12" s="27">
        <f>-('입력값'!C47*100*(3/12))</f>
      </c>
      <c r="BC12" s="27">
        <f>-('입력값'!C47*100*(3/12))</f>
      </c>
      <c r="BD12" s="27">
        <f>-('입력값'!C47*100*(3/12))</f>
      </c>
      <c r="BE12" s="27">
        <f>-('입력값'!C47*100*(3/12))</f>
      </c>
      <c r="BF12" s="27">
        <f>-('입력값'!C47*100*(3/12))</f>
      </c>
      <c r="BG12" s="27">
        <f>-('입력값'!C47*100*(3/12))</f>
      </c>
      <c r="BH12" s="27">
        <f>-('입력값'!C47*100*(3/12))</f>
      </c>
      <c r="BI12" s="27">
        <f>-('입력값'!C47*100*(3/12))</f>
      </c>
      <c r="BJ12" s="27">
        <f>-('입력값'!C47*100*(3/12))</f>
      </c>
      <c r="BK12" s="27">
        <f>-('입력값'!C47*100*(3/12))</f>
      </c>
      <c r="BL12" s="27">
        <f>-('입력값'!C47*100*(3/12))</f>
      </c>
      <c r="BM12" s="27">
        <f>-('입력값'!C47*100*(3/12))</f>
      </c>
      <c r="BN12" s="27">
        <f>-('입력값'!C47*100*(3/12))</f>
      </c>
      <c r="BO12" s="27">
        <f>-('입력값'!C47*100*(3/12))</f>
      </c>
      <c r="BP12" s="27">
        <f>-('입력값'!C47*100*(3/12))</f>
      </c>
      <c r="BQ12" s="27">
        <f>-('입력값'!C47*100*(3/12))</f>
      </c>
      <c r="BR12" s="27">
        <f>-('입력값'!C47*100*(3/12))</f>
      </c>
      <c r="BS12" s="27">
        <f>-('입력값'!C47*100*(3/12))</f>
      </c>
      <c r="BT12" s="27">
        <f>-('입력값'!C47*100*(3/12))</f>
      </c>
      <c r="BU12" s="27">
        <f>-('입력값'!C47*100*(3/12))</f>
      </c>
      <c r="BV12" s="27">
        <f>-('입력값'!C47*100*(3/12))</f>
      </c>
      <c r="BW12" s="27">
        <f>-('입력값'!C47*100*(3/12))</f>
      </c>
      <c r="BX12" s="27">
        <f>-('입력값'!C47*100*(3/12))</f>
      </c>
      <c r="BY12" s="27">
        <f>-('입력값'!C47*100*(3/12))</f>
      </c>
      <c r="BZ12" s="27">
        <f>-('입력값'!C47*100*(3/12))</f>
      </c>
      <c r="CA12" s="27">
        <f>-('입력값'!C47*100*(3/12))</f>
      </c>
      <c r="CB12" s="27">
        <f>-('입력값'!C47*100*(3/12))</f>
      </c>
      <c r="CC12" s="27">
        <f>-('입력값'!C47*100*(3/12))</f>
      </c>
      <c r="CD12" s="27">
        <f>-('입력값'!C47*100*(3/12))</f>
      </c>
      <c r="CE12" s="27">
        <f>-('입력값'!C47*100*(3/12))</f>
      </c>
      <c r="CF12" s="27">
        <f>-('입력값'!C47*100*(3/12))</f>
      </c>
      <c r="CG12" s="27">
        <f>-('입력값'!C47*100*(3/12))</f>
      </c>
      <c r="CH12" s="27">
        <f>-('입력값'!C47*100*(3/12))</f>
      </c>
      <c r="CI12" s="27">
        <f>-('입력값'!C47*100*(3/12))</f>
      </c>
      <c r="CJ12" s="27">
        <f>-('입력값'!C47*100*(3/12))</f>
      </c>
      <c r="CK12" s="27">
        <f>-('입력값'!C47*100*(3/12))</f>
      </c>
      <c r="CL12" s="27">
        <f>-('입력값'!C47*100*(3/12))</f>
      </c>
    </row>
    <row r="13" spans="2:90" x14ac:dyDescent="0.25">
      <c r="B13" s="37" t="s">
        <v>231</v>
      </c>
      <c r="C13" s="38" t="s">
        <v>205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f>-('입력값'!C48*100*(3/12)*(1+'입력값'!D48/100)^0)</f>
      </c>
      <c r="L13" s="27">
        <f>-('입력값'!C48*100*(3/12)*(1+'입력값'!D48/100)^0)</f>
      </c>
      <c r="M13" s="27">
        <f>-('입력값'!C48*100*(3/12)*(1+'입력값'!D48/100)^0)</f>
      </c>
      <c r="N13" s="27">
        <f>-('입력값'!C48*100*(3/12)*(1+'입력값'!D48/100)^0)</f>
      </c>
      <c r="O13" s="27">
        <f>-('입력값'!C48*100*(3/12)*(1+'입력값'!D48/100)^1)</f>
      </c>
      <c r="P13" s="27">
        <f>-('입력값'!C48*100*(3/12)*(1+'입력값'!D48/100)^1)</f>
      </c>
      <c r="Q13" s="27">
        <f>-('입력값'!C48*100*(3/12)*(1+'입력값'!D48/100)^1)</f>
      </c>
      <c r="R13" s="27">
        <f>-('입력값'!C48*100*(3/12)*(1+'입력값'!D48/100)^1)</f>
      </c>
      <c r="S13" s="27">
        <f>-('입력값'!C48*100*(3/12)*(1+'입력값'!D48/100)^2)</f>
      </c>
      <c r="T13" s="27">
        <f>-('입력값'!C48*100*(3/12)*(1+'입력값'!D48/100)^2)</f>
      </c>
      <c r="U13" s="27">
        <f>-('입력값'!C48*100*(3/12)*(1+'입력값'!D48/100)^2)</f>
      </c>
      <c r="V13" s="27">
        <f>-('입력값'!C48*100*(3/12)*(1+'입력값'!D48/100)^2)</f>
      </c>
      <c r="W13" s="27">
        <f>-('입력값'!C48*100*(3/12)*(1+'입력값'!D48/100)^3)</f>
      </c>
      <c r="X13" s="27">
        <f>-('입력값'!C48*100*(3/12)*(1+'입력값'!D48/100)^3)</f>
      </c>
      <c r="Y13" s="27">
        <f>-('입력값'!C48*100*(3/12)*(1+'입력값'!D48/100)^3)</f>
      </c>
      <c r="Z13" s="27">
        <f>-('입력값'!C48*100*(3/12)*(1+'입력값'!D48/100)^3)</f>
      </c>
      <c r="AA13" s="27">
        <f>-('입력값'!C48*100*(3/12)*(1+'입력값'!D48/100)^4)</f>
      </c>
      <c r="AB13" s="27">
        <f>-('입력값'!C48*100*(3/12)*(1+'입력값'!D48/100)^4)</f>
      </c>
      <c r="AC13" s="27">
        <f>-('입력값'!C48*100*(3/12)*(1+'입력값'!D48/100)^4)</f>
      </c>
      <c r="AD13" s="27">
        <f>-('입력값'!C48*100*(3/12)*(1+'입력값'!D48/100)^4)</f>
      </c>
      <c r="AE13" s="27">
        <f>-('입력값'!C48*100*(3/12)*(1+'입력값'!D48/100)^5)</f>
      </c>
      <c r="AF13" s="27">
        <f>-('입력값'!C48*100*(3/12)*(1+'입력값'!D48/100)^5)</f>
      </c>
      <c r="AG13" s="27">
        <f>-('입력값'!C48*100*(3/12)*(1+'입력값'!D48/100)^5)</f>
      </c>
      <c r="AH13" s="27">
        <f>-('입력값'!C48*100*(3/12)*(1+'입력값'!D48/100)^5)</f>
      </c>
      <c r="AI13" s="27">
        <f>-('입력값'!C48*100*(3/12)*(1+'입력값'!D48/100)^6)</f>
      </c>
      <c r="AJ13" s="27">
        <f>-('입력값'!C48*100*(3/12)*(1+'입력값'!D48/100)^6)</f>
      </c>
      <c r="AK13" s="27">
        <f>-('입력값'!C48*100*(3/12)*(1+'입력값'!D48/100)^6)</f>
      </c>
      <c r="AL13" s="27">
        <f>-('입력값'!C48*100*(3/12)*(1+'입력값'!D48/100)^6)</f>
      </c>
      <c r="AM13" s="27">
        <f>-('입력값'!C48*100*(3/12)*(1+'입력값'!D48/100)^7)</f>
      </c>
      <c r="AN13" s="27">
        <f>-('입력값'!C48*100*(3/12)*(1+'입력값'!D48/100)^7)</f>
      </c>
      <c r="AO13" s="27">
        <f>-('입력값'!C48*100*(3/12)*(1+'입력값'!D48/100)^7)</f>
      </c>
      <c r="AP13" s="27">
        <f>-('입력값'!C48*100*(3/12)*(1+'입력값'!D48/100)^7)</f>
      </c>
      <c r="AQ13" s="27">
        <f>-('입력값'!C48*100*(3/12)*(1+'입력값'!D48/100)^8)</f>
      </c>
      <c r="AR13" s="27">
        <f>-('입력값'!C48*100*(3/12)*(1+'입력값'!D48/100)^8)</f>
      </c>
      <c r="AS13" s="27">
        <f>-('입력값'!C48*100*(3/12)*(1+'입력값'!D48/100)^8)</f>
      </c>
      <c r="AT13" s="27">
        <f>-('입력값'!C48*100*(3/12)*(1+'입력값'!D48/100)^8)</f>
      </c>
      <c r="AU13" s="27">
        <f>-('입력값'!C48*100*(3/12)*(1+'입력값'!D48/100)^9)</f>
      </c>
      <c r="AV13" s="27">
        <f>-('입력값'!C48*100*(3/12)*(1+'입력값'!D48/100)^9)</f>
      </c>
      <c r="AW13" s="27">
        <f>-('입력값'!C48*100*(3/12)*(1+'입력값'!D48/100)^9)</f>
      </c>
      <c r="AX13" s="27">
        <f>-('입력값'!C48*100*(3/12)*(1+'입력값'!D48/100)^9)</f>
      </c>
      <c r="AY13" s="27">
        <f>-('입력값'!C48*100*(3/12)*(1+'입력값'!D48/100)^10)</f>
      </c>
      <c r="AZ13" s="27">
        <f>-('입력값'!C48*100*(3/12)*(1+'입력값'!D48/100)^10)</f>
      </c>
      <c r="BA13" s="27">
        <f>-('입력값'!C48*100*(3/12)*(1+'입력값'!D48/100)^10)</f>
      </c>
      <c r="BB13" s="27">
        <f>-('입력값'!C48*100*(3/12)*(1+'입력값'!D48/100)^10)</f>
      </c>
      <c r="BC13" s="27">
        <f>-('입력값'!C48*100*(3/12)*(1+'입력값'!D48/100)^11)</f>
      </c>
      <c r="BD13" s="27">
        <f>-('입력값'!C48*100*(3/12)*(1+'입력값'!D48/100)^11)</f>
      </c>
      <c r="BE13" s="27">
        <f>-('입력값'!C48*100*(3/12)*(1+'입력값'!D48/100)^11)</f>
      </c>
      <c r="BF13" s="27">
        <f>-('입력값'!C48*100*(3/12)*(1+'입력값'!D48/100)^11)</f>
      </c>
      <c r="BG13" s="27">
        <f>-('입력값'!C48*100*(3/12)*(1+'입력값'!D48/100)^12)</f>
      </c>
      <c r="BH13" s="27">
        <f>-('입력값'!C48*100*(3/12)*(1+'입력값'!D48/100)^12)</f>
      </c>
      <c r="BI13" s="27">
        <f>-('입력값'!C48*100*(3/12)*(1+'입력값'!D48/100)^12)</f>
      </c>
      <c r="BJ13" s="27">
        <f>-('입력값'!C48*100*(3/12)*(1+'입력값'!D48/100)^12)</f>
      </c>
      <c r="BK13" s="27">
        <f>-('입력값'!C48*100*(3/12)*(1+'입력값'!D48/100)^13)</f>
      </c>
      <c r="BL13" s="27">
        <f>-('입력값'!C48*100*(3/12)*(1+'입력값'!D48/100)^13)</f>
      </c>
      <c r="BM13" s="27">
        <f>-('입력값'!C48*100*(3/12)*(1+'입력값'!D48/100)^13)</f>
      </c>
      <c r="BN13" s="27">
        <f>-('입력값'!C48*100*(3/12)*(1+'입력값'!D48/100)^13)</f>
      </c>
      <c r="BO13" s="27">
        <f>-('입력값'!C48*100*(3/12)*(1+'입력값'!D48/100)^14)</f>
      </c>
      <c r="BP13" s="27">
        <f>-('입력값'!C48*100*(3/12)*(1+'입력값'!D48/100)^14)</f>
      </c>
      <c r="BQ13" s="27">
        <f>-('입력값'!C48*100*(3/12)*(1+'입력값'!D48/100)^14)</f>
      </c>
      <c r="BR13" s="27">
        <f>-('입력값'!C48*100*(3/12)*(1+'입력값'!D48/100)^14)</f>
      </c>
      <c r="BS13" s="27">
        <f>-('입력값'!C48*100*(3/12)*(1+'입력값'!D48/100)^15)</f>
      </c>
      <c r="BT13" s="27">
        <f>-('입력값'!C48*100*(3/12)*(1+'입력값'!D48/100)^15)</f>
      </c>
      <c r="BU13" s="27">
        <f>-('입력값'!C48*100*(3/12)*(1+'입력값'!D48/100)^15)</f>
      </c>
      <c r="BV13" s="27">
        <f>-('입력값'!C48*100*(3/12)*(1+'입력값'!D48/100)^15)</f>
      </c>
      <c r="BW13" s="27">
        <f>-('입력값'!C48*100*(3/12)*(1+'입력값'!D48/100)^16)</f>
      </c>
      <c r="BX13" s="27">
        <f>-('입력값'!C48*100*(3/12)*(1+'입력값'!D48/100)^16)</f>
      </c>
      <c r="BY13" s="27">
        <f>-('입력값'!C48*100*(3/12)*(1+'입력값'!D48/100)^16)</f>
      </c>
      <c r="BZ13" s="27">
        <f>-('입력값'!C48*100*(3/12)*(1+'입력값'!D48/100)^16)</f>
      </c>
      <c r="CA13" s="27">
        <f>-('입력값'!C48*100*(3/12)*(1+'입력값'!D48/100)^17)</f>
      </c>
      <c r="CB13" s="27">
        <f>-('입력값'!C48*100*(3/12)*(1+'입력값'!D48/100)^17)</f>
      </c>
      <c r="CC13" s="27">
        <f>-('입력값'!C48*100*(3/12)*(1+'입력값'!D48/100)^17)</f>
      </c>
      <c r="CD13" s="27">
        <f>-('입력값'!C48*100*(3/12)*(1+'입력값'!D48/100)^17)</f>
      </c>
      <c r="CE13" s="27">
        <f>-('입력값'!C48*100*(3/12)*(1+'입력값'!D48/100)^18)</f>
      </c>
      <c r="CF13" s="27">
        <f>-('입력값'!C48*100*(3/12)*(1+'입력값'!D48/100)^18)</f>
      </c>
      <c r="CG13" s="27">
        <f>-('입력값'!C48*100*(3/12)*(1+'입력값'!D48/100)^18)</f>
      </c>
      <c r="CH13" s="27">
        <f>-('입력값'!C48*100*(3/12)*(1+'입력값'!D48/100)^18)</f>
      </c>
      <c r="CI13" s="27">
        <f>-('입력값'!C48*100*(3/12)*(1+'입력값'!D48/100)^19)</f>
      </c>
      <c r="CJ13" s="27">
        <f>-('입력값'!C48*100*(3/12)*(1+'입력값'!D48/100)^19)</f>
      </c>
      <c r="CK13" s="27">
        <f>-('입력값'!C48*100*(3/12)*(1+'입력값'!D48/100)^19)</f>
      </c>
      <c r="CL13" s="27">
        <f>-('입력값'!C48*100*(3/12)*(1+'입력값'!D48/100)^19)</f>
      </c>
    </row>
    <row r="14" spans="2:90" x14ac:dyDescent="0.25">
      <c r="B14" s="37" t="s">
        <v>232</v>
      </c>
      <c r="C14" s="38" t="s">
        <v>205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f>-('입력값'!C49*100*(3/12)*(1+'입력값'!D49/100)^0)</f>
      </c>
      <c r="L14" s="27">
        <f>-('입력값'!C49*100*(3/12)*(1+'입력값'!D49/100)^0)</f>
      </c>
      <c r="M14" s="27">
        <f>-('입력값'!C49*100*(3/12)*(1+'입력값'!D49/100)^0)</f>
      </c>
      <c r="N14" s="27">
        <f>-('입력값'!C49*100*(3/12)*(1+'입력값'!D49/100)^0)</f>
      </c>
      <c r="O14" s="27">
        <f>-('입력값'!C49*100*(3/12)*(1+'입력값'!D49/100)^1)</f>
      </c>
      <c r="P14" s="27">
        <f>-('입력값'!C49*100*(3/12)*(1+'입력값'!D49/100)^1)</f>
      </c>
      <c r="Q14" s="27">
        <f>-('입력값'!C49*100*(3/12)*(1+'입력값'!D49/100)^1)</f>
      </c>
      <c r="R14" s="27">
        <f>-('입력값'!C49*100*(3/12)*(1+'입력값'!D49/100)^1)</f>
      </c>
      <c r="S14" s="27">
        <f>-('입력값'!C49*100*(3/12)*(1+'입력값'!D49/100)^2)</f>
      </c>
      <c r="T14" s="27">
        <f>-('입력값'!C49*100*(3/12)*(1+'입력값'!D49/100)^2)</f>
      </c>
      <c r="U14" s="27">
        <f>-('입력값'!C49*100*(3/12)*(1+'입력값'!D49/100)^2)</f>
      </c>
      <c r="V14" s="27">
        <f>-('입력값'!C49*100*(3/12)*(1+'입력값'!D49/100)^2)</f>
      </c>
      <c r="W14" s="27">
        <f>-('입력값'!C49*100*(3/12)*(1+'입력값'!D49/100)^3)</f>
      </c>
      <c r="X14" s="27">
        <f>-('입력값'!C49*100*(3/12)*(1+'입력값'!D49/100)^3)</f>
      </c>
      <c r="Y14" s="27">
        <f>-('입력값'!C49*100*(3/12)*(1+'입력값'!D49/100)^3)</f>
      </c>
      <c r="Z14" s="27">
        <f>-('입력값'!C49*100*(3/12)*(1+'입력값'!D49/100)^3)</f>
      </c>
      <c r="AA14" s="27">
        <f>-('입력값'!C49*100*(3/12)*(1+'입력값'!D49/100)^4)</f>
      </c>
      <c r="AB14" s="27">
        <f>-('입력값'!C49*100*(3/12)*(1+'입력값'!D49/100)^4)</f>
      </c>
      <c r="AC14" s="27">
        <f>-('입력값'!C49*100*(3/12)*(1+'입력값'!D49/100)^4)</f>
      </c>
      <c r="AD14" s="27">
        <f>-('입력값'!C49*100*(3/12)*(1+'입력값'!D49/100)^4)</f>
      </c>
      <c r="AE14" s="27">
        <f>-('입력값'!C49*100*(3/12)*(1+'입력값'!D49/100)^5)</f>
      </c>
      <c r="AF14" s="27">
        <f>-('입력값'!C49*100*(3/12)*(1+'입력값'!D49/100)^5)</f>
      </c>
      <c r="AG14" s="27">
        <f>-('입력값'!C49*100*(3/12)*(1+'입력값'!D49/100)^5)</f>
      </c>
      <c r="AH14" s="27">
        <f>-('입력값'!C49*100*(3/12)*(1+'입력값'!D49/100)^5)</f>
      </c>
      <c r="AI14" s="27">
        <f>-('입력값'!C49*100*(3/12)*(1+'입력값'!D49/100)^6)</f>
      </c>
      <c r="AJ14" s="27">
        <f>-('입력값'!C49*100*(3/12)*(1+'입력값'!D49/100)^6)</f>
      </c>
      <c r="AK14" s="27">
        <f>-('입력값'!C49*100*(3/12)*(1+'입력값'!D49/100)^6)</f>
      </c>
      <c r="AL14" s="27">
        <f>-('입력값'!C49*100*(3/12)*(1+'입력값'!D49/100)^6)</f>
      </c>
      <c r="AM14" s="27">
        <f>-('입력값'!C49*100*(3/12)*(1+'입력값'!D49/100)^7)</f>
      </c>
      <c r="AN14" s="27">
        <f>-('입력값'!C49*100*(3/12)*(1+'입력값'!D49/100)^7)</f>
      </c>
      <c r="AO14" s="27">
        <f>-('입력값'!C49*100*(3/12)*(1+'입력값'!D49/100)^7)</f>
      </c>
      <c r="AP14" s="27">
        <f>-('입력값'!C49*100*(3/12)*(1+'입력값'!D49/100)^7)</f>
      </c>
      <c r="AQ14" s="27">
        <f>-('입력값'!C49*100*(3/12)*(1+'입력값'!D49/100)^8)</f>
      </c>
      <c r="AR14" s="27">
        <f>-('입력값'!C49*100*(3/12)*(1+'입력값'!D49/100)^8)</f>
      </c>
      <c r="AS14" s="27">
        <f>-('입력값'!C49*100*(3/12)*(1+'입력값'!D49/100)^8)</f>
      </c>
      <c r="AT14" s="27">
        <f>-('입력값'!C49*100*(3/12)*(1+'입력값'!D49/100)^8)</f>
      </c>
      <c r="AU14" s="27">
        <f>-('입력값'!C49*100*(3/12)*(1+'입력값'!D49/100)^9)</f>
      </c>
      <c r="AV14" s="27">
        <f>-('입력값'!C49*100*(3/12)*(1+'입력값'!D49/100)^9)</f>
      </c>
      <c r="AW14" s="27">
        <f>-('입력값'!C49*100*(3/12)*(1+'입력값'!D49/100)^9)</f>
      </c>
      <c r="AX14" s="27">
        <f>-('입력값'!C49*100*(3/12)*(1+'입력값'!D49/100)^9)</f>
      </c>
      <c r="AY14" s="27">
        <f>-('입력값'!C49*100*(3/12)*(1+'입력값'!D49/100)^10)</f>
      </c>
      <c r="AZ14" s="27">
        <f>-('입력값'!C49*100*(3/12)*(1+'입력값'!D49/100)^10)</f>
      </c>
      <c r="BA14" s="27">
        <f>-('입력값'!C49*100*(3/12)*(1+'입력값'!D49/100)^10)</f>
      </c>
      <c r="BB14" s="27">
        <f>-('입력값'!C49*100*(3/12)*(1+'입력값'!D49/100)^10)</f>
      </c>
      <c r="BC14" s="27">
        <f>-('입력값'!C49*100*(3/12)*(1+'입력값'!D49/100)^11)</f>
      </c>
      <c r="BD14" s="27">
        <f>-('입력값'!C49*100*(3/12)*(1+'입력값'!D49/100)^11)</f>
      </c>
      <c r="BE14" s="27">
        <f>-('입력값'!C49*100*(3/12)*(1+'입력값'!D49/100)^11)</f>
      </c>
      <c r="BF14" s="27">
        <f>-('입력값'!C49*100*(3/12)*(1+'입력값'!D49/100)^11)</f>
      </c>
      <c r="BG14" s="27">
        <f>-('입력값'!C49*100*(3/12)*(1+'입력값'!D49/100)^12)</f>
      </c>
      <c r="BH14" s="27">
        <f>-('입력값'!C49*100*(3/12)*(1+'입력값'!D49/100)^12)</f>
      </c>
      <c r="BI14" s="27">
        <f>-('입력값'!C49*100*(3/12)*(1+'입력값'!D49/100)^12)</f>
      </c>
      <c r="BJ14" s="27">
        <f>-('입력값'!C49*100*(3/12)*(1+'입력값'!D49/100)^12)</f>
      </c>
      <c r="BK14" s="27">
        <f>-('입력값'!C49*100*(3/12)*(1+'입력값'!D49/100)^13)</f>
      </c>
      <c r="BL14" s="27">
        <f>-('입력값'!C49*100*(3/12)*(1+'입력값'!D49/100)^13)</f>
      </c>
      <c r="BM14" s="27">
        <f>-('입력값'!C49*100*(3/12)*(1+'입력값'!D49/100)^13)</f>
      </c>
      <c r="BN14" s="27">
        <f>-('입력값'!C49*100*(3/12)*(1+'입력값'!D49/100)^13)</f>
      </c>
      <c r="BO14" s="27">
        <f>-('입력값'!C49*100*(3/12)*(1+'입력값'!D49/100)^14)</f>
      </c>
      <c r="BP14" s="27">
        <f>-('입력값'!C49*100*(3/12)*(1+'입력값'!D49/100)^14)</f>
      </c>
      <c r="BQ14" s="27">
        <f>-('입력값'!C49*100*(3/12)*(1+'입력값'!D49/100)^14)</f>
      </c>
      <c r="BR14" s="27">
        <f>-('입력값'!C49*100*(3/12)*(1+'입력값'!D49/100)^14)</f>
      </c>
      <c r="BS14" s="27">
        <f>-('입력값'!C49*100*(3/12)*(1+'입력값'!D49/100)^15)</f>
      </c>
      <c r="BT14" s="27">
        <f>-('입력값'!C49*100*(3/12)*(1+'입력값'!D49/100)^15)</f>
      </c>
      <c r="BU14" s="27">
        <f>-('입력값'!C49*100*(3/12)*(1+'입력값'!D49/100)^15)</f>
      </c>
      <c r="BV14" s="27">
        <f>-('입력값'!C49*100*(3/12)*(1+'입력값'!D49/100)^15)</f>
      </c>
      <c r="BW14" s="27">
        <f>-('입력값'!C49*100*(3/12)*(1+'입력값'!D49/100)^16)</f>
      </c>
      <c r="BX14" s="27">
        <f>-('입력값'!C49*100*(3/12)*(1+'입력값'!D49/100)^16)</f>
      </c>
      <c r="BY14" s="27">
        <f>-('입력값'!C49*100*(3/12)*(1+'입력값'!D49/100)^16)</f>
      </c>
      <c r="BZ14" s="27">
        <f>-('입력값'!C49*100*(3/12)*(1+'입력값'!D49/100)^16)</f>
      </c>
      <c r="CA14" s="27">
        <f>-('입력값'!C49*100*(3/12)*(1+'입력값'!D49/100)^17)</f>
      </c>
      <c r="CB14" s="27">
        <f>-('입력값'!C49*100*(3/12)*(1+'입력값'!D49/100)^17)</f>
      </c>
      <c r="CC14" s="27">
        <f>-('입력값'!C49*100*(3/12)*(1+'입력값'!D49/100)^17)</f>
      </c>
      <c r="CD14" s="27">
        <f>-('입력값'!C49*100*(3/12)*(1+'입력값'!D49/100)^17)</f>
      </c>
      <c r="CE14" s="27">
        <f>-('입력값'!C49*100*(3/12)*(1+'입력값'!D49/100)^18)</f>
      </c>
      <c r="CF14" s="27">
        <f>-('입력값'!C49*100*(3/12)*(1+'입력값'!D49/100)^18)</f>
      </c>
      <c r="CG14" s="27">
        <f>-('입력값'!C49*100*(3/12)*(1+'입력값'!D49/100)^18)</f>
      </c>
      <c r="CH14" s="27">
        <f>-('입력값'!C49*100*(3/12)*(1+'입력값'!D49/100)^18)</f>
      </c>
      <c r="CI14" s="27">
        <f>-('입력값'!C49*100*(3/12)*(1+'입력값'!D49/100)^19)</f>
      </c>
      <c r="CJ14" s="27">
        <f>-('입력값'!C49*100*(3/12)*(1+'입력값'!D49/100)^19)</f>
      </c>
      <c r="CK14" s="27">
        <f>-('입력값'!C49*100*(3/12)*(1+'입력값'!D49/100)^19)</f>
      </c>
      <c r="CL14" s="27">
        <f>-('입력값'!C49*100*(3/12)*(1+'입력값'!D49/100)^19)</f>
      </c>
    </row>
    <row r="15" spans="2:90" x14ac:dyDescent="0.25">
      <c r="B15" s="37" t="s">
        <v>233</v>
      </c>
      <c r="C15" s="38" t="s">
        <v>205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f>-('입력값'!C50*100*(3/12)*(1+'입력값'!D50/100)^0)</f>
      </c>
      <c r="L15" s="27">
        <f>-('입력값'!C50*100*(3/12)*(1+'입력값'!D50/100)^0)</f>
      </c>
      <c r="M15" s="27">
        <f>-('입력값'!C50*100*(3/12)*(1+'입력값'!D50/100)^0)</f>
      </c>
      <c r="N15" s="27">
        <f>-('입력값'!C50*100*(3/12)*(1+'입력값'!D50/100)^0)</f>
      </c>
      <c r="O15" s="27">
        <f>-('입력값'!C50*100*(3/12)*(1+'입력값'!D50/100)^1)</f>
      </c>
      <c r="P15" s="27">
        <f>-('입력값'!C50*100*(3/12)*(1+'입력값'!D50/100)^1)</f>
      </c>
      <c r="Q15" s="27">
        <f>-('입력값'!C50*100*(3/12)*(1+'입력값'!D50/100)^1)</f>
      </c>
      <c r="R15" s="27">
        <f>-('입력값'!C50*100*(3/12)*(1+'입력값'!D50/100)^1)</f>
      </c>
      <c r="S15" s="27">
        <f>-('입력값'!C50*100*(3/12)*(1+'입력값'!D50/100)^2)</f>
      </c>
      <c r="T15" s="27">
        <f>-('입력값'!C50*100*(3/12)*(1+'입력값'!D50/100)^2)</f>
      </c>
      <c r="U15" s="27">
        <f>-('입력값'!C50*100*(3/12)*(1+'입력값'!D50/100)^2)</f>
      </c>
      <c r="V15" s="27">
        <f>-('입력값'!C50*100*(3/12)*(1+'입력값'!D50/100)^2)</f>
      </c>
      <c r="W15" s="27">
        <f>-('입력값'!C50*100*(3/12)*(1+'입력값'!D50/100)^3)</f>
      </c>
      <c r="X15" s="27">
        <f>-('입력값'!C50*100*(3/12)*(1+'입력값'!D50/100)^3)</f>
      </c>
      <c r="Y15" s="27">
        <f>-('입력값'!C50*100*(3/12)*(1+'입력값'!D50/100)^3)</f>
      </c>
      <c r="Z15" s="27">
        <f>-('입력값'!C50*100*(3/12)*(1+'입력값'!D50/100)^3)</f>
      </c>
      <c r="AA15" s="27">
        <f>-('입력값'!C50*100*(3/12)*(1+'입력값'!D50/100)^4)</f>
      </c>
      <c r="AB15" s="27">
        <f>-('입력값'!C50*100*(3/12)*(1+'입력값'!D50/100)^4)</f>
      </c>
      <c r="AC15" s="27">
        <f>-('입력값'!C50*100*(3/12)*(1+'입력값'!D50/100)^4)</f>
      </c>
      <c r="AD15" s="27">
        <f>-('입력값'!C50*100*(3/12)*(1+'입력값'!D50/100)^4)</f>
      </c>
      <c r="AE15" s="27">
        <f>-('입력값'!C50*100*(3/12)*(1+'입력값'!D50/100)^5)</f>
      </c>
      <c r="AF15" s="27">
        <f>-('입력값'!C50*100*(3/12)*(1+'입력값'!D50/100)^5)</f>
      </c>
      <c r="AG15" s="27">
        <f>-('입력값'!C50*100*(3/12)*(1+'입력값'!D50/100)^5)</f>
      </c>
      <c r="AH15" s="27">
        <f>-('입력값'!C50*100*(3/12)*(1+'입력값'!D50/100)^5)</f>
      </c>
      <c r="AI15" s="27">
        <f>-('입력값'!C50*100*(3/12)*(1+'입력값'!D50/100)^6)</f>
      </c>
      <c r="AJ15" s="27">
        <f>-('입력값'!C50*100*(3/12)*(1+'입력값'!D50/100)^6)</f>
      </c>
      <c r="AK15" s="27">
        <f>-('입력값'!C50*100*(3/12)*(1+'입력값'!D50/100)^6)</f>
      </c>
      <c r="AL15" s="27">
        <f>-('입력값'!C50*100*(3/12)*(1+'입력값'!D50/100)^6)</f>
      </c>
      <c r="AM15" s="27">
        <f>-('입력값'!C50*100*(3/12)*(1+'입력값'!D50/100)^7)</f>
      </c>
      <c r="AN15" s="27">
        <f>-('입력값'!C50*100*(3/12)*(1+'입력값'!D50/100)^7)</f>
      </c>
      <c r="AO15" s="27">
        <f>-('입력값'!C50*100*(3/12)*(1+'입력값'!D50/100)^7)</f>
      </c>
      <c r="AP15" s="27">
        <f>-('입력값'!C50*100*(3/12)*(1+'입력값'!D50/100)^7)</f>
      </c>
      <c r="AQ15" s="27">
        <f>-('입력값'!C50*100*(3/12)*(1+'입력값'!D50/100)^8)</f>
      </c>
      <c r="AR15" s="27">
        <f>-('입력값'!C50*100*(3/12)*(1+'입력값'!D50/100)^8)</f>
      </c>
      <c r="AS15" s="27">
        <f>-('입력값'!C50*100*(3/12)*(1+'입력값'!D50/100)^8)</f>
      </c>
      <c r="AT15" s="27">
        <f>-('입력값'!C50*100*(3/12)*(1+'입력값'!D50/100)^8)</f>
      </c>
      <c r="AU15" s="27">
        <f>-('입력값'!C50*100*(3/12)*(1+'입력값'!D50/100)^9)</f>
      </c>
      <c r="AV15" s="27">
        <f>-('입력값'!C50*100*(3/12)*(1+'입력값'!D50/100)^9)</f>
      </c>
      <c r="AW15" s="27">
        <f>-('입력값'!C50*100*(3/12)*(1+'입력값'!D50/100)^9)</f>
      </c>
      <c r="AX15" s="27">
        <f>-('입력값'!C50*100*(3/12)*(1+'입력값'!D50/100)^9)</f>
      </c>
      <c r="AY15" s="27">
        <f>-('입력값'!C50*100*(3/12)*(1+'입력값'!D50/100)^10)</f>
      </c>
      <c r="AZ15" s="27">
        <f>-('입력값'!C50*100*(3/12)*(1+'입력값'!D50/100)^10)</f>
      </c>
      <c r="BA15" s="27">
        <f>-('입력값'!C50*100*(3/12)*(1+'입력값'!D50/100)^10)</f>
      </c>
      <c r="BB15" s="27">
        <f>-('입력값'!C50*100*(3/12)*(1+'입력값'!D50/100)^10)</f>
      </c>
      <c r="BC15" s="27">
        <f>-('입력값'!C50*100*(3/12)*(1+'입력값'!D50/100)^11)</f>
      </c>
      <c r="BD15" s="27">
        <f>-('입력값'!C50*100*(3/12)*(1+'입력값'!D50/100)^11)</f>
      </c>
      <c r="BE15" s="27">
        <f>-('입력값'!C50*100*(3/12)*(1+'입력값'!D50/100)^11)</f>
      </c>
      <c r="BF15" s="27">
        <f>-('입력값'!C50*100*(3/12)*(1+'입력값'!D50/100)^11)</f>
      </c>
      <c r="BG15" s="27">
        <f>-('입력값'!C50*100*(3/12)*(1+'입력값'!D50/100)^12)</f>
      </c>
      <c r="BH15" s="27">
        <f>-('입력값'!C50*100*(3/12)*(1+'입력값'!D50/100)^12)</f>
      </c>
      <c r="BI15" s="27">
        <f>-('입력값'!C50*100*(3/12)*(1+'입력값'!D50/100)^12)</f>
      </c>
      <c r="BJ15" s="27">
        <f>-('입력값'!C50*100*(3/12)*(1+'입력값'!D50/100)^12)</f>
      </c>
      <c r="BK15" s="27">
        <f>-('입력값'!C50*100*(3/12)*(1+'입력값'!D50/100)^13)</f>
      </c>
      <c r="BL15" s="27">
        <f>-('입력값'!C50*100*(3/12)*(1+'입력값'!D50/100)^13)</f>
      </c>
      <c r="BM15" s="27">
        <f>-('입력값'!C50*100*(3/12)*(1+'입력값'!D50/100)^13)</f>
      </c>
      <c r="BN15" s="27">
        <f>-('입력값'!C50*100*(3/12)*(1+'입력값'!D50/100)^13)</f>
      </c>
      <c r="BO15" s="27">
        <f>-('입력값'!C50*100*(3/12)*(1+'입력값'!D50/100)^14)</f>
      </c>
      <c r="BP15" s="27">
        <f>-('입력값'!C50*100*(3/12)*(1+'입력값'!D50/100)^14)</f>
      </c>
      <c r="BQ15" s="27">
        <f>-('입력값'!C50*100*(3/12)*(1+'입력값'!D50/100)^14)</f>
      </c>
      <c r="BR15" s="27">
        <f>-('입력값'!C50*100*(3/12)*(1+'입력값'!D50/100)^14)</f>
      </c>
      <c r="BS15" s="27">
        <f>-('입력값'!C50*100*(3/12)*(1+'입력값'!D50/100)^15)</f>
      </c>
      <c r="BT15" s="27">
        <f>-('입력값'!C50*100*(3/12)*(1+'입력값'!D50/100)^15)</f>
      </c>
      <c r="BU15" s="27">
        <f>-('입력값'!C50*100*(3/12)*(1+'입력값'!D50/100)^15)</f>
      </c>
      <c r="BV15" s="27">
        <f>-('입력값'!C50*100*(3/12)*(1+'입력값'!D50/100)^15)</f>
      </c>
      <c r="BW15" s="27">
        <f>-('입력값'!C50*100*(3/12)*(1+'입력값'!D50/100)^16)</f>
      </c>
      <c r="BX15" s="27">
        <f>-('입력값'!C50*100*(3/12)*(1+'입력값'!D50/100)^16)</f>
      </c>
      <c r="BY15" s="27">
        <f>-('입력값'!C50*100*(3/12)*(1+'입력값'!D50/100)^16)</f>
      </c>
      <c r="BZ15" s="27">
        <f>-('입력값'!C50*100*(3/12)*(1+'입력값'!D50/100)^16)</f>
      </c>
      <c r="CA15" s="27">
        <f>-('입력값'!C50*100*(3/12)*(1+'입력값'!D50/100)^17)</f>
      </c>
      <c r="CB15" s="27">
        <f>-('입력값'!C50*100*(3/12)*(1+'입력값'!D50/100)^17)</f>
      </c>
      <c r="CC15" s="27">
        <f>-('입력값'!C50*100*(3/12)*(1+'입력값'!D50/100)^17)</f>
      </c>
      <c r="CD15" s="27">
        <f>-('입력값'!C50*100*(3/12)*(1+'입력값'!D50/100)^17)</f>
      </c>
      <c r="CE15" s="27">
        <f>-('입력값'!C50*100*(3/12)*(1+'입력값'!D50/100)^18)</f>
      </c>
      <c r="CF15" s="27">
        <f>-('입력값'!C50*100*(3/12)*(1+'입력값'!D50/100)^18)</f>
      </c>
      <c r="CG15" s="27">
        <f>-('입력값'!C50*100*(3/12)*(1+'입력값'!D50/100)^18)</f>
      </c>
      <c r="CH15" s="27">
        <f>-('입력값'!C50*100*(3/12)*(1+'입력값'!D50/100)^18)</f>
      </c>
      <c r="CI15" s="27">
        <f>-('입력값'!C50*100*(3/12)*(1+'입력값'!D50/100)^19)</f>
      </c>
      <c r="CJ15" s="27">
        <f>-('입력값'!C50*100*(3/12)*(1+'입력값'!D50/100)^19)</f>
      </c>
      <c r="CK15" s="27">
        <f>-('입력값'!C50*100*(3/12)*(1+'입력값'!D50/100)^19)</f>
      </c>
      <c r="CL15" s="27">
        <f>-('입력값'!C50*100*(3/12)*(1+'입력값'!D50/100)^19)</f>
      </c>
    </row>
    <row r="16" spans="2:90" x14ac:dyDescent="0.25">
      <c r="B16" s="37" t="s">
        <v>234</v>
      </c>
      <c r="C16" s="38" t="s">
        <v>205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f>-('입력값'!C51*100*(3/12))</f>
      </c>
      <c r="L16" s="27">
        <f>-('입력값'!C51*100*(3/12))</f>
      </c>
      <c r="M16" s="27">
        <f>-('입력값'!C51*100*(3/12))</f>
      </c>
      <c r="N16" s="27">
        <f>-('입력값'!C51*100*(3/12))</f>
      </c>
      <c r="O16" s="27">
        <f>-('입력값'!C51*100*(3/12))</f>
      </c>
      <c r="P16" s="27">
        <f>-('입력값'!C51*100*(3/12))</f>
      </c>
      <c r="Q16" s="27">
        <f>-('입력값'!C51*100*(3/12))</f>
      </c>
      <c r="R16" s="27">
        <f>-('입력값'!C51*100*(3/12))</f>
      </c>
      <c r="S16" s="27">
        <f>-('입력값'!C51*100*(3/12))</f>
      </c>
      <c r="T16" s="27">
        <f>-('입력값'!C51*100*(3/12))</f>
      </c>
      <c r="U16" s="27">
        <f>-('입력값'!C51*100*(3/12))</f>
      </c>
      <c r="V16" s="27">
        <f>-('입력값'!C51*100*(3/12))</f>
      </c>
      <c r="W16" s="27">
        <f>-('입력값'!C51*100*(3/12))</f>
      </c>
      <c r="X16" s="27">
        <f>-('입력값'!C51*100*(3/12))</f>
      </c>
      <c r="Y16" s="27">
        <f>-('입력값'!C51*100*(3/12))</f>
      </c>
      <c r="Z16" s="27">
        <f>-('입력값'!C51*100*(3/12))</f>
      </c>
      <c r="AA16" s="27">
        <f>-('입력값'!C51*100*(3/12))</f>
      </c>
      <c r="AB16" s="27">
        <f>-('입력값'!C51*100*(3/12))</f>
      </c>
      <c r="AC16" s="27">
        <f>-('입력값'!C51*100*(3/12))</f>
      </c>
      <c r="AD16" s="27">
        <f>-('입력값'!C51*100*(3/12))</f>
      </c>
      <c r="AE16" s="27">
        <f>-('입력값'!C51*100*(3/12))</f>
      </c>
      <c r="AF16" s="27">
        <f>-('입력값'!C51*100*(3/12))</f>
      </c>
      <c r="AG16" s="27">
        <f>-('입력값'!C51*100*(3/12))</f>
      </c>
      <c r="AH16" s="27">
        <f>-('입력값'!C51*100*(3/12))</f>
      </c>
      <c r="AI16" s="27">
        <f>-('입력값'!C51*100*(3/12))</f>
      </c>
      <c r="AJ16" s="27">
        <f>-('입력값'!C51*100*(3/12))</f>
      </c>
      <c r="AK16" s="27">
        <f>-('입력값'!C51*100*(3/12))</f>
      </c>
      <c r="AL16" s="27">
        <f>-('입력값'!C51*100*(3/12))</f>
      </c>
      <c r="AM16" s="27">
        <f>-('입력값'!C51*100*(3/12))</f>
      </c>
      <c r="AN16" s="27">
        <f>-('입력값'!C51*100*(3/12))</f>
      </c>
      <c r="AO16" s="27">
        <f>-('입력값'!C51*100*(3/12))</f>
      </c>
      <c r="AP16" s="27">
        <f>-('입력값'!C51*100*(3/12))</f>
      </c>
      <c r="AQ16" s="27">
        <f>-('입력값'!C51*100*(3/12))</f>
      </c>
      <c r="AR16" s="27">
        <f>-('입력값'!C51*100*(3/12))</f>
      </c>
      <c r="AS16" s="27">
        <f>-('입력값'!C51*100*(3/12))</f>
      </c>
      <c r="AT16" s="27">
        <f>-('입력값'!C51*100*(3/12))</f>
      </c>
      <c r="AU16" s="27">
        <f>-('입력값'!C51*100*(3/12))</f>
      </c>
      <c r="AV16" s="27">
        <f>-('입력값'!C51*100*(3/12))</f>
      </c>
      <c r="AW16" s="27">
        <f>-('입력값'!C51*100*(3/12))</f>
      </c>
      <c r="AX16" s="27">
        <f>-('입력값'!C51*100*(3/12))</f>
      </c>
      <c r="AY16" s="27">
        <f>-('입력값'!C51*100*(3/12))</f>
      </c>
      <c r="AZ16" s="27">
        <f>-('입력값'!C51*100*(3/12))</f>
      </c>
      <c r="BA16" s="27">
        <f>-('입력값'!C51*100*(3/12))</f>
      </c>
      <c r="BB16" s="27">
        <f>-('입력값'!C51*100*(3/12))</f>
      </c>
      <c r="BC16" s="27">
        <f>-('입력값'!C51*100*(3/12))</f>
      </c>
      <c r="BD16" s="27">
        <f>-('입력값'!C51*100*(3/12))</f>
      </c>
      <c r="BE16" s="27">
        <f>-('입력값'!C51*100*(3/12))</f>
      </c>
      <c r="BF16" s="27">
        <f>-('입력값'!C51*100*(3/12))</f>
      </c>
      <c r="BG16" s="27">
        <f>-('입력값'!C51*100*(3/12))</f>
      </c>
      <c r="BH16" s="27">
        <f>-('입력값'!C51*100*(3/12))</f>
      </c>
      <c r="BI16" s="27">
        <f>-('입력값'!C51*100*(3/12))</f>
      </c>
      <c r="BJ16" s="27">
        <f>-('입력값'!C51*100*(3/12))</f>
      </c>
      <c r="BK16" s="27">
        <f>-('입력값'!C51*100*(3/12))</f>
      </c>
      <c r="BL16" s="27">
        <f>-('입력값'!C51*100*(3/12))</f>
      </c>
      <c r="BM16" s="27">
        <f>-('입력값'!C51*100*(3/12))</f>
      </c>
      <c r="BN16" s="27">
        <f>-('입력값'!C51*100*(3/12))</f>
      </c>
      <c r="BO16" s="27">
        <f>-('입력값'!C51*100*(3/12))</f>
      </c>
      <c r="BP16" s="27">
        <f>-('입력값'!C51*100*(3/12))</f>
      </c>
      <c r="BQ16" s="27">
        <f>-('입력값'!C51*100*(3/12))</f>
      </c>
      <c r="BR16" s="27">
        <f>-('입력값'!C51*100*(3/12))</f>
      </c>
      <c r="BS16" s="27">
        <f>-('입력값'!C51*100*(3/12))</f>
      </c>
      <c r="BT16" s="27">
        <f>-('입력값'!C51*100*(3/12))</f>
      </c>
      <c r="BU16" s="27">
        <f>-('입력값'!C51*100*(3/12))</f>
      </c>
      <c r="BV16" s="27">
        <f>-('입력값'!C51*100*(3/12))</f>
      </c>
      <c r="BW16" s="27">
        <f>-('입력값'!C51*100*(3/12))</f>
      </c>
      <c r="BX16" s="27">
        <f>-('입력값'!C51*100*(3/12))</f>
      </c>
      <c r="BY16" s="27">
        <f>-('입력값'!C51*100*(3/12))</f>
      </c>
      <c r="BZ16" s="27">
        <f>-('입력값'!C51*100*(3/12))</f>
      </c>
      <c r="CA16" s="27">
        <f>-('입력값'!C51*100*(3/12))</f>
      </c>
      <c r="CB16" s="27">
        <f>-('입력값'!C51*100*(3/12))</f>
      </c>
      <c r="CC16" s="27">
        <f>-('입력값'!C51*100*(3/12))</f>
      </c>
      <c r="CD16" s="27">
        <f>-('입력값'!C51*100*(3/12))</f>
      </c>
      <c r="CE16" s="27">
        <f>-('입력값'!C51*100*(3/12))</f>
      </c>
      <c r="CF16" s="27">
        <f>-('입력값'!C51*100*(3/12))</f>
      </c>
      <c r="CG16" s="27">
        <f>-('입력값'!C51*100*(3/12))</f>
      </c>
      <c r="CH16" s="27">
        <f>-('입력값'!C51*100*(3/12))</f>
      </c>
      <c r="CI16" s="27">
        <f>-('입력값'!C51*100*(3/12))</f>
      </c>
      <c r="CJ16" s="27">
        <f>-('입력값'!C51*100*(3/12))</f>
      </c>
      <c r="CK16" s="27">
        <f>-('입력값'!C51*100*(3/12))</f>
      </c>
      <c r="CL16" s="27">
        <f>-('입력값'!C51*100*(3/12))</f>
      </c>
    </row>
    <row r="17" spans="2:90" x14ac:dyDescent="0.25">
      <c r="B17" s="37" t="s">
        <v>235</v>
      </c>
      <c r="C17" s="38" t="s">
        <v>205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f>-('입력값'!C52*100*(3/12))</f>
      </c>
      <c r="L17" s="27">
        <f>-('입력값'!C52*100*(3/12))</f>
      </c>
      <c r="M17" s="27">
        <f>-('입력값'!C52*100*(3/12))</f>
      </c>
      <c r="N17" s="27">
        <f>-('입력값'!C52*100*(3/12))</f>
      </c>
      <c r="O17" s="27">
        <f>-('입력값'!C52*100*(3/12))</f>
      </c>
      <c r="P17" s="27">
        <f>-('입력값'!C52*100*(3/12))</f>
      </c>
      <c r="Q17" s="27">
        <f>-('입력값'!C52*100*(3/12))</f>
      </c>
      <c r="R17" s="27">
        <f>-('입력값'!C52*100*(3/12))</f>
      </c>
      <c r="S17" s="27">
        <f>-('입력값'!C52*100*(3/12))</f>
      </c>
      <c r="T17" s="27">
        <f>-('입력값'!C52*100*(3/12))</f>
      </c>
      <c r="U17" s="27">
        <f>-('입력값'!C52*100*(3/12))</f>
      </c>
      <c r="V17" s="27">
        <f>-('입력값'!C52*100*(3/12))</f>
      </c>
      <c r="W17" s="27">
        <f>-('입력값'!C52*100*(3/12))</f>
      </c>
      <c r="X17" s="27">
        <f>-('입력값'!C52*100*(3/12))</f>
      </c>
      <c r="Y17" s="27">
        <f>-('입력값'!C52*100*(3/12))</f>
      </c>
      <c r="Z17" s="27">
        <f>-('입력값'!C52*100*(3/12))</f>
      </c>
      <c r="AA17" s="27">
        <f>-('입력값'!C52*100*(3/12))</f>
      </c>
      <c r="AB17" s="27">
        <f>-('입력값'!C52*100*(3/12))</f>
      </c>
      <c r="AC17" s="27">
        <f>-('입력값'!C52*100*(3/12))</f>
      </c>
      <c r="AD17" s="27">
        <f>-('입력값'!C52*100*(3/12))</f>
      </c>
      <c r="AE17" s="27">
        <f>-('입력값'!C52*100*(3/12))</f>
      </c>
      <c r="AF17" s="27">
        <f>-('입력값'!C52*100*(3/12))</f>
      </c>
      <c r="AG17" s="27">
        <f>-('입력값'!C52*100*(3/12))</f>
      </c>
      <c r="AH17" s="27">
        <f>-('입력값'!C52*100*(3/12))</f>
      </c>
      <c r="AI17" s="27">
        <f>-('입력값'!C52*100*(3/12))</f>
      </c>
      <c r="AJ17" s="27">
        <f>-('입력값'!C52*100*(3/12))</f>
      </c>
      <c r="AK17" s="27">
        <f>-('입력값'!C52*100*(3/12))</f>
      </c>
      <c r="AL17" s="27">
        <f>-('입력값'!C52*100*(3/12))</f>
      </c>
      <c r="AM17" s="27">
        <f>-('입력값'!C52*100*(3/12))</f>
      </c>
      <c r="AN17" s="27">
        <f>-('입력값'!C52*100*(3/12))</f>
      </c>
      <c r="AO17" s="27">
        <f>-('입력값'!C52*100*(3/12))</f>
      </c>
      <c r="AP17" s="27">
        <f>-('입력값'!C52*100*(3/12))</f>
      </c>
      <c r="AQ17" s="27">
        <f>-('입력값'!C52*100*(3/12))</f>
      </c>
      <c r="AR17" s="27">
        <f>-('입력값'!C52*100*(3/12))</f>
      </c>
      <c r="AS17" s="27">
        <f>-('입력값'!C52*100*(3/12))</f>
      </c>
      <c r="AT17" s="27">
        <f>-('입력값'!C52*100*(3/12))</f>
      </c>
      <c r="AU17" s="27">
        <f>-('입력값'!C52*100*(3/12))</f>
      </c>
      <c r="AV17" s="27">
        <f>-('입력값'!C52*100*(3/12))</f>
      </c>
      <c r="AW17" s="27">
        <f>-('입력값'!C52*100*(3/12))</f>
      </c>
      <c r="AX17" s="27">
        <f>-('입력값'!C52*100*(3/12))</f>
      </c>
      <c r="AY17" s="27">
        <f>-('입력값'!C52*100*(3/12))</f>
      </c>
      <c r="AZ17" s="27">
        <f>-('입력값'!C52*100*(3/12))</f>
      </c>
      <c r="BA17" s="27">
        <f>-('입력값'!C52*100*(3/12))</f>
      </c>
      <c r="BB17" s="27">
        <f>-('입력값'!C52*100*(3/12))</f>
      </c>
      <c r="BC17" s="27">
        <f>-('입력값'!C52*100*(3/12))</f>
      </c>
      <c r="BD17" s="27">
        <f>-('입력값'!C52*100*(3/12))</f>
      </c>
      <c r="BE17" s="27">
        <f>-('입력값'!C52*100*(3/12))</f>
      </c>
      <c r="BF17" s="27">
        <f>-('입력값'!C52*100*(3/12))</f>
      </c>
      <c r="BG17" s="27">
        <f>-('입력값'!C52*100*(3/12))</f>
      </c>
      <c r="BH17" s="27">
        <f>-('입력값'!C52*100*(3/12))</f>
      </c>
      <c r="BI17" s="27">
        <f>-('입력값'!C52*100*(3/12))</f>
      </c>
      <c r="BJ17" s="27">
        <f>-('입력값'!C52*100*(3/12))</f>
      </c>
      <c r="BK17" s="27">
        <f>-('입력값'!C52*100*(3/12))</f>
      </c>
      <c r="BL17" s="27">
        <f>-('입력값'!C52*100*(3/12))</f>
      </c>
      <c r="BM17" s="27">
        <f>-('입력값'!C52*100*(3/12))</f>
      </c>
      <c r="BN17" s="27">
        <f>-('입력값'!C52*100*(3/12))</f>
      </c>
      <c r="BO17" s="27">
        <f>-('입력값'!C52*100*(3/12))</f>
      </c>
      <c r="BP17" s="27">
        <f>-('입력값'!C52*100*(3/12))</f>
      </c>
      <c r="BQ17" s="27">
        <f>-('입력값'!C52*100*(3/12))</f>
      </c>
      <c r="BR17" s="27">
        <f>-('입력값'!C52*100*(3/12))</f>
      </c>
      <c r="BS17" s="27">
        <f>-('입력값'!C52*100*(3/12))</f>
      </c>
      <c r="BT17" s="27">
        <f>-('입력값'!C52*100*(3/12))</f>
      </c>
      <c r="BU17" s="27">
        <f>-('입력값'!C52*100*(3/12))</f>
      </c>
      <c r="BV17" s="27">
        <f>-('입력값'!C52*100*(3/12))</f>
      </c>
      <c r="BW17" s="27">
        <f>-('입력값'!C52*100*(3/12))</f>
      </c>
      <c r="BX17" s="27">
        <f>-('입력값'!C52*100*(3/12))</f>
      </c>
      <c r="BY17" s="27">
        <f>-('입력값'!C52*100*(3/12))</f>
      </c>
      <c r="BZ17" s="27">
        <f>-('입력값'!C52*100*(3/12))</f>
      </c>
      <c r="CA17" s="27">
        <f>-('입력값'!C52*100*(3/12))</f>
      </c>
      <c r="CB17" s="27">
        <f>-('입력값'!C52*100*(3/12))</f>
      </c>
      <c r="CC17" s="27">
        <f>-('입력값'!C52*100*(3/12))</f>
      </c>
      <c r="CD17" s="27">
        <f>-('입력값'!C52*100*(3/12))</f>
      </c>
      <c r="CE17" s="27">
        <f>-('입력값'!C52*100*(3/12))</f>
      </c>
      <c r="CF17" s="27">
        <f>-('입력값'!C52*100*(3/12))</f>
      </c>
      <c r="CG17" s="27">
        <f>-('입력값'!C52*100*(3/12))</f>
      </c>
      <c r="CH17" s="27">
        <f>-('입력값'!C52*100*(3/12))</f>
      </c>
      <c r="CI17" s="27">
        <f>-('입력값'!C52*100*(3/12))</f>
      </c>
      <c r="CJ17" s="27">
        <f>-('입력값'!C52*100*(3/12))</f>
      </c>
      <c r="CK17" s="27">
        <f>-('입력값'!C52*100*(3/12))</f>
      </c>
      <c r="CL17" s="27">
        <f>-('입력값'!C52*100*(3/12))</f>
      </c>
    </row>
    <row r="18" spans="2:90" x14ac:dyDescent="0.25">
      <c r="B18" s="37" t="s">
        <v>236</v>
      </c>
      <c r="C18" s="38" t="s">
        <v>205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f>-('입력값'!C53*100*(3/12))</f>
      </c>
      <c r="L18" s="27">
        <f>-('입력값'!C53*100*(3/12))</f>
      </c>
      <c r="M18" s="27">
        <f>-('입력값'!C53*100*(3/12))</f>
      </c>
      <c r="N18" s="27">
        <f>-('입력값'!C53*100*(3/12))</f>
      </c>
      <c r="O18" s="27">
        <f>-('입력값'!C53*100*(3/12))</f>
      </c>
      <c r="P18" s="27">
        <f>-('입력값'!C53*100*(3/12))</f>
      </c>
      <c r="Q18" s="27">
        <f>-('입력값'!C53*100*(3/12))</f>
      </c>
      <c r="R18" s="27">
        <f>-('입력값'!C53*100*(3/12))</f>
      </c>
      <c r="S18" s="27">
        <f>-('입력값'!C53*100*(3/12))</f>
      </c>
      <c r="T18" s="27">
        <f>-('입력값'!C53*100*(3/12))</f>
      </c>
      <c r="U18" s="27">
        <f>-('입력값'!C53*100*(3/12))</f>
      </c>
      <c r="V18" s="27">
        <f>-('입력값'!C53*100*(3/12))</f>
      </c>
      <c r="W18" s="27">
        <f>-('입력값'!C53*100*(3/12))</f>
      </c>
      <c r="X18" s="27">
        <f>-('입력값'!C53*100*(3/12))</f>
      </c>
      <c r="Y18" s="27">
        <f>-('입력값'!C53*100*(3/12))</f>
      </c>
      <c r="Z18" s="27">
        <f>-('입력값'!C53*100*(3/12))</f>
      </c>
      <c r="AA18" s="27">
        <f>-('입력값'!C53*100*(3/12))</f>
      </c>
      <c r="AB18" s="27">
        <f>-('입력값'!C53*100*(3/12))</f>
      </c>
      <c r="AC18" s="27">
        <f>-('입력값'!C53*100*(3/12))</f>
      </c>
      <c r="AD18" s="27">
        <f>-('입력값'!C53*100*(3/12))</f>
      </c>
      <c r="AE18" s="27">
        <f>-('입력값'!C53*100*(3/12))</f>
      </c>
      <c r="AF18" s="27">
        <f>-('입력값'!C53*100*(3/12))</f>
      </c>
      <c r="AG18" s="27">
        <f>-('입력값'!C53*100*(3/12))</f>
      </c>
      <c r="AH18" s="27">
        <f>-('입력값'!C53*100*(3/12))</f>
      </c>
      <c r="AI18" s="27">
        <f>-('입력값'!C53*100*(3/12))</f>
      </c>
      <c r="AJ18" s="27">
        <f>-('입력값'!C53*100*(3/12))</f>
      </c>
      <c r="AK18" s="27">
        <f>-('입력값'!C53*100*(3/12))</f>
      </c>
      <c r="AL18" s="27">
        <f>-('입력값'!C53*100*(3/12))</f>
      </c>
      <c r="AM18" s="27">
        <f>-('입력값'!C53*100*(3/12))</f>
      </c>
      <c r="AN18" s="27">
        <f>-('입력값'!C53*100*(3/12))</f>
      </c>
      <c r="AO18" s="27">
        <f>-('입력값'!C53*100*(3/12))</f>
      </c>
      <c r="AP18" s="27">
        <f>-('입력값'!C53*100*(3/12))</f>
      </c>
      <c r="AQ18" s="27">
        <f>-('입력값'!C53*100*(3/12))</f>
      </c>
      <c r="AR18" s="27">
        <f>-('입력값'!C53*100*(3/12))</f>
      </c>
      <c r="AS18" s="27">
        <f>-('입력값'!C53*100*(3/12))</f>
      </c>
      <c r="AT18" s="27">
        <f>-('입력값'!C53*100*(3/12))</f>
      </c>
      <c r="AU18" s="27">
        <f>-('입력값'!C53*100*(3/12))</f>
      </c>
      <c r="AV18" s="27">
        <f>-('입력값'!C53*100*(3/12))</f>
      </c>
      <c r="AW18" s="27">
        <f>-('입력값'!C53*100*(3/12))</f>
      </c>
      <c r="AX18" s="27">
        <f>-('입력값'!C53*100*(3/12))</f>
      </c>
      <c r="AY18" s="27">
        <f>-('입력값'!C53*100*(3/12))</f>
      </c>
      <c r="AZ18" s="27">
        <f>-('입력값'!C53*100*(3/12))</f>
      </c>
      <c r="BA18" s="27">
        <f>-('입력값'!C53*100*(3/12))</f>
      </c>
      <c r="BB18" s="27">
        <f>-('입력값'!C53*100*(3/12))</f>
      </c>
      <c r="BC18" s="27">
        <f>-('입력값'!C53*100*(3/12))</f>
      </c>
      <c r="BD18" s="27">
        <f>-('입력값'!C53*100*(3/12))</f>
      </c>
      <c r="BE18" s="27">
        <f>-('입력값'!C53*100*(3/12))</f>
      </c>
      <c r="BF18" s="27">
        <f>-('입력값'!C53*100*(3/12))</f>
      </c>
      <c r="BG18" s="27">
        <f>-('입력값'!C53*100*(3/12))</f>
      </c>
      <c r="BH18" s="27">
        <f>-('입력값'!C53*100*(3/12))</f>
      </c>
      <c r="BI18" s="27">
        <f>-('입력값'!C53*100*(3/12))</f>
      </c>
      <c r="BJ18" s="27">
        <f>-('입력값'!C53*100*(3/12))</f>
      </c>
      <c r="BK18" s="27">
        <f>-('입력값'!C53*100*(3/12))</f>
      </c>
      <c r="BL18" s="27">
        <f>-('입력값'!C53*100*(3/12))</f>
      </c>
      <c r="BM18" s="27">
        <f>-('입력값'!C53*100*(3/12))</f>
      </c>
      <c r="BN18" s="27">
        <f>-('입력값'!C53*100*(3/12))</f>
      </c>
      <c r="BO18" s="27">
        <f>-('입력값'!C53*100*(3/12))</f>
      </c>
      <c r="BP18" s="27">
        <f>-('입력값'!C53*100*(3/12))</f>
      </c>
      <c r="BQ18" s="27">
        <f>-('입력값'!C53*100*(3/12))</f>
      </c>
      <c r="BR18" s="27">
        <f>-('입력값'!C53*100*(3/12))</f>
      </c>
      <c r="BS18" s="27">
        <f>-('입력값'!C53*100*(3/12))</f>
      </c>
      <c r="BT18" s="27">
        <f>-('입력값'!C53*100*(3/12))</f>
      </c>
      <c r="BU18" s="27">
        <f>-('입력값'!C53*100*(3/12))</f>
      </c>
      <c r="BV18" s="27">
        <f>-('입력값'!C53*100*(3/12))</f>
      </c>
      <c r="BW18" s="27">
        <f>-('입력값'!C53*100*(3/12))</f>
      </c>
      <c r="BX18" s="27">
        <f>-('입력값'!C53*100*(3/12))</f>
      </c>
      <c r="BY18" s="27">
        <f>-('입력값'!C53*100*(3/12))</f>
      </c>
      <c r="BZ18" s="27">
        <f>-('입력값'!C53*100*(3/12))</f>
      </c>
      <c r="CA18" s="27">
        <f>-('입력값'!C53*100*(3/12))</f>
      </c>
      <c r="CB18" s="27">
        <f>-('입력값'!C53*100*(3/12))</f>
      </c>
      <c r="CC18" s="27">
        <f>-('입력값'!C53*100*(3/12))</f>
      </c>
      <c r="CD18" s="27">
        <f>-('입력값'!C53*100*(3/12))</f>
      </c>
      <c r="CE18" s="27">
        <f>-('입력값'!C53*100*(3/12))</f>
      </c>
      <c r="CF18" s="27">
        <f>-('입력값'!C53*100*(3/12))</f>
      </c>
      <c r="CG18" s="27">
        <f>-('입력값'!C53*100*(3/12))</f>
      </c>
      <c r="CH18" s="27">
        <f>-('입력값'!C53*100*(3/12))</f>
      </c>
      <c r="CI18" s="27">
        <f>-('입력값'!C53*100*(3/12))</f>
      </c>
      <c r="CJ18" s="27">
        <f>-('입력값'!C53*100*(3/12))</f>
      </c>
      <c r="CK18" s="27">
        <f>-('입력값'!C53*100*(3/12))</f>
      </c>
      <c r="CL18" s="27">
        <f>-('입력값'!C53*100*(3/12))</f>
      </c>
    </row>
    <row r="19" spans="2:90" x14ac:dyDescent="0.25">
      <c r="B19" s="37" t="s">
        <v>237</v>
      </c>
      <c r="C19" s="38" t="s">
        <v>205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f>-('입력값'!C54*100*(3/12))</f>
      </c>
      <c r="L19" s="27">
        <f>-('입력값'!C54*100*(3/12))</f>
      </c>
      <c r="M19" s="27">
        <f>-('입력값'!C54*100*(3/12))</f>
      </c>
      <c r="N19" s="27">
        <f>-('입력값'!C54*100*(3/12))</f>
      </c>
      <c r="O19" s="27">
        <f>-('입력값'!C54*100*(3/12))</f>
      </c>
      <c r="P19" s="27">
        <f>-('입력값'!C54*100*(3/12))</f>
      </c>
      <c r="Q19" s="27">
        <f>-('입력값'!C54*100*(3/12))</f>
      </c>
      <c r="R19" s="27">
        <f>-('입력값'!C54*100*(3/12))</f>
      </c>
      <c r="S19" s="27">
        <f>-('입력값'!C54*100*(3/12))</f>
      </c>
      <c r="T19" s="27">
        <f>-('입력값'!C54*100*(3/12))</f>
      </c>
      <c r="U19" s="27">
        <f>-('입력값'!C54*100*(3/12))</f>
      </c>
      <c r="V19" s="27">
        <f>-('입력값'!C54*100*(3/12))</f>
      </c>
      <c r="W19" s="27">
        <f>-('입력값'!C54*100*(3/12))</f>
      </c>
      <c r="X19" s="27">
        <f>-('입력값'!C54*100*(3/12))</f>
      </c>
      <c r="Y19" s="27">
        <f>-('입력값'!C54*100*(3/12))</f>
      </c>
      <c r="Z19" s="27">
        <f>-('입력값'!C54*100*(3/12))</f>
      </c>
      <c r="AA19" s="27">
        <f>-('입력값'!C54*100*(3/12))</f>
      </c>
      <c r="AB19" s="27">
        <f>-('입력값'!C54*100*(3/12))</f>
      </c>
      <c r="AC19" s="27">
        <f>-('입력값'!C54*100*(3/12))</f>
      </c>
      <c r="AD19" s="27">
        <f>-('입력값'!C54*100*(3/12))</f>
      </c>
      <c r="AE19" s="27">
        <f>-('입력값'!C54*100*(3/12))</f>
      </c>
      <c r="AF19" s="27">
        <f>-('입력값'!C54*100*(3/12))</f>
      </c>
      <c r="AG19" s="27">
        <f>-('입력값'!C54*100*(3/12))</f>
      </c>
      <c r="AH19" s="27">
        <f>-('입력값'!C54*100*(3/12))</f>
      </c>
      <c r="AI19" s="27">
        <f>-('입력값'!C54*100*(3/12))</f>
      </c>
      <c r="AJ19" s="27">
        <f>-('입력값'!C54*100*(3/12))</f>
      </c>
      <c r="AK19" s="27">
        <f>-('입력값'!C54*100*(3/12))</f>
      </c>
      <c r="AL19" s="27">
        <f>-('입력값'!C54*100*(3/12))</f>
      </c>
      <c r="AM19" s="27">
        <f>-('입력값'!C54*100*(3/12))</f>
      </c>
      <c r="AN19" s="27">
        <f>-('입력값'!C54*100*(3/12))</f>
      </c>
      <c r="AO19" s="27">
        <f>-('입력값'!C54*100*(3/12))</f>
      </c>
      <c r="AP19" s="27">
        <f>-('입력값'!C54*100*(3/12))</f>
      </c>
      <c r="AQ19" s="27">
        <f>-('입력값'!C54*100*(3/12))</f>
      </c>
      <c r="AR19" s="27">
        <f>-('입력값'!C54*100*(3/12))</f>
      </c>
      <c r="AS19" s="27">
        <f>-('입력값'!C54*100*(3/12))</f>
      </c>
      <c r="AT19" s="27">
        <f>-('입력값'!C54*100*(3/12))</f>
      </c>
      <c r="AU19" s="27">
        <f>-('입력값'!C54*100*(3/12))</f>
      </c>
      <c r="AV19" s="27">
        <f>-('입력값'!C54*100*(3/12))</f>
      </c>
      <c r="AW19" s="27">
        <f>-('입력값'!C54*100*(3/12))</f>
      </c>
      <c r="AX19" s="27">
        <f>-('입력값'!C54*100*(3/12))</f>
      </c>
      <c r="AY19" s="27">
        <f>-('입력값'!C54*100*(3/12))</f>
      </c>
      <c r="AZ19" s="27">
        <f>-('입력값'!C54*100*(3/12))</f>
      </c>
      <c r="BA19" s="27">
        <f>-('입력값'!C54*100*(3/12))</f>
      </c>
      <c r="BB19" s="27">
        <f>-('입력값'!C54*100*(3/12))</f>
      </c>
      <c r="BC19" s="27">
        <f>-('입력값'!C54*100*(3/12))</f>
      </c>
      <c r="BD19" s="27">
        <f>-('입력값'!C54*100*(3/12))</f>
      </c>
      <c r="BE19" s="27">
        <f>-('입력값'!C54*100*(3/12))</f>
      </c>
      <c r="BF19" s="27">
        <f>-('입력값'!C54*100*(3/12))</f>
      </c>
      <c r="BG19" s="27">
        <f>-('입력값'!C54*100*(3/12))</f>
      </c>
      <c r="BH19" s="27">
        <f>-('입력값'!C54*100*(3/12))</f>
      </c>
      <c r="BI19" s="27">
        <f>-('입력값'!C54*100*(3/12))</f>
      </c>
      <c r="BJ19" s="27">
        <f>-('입력값'!C54*100*(3/12))</f>
      </c>
      <c r="BK19" s="27">
        <f>-('입력값'!C54*100*(3/12))</f>
      </c>
      <c r="BL19" s="27">
        <f>-('입력값'!C54*100*(3/12))</f>
      </c>
      <c r="BM19" s="27">
        <f>-('입력값'!C54*100*(3/12))</f>
      </c>
      <c r="BN19" s="27">
        <f>-('입력값'!C54*100*(3/12))</f>
      </c>
      <c r="BO19" s="27">
        <f>-('입력값'!C54*100*(3/12))</f>
      </c>
      <c r="BP19" s="27">
        <f>-('입력값'!C54*100*(3/12))</f>
      </c>
      <c r="BQ19" s="27">
        <f>-('입력값'!C54*100*(3/12))</f>
      </c>
      <c r="BR19" s="27">
        <f>-('입력값'!C54*100*(3/12))</f>
      </c>
      <c r="BS19" s="27">
        <f>-('입력값'!C54*100*(3/12))</f>
      </c>
      <c r="BT19" s="27">
        <f>-('입력값'!C54*100*(3/12))</f>
      </c>
      <c r="BU19" s="27">
        <f>-('입력값'!C54*100*(3/12))</f>
      </c>
      <c r="BV19" s="27">
        <f>-('입력값'!C54*100*(3/12))</f>
      </c>
      <c r="BW19" s="27">
        <f>-('입력값'!C54*100*(3/12))</f>
      </c>
      <c r="BX19" s="27">
        <f>-('입력값'!C54*100*(3/12))</f>
      </c>
      <c r="BY19" s="27">
        <f>-('입력값'!C54*100*(3/12))</f>
      </c>
      <c r="BZ19" s="27">
        <f>-('입력값'!C54*100*(3/12))</f>
      </c>
      <c r="CA19" s="27">
        <f>-('입력값'!C54*100*(3/12))</f>
      </c>
      <c r="CB19" s="27">
        <f>-('입력값'!C54*100*(3/12))</f>
      </c>
      <c r="CC19" s="27">
        <f>-('입력값'!C54*100*(3/12))</f>
      </c>
      <c r="CD19" s="27">
        <f>-('입력값'!C54*100*(3/12))</f>
      </c>
      <c r="CE19" s="27">
        <f>-('입력값'!C54*100*(3/12))</f>
      </c>
      <c r="CF19" s="27">
        <f>-('입력값'!C54*100*(3/12))</f>
      </c>
      <c r="CG19" s="27">
        <f>-('입력값'!C54*100*(3/12))</f>
      </c>
      <c r="CH19" s="27">
        <f>-('입력값'!C54*100*(3/12))</f>
      </c>
      <c r="CI19" s="27">
        <f>-('입력값'!C54*100*(3/12))</f>
      </c>
      <c r="CJ19" s="27">
        <f>-('입력값'!C54*100*(3/12))</f>
      </c>
      <c r="CK19" s="27">
        <f>-('입력값'!C54*100*(3/12))</f>
      </c>
      <c r="CL19" s="27">
        <f>-('입력값'!C54*100*(3/12))</f>
      </c>
    </row>
    <row r="20" spans="2:90" x14ac:dyDescent="0.25">
      <c r="B20" s="37" t="s">
        <v>238</v>
      </c>
      <c r="C20" s="38" t="s">
        <v>205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f>-('입력값'!C55*100*(3/12))</f>
      </c>
      <c r="L20" s="27">
        <f>-('입력값'!C55*100*(3/12))</f>
      </c>
      <c r="M20" s="27">
        <f>-('입력값'!C55*100*(3/12))</f>
      </c>
      <c r="N20" s="27">
        <f>-('입력값'!C55*100*(3/12))</f>
      </c>
      <c r="O20" s="27">
        <f>-('입력값'!C55*100*(3/12))</f>
      </c>
      <c r="P20" s="27">
        <f>-('입력값'!C55*100*(3/12))</f>
      </c>
      <c r="Q20" s="27">
        <f>-('입력값'!C55*100*(3/12))</f>
      </c>
      <c r="R20" s="27">
        <f>-('입력값'!C55*100*(3/12))</f>
      </c>
      <c r="S20" s="27">
        <f>-('입력값'!C55*100*(3/12))</f>
      </c>
      <c r="T20" s="27">
        <f>-('입력값'!C55*100*(3/12))</f>
      </c>
      <c r="U20" s="27">
        <f>-('입력값'!C55*100*(3/12))</f>
      </c>
      <c r="V20" s="27">
        <f>-('입력값'!C55*100*(3/12))</f>
      </c>
      <c r="W20" s="27">
        <f>-('입력값'!C55*100*(3/12))</f>
      </c>
      <c r="X20" s="27">
        <f>-('입력값'!C55*100*(3/12))</f>
      </c>
      <c r="Y20" s="27">
        <f>-('입력값'!C55*100*(3/12))</f>
      </c>
      <c r="Z20" s="27">
        <f>-('입력값'!C55*100*(3/12))</f>
      </c>
      <c r="AA20" s="27">
        <f>-('입력값'!C55*100*(3/12))</f>
      </c>
      <c r="AB20" s="27">
        <f>-('입력값'!C55*100*(3/12))</f>
      </c>
      <c r="AC20" s="27">
        <f>-('입력값'!C55*100*(3/12))</f>
      </c>
      <c r="AD20" s="27">
        <f>-('입력값'!C55*100*(3/12))</f>
      </c>
      <c r="AE20" s="27">
        <f>-('입력값'!C55*100*(3/12))</f>
      </c>
      <c r="AF20" s="27">
        <f>-('입력값'!C55*100*(3/12))</f>
      </c>
      <c r="AG20" s="27">
        <f>-('입력값'!C55*100*(3/12))</f>
      </c>
      <c r="AH20" s="27">
        <f>-('입력값'!C55*100*(3/12))</f>
      </c>
      <c r="AI20" s="27">
        <f>-('입력값'!C55*100*(3/12))</f>
      </c>
      <c r="AJ20" s="27">
        <f>-('입력값'!C55*100*(3/12))</f>
      </c>
      <c r="AK20" s="27">
        <f>-('입력값'!C55*100*(3/12))</f>
      </c>
      <c r="AL20" s="27">
        <f>-('입력값'!C55*100*(3/12))</f>
      </c>
      <c r="AM20" s="27">
        <f>-('입력값'!C55*100*(3/12))</f>
      </c>
      <c r="AN20" s="27">
        <f>-('입력값'!C55*100*(3/12))</f>
      </c>
      <c r="AO20" s="27">
        <f>-('입력값'!C55*100*(3/12))</f>
      </c>
      <c r="AP20" s="27">
        <f>-('입력값'!C55*100*(3/12))</f>
      </c>
      <c r="AQ20" s="27">
        <f>-('입력값'!C55*100*(3/12))</f>
      </c>
      <c r="AR20" s="27">
        <f>-('입력값'!C55*100*(3/12))</f>
      </c>
      <c r="AS20" s="27">
        <f>-('입력값'!C55*100*(3/12))</f>
      </c>
      <c r="AT20" s="27">
        <f>-('입력값'!C55*100*(3/12))</f>
      </c>
      <c r="AU20" s="27">
        <f>-('입력값'!C55*100*(3/12))</f>
      </c>
      <c r="AV20" s="27">
        <f>-('입력값'!C55*100*(3/12))</f>
      </c>
      <c r="AW20" s="27">
        <f>-('입력값'!C55*100*(3/12))</f>
      </c>
      <c r="AX20" s="27">
        <f>-('입력값'!C55*100*(3/12))</f>
      </c>
      <c r="AY20" s="27">
        <f>-('입력값'!C55*100*(3/12))</f>
      </c>
      <c r="AZ20" s="27">
        <f>-('입력값'!C55*100*(3/12))</f>
      </c>
      <c r="BA20" s="27">
        <f>-('입력값'!C55*100*(3/12))</f>
      </c>
      <c r="BB20" s="27">
        <f>-('입력값'!C55*100*(3/12))</f>
      </c>
      <c r="BC20" s="27">
        <f>-('입력값'!C55*100*(3/12))</f>
      </c>
      <c r="BD20" s="27">
        <f>-('입력값'!C55*100*(3/12))</f>
      </c>
      <c r="BE20" s="27">
        <f>-('입력값'!C55*100*(3/12))</f>
      </c>
      <c r="BF20" s="27">
        <f>-('입력값'!C55*100*(3/12))</f>
      </c>
      <c r="BG20" s="27">
        <f>-('입력값'!C55*100*(3/12))</f>
      </c>
      <c r="BH20" s="27">
        <f>-('입력값'!C55*100*(3/12))</f>
      </c>
      <c r="BI20" s="27">
        <f>-('입력값'!C55*100*(3/12))</f>
      </c>
      <c r="BJ20" s="27">
        <f>-('입력값'!C55*100*(3/12))</f>
      </c>
      <c r="BK20" s="27">
        <f>-('입력값'!C55*100*(3/12))</f>
      </c>
      <c r="BL20" s="27">
        <f>-('입력값'!C55*100*(3/12))</f>
      </c>
      <c r="BM20" s="27">
        <f>-('입력값'!C55*100*(3/12))</f>
      </c>
      <c r="BN20" s="27">
        <f>-('입력값'!C55*100*(3/12))</f>
      </c>
      <c r="BO20" s="27">
        <f>-('입력값'!C55*100*(3/12))</f>
      </c>
      <c r="BP20" s="27">
        <f>-('입력값'!C55*100*(3/12))</f>
      </c>
      <c r="BQ20" s="27">
        <f>-('입력값'!C55*100*(3/12))</f>
      </c>
      <c r="BR20" s="27">
        <f>-('입력값'!C55*100*(3/12))</f>
      </c>
      <c r="BS20" s="27">
        <f>-('입력값'!C55*100*(3/12))</f>
      </c>
      <c r="BT20" s="27">
        <f>-('입력값'!C55*100*(3/12))</f>
      </c>
      <c r="BU20" s="27">
        <f>-('입력값'!C55*100*(3/12))</f>
      </c>
      <c r="BV20" s="27">
        <f>-('입력값'!C55*100*(3/12))</f>
      </c>
      <c r="BW20" s="27">
        <f>-('입력값'!C55*100*(3/12))</f>
      </c>
      <c r="BX20" s="27">
        <f>-('입력값'!C55*100*(3/12))</f>
      </c>
      <c r="BY20" s="27">
        <f>-('입력값'!C55*100*(3/12))</f>
      </c>
      <c r="BZ20" s="27">
        <f>-('입력값'!C55*100*(3/12))</f>
      </c>
      <c r="CA20" s="27">
        <f>-('입력값'!C55*100*(3/12))</f>
      </c>
      <c r="CB20" s="27">
        <f>-('입력값'!C55*100*(3/12))</f>
      </c>
      <c r="CC20" s="27">
        <f>-('입력값'!C55*100*(3/12))</f>
      </c>
      <c r="CD20" s="27">
        <f>-('입력값'!C55*100*(3/12))</f>
      </c>
      <c r="CE20" s="27">
        <f>-('입력값'!C55*100*(3/12))</f>
      </c>
      <c r="CF20" s="27">
        <f>-('입력값'!C55*100*(3/12))</f>
      </c>
      <c r="CG20" s="27">
        <f>-('입력값'!C55*100*(3/12))</f>
      </c>
      <c r="CH20" s="27">
        <f>-('입력값'!C55*100*(3/12))</f>
      </c>
      <c r="CI20" s="27">
        <f>-('입력값'!C55*100*(3/12))</f>
      </c>
      <c r="CJ20" s="27">
        <f>-('입력값'!C55*100*(3/12))</f>
      </c>
      <c r="CK20" s="27">
        <f>-('입력값'!C55*100*(3/12))</f>
      </c>
      <c r="CL20" s="27">
        <f>-('입력값'!C55*100*(3/12))</f>
      </c>
    </row>
    <row r="22" spans="2:90" x14ac:dyDescent="0.25">
      <c r="B22" s="37" t="s">
        <v>239</v>
      </c>
      <c r="C22" s="38" t="s">
        <v>205</v>
      </c>
      <c r="D22" s="27">
        <v>28498.933682669627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f>-K9+-K10+-K11+-K12+-K13+-K14+-K15+-K16+-K17+-K18+-K19+-K20</f>
      </c>
      <c r="L22" s="27">
        <f>-L9+-L10+-L11+-L12+-L13+-L14+-L15+-L16+-L17+-L18+-L19+-L20</f>
      </c>
      <c r="M22" s="27">
        <f>-M9+-M10+-M11+-M12+-M13+-M14+-M15+-M16+-M17+-M18+-M19+-M20</f>
      </c>
      <c r="N22" s="27">
        <f>-N9+-N10+-N11+-N12+-N13+-N14+-N15+-N16+-N17+-N18+-N19+-N20</f>
      </c>
      <c r="O22" s="27">
        <f>-O9+-O10+-O11+-O12+-O13+-O14+-O15+-O16+-O17+-O18+-O19+-O20</f>
      </c>
      <c r="P22" s="27">
        <f>-P9+-P10+-P11+-P12+-P13+-P14+-P15+-P16+-P17+-P18+-P19+-P20</f>
      </c>
      <c r="Q22" s="27">
        <f>-Q9+-Q10+-Q11+-Q12+-Q13+-Q14+-Q15+-Q16+-Q17+-Q18+-Q19+-Q20</f>
      </c>
      <c r="R22" s="27">
        <f>-R9+-R10+-R11+-R12+-R13+-R14+-R15+-R16+-R17+-R18+-R19+-R20</f>
      </c>
      <c r="S22" s="27">
        <f>-S9+-S10+-S11+-S12+-S13+-S14+-S15+-S16+-S17+-S18+-S19+-S20</f>
      </c>
      <c r="T22" s="27">
        <f>-T9+-T10+-T11+-T12+-T13+-T14+-T15+-T16+-T17+-T18+-T19+-T20</f>
      </c>
      <c r="U22" s="27">
        <f>-U9+-U10+-U11+-U12+-U13+-U14+-U15+-U16+-U17+-U18+-U19+-U20</f>
      </c>
      <c r="V22" s="27">
        <f>-V9+-V10+-V11+-V12+-V13+-V14+-V15+-V16+-V17+-V18+-V19+-V20</f>
      </c>
      <c r="W22" s="27">
        <f>-W9+-W10+-W11+-W12+-W13+-W14+-W15+-W16+-W17+-W18+-W19+-W20</f>
      </c>
      <c r="X22" s="27">
        <f>-X9+-X10+-X11+-X12+-X13+-X14+-X15+-X16+-X17+-X18+-X19+-X20</f>
      </c>
      <c r="Y22" s="27">
        <f>-Y9+-Y10+-Y11+-Y12+-Y13+-Y14+-Y15+-Y16+-Y17+-Y18+-Y19+-Y20</f>
      </c>
      <c r="Z22" s="27">
        <f>-Z9+-Z10+-Z11+-Z12+-Z13+-Z14+-Z15+-Z16+-Z17+-Z18+-Z19+-Z20</f>
      </c>
      <c r="AA22" s="27">
        <f>-AA9+-AA10+-AA11+-AA12+-AA13+-AA14+-AA15+-AA16+-AA17+-AA18+-AA19+-AA20</f>
      </c>
      <c r="AB22" s="27">
        <f>-AB9+-AB10+-AB11+-AB12+-AB13+-AB14+-AB15+-AB16+-AB17+-AB18+-AB19+-AB20</f>
      </c>
      <c r="AC22" s="27">
        <f>-AC9+-AC10+-AC11+-AC12+-AC13+-AC14+-AC15+-AC16+-AC17+-AC18+-AC19+-AC20</f>
      </c>
      <c r="AD22" s="27">
        <f>-AD9+-AD10+-AD11+-AD12+-AD13+-AD14+-AD15+-AD16+-AD17+-AD18+-AD19+-AD20</f>
      </c>
      <c r="AE22" s="27">
        <f>-AE9+-AE10+-AE11+-AE12+-AE13+-AE14+-AE15+-AE16+-AE17+-AE18+-AE19+-AE20</f>
      </c>
      <c r="AF22" s="27">
        <f>-AF9+-AF10+-AF11+-AF12+-AF13+-AF14+-AF15+-AF16+-AF17+-AF18+-AF19+-AF20</f>
      </c>
      <c r="AG22" s="27">
        <f>-AG9+-AG10+-AG11+-AG12+-AG13+-AG14+-AG15+-AG16+-AG17+-AG18+-AG19+-AG20</f>
      </c>
      <c r="AH22" s="27">
        <f>-AH9+-AH10+-AH11+-AH12+-AH13+-AH14+-AH15+-AH16+-AH17+-AH18+-AH19+-AH20</f>
      </c>
      <c r="AI22" s="27">
        <f>-AI9+-AI10+-AI11+-AI12+-AI13+-AI14+-AI15+-AI16+-AI17+-AI18+-AI19+-AI20</f>
      </c>
      <c r="AJ22" s="27">
        <f>-AJ9+-AJ10+-AJ11+-AJ12+-AJ13+-AJ14+-AJ15+-AJ16+-AJ17+-AJ18+-AJ19+-AJ20</f>
      </c>
      <c r="AK22" s="27">
        <f>-AK9+-AK10+-AK11+-AK12+-AK13+-AK14+-AK15+-AK16+-AK17+-AK18+-AK19+-AK20</f>
      </c>
      <c r="AL22" s="27">
        <f>-AL9+-AL10+-AL11+-AL12+-AL13+-AL14+-AL15+-AL16+-AL17+-AL18+-AL19+-AL20</f>
      </c>
      <c r="AM22" s="27">
        <f>-AM9+-AM10+-AM11+-AM12+-AM13+-AM14+-AM15+-AM16+-AM17+-AM18+-AM19+-AM20</f>
      </c>
      <c r="AN22" s="27">
        <f>-AN9+-AN10+-AN11+-AN12+-AN13+-AN14+-AN15+-AN16+-AN17+-AN18+-AN19+-AN20</f>
      </c>
      <c r="AO22" s="27">
        <f>-AO9+-AO10+-AO11+-AO12+-AO13+-AO14+-AO15+-AO16+-AO17+-AO18+-AO19+-AO20</f>
      </c>
      <c r="AP22" s="27">
        <f>-AP9+-AP10+-AP11+-AP12+-AP13+-AP14+-AP15+-AP16+-AP17+-AP18+-AP19+-AP20</f>
      </c>
      <c r="AQ22" s="27">
        <f>-AQ9+-AQ10+-AQ11+-AQ12+-AQ13+-AQ14+-AQ15+-AQ16+-AQ17+-AQ18+-AQ19+-AQ20</f>
      </c>
      <c r="AR22" s="27">
        <f>-AR9+-AR10+-AR11+-AR12+-AR13+-AR14+-AR15+-AR16+-AR17+-AR18+-AR19+-AR20</f>
      </c>
      <c r="AS22" s="27">
        <f>-AS9+-AS10+-AS11+-AS12+-AS13+-AS14+-AS15+-AS16+-AS17+-AS18+-AS19+-AS20</f>
      </c>
      <c r="AT22" s="27">
        <f>-AT9+-AT10+-AT11+-AT12+-AT13+-AT14+-AT15+-AT16+-AT17+-AT18+-AT19+-AT20</f>
      </c>
      <c r="AU22" s="27">
        <f>-AU9+-AU10+-AU11+-AU12+-AU13+-AU14+-AU15+-AU16+-AU17+-AU18+-AU19+-AU20</f>
      </c>
      <c r="AV22" s="27">
        <f>-AV9+-AV10+-AV11+-AV12+-AV13+-AV14+-AV15+-AV16+-AV17+-AV18+-AV19+-AV20</f>
      </c>
      <c r="AW22" s="27">
        <f>-AW9+-AW10+-AW11+-AW12+-AW13+-AW14+-AW15+-AW16+-AW17+-AW18+-AW19+-AW20</f>
      </c>
      <c r="AX22" s="27">
        <f>-AX9+-AX10+-AX11+-AX12+-AX13+-AX14+-AX15+-AX16+-AX17+-AX18+-AX19+-AX20</f>
      </c>
      <c r="AY22" s="27">
        <f>-AY9+-AY10+-AY11+-AY12+-AY13+-AY14+-AY15+-AY16+-AY17+-AY18+-AY19+-AY20</f>
      </c>
      <c r="AZ22" s="27">
        <f>-AZ9+-AZ10+-AZ11+-AZ12+-AZ13+-AZ14+-AZ15+-AZ16+-AZ17+-AZ18+-AZ19+-AZ20</f>
      </c>
      <c r="BA22" s="27">
        <f>-BA9+-BA10+-BA11+-BA12+-BA13+-BA14+-BA15+-BA16+-BA17+-BA18+-BA19+-BA20</f>
      </c>
      <c r="BB22" s="27">
        <f>-BB9+-BB10+-BB11+-BB12+-BB13+-BB14+-BB15+-BB16+-BB17+-BB18+-BB19+-BB20</f>
      </c>
      <c r="BC22" s="27">
        <f>-BC9+-BC10+-BC11+-BC12+-BC13+-BC14+-BC15+-BC16+-BC17+-BC18+-BC19+-BC20</f>
      </c>
      <c r="BD22" s="27">
        <f>-BD9+-BD10+-BD11+-BD12+-BD13+-BD14+-BD15+-BD16+-BD17+-BD18+-BD19+-BD20</f>
      </c>
      <c r="BE22" s="27">
        <f>-BE9+-BE10+-BE11+-BE12+-BE13+-BE14+-BE15+-BE16+-BE17+-BE18+-BE19+-BE20</f>
      </c>
      <c r="BF22" s="27">
        <f>-BF9+-BF10+-BF11+-BF12+-BF13+-BF14+-BF15+-BF16+-BF17+-BF18+-BF19+-BF20</f>
      </c>
      <c r="BG22" s="27">
        <f>-BG9+-BG10+-BG11+-BG12+-BG13+-BG14+-BG15+-BG16+-BG17+-BG18+-BG19+-BG20</f>
      </c>
      <c r="BH22" s="27">
        <f>-BH9+-BH10+-BH11+-BH12+-BH13+-BH14+-BH15+-BH16+-BH17+-BH18+-BH19+-BH20</f>
      </c>
      <c r="BI22" s="27">
        <f>-BI9+-BI10+-BI11+-BI12+-BI13+-BI14+-BI15+-BI16+-BI17+-BI18+-BI19+-BI20</f>
      </c>
      <c r="BJ22" s="27">
        <f>-BJ9+-BJ10+-BJ11+-BJ12+-BJ13+-BJ14+-BJ15+-BJ16+-BJ17+-BJ18+-BJ19+-BJ20</f>
      </c>
      <c r="BK22" s="27">
        <f>-BK9+-BK10+-BK11+-BK12+-BK13+-BK14+-BK15+-BK16+-BK17+-BK18+-BK19+-BK20</f>
      </c>
      <c r="BL22" s="27">
        <f>-BL9+-BL10+-BL11+-BL12+-BL13+-BL14+-BL15+-BL16+-BL17+-BL18+-BL19+-BL20</f>
      </c>
      <c r="BM22" s="27">
        <f>-BM9+-BM10+-BM11+-BM12+-BM13+-BM14+-BM15+-BM16+-BM17+-BM18+-BM19+-BM20</f>
      </c>
      <c r="BN22" s="27">
        <f>-BN9+-BN10+-BN11+-BN12+-BN13+-BN14+-BN15+-BN16+-BN17+-BN18+-BN19+-BN20</f>
      </c>
      <c r="BO22" s="27">
        <f>-BO9+-BO10+-BO11+-BO12+-BO13+-BO14+-BO15+-BO16+-BO17+-BO18+-BO19+-BO20</f>
      </c>
      <c r="BP22" s="27">
        <f>-BP9+-BP10+-BP11+-BP12+-BP13+-BP14+-BP15+-BP16+-BP17+-BP18+-BP19+-BP20</f>
      </c>
      <c r="BQ22" s="27">
        <f>-BQ9+-BQ10+-BQ11+-BQ12+-BQ13+-BQ14+-BQ15+-BQ16+-BQ17+-BQ18+-BQ19+-BQ20</f>
      </c>
      <c r="BR22" s="27">
        <f>-BR9+-BR10+-BR11+-BR12+-BR13+-BR14+-BR15+-BR16+-BR17+-BR18+-BR19+-BR20</f>
      </c>
      <c r="BS22" s="27">
        <f>-BS9+-BS10+-BS11+-BS12+-BS13+-BS14+-BS15+-BS16+-BS17+-BS18+-BS19+-BS20</f>
      </c>
      <c r="BT22" s="27">
        <f>-BT9+-BT10+-BT11+-BT12+-BT13+-BT14+-BT15+-BT16+-BT17+-BT18+-BT19+-BT20</f>
      </c>
      <c r="BU22" s="27">
        <f>-BU9+-BU10+-BU11+-BU12+-BU13+-BU14+-BU15+-BU16+-BU17+-BU18+-BU19+-BU20</f>
      </c>
      <c r="BV22" s="27">
        <f>-BV9+-BV10+-BV11+-BV12+-BV13+-BV14+-BV15+-BV16+-BV17+-BV18+-BV19+-BV20</f>
      </c>
      <c r="BW22" s="27">
        <f>-BW9+-BW10+-BW11+-BW12+-BW13+-BW14+-BW15+-BW16+-BW17+-BW18+-BW19+-BW20</f>
      </c>
      <c r="BX22" s="27">
        <f>-BX9+-BX10+-BX11+-BX12+-BX13+-BX14+-BX15+-BX16+-BX17+-BX18+-BX19+-BX20</f>
      </c>
      <c r="BY22" s="27">
        <f>-BY9+-BY10+-BY11+-BY12+-BY13+-BY14+-BY15+-BY16+-BY17+-BY18+-BY19+-BY20</f>
      </c>
      <c r="BZ22" s="27">
        <f>-BZ9+-BZ10+-BZ11+-BZ12+-BZ13+-BZ14+-BZ15+-BZ16+-BZ17+-BZ18+-BZ19+-BZ20</f>
      </c>
      <c r="CA22" s="27">
        <f>-CA9+-CA10+-CA11+-CA12+-CA13+-CA14+-CA15+-CA16+-CA17+-CA18+-CA19+-CA20</f>
      </c>
      <c r="CB22" s="27">
        <f>-CB9+-CB10+-CB11+-CB12+-CB13+-CB14+-CB15+-CB16+-CB17+-CB18+-CB19+-CB20</f>
      </c>
      <c r="CC22" s="27">
        <f>-CC9+-CC10+-CC11+-CC12+-CC13+-CC14+-CC15+-CC16+-CC17+-CC18+-CC19+-CC20</f>
      </c>
      <c r="CD22" s="27">
        <f>-CD9+-CD10+-CD11+-CD12+-CD13+-CD14+-CD15+-CD16+-CD17+-CD18+-CD19+-CD20</f>
      </c>
      <c r="CE22" s="27">
        <f>-CE9+-CE10+-CE11+-CE12+-CE13+-CE14+-CE15+-CE16+-CE17+-CE18+-CE19+-CE20</f>
      </c>
      <c r="CF22" s="27">
        <f>-CF9+-CF10+-CF11+-CF12+-CF13+-CF14+-CF15+-CF16+-CF17+-CF18+-CF19+-CF20</f>
      </c>
      <c r="CG22" s="27">
        <f>-CG9+-CG10+-CG11+-CG12+-CG13+-CG14+-CG15+-CG16+-CG17+-CG18+-CG19+-CG20</f>
      </c>
      <c r="CH22" s="27">
        <f>-CH9+-CH10+-CH11+-CH12+-CH13+-CH14+-CH15+-CH16+-CH17+-CH18+-CH19+-CH20</f>
      </c>
      <c r="CI22" s="27">
        <f>-CI9+-CI10+-CI11+-CI12+-CI13+-CI14+-CI15+-CI16+-CI17+-CI18+-CI19+-CI20</f>
      </c>
      <c r="CJ22" s="27">
        <f>-CJ9+-CJ10+-CJ11+-CJ12+-CJ13+-CJ14+-CJ15+-CJ16+-CJ17+-CJ18+-CJ19+-CJ20</f>
      </c>
      <c r="CK22" s="27">
        <f>-CK9+-CK10+-CK11+-CK12+-CK13+-CK14+-CK15+-CK16+-CK17+-CK18+-CK19+-CK20</f>
      </c>
      <c r="CL22" s="27">
        <f>-CL9+-CL10+-CL11+-CL12+-CL13+-CL14+-CL15+-CL16+-CL17+-CL18+-CL19+-CL20</f>
      </c>
    </row>
    <row r="23" spans="2:90" x14ac:dyDescent="0.25">
      <c r="B23" s="37" t="s">
        <v>240</v>
      </c>
      <c r="C23" s="38" t="s">
        <v>205</v>
      </c>
      <c r="D23" s="14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</row>
    <row r="24" spans="2:91" x14ac:dyDescent="0.25">
      <c r="B24" s="35" t="s">
        <v>241</v>
      </c>
      <c r="C24" s="41" t="s">
        <v>205</v>
      </c>
      <c r="D24" s="33">
        <v>28498.933682669627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f>K22+K23</f>
      </c>
      <c r="L24" s="33">
        <f>L22+L23</f>
      </c>
      <c r="M24" s="33">
        <f>M22+M23</f>
      </c>
      <c r="N24" s="33">
        <f>N22+N23</f>
      </c>
      <c r="O24" s="33">
        <f>O22+O23</f>
      </c>
      <c r="P24" s="33">
        <f>P22+P23</f>
      </c>
      <c r="Q24" s="33">
        <f>Q22+Q23</f>
      </c>
      <c r="R24" s="33">
        <f>R22+R23</f>
      </c>
      <c r="S24" s="33">
        <f>S22+S23</f>
      </c>
      <c r="T24" s="33">
        <f>T22+T23</f>
      </c>
      <c r="U24" s="33">
        <f>U22+U23</f>
      </c>
      <c r="V24" s="33">
        <f>V22+V23</f>
      </c>
      <c r="W24" s="33">
        <f>W22+W23</f>
      </c>
      <c r="X24" s="33">
        <f>X22+X23</f>
      </c>
      <c r="Y24" s="33">
        <f>Y22+Y23</f>
      </c>
      <c r="Z24" s="33">
        <f>Z22+Z23</f>
      </c>
      <c r="AA24" s="33">
        <f>AA22+AA23</f>
      </c>
      <c r="AB24" s="33">
        <f>AB22+AB23</f>
      </c>
      <c r="AC24" s="33">
        <f>AC22+AC23</f>
      </c>
      <c r="AD24" s="33">
        <f>AD22+AD23</f>
      </c>
      <c r="AE24" s="33">
        <f>AE22+AE23</f>
      </c>
      <c r="AF24" s="33">
        <f>AF22+AF23</f>
      </c>
      <c r="AG24" s="33">
        <f>AG22+AG23</f>
      </c>
      <c r="AH24" s="33">
        <f>AH22+AH23</f>
      </c>
      <c r="AI24" s="33">
        <f>AI22+AI23</f>
      </c>
      <c r="AJ24" s="33">
        <f>AJ22+AJ23</f>
      </c>
      <c r="AK24" s="33">
        <f>AK22+AK23</f>
      </c>
      <c r="AL24" s="33">
        <f>AL22+AL23</f>
      </c>
      <c r="AM24" s="33">
        <f>AM22+AM23</f>
      </c>
      <c r="AN24" s="33">
        <f>AN22+AN23</f>
      </c>
      <c r="AO24" s="33">
        <f>AO22+AO23</f>
      </c>
      <c r="AP24" s="33">
        <f>AP22+AP23</f>
      </c>
      <c r="AQ24" s="33">
        <f>AQ22+AQ23</f>
      </c>
      <c r="AR24" s="33">
        <f>AR22+AR23</f>
      </c>
      <c r="AS24" s="33">
        <f>AS22+AS23</f>
      </c>
      <c r="AT24" s="33">
        <f>AT22+AT23</f>
      </c>
      <c r="AU24" s="33">
        <f>AU22+AU23</f>
      </c>
      <c r="AV24" s="33">
        <f>AV22+AV23</f>
      </c>
      <c r="AW24" s="33">
        <f>AW22+AW23</f>
      </c>
      <c r="AX24" s="33">
        <f>AX22+AX23</f>
      </c>
      <c r="AY24" s="33">
        <f>AY22+AY23</f>
      </c>
      <c r="AZ24" s="33">
        <f>AZ22+AZ23</f>
      </c>
      <c r="BA24" s="33">
        <f>BA22+BA23</f>
      </c>
      <c r="BB24" s="33">
        <f>BB22+BB23</f>
      </c>
      <c r="BC24" s="33">
        <f>BC22+BC23</f>
      </c>
      <c r="BD24" s="33">
        <f>BD22+BD23</f>
      </c>
      <c r="BE24" s="33">
        <f>BE22+BE23</f>
      </c>
      <c r="BF24" s="33">
        <f>BF22+BF23</f>
      </c>
      <c r="BG24" s="33">
        <f>BG22+BG23</f>
      </c>
      <c r="BH24" s="33">
        <f>BH22+BH23</f>
      </c>
      <c r="BI24" s="33">
        <f>BI22+BI23</f>
      </c>
      <c r="BJ24" s="33">
        <f>BJ22+BJ23</f>
      </c>
      <c r="BK24" s="33">
        <f>BK22+BK23</f>
      </c>
      <c r="BL24" s="33">
        <f>BL22+BL23</f>
      </c>
      <c r="BM24" s="33">
        <f>BM22+BM23</f>
      </c>
      <c r="BN24" s="33">
        <f>BN22+BN23</f>
      </c>
      <c r="BO24" s="33">
        <f>BO22+BO23</f>
      </c>
      <c r="BP24" s="33">
        <f>BP22+BP23</f>
      </c>
      <c r="BQ24" s="33">
        <f>BQ22+BQ23</f>
      </c>
      <c r="BR24" s="33">
        <f>BR22+BR23</f>
      </c>
      <c r="BS24" s="33">
        <f>BS22+BS23</f>
      </c>
      <c r="BT24" s="33">
        <f>BT22+BT23</f>
      </c>
      <c r="BU24" s="33">
        <f>BU22+BU23</f>
      </c>
      <c r="BV24" s="33">
        <f>BV22+BV23</f>
      </c>
      <c r="BW24" s="33">
        <f>BW22+BW23</f>
      </c>
      <c r="BX24" s="33">
        <f>BX22+BX23</f>
      </c>
      <c r="BY24" s="33">
        <f>BY22+BY23</f>
      </c>
      <c r="BZ24" s="33">
        <f>BZ22+BZ23</f>
      </c>
      <c r="CA24" s="33">
        <f>CA22+CA23</f>
      </c>
      <c r="CB24" s="33">
        <f>CB22+CB23</f>
      </c>
      <c r="CC24" s="33">
        <f>CC22+CC23</f>
      </c>
      <c r="CD24" s="33">
        <f>CD22+CD23</f>
      </c>
      <c r="CE24" s="33">
        <f>CE22+CE23</f>
      </c>
      <c r="CF24" s="33">
        <f>CF22+CF23</f>
      </c>
      <c r="CG24" s="33">
        <f>CG22+CG23</f>
      </c>
      <c r="CH24" s="33">
        <f>CH22+CH23</f>
      </c>
      <c r="CI24" s="33">
        <f>CI22+CI23</f>
      </c>
      <c r="CJ24" s="33">
        <f>CJ22+CJ23</f>
      </c>
      <c r="CK24" s="33">
        <f>CK22+CK23</f>
      </c>
      <c r="CL24" s="33">
        <f>CL22+CL23</f>
      </c>
      <c r="CM24" s="36"/>
    </row>
    <row r="26" spans="2:2" x14ac:dyDescent="0.25">
      <c r="B26" s="26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4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243</v>
      </c>
    </row>
    <row r="4" spans="2:91" x14ac:dyDescent="0.25">
      <c r="B4" s="9" t="s">
        <v>244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3" t="s">
        <v>116</v>
      </c>
      <c r="C6" s="23" t="s">
        <v>117</v>
      </c>
      <c r="D6" s="23" t="s">
        <v>118</v>
      </c>
      <c r="E6" s="34" t="s">
        <v>119</v>
      </c>
      <c r="F6" s="34" t="s">
        <v>120</v>
      </c>
      <c r="G6" s="34" t="s">
        <v>121</v>
      </c>
      <c r="H6" s="34" t="s">
        <v>122</v>
      </c>
      <c r="I6" s="34" t="s">
        <v>123</v>
      </c>
      <c r="J6" s="34" t="s">
        <v>124</v>
      </c>
      <c r="K6" s="34" t="s">
        <v>125</v>
      </c>
      <c r="L6" s="34" t="s">
        <v>126</v>
      </c>
      <c r="M6" s="34" t="s">
        <v>127</v>
      </c>
      <c r="N6" s="34" t="s">
        <v>106</v>
      </c>
      <c r="O6" s="34" t="s">
        <v>128</v>
      </c>
      <c r="P6" s="34" t="s">
        <v>129</v>
      </c>
      <c r="Q6" s="34" t="s">
        <v>130</v>
      </c>
      <c r="R6" s="34" t="s">
        <v>131</v>
      </c>
      <c r="S6" s="34" t="s">
        <v>132</v>
      </c>
      <c r="T6" s="34" t="s">
        <v>133</v>
      </c>
      <c r="U6" s="34" t="s">
        <v>134</v>
      </c>
      <c r="V6" s="34" t="s">
        <v>135</v>
      </c>
      <c r="W6" s="34" t="s">
        <v>136</v>
      </c>
      <c r="X6" s="34" t="s">
        <v>137</v>
      </c>
      <c r="Y6" s="34" t="s">
        <v>138</v>
      </c>
      <c r="Z6" s="34" t="s">
        <v>139</v>
      </c>
      <c r="AA6" s="34" t="s">
        <v>140</v>
      </c>
      <c r="AB6" s="34" t="s">
        <v>141</v>
      </c>
      <c r="AC6" s="34" t="s">
        <v>142</v>
      </c>
      <c r="AD6" s="34" t="s">
        <v>143</v>
      </c>
      <c r="AE6" s="34" t="s">
        <v>144</v>
      </c>
      <c r="AF6" s="34" t="s">
        <v>145</v>
      </c>
      <c r="AG6" s="34" t="s">
        <v>146</v>
      </c>
      <c r="AH6" s="34" t="s">
        <v>147</v>
      </c>
      <c r="AI6" s="34" t="s">
        <v>148</v>
      </c>
      <c r="AJ6" s="34" t="s">
        <v>149</v>
      </c>
      <c r="AK6" s="34" t="s">
        <v>150</v>
      </c>
      <c r="AL6" s="34" t="s">
        <v>151</v>
      </c>
      <c r="AM6" s="34" t="s">
        <v>152</v>
      </c>
      <c r="AN6" s="34" t="s">
        <v>153</v>
      </c>
      <c r="AO6" s="34" t="s">
        <v>154</v>
      </c>
      <c r="AP6" s="34" t="s">
        <v>155</v>
      </c>
      <c r="AQ6" s="34" t="s">
        <v>156</v>
      </c>
      <c r="AR6" s="34" t="s">
        <v>157</v>
      </c>
      <c r="AS6" s="34" t="s">
        <v>158</v>
      </c>
      <c r="AT6" s="34" t="s">
        <v>159</v>
      </c>
      <c r="AU6" s="34" t="s">
        <v>160</v>
      </c>
      <c r="AV6" s="34" t="s">
        <v>161</v>
      </c>
      <c r="AW6" s="34" t="s">
        <v>162</v>
      </c>
      <c r="AX6" s="34" t="s">
        <v>163</v>
      </c>
      <c r="AY6" s="34" t="s">
        <v>164</v>
      </c>
      <c r="AZ6" s="34" t="s">
        <v>165</v>
      </c>
      <c r="BA6" s="34" t="s">
        <v>166</v>
      </c>
      <c r="BB6" s="34" t="s">
        <v>167</v>
      </c>
      <c r="BC6" s="34" t="s">
        <v>168</v>
      </c>
      <c r="BD6" s="34" t="s">
        <v>169</v>
      </c>
      <c r="BE6" s="34" t="s">
        <v>170</v>
      </c>
      <c r="BF6" s="34" t="s">
        <v>171</v>
      </c>
      <c r="BG6" s="34" t="s">
        <v>172</v>
      </c>
      <c r="BH6" s="34" t="s">
        <v>173</v>
      </c>
      <c r="BI6" s="34" t="s">
        <v>174</v>
      </c>
      <c r="BJ6" s="34" t="s">
        <v>175</v>
      </c>
      <c r="BK6" s="34" t="s">
        <v>176</v>
      </c>
      <c r="BL6" s="34" t="s">
        <v>177</v>
      </c>
      <c r="BM6" s="34" t="s">
        <v>178</v>
      </c>
      <c r="BN6" s="34" t="s">
        <v>179</v>
      </c>
      <c r="BO6" s="34" t="s">
        <v>180</v>
      </c>
      <c r="BP6" s="34" t="s">
        <v>181</v>
      </c>
      <c r="BQ6" s="34" t="s">
        <v>182</v>
      </c>
      <c r="BR6" s="34" t="s">
        <v>183</v>
      </c>
      <c r="BS6" s="34" t="s">
        <v>184</v>
      </c>
      <c r="BT6" s="34" t="s">
        <v>185</v>
      </c>
      <c r="BU6" s="34" t="s">
        <v>186</v>
      </c>
      <c r="BV6" s="34" t="s">
        <v>187</v>
      </c>
      <c r="BW6" s="34" t="s">
        <v>188</v>
      </c>
      <c r="BX6" s="34" t="s">
        <v>189</v>
      </c>
      <c r="BY6" s="34" t="s">
        <v>190</v>
      </c>
      <c r="BZ6" s="34" t="s">
        <v>191</v>
      </c>
      <c r="CA6" s="34" t="s">
        <v>192</v>
      </c>
      <c r="CB6" s="34" t="s">
        <v>193</v>
      </c>
      <c r="CC6" s="34" t="s">
        <v>194</v>
      </c>
      <c r="CD6" s="34" t="s">
        <v>195</v>
      </c>
      <c r="CE6" s="34" t="s">
        <v>196</v>
      </c>
      <c r="CF6" s="34" t="s">
        <v>197</v>
      </c>
      <c r="CG6" s="34" t="s">
        <v>198</v>
      </c>
      <c r="CH6" s="34" t="s">
        <v>199</v>
      </c>
      <c r="CI6" s="34" t="s">
        <v>200</v>
      </c>
      <c r="CJ6" s="34" t="s">
        <v>201</v>
      </c>
      <c r="CK6" s="34" t="s">
        <v>202</v>
      </c>
      <c r="CL6" s="34" t="s">
        <v>203</v>
      </c>
    </row>
    <row r="8" spans="2:90" x14ac:dyDescent="0.25">
      <c r="B8" s="39" t="s">
        <v>223</v>
      </c>
      <c r="C8" s="38" t="s">
        <v>205</v>
      </c>
      <c r="D8" s="14">
        <v>405780.7729222257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5325.20699373</v>
      </c>
      <c r="L8" s="14">
        <v>5325.20699373</v>
      </c>
      <c r="M8" s="14">
        <v>5325.20699373</v>
      </c>
      <c r="N8" s="14">
        <v>5325.20699373</v>
      </c>
      <c r="O8" s="14">
        <v>5298.58095876135</v>
      </c>
      <c r="P8" s="14">
        <v>5298.58095876135</v>
      </c>
      <c r="Q8" s="14">
        <v>5298.58095876135</v>
      </c>
      <c r="R8" s="14">
        <v>5298.58095876135</v>
      </c>
      <c r="S8" s="14">
        <v>5271.954923792699</v>
      </c>
      <c r="T8" s="14">
        <v>5271.954923792699</v>
      </c>
      <c r="U8" s="14">
        <v>5271.954923792699</v>
      </c>
      <c r="V8" s="14">
        <v>5271.954923792699</v>
      </c>
      <c r="W8" s="14">
        <v>5245.32888882405</v>
      </c>
      <c r="X8" s="14">
        <v>5245.32888882405</v>
      </c>
      <c r="Y8" s="14">
        <v>5245.32888882405</v>
      </c>
      <c r="Z8" s="14">
        <v>5245.32888882405</v>
      </c>
      <c r="AA8" s="14">
        <v>5218.7028538554</v>
      </c>
      <c r="AB8" s="14">
        <v>5218.7028538554</v>
      </c>
      <c r="AC8" s="14">
        <v>5218.7028538554</v>
      </c>
      <c r="AD8" s="14">
        <v>5218.7028538554</v>
      </c>
      <c r="AE8" s="14">
        <v>5192.07681888675</v>
      </c>
      <c r="AF8" s="14">
        <v>5192.07681888675</v>
      </c>
      <c r="AG8" s="14">
        <v>5192.07681888675</v>
      </c>
      <c r="AH8" s="14">
        <v>5192.07681888675</v>
      </c>
      <c r="AI8" s="14">
        <v>5165.450783918101</v>
      </c>
      <c r="AJ8" s="14">
        <v>5165.450783918101</v>
      </c>
      <c r="AK8" s="14">
        <v>5165.450783918101</v>
      </c>
      <c r="AL8" s="14">
        <v>5165.450783918101</v>
      </c>
      <c r="AM8" s="14">
        <v>5138.82474894945</v>
      </c>
      <c r="AN8" s="14">
        <v>5138.82474894945</v>
      </c>
      <c r="AO8" s="14">
        <v>5138.82474894945</v>
      </c>
      <c r="AP8" s="14">
        <v>5138.82474894945</v>
      </c>
      <c r="AQ8" s="14">
        <v>5112.1987139808</v>
      </c>
      <c r="AR8" s="14">
        <v>5112.1987139808</v>
      </c>
      <c r="AS8" s="14">
        <v>5112.1987139808</v>
      </c>
      <c r="AT8" s="14">
        <v>5112.1987139808</v>
      </c>
      <c r="AU8" s="14">
        <v>5085.57267901215</v>
      </c>
      <c r="AV8" s="14">
        <v>5085.57267901215</v>
      </c>
      <c r="AW8" s="14">
        <v>5085.57267901215</v>
      </c>
      <c r="AX8" s="14">
        <v>5085.57267901215</v>
      </c>
      <c r="AY8" s="14">
        <v>5058.9466440435</v>
      </c>
      <c r="AZ8" s="14">
        <v>5058.9466440435</v>
      </c>
      <c r="BA8" s="14">
        <v>5058.9466440435</v>
      </c>
      <c r="BB8" s="14">
        <v>5058.9466440435</v>
      </c>
      <c r="BC8" s="14">
        <v>5032.32060907485</v>
      </c>
      <c r="BD8" s="14">
        <v>5032.32060907485</v>
      </c>
      <c r="BE8" s="14">
        <v>5032.32060907485</v>
      </c>
      <c r="BF8" s="14">
        <v>5032.32060907485</v>
      </c>
      <c r="BG8" s="14">
        <v>5005.6945741062</v>
      </c>
      <c r="BH8" s="14">
        <v>5005.6945741062</v>
      </c>
      <c r="BI8" s="14">
        <v>5005.6945741062</v>
      </c>
      <c r="BJ8" s="14">
        <v>5005.6945741062</v>
      </c>
      <c r="BK8" s="14">
        <v>4979.06853913755</v>
      </c>
      <c r="BL8" s="14">
        <v>4979.06853913755</v>
      </c>
      <c r="BM8" s="14">
        <v>4979.06853913755</v>
      </c>
      <c r="BN8" s="14">
        <v>4979.06853913755</v>
      </c>
      <c r="BO8" s="14">
        <v>4952.4425041689</v>
      </c>
      <c r="BP8" s="14">
        <v>4952.4425041689</v>
      </c>
      <c r="BQ8" s="14">
        <v>4952.4425041689</v>
      </c>
      <c r="BR8" s="14">
        <v>4952.4425041689</v>
      </c>
      <c r="BS8" s="14">
        <v>4925.81646920025</v>
      </c>
      <c r="BT8" s="14">
        <v>4925.81646920025</v>
      </c>
      <c r="BU8" s="14">
        <v>4925.81646920025</v>
      </c>
      <c r="BV8" s="14">
        <v>4925.81646920025</v>
      </c>
      <c r="BW8" s="14">
        <v>4899.1904342316</v>
      </c>
      <c r="BX8" s="14">
        <v>4899.1904342316</v>
      </c>
      <c r="BY8" s="14">
        <v>4899.1904342316</v>
      </c>
      <c r="BZ8" s="14">
        <v>4899.1904342316</v>
      </c>
      <c r="CA8" s="14">
        <v>4872.56439926295</v>
      </c>
      <c r="CB8" s="14">
        <v>4872.56439926295</v>
      </c>
      <c r="CC8" s="14">
        <v>4872.56439926295</v>
      </c>
      <c r="CD8" s="14">
        <v>4872.56439926295</v>
      </c>
      <c r="CE8" s="14">
        <v>4845.9383642943</v>
      </c>
      <c r="CF8" s="14">
        <v>4845.9383642943</v>
      </c>
      <c r="CG8" s="14">
        <v>4845.9383642943</v>
      </c>
      <c r="CH8" s="14">
        <v>4845.9383642943</v>
      </c>
      <c r="CI8" s="14">
        <v>4819.312329325649</v>
      </c>
      <c r="CJ8" s="14">
        <v>4819.312329325649</v>
      </c>
      <c r="CK8" s="14">
        <v>4819.312329325649</v>
      </c>
      <c r="CL8" s="14">
        <v>4819.312329325649</v>
      </c>
    </row>
    <row r="10" spans="2:2" x14ac:dyDescent="0.25">
      <c r="B10" s="39" t="s">
        <v>245</v>
      </c>
    </row>
    <row r="11" spans="2:90" x14ac:dyDescent="0.25">
      <c r="B11" s="37" t="s">
        <v>227</v>
      </c>
      <c r="C11" s="38" t="s">
        <v>205</v>
      </c>
      <c r="D11" s="27">
        <v>-10000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f>-('입력값'!C44*100*(3/12))</f>
      </c>
      <c r="L11" s="27">
        <f>-('입력값'!C44*100*(3/12))</f>
      </c>
      <c r="M11" s="27">
        <f>-('입력값'!C44*100*(3/12))</f>
      </c>
      <c r="N11" s="27">
        <f>-('입력값'!C44*100*(3/12))</f>
      </c>
      <c r="O11" s="27">
        <f>-('입력값'!C44*100*(3/12))</f>
      </c>
      <c r="P11" s="27">
        <f>-('입력값'!C44*100*(3/12))</f>
      </c>
      <c r="Q11" s="27">
        <f>-('입력값'!C44*100*(3/12))</f>
      </c>
      <c r="R11" s="27">
        <f>-('입력값'!C44*100*(3/12))</f>
      </c>
      <c r="S11" s="27">
        <f>-('입력값'!C44*100*(3/12))</f>
      </c>
      <c r="T11" s="27">
        <f>-('입력값'!C44*100*(3/12))</f>
      </c>
      <c r="U11" s="27">
        <f>-('입력값'!C44*100*(3/12))</f>
      </c>
      <c r="V11" s="27">
        <f>-('입력값'!C44*100*(3/12))</f>
      </c>
      <c r="W11" s="27">
        <f>-('입력값'!C44*100*(3/12))</f>
      </c>
      <c r="X11" s="27">
        <f>-('입력값'!C44*100*(3/12))</f>
      </c>
      <c r="Y11" s="27">
        <f>-('입력값'!C44*100*(3/12))</f>
      </c>
      <c r="Z11" s="27">
        <f>-('입력값'!C44*100*(3/12))</f>
      </c>
      <c r="AA11" s="27">
        <f>-('입력값'!C44*100*(3/12))</f>
      </c>
      <c r="AB11" s="27">
        <f>-('입력값'!C44*100*(3/12))</f>
      </c>
      <c r="AC11" s="27">
        <f>-('입력값'!C44*100*(3/12))</f>
      </c>
      <c r="AD11" s="27">
        <f>-('입력값'!C44*100*(3/12))</f>
      </c>
      <c r="AE11" s="27">
        <f>-('입력값'!C44*100*(3/12))</f>
      </c>
      <c r="AF11" s="27">
        <f>-('입력값'!C44*100*(3/12))</f>
      </c>
      <c r="AG11" s="27">
        <f>-('입력값'!C44*100*(3/12))</f>
      </c>
      <c r="AH11" s="27">
        <f>-('입력값'!C44*100*(3/12))</f>
      </c>
      <c r="AI11" s="27">
        <f>-('입력값'!C44*100*(3/12))</f>
      </c>
      <c r="AJ11" s="27">
        <f>-('입력값'!C44*100*(3/12))</f>
      </c>
      <c r="AK11" s="27">
        <f>-('입력값'!C44*100*(3/12))</f>
      </c>
      <c r="AL11" s="27">
        <f>-('입력값'!C44*100*(3/12))</f>
      </c>
      <c r="AM11" s="27">
        <f>-('입력값'!C44*100*(3/12))</f>
      </c>
      <c r="AN11" s="27">
        <f>-('입력값'!C44*100*(3/12))</f>
      </c>
      <c r="AO11" s="27">
        <f>-('입력값'!C44*100*(3/12))</f>
      </c>
      <c r="AP11" s="27">
        <f>-('입력값'!C44*100*(3/12))</f>
      </c>
      <c r="AQ11" s="27">
        <f>-('입력값'!C44*100*(3/12))</f>
      </c>
      <c r="AR11" s="27">
        <f>-('입력값'!C44*100*(3/12))</f>
      </c>
      <c r="AS11" s="27">
        <f>-('입력값'!C44*100*(3/12))</f>
      </c>
      <c r="AT11" s="27">
        <f>-('입력값'!C44*100*(3/12))</f>
      </c>
      <c r="AU11" s="27">
        <f>-('입력값'!C44*100*(3/12))</f>
      </c>
      <c r="AV11" s="27">
        <f>-('입력값'!C44*100*(3/12))</f>
      </c>
      <c r="AW11" s="27">
        <f>-('입력값'!C44*100*(3/12))</f>
      </c>
      <c r="AX11" s="27">
        <f>-('입력값'!C44*100*(3/12))</f>
      </c>
      <c r="AY11" s="27">
        <f>-('입력값'!C44*100*(3/12))</f>
      </c>
      <c r="AZ11" s="27">
        <f>-('입력값'!C44*100*(3/12))</f>
      </c>
      <c r="BA11" s="27">
        <f>-('입력값'!C44*100*(3/12))</f>
      </c>
      <c r="BB11" s="27">
        <f>-('입력값'!C44*100*(3/12))</f>
      </c>
      <c r="BC11" s="27">
        <f>-('입력값'!C44*100*(3/12))</f>
      </c>
      <c r="BD11" s="27">
        <f>-('입력값'!C44*100*(3/12))</f>
      </c>
      <c r="BE11" s="27">
        <f>-('입력값'!C44*100*(3/12))</f>
      </c>
      <c r="BF11" s="27">
        <f>-('입력값'!C44*100*(3/12))</f>
      </c>
      <c r="BG11" s="27">
        <f>-('입력값'!C44*100*(3/12))</f>
      </c>
      <c r="BH11" s="27">
        <f>-('입력값'!C44*100*(3/12))</f>
      </c>
      <c r="BI11" s="27">
        <f>-('입력값'!C44*100*(3/12))</f>
      </c>
      <c r="BJ11" s="27">
        <f>-('입력값'!C44*100*(3/12))</f>
      </c>
      <c r="BK11" s="27">
        <f>-('입력값'!C44*100*(3/12))</f>
      </c>
      <c r="BL11" s="27">
        <f>-('입력값'!C44*100*(3/12))</f>
      </c>
      <c r="BM11" s="27">
        <f>-('입력값'!C44*100*(3/12))</f>
      </c>
      <c r="BN11" s="27">
        <f>-('입력값'!C44*100*(3/12))</f>
      </c>
      <c r="BO11" s="27">
        <f>-('입력값'!C44*100*(3/12))</f>
      </c>
      <c r="BP11" s="27">
        <f>-('입력값'!C44*100*(3/12))</f>
      </c>
      <c r="BQ11" s="27">
        <f>-('입력값'!C44*100*(3/12))</f>
      </c>
      <c r="BR11" s="27">
        <f>-('입력값'!C44*100*(3/12))</f>
      </c>
      <c r="BS11" s="27">
        <f>-('입력값'!C44*100*(3/12))</f>
      </c>
      <c r="BT11" s="27">
        <f>-('입력값'!C44*100*(3/12))</f>
      </c>
      <c r="BU11" s="27">
        <f>-('입력값'!C44*100*(3/12))</f>
      </c>
      <c r="BV11" s="27">
        <f>-('입력값'!C44*100*(3/12))</f>
      </c>
      <c r="BW11" s="27">
        <f>-('입력값'!C44*100*(3/12))</f>
      </c>
      <c r="BX11" s="27">
        <f>-('입력값'!C44*100*(3/12))</f>
      </c>
      <c r="BY11" s="27">
        <f>-('입력값'!C44*100*(3/12))</f>
      </c>
      <c r="BZ11" s="27">
        <f>-('입력값'!C44*100*(3/12))</f>
      </c>
      <c r="CA11" s="27">
        <f>-('입력값'!C44*100*(3/12))</f>
      </c>
      <c r="CB11" s="27">
        <f>-('입력값'!C44*100*(3/12))</f>
      </c>
      <c r="CC11" s="27">
        <f>-('입력값'!C44*100*(3/12))</f>
      </c>
      <c r="CD11" s="27">
        <f>-('입력값'!C44*100*(3/12))</f>
      </c>
      <c r="CE11" s="27">
        <f>-('입력값'!C44*100*(3/12))</f>
      </c>
      <c r="CF11" s="27">
        <f>-('입력값'!C44*100*(3/12))</f>
      </c>
      <c r="CG11" s="27">
        <f>-('입력값'!C44*100*(3/12))</f>
      </c>
      <c r="CH11" s="27">
        <f>-('입력값'!C44*100*(3/12))</f>
      </c>
      <c r="CI11" s="27">
        <f>-('입력값'!C44*100*(3/12))</f>
      </c>
      <c r="CJ11" s="27">
        <f>-('입력값'!C44*100*(3/12))</f>
      </c>
      <c r="CK11" s="27">
        <f>-('입력값'!C44*100*(3/12))</f>
      </c>
      <c r="CL11" s="27">
        <f>-('입력값'!C44*100*(3/12))</f>
      </c>
    </row>
    <row r="12" spans="2:90" x14ac:dyDescent="0.25">
      <c r="B12" s="37" t="s">
        <v>228</v>
      </c>
      <c r="C12" s="38" t="s">
        <v>205</v>
      </c>
      <c r="D12" s="27">
        <v>-18498.93368266963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f>-('입력값'!C45*100*(3/12)*(1+'입력값'!D45/100)^0)</f>
      </c>
      <c r="L12" s="27">
        <f>-('입력값'!C45*100*(3/12)*(1+'입력값'!D45/100)^0)</f>
      </c>
      <c r="M12" s="27">
        <f>-('입력값'!C45*100*(3/12)*(1+'입력값'!D45/100)^0)</f>
      </c>
      <c r="N12" s="27">
        <f>-('입력값'!C45*100*(3/12)*(1+'입력값'!D45/100)^0)</f>
      </c>
      <c r="O12" s="27">
        <f>-('입력값'!C45*100*(3/12)*(1+'입력값'!D45/100)^1)</f>
      </c>
      <c r="P12" s="27">
        <f>-('입력값'!C45*100*(3/12)*(1+'입력값'!D45/100)^1)</f>
      </c>
      <c r="Q12" s="27">
        <f>-('입력값'!C45*100*(3/12)*(1+'입력값'!D45/100)^1)</f>
      </c>
      <c r="R12" s="27">
        <f>-('입력값'!C45*100*(3/12)*(1+'입력값'!D45/100)^1)</f>
      </c>
      <c r="S12" s="27">
        <f>-('입력값'!C45*100*(3/12)*(1+'입력값'!D45/100)^2)</f>
      </c>
      <c r="T12" s="27">
        <f>-('입력값'!C45*100*(3/12)*(1+'입력값'!D45/100)^2)</f>
      </c>
      <c r="U12" s="27">
        <f>-('입력값'!C45*100*(3/12)*(1+'입력값'!D45/100)^2)</f>
      </c>
      <c r="V12" s="27">
        <f>-('입력값'!C45*100*(3/12)*(1+'입력값'!D45/100)^2)</f>
      </c>
      <c r="W12" s="27">
        <f>-('입력값'!C45*100*(3/12)*(1+'입력값'!D45/100)^3)</f>
      </c>
      <c r="X12" s="27">
        <f>-('입력값'!C45*100*(3/12)*(1+'입력값'!D45/100)^3)</f>
      </c>
      <c r="Y12" s="27">
        <f>-('입력값'!C45*100*(3/12)*(1+'입력값'!D45/100)^3)</f>
      </c>
      <c r="Z12" s="27">
        <f>-('입력값'!C45*100*(3/12)*(1+'입력값'!D45/100)^3)</f>
      </c>
      <c r="AA12" s="27">
        <f>-('입력값'!C45*100*(3/12)*(1+'입력값'!D45/100)^4)</f>
      </c>
      <c r="AB12" s="27">
        <f>-('입력값'!C45*100*(3/12)*(1+'입력값'!D45/100)^4)</f>
      </c>
      <c r="AC12" s="27">
        <f>-('입력값'!C45*100*(3/12)*(1+'입력값'!D45/100)^4)</f>
      </c>
      <c r="AD12" s="27">
        <f>-('입력값'!C45*100*(3/12)*(1+'입력값'!D45/100)^4)</f>
      </c>
      <c r="AE12" s="27">
        <f>-('입력값'!C45*100*(3/12)*(1+'입력값'!D45/100)^5)</f>
      </c>
      <c r="AF12" s="27">
        <f>-('입력값'!C45*100*(3/12)*(1+'입력값'!D45/100)^5)</f>
      </c>
      <c r="AG12" s="27">
        <f>-('입력값'!C45*100*(3/12)*(1+'입력값'!D45/100)^5)</f>
      </c>
      <c r="AH12" s="27">
        <f>-('입력값'!C45*100*(3/12)*(1+'입력값'!D45/100)^5)</f>
      </c>
      <c r="AI12" s="27">
        <f>-('입력값'!C45*100*(3/12)*(1+'입력값'!D45/100)^6)</f>
      </c>
      <c r="AJ12" s="27">
        <f>-('입력값'!C45*100*(3/12)*(1+'입력값'!D45/100)^6)</f>
      </c>
      <c r="AK12" s="27">
        <f>-('입력값'!C45*100*(3/12)*(1+'입력값'!D45/100)^6)</f>
      </c>
      <c r="AL12" s="27">
        <f>-('입력값'!C45*100*(3/12)*(1+'입력값'!D45/100)^6)</f>
      </c>
      <c r="AM12" s="27">
        <f>-('입력값'!C45*100*(3/12)*(1+'입력값'!D45/100)^7)</f>
      </c>
      <c r="AN12" s="27">
        <f>-('입력값'!C45*100*(3/12)*(1+'입력값'!D45/100)^7)</f>
      </c>
      <c r="AO12" s="27">
        <f>-('입력값'!C45*100*(3/12)*(1+'입력값'!D45/100)^7)</f>
      </c>
      <c r="AP12" s="27">
        <f>-('입력값'!C45*100*(3/12)*(1+'입력값'!D45/100)^7)</f>
      </c>
      <c r="AQ12" s="27">
        <f>-('입력값'!C45*100*(3/12)*(1+'입력값'!D45/100)^8)</f>
      </c>
      <c r="AR12" s="27">
        <f>-('입력값'!C45*100*(3/12)*(1+'입력값'!D45/100)^8)</f>
      </c>
      <c r="AS12" s="27">
        <f>-('입력값'!C45*100*(3/12)*(1+'입력값'!D45/100)^8)</f>
      </c>
      <c r="AT12" s="27">
        <f>-('입력값'!C45*100*(3/12)*(1+'입력값'!D45/100)^8)</f>
      </c>
      <c r="AU12" s="27">
        <f>-('입력값'!C45*100*(3/12)*(1+'입력값'!D45/100)^9)</f>
      </c>
      <c r="AV12" s="27">
        <f>-('입력값'!C45*100*(3/12)*(1+'입력값'!D45/100)^9)</f>
      </c>
      <c r="AW12" s="27">
        <f>-('입력값'!C45*100*(3/12)*(1+'입력값'!D45/100)^9)</f>
      </c>
      <c r="AX12" s="27">
        <f>-('입력값'!C45*100*(3/12)*(1+'입력값'!D45/100)^9)</f>
      </c>
      <c r="AY12" s="27">
        <f>-('입력값'!C45*100*(3/12)*(1+'입력값'!D45/100)^10)</f>
      </c>
      <c r="AZ12" s="27">
        <f>-('입력값'!C45*100*(3/12)*(1+'입력값'!D45/100)^10)</f>
      </c>
      <c r="BA12" s="27">
        <f>-('입력값'!C45*100*(3/12)*(1+'입력값'!D45/100)^10)</f>
      </c>
      <c r="BB12" s="27">
        <f>-('입력값'!C45*100*(3/12)*(1+'입력값'!D45/100)^10)</f>
      </c>
      <c r="BC12" s="27">
        <f>-('입력값'!C45*100*(3/12)*(1+'입력값'!D45/100)^11)</f>
      </c>
      <c r="BD12" s="27">
        <f>-('입력값'!C45*100*(3/12)*(1+'입력값'!D45/100)^11)</f>
      </c>
      <c r="BE12" s="27">
        <f>-('입력값'!C45*100*(3/12)*(1+'입력값'!D45/100)^11)</f>
      </c>
      <c r="BF12" s="27">
        <f>-('입력값'!C45*100*(3/12)*(1+'입력값'!D45/100)^11)</f>
      </c>
      <c r="BG12" s="27">
        <f>-('입력값'!C45*100*(3/12)*(1+'입력값'!D45/100)^12)</f>
      </c>
      <c r="BH12" s="27">
        <f>-('입력값'!C45*100*(3/12)*(1+'입력값'!D45/100)^12)</f>
      </c>
      <c r="BI12" s="27">
        <f>-('입력값'!C45*100*(3/12)*(1+'입력값'!D45/100)^12)</f>
      </c>
      <c r="BJ12" s="27">
        <f>-('입력값'!C45*100*(3/12)*(1+'입력값'!D45/100)^12)</f>
      </c>
      <c r="BK12" s="27">
        <f>-('입력값'!C45*100*(3/12)*(1+'입력값'!D45/100)^13)</f>
      </c>
      <c r="BL12" s="27">
        <f>-('입력값'!C45*100*(3/12)*(1+'입력값'!D45/100)^13)</f>
      </c>
      <c r="BM12" s="27">
        <f>-('입력값'!C45*100*(3/12)*(1+'입력값'!D45/100)^13)</f>
      </c>
      <c r="BN12" s="27">
        <f>-('입력값'!C45*100*(3/12)*(1+'입력값'!D45/100)^13)</f>
      </c>
      <c r="BO12" s="27">
        <f>-('입력값'!C45*100*(3/12)*(1+'입력값'!D45/100)^14)</f>
      </c>
      <c r="BP12" s="27">
        <f>-('입력값'!C45*100*(3/12)*(1+'입력값'!D45/100)^14)</f>
      </c>
      <c r="BQ12" s="27">
        <f>-('입력값'!C45*100*(3/12)*(1+'입력값'!D45/100)^14)</f>
      </c>
      <c r="BR12" s="27">
        <f>-('입력값'!C45*100*(3/12)*(1+'입력값'!D45/100)^14)</f>
      </c>
      <c r="BS12" s="27">
        <f>-('입력값'!C45*100*(3/12)*(1+'입력값'!D45/100)^15)</f>
      </c>
      <c r="BT12" s="27">
        <f>-('입력값'!C45*100*(3/12)*(1+'입력값'!D45/100)^15)</f>
      </c>
      <c r="BU12" s="27">
        <f>-('입력값'!C45*100*(3/12)*(1+'입력값'!D45/100)^15)</f>
      </c>
      <c r="BV12" s="27">
        <f>-('입력값'!C45*100*(3/12)*(1+'입력값'!D45/100)^15)</f>
      </c>
      <c r="BW12" s="27">
        <f>-('입력값'!C45*100*(3/12)*(1+'입력값'!D45/100)^16)</f>
      </c>
      <c r="BX12" s="27">
        <f>-('입력값'!C45*100*(3/12)*(1+'입력값'!D45/100)^16)</f>
      </c>
      <c r="BY12" s="27">
        <f>-('입력값'!C45*100*(3/12)*(1+'입력값'!D45/100)^16)</f>
      </c>
      <c r="BZ12" s="27">
        <f>-('입력값'!C45*100*(3/12)*(1+'입력값'!D45/100)^16)</f>
      </c>
      <c r="CA12" s="27">
        <f>-('입력값'!C45*100*(3/12)*(1+'입력값'!D45/100)^17)</f>
      </c>
      <c r="CB12" s="27">
        <f>-('입력값'!C45*100*(3/12)*(1+'입력값'!D45/100)^17)</f>
      </c>
      <c r="CC12" s="27">
        <f>-('입력값'!C45*100*(3/12)*(1+'입력값'!D45/100)^17)</f>
      </c>
      <c r="CD12" s="27">
        <f>-('입력값'!C45*100*(3/12)*(1+'입력값'!D45/100)^17)</f>
      </c>
      <c r="CE12" s="27">
        <f>-('입력값'!C45*100*(3/12)*(1+'입력값'!D45/100)^18)</f>
      </c>
      <c r="CF12" s="27">
        <f>-('입력값'!C45*100*(3/12)*(1+'입력값'!D45/100)^18)</f>
      </c>
      <c r="CG12" s="27">
        <f>-('입력값'!C45*100*(3/12)*(1+'입력값'!D45/100)^18)</f>
      </c>
      <c r="CH12" s="27">
        <f>-('입력값'!C45*100*(3/12)*(1+'입력값'!D45/100)^18)</f>
      </c>
      <c r="CI12" s="27">
        <f>-('입력값'!C45*100*(3/12)*(1+'입력값'!D45/100)^19)</f>
      </c>
      <c r="CJ12" s="27">
        <f>-('입력값'!C45*100*(3/12)*(1+'입력값'!D45/100)^19)</f>
      </c>
      <c r="CK12" s="27">
        <f>-('입력값'!C45*100*(3/12)*(1+'입력값'!D45/100)^19)</f>
      </c>
      <c r="CL12" s="27">
        <f>-('입력값'!C45*100*(3/12)*(1+'입력값'!D45/100)^19)</f>
      </c>
    </row>
    <row r="13" spans="2:90" x14ac:dyDescent="0.25">
      <c r="B13" s="37" t="s">
        <v>229</v>
      </c>
      <c r="C13" s="38" t="s">
        <v>205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f>-('입력값'!C46*100*(3/12))</f>
      </c>
      <c r="L13" s="27">
        <f>-('입력값'!C46*100*(3/12))</f>
      </c>
      <c r="M13" s="27">
        <f>-('입력값'!C46*100*(3/12))</f>
      </c>
      <c r="N13" s="27">
        <f>-('입력값'!C46*100*(3/12))</f>
      </c>
      <c r="O13" s="27">
        <f>-('입력값'!C46*100*(3/12))</f>
      </c>
      <c r="P13" s="27">
        <f>-('입력값'!C46*100*(3/12))</f>
      </c>
      <c r="Q13" s="27">
        <f>-('입력값'!C46*100*(3/12))</f>
      </c>
      <c r="R13" s="27">
        <f>-('입력값'!C46*100*(3/12))</f>
      </c>
      <c r="S13" s="27">
        <f>-('입력값'!C46*100*(3/12))</f>
      </c>
      <c r="T13" s="27">
        <f>-('입력값'!C46*100*(3/12))</f>
      </c>
      <c r="U13" s="27">
        <f>-('입력값'!C46*100*(3/12))</f>
      </c>
      <c r="V13" s="27">
        <f>-('입력값'!C46*100*(3/12))</f>
      </c>
      <c r="W13" s="27">
        <f>-('입력값'!C46*100*(3/12))</f>
      </c>
      <c r="X13" s="27">
        <f>-('입력값'!C46*100*(3/12))</f>
      </c>
      <c r="Y13" s="27">
        <f>-('입력값'!C46*100*(3/12))</f>
      </c>
      <c r="Z13" s="27">
        <f>-('입력값'!C46*100*(3/12))</f>
      </c>
      <c r="AA13" s="27">
        <f>-('입력값'!C46*100*(3/12))</f>
      </c>
      <c r="AB13" s="27">
        <f>-('입력값'!C46*100*(3/12))</f>
      </c>
      <c r="AC13" s="27">
        <f>-('입력값'!C46*100*(3/12))</f>
      </c>
      <c r="AD13" s="27">
        <f>-('입력값'!C46*100*(3/12))</f>
      </c>
      <c r="AE13" s="27">
        <f>-('입력값'!C46*100*(3/12))</f>
      </c>
      <c r="AF13" s="27">
        <f>-('입력값'!C46*100*(3/12))</f>
      </c>
      <c r="AG13" s="27">
        <f>-('입력값'!C46*100*(3/12))</f>
      </c>
      <c r="AH13" s="27">
        <f>-('입력값'!C46*100*(3/12))</f>
      </c>
      <c r="AI13" s="27">
        <f>-('입력값'!C46*100*(3/12))</f>
      </c>
      <c r="AJ13" s="27">
        <f>-('입력값'!C46*100*(3/12))</f>
      </c>
      <c r="AK13" s="27">
        <f>-('입력값'!C46*100*(3/12))</f>
      </c>
      <c r="AL13" s="27">
        <f>-('입력값'!C46*100*(3/12))</f>
      </c>
      <c r="AM13" s="27">
        <f>-('입력값'!C46*100*(3/12))</f>
      </c>
      <c r="AN13" s="27">
        <f>-('입력값'!C46*100*(3/12))</f>
      </c>
      <c r="AO13" s="27">
        <f>-('입력값'!C46*100*(3/12))</f>
      </c>
      <c r="AP13" s="27">
        <f>-('입력값'!C46*100*(3/12))</f>
      </c>
      <c r="AQ13" s="27">
        <f>-('입력값'!C46*100*(3/12))</f>
      </c>
      <c r="AR13" s="27">
        <f>-('입력값'!C46*100*(3/12))</f>
      </c>
      <c r="AS13" s="27">
        <f>-('입력값'!C46*100*(3/12))</f>
      </c>
      <c r="AT13" s="27">
        <f>-('입력값'!C46*100*(3/12))</f>
      </c>
      <c r="AU13" s="27">
        <f>-('입력값'!C46*100*(3/12))</f>
      </c>
      <c r="AV13" s="27">
        <f>-('입력값'!C46*100*(3/12))</f>
      </c>
      <c r="AW13" s="27">
        <f>-('입력값'!C46*100*(3/12))</f>
      </c>
      <c r="AX13" s="27">
        <f>-('입력값'!C46*100*(3/12))</f>
      </c>
      <c r="AY13" s="27">
        <f>-('입력값'!C46*100*(3/12))</f>
      </c>
      <c r="AZ13" s="27">
        <f>-('입력값'!C46*100*(3/12))</f>
      </c>
      <c r="BA13" s="27">
        <f>-('입력값'!C46*100*(3/12))</f>
      </c>
      <c r="BB13" s="27">
        <f>-('입력값'!C46*100*(3/12))</f>
      </c>
      <c r="BC13" s="27">
        <f>-('입력값'!C46*100*(3/12))</f>
      </c>
      <c r="BD13" s="27">
        <f>-('입력값'!C46*100*(3/12))</f>
      </c>
      <c r="BE13" s="27">
        <f>-('입력값'!C46*100*(3/12))</f>
      </c>
      <c r="BF13" s="27">
        <f>-('입력값'!C46*100*(3/12))</f>
      </c>
      <c r="BG13" s="27">
        <f>-('입력값'!C46*100*(3/12))</f>
      </c>
      <c r="BH13" s="27">
        <f>-('입력값'!C46*100*(3/12))</f>
      </c>
      <c r="BI13" s="27">
        <f>-('입력값'!C46*100*(3/12))</f>
      </c>
      <c r="BJ13" s="27">
        <f>-('입력값'!C46*100*(3/12))</f>
      </c>
      <c r="BK13" s="27">
        <f>-('입력값'!C46*100*(3/12))</f>
      </c>
      <c r="BL13" s="27">
        <f>-('입력값'!C46*100*(3/12))</f>
      </c>
      <c r="BM13" s="27">
        <f>-('입력값'!C46*100*(3/12))</f>
      </c>
      <c r="BN13" s="27">
        <f>-('입력값'!C46*100*(3/12))</f>
      </c>
      <c r="BO13" s="27">
        <f>-('입력값'!C46*100*(3/12))</f>
      </c>
      <c r="BP13" s="27">
        <f>-('입력값'!C46*100*(3/12))</f>
      </c>
      <c r="BQ13" s="27">
        <f>-('입력값'!C46*100*(3/12))</f>
      </c>
      <c r="BR13" s="27">
        <f>-('입력값'!C46*100*(3/12))</f>
      </c>
      <c r="BS13" s="27">
        <f>-('입력값'!C46*100*(3/12))</f>
      </c>
      <c r="BT13" s="27">
        <f>-('입력값'!C46*100*(3/12))</f>
      </c>
      <c r="BU13" s="27">
        <f>-('입력값'!C46*100*(3/12))</f>
      </c>
      <c r="BV13" s="27">
        <f>-('입력값'!C46*100*(3/12))</f>
      </c>
      <c r="BW13" s="27">
        <f>-('입력값'!C46*100*(3/12))</f>
      </c>
      <c r="BX13" s="27">
        <f>-('입력값'!C46*100*(3/12))</f>
      </c>
      <c r="BY13" s="27">
        <f>-('입력값'!C46*100*(3/12))</f>
      </c>
      <c r="BZ13" s="27">
        <f>-('입력값'!C46*100*(3/12))</f>
      </c>
      <c r="CA13" s="27">
        <f>-('입력값'!C46*100*(3/12))</f>
      </c>
      <c r="CB13" s="27">
        <f>-('입력값'!C46*100*(3/12))</f>
      </c>
      <c r="CC13" s="27">
        <f>-('입력값'!C46*100*(3/12))</f>
      </c>
      <c r="CD13" s="27">
        <f>-('입력값'!C46*100*(3/12))</f>
      </c>
      <c r="CE13" s="27">
        <f>-('입력값'!C46*100*(3/12))</f>
      </c>
      <c r="CF13" s="27">
        <f>-('입력값'!C46*100*(3/12))</f>
      </c>
      <c r="CG13" s="27">
        <f>-('입력값'!C46*100*(3/12))</f>
      </c>
      <c r="CH13" s="27">
        <f>-('입력값'!C46*100*(3/12))</f>
      </c>
      <c r="CI13" s="27">
        <f>-('입력값'!C46*100*(3/12))</f>
      </c>
      <c r="CJ13" s="27">
        <f>-('입력값'!C46*100*(3/12))</f>
      </c>
      <c r="CK13" s="27">
        <f>-('입력값'!C46*100*(3/12))</f>
      </c>
      <c r="CL13" s="27">
        <f>-('입력값'!C46*100*(3/12))</f>
      </c>
    </row>
    <row r="14" spans="2:90" x14ac:dyDescent="0.25">
      <c r="B14" s="37" t="s">
        <v>230</v>
      </c>
      <c r="C14" s="38" t="s">
        <v>205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f>-('입력값'!C47*100*(3/12))</f>
      </c>
      <c r="L14" s="27">
        <f>-('입력값'!C47*100*(3/12))</f>
      </c>
      <c r="M14" s="27">
        <f>-('입력값'!C47*100*(3/12))</f>
      </c>
      <c r="N14" s="27">
        <f>-('입력값'!C47*100*(3/12))</f>
      </c>
      <c r="O14" s="27">
        <f>-('입력값'!C47*100*(3/12))</f>
      </c>
      <c r="P14" s="27">
        <f>-('입력값'!C47*100*(3/12))</f>
      </c>
      <c r="Q14" s="27">
        <f>-('입력값'!C47*100*(3/12))</f>
      </c>
      <c r="R14" s="27">
        <f>-('입력값'!C47*100*(3/12))</f>
      </c>
      <c r="S14" s="27">
        <f>-('입력값'!C47*100*(3/12))</f>
      </c>
      <c r="T14" s="27">
        <f>-('입력값'!C47*100*(3/12))</f>
      </c>
      <c r="U14" s="27">
        <f>-('입력값'!C47*100*(3/12))</f>
      </c>
      <c r="V14" s="27">
        <f>-('입력값'!C47*100*(3/12))</f>
      </c>
      <c r="W14" s="27">
        <f>-('입력값'!C47*100*(3/12))</f>
      </c>
      <c r="X14" s="27">
        <f>-('입력값'!C47*100*(3/12))</f>
      </c>
      <c r="Y14" s="27">
        <f>-('입력값'!C47*100*(3/12))</f>
      </c>
      <c r="Z14" s="27">
        <f>-('입력값'!C47*100*(3/12))</f>
      </c>
      <c r="AA14" s="27">
        <f>-('입력값'!C47*100*(3/12))</f>
      </c>
      <c r="AB14" s="27">
        <f>-('입력값'!C47*100*(3/12))</f>
      </c>
      <c r="AC14" s="27">
        <f>-('입력값'!C47*100*(3/12))</f>
      </c>
      <c r="AD14" s="27">
        <f>-('입력값'!C47*100*(3/12))</f>
      </c>
      <c r="AE14" s="27">
        <f>-('입력값'!C47*100*(3/12))</f>
      </c>
      <c r="AF14" s="27">
        <f>-('입력값'!C47*100*(3/12))</f>
      </c>
      <c r="AG14" s="27">
        <f>-('입력값'!C47*100*(3/12))</f>
      </c>
      <c r="AH14" s="27">
        <f>-('입력값'!C47*100*(3/12))</f>
      </c>
      <c r="AI14" s="27">
        <f>-('입력값'!C47*100*(3/12))</f>
      </c>
      <c r="AJ14" s="27">
        <f>-('입력값'!C47*100*(3/12))</f>
      </c>
      <c r="AK14" s="27">
        <f>-('입력값'!C47*100*(3/12))</f>
      </c>
      <c r="AL14" s="27">
        <f>-('입력값'!C47*100*(3/12))</f>
      </c>
      <c r="AM14" s="27">
        <f>-('입력값'!C47*100*(3/12))</f>
      </c>
      <c r="AN14" s="27">
        <f>-('입력값'!C47*100*(3/12))</f>
      </c>
      <c r="AO14" s="27">
        <f>-('입력값'!C47*100*(3/12))</f>
      </c>
      <c r="AP14" s="27">
        <f>-('입력값'!C47*100*(3/12))</f>
      </c>
      <c r="AQ14" s="27">
        <f>-('입력값'!C47*100*(3/12))</f>
      </c>
      <c r="AR14" s="27">
        <f>-('입력값'!C47*100*(3/12))</f>
      </c>
      <c r="AS14" s="27">
        <f>-('입력값'!C47*100*(3/12))</f>
      </c>
      <c r="AT14" s="27">
        <f>-('입력값'!C47*100*(3/12))</f>
      </c>
      <c r="AU14" s="27">
        <f>-('입력값'!C47*100*(3/12))</f>
      </c>
      <c r="AV14" s="27">
        <f>-('입력값'!C47*100*(3/12))</f>
      </c>
      <c r="AW14" s="27">
        <f>-('입력값'!C47*100*(3/12))</f>
      </c>
      <c r="AX14" s="27">
        <f>-('입력값'!C47*100*(3/12))</f>
      </c>
      <c r="AY14" s="27">
        <f>-('입력값'!C47*100*(3/12))</f>
      </c>
      <c r="AZ14" s="27">
        <f>-('입력값'!C47*100*(3/12))</f>
      </c>
      <c r="BA14" s="27">
        <f>-('입력값'!C47*100*(3/12))</f>
      </c>
      <c r="BB14" s="27">
        <f>-('입력값'!C47*100*(3/12))</f>
      </c>
      <c r="BC14" s="27">
        <f>-('입력값'!C47*100*(3/12))</f>
      </c>
      <c r="BD14" s="27">
        <f>-('입력값'!C47*100*(3/12))</f>
      </c>
      <c r="BE14" s="27">
        <f>-('입력값'!C47*100*(3/12))</f>
      </c>
      <c r="BF14" s="27">
        <f>-('입력값'!C47*100*(3/12))</f>
      </c>
      <c r="BG14" s="27">
        <f>-('입력값'!C47*100*(3/12))</f>
      </c>
      <c r="BH14" s="27">
        <f>-('입력값'!C47*100*(3/12))</f>
      </c>
      <c r="BI14" s="27">
        <f>-('입력값'!C47*100*(3/12))</f>
      </c>
      <c r="BJ14" s="27">
        <f>-('입력값'!C47*100*(3/12))</f>
      </c>
      <c r="BK14" s="27">
        <f>-('입력값'!C47*100*(3/12))</f>
      </c>
      <c r="BL14" s="27">
        <f>-('입력값'!C47*100*(3/12))</f>
      </c>
      <c r="BM14" s="27">
        <f>-('입력값'!C47*100*(3/12))</f>
      </c>
      <c r="BN14" s="27">
        <f>-('입력값'!C47*100*(3/12))</f>
      </c>
      <c r="BO14" s="27">
        <f>-('입력값'!C47*100*(3/12))</f>
      </c>
      <c r="BP14" s="27">
        <f>-('입력값'!C47*100*(3/12))</f>
      </c>
      <c r="BQ14" s="27">
        <f>-('입력값'!C47*100*(3/12))</f>
      </c>
      <c r="BR14" s="27">
        <f>-('입력값'!C47*100*(3/12))</f>
      </c>
      <c r="BS14" s="27">
        <f>-('입력값'!C47*100*(3/12))</f>
      </c>
      <c r="BT14" s="27">
        <f>-('입력값'!C47*100*(3/12))</f>
      </c>
      <c r="BU14" s="27">
        <f>-('입력값'!C47*100*(3/12))</f>
      </c>
      <c r="BV14" s="27">
        <f>-('입력값'!C47*100*(3/12))</f>
      </c>
      <c r="BW14" s="27">
        <f>-('입력값'!C47*100*(3/12))</f>
      </c>
      <c r="BX14" s="27">
        <f>-('입력값'!C47*100*(3/12))</f>
      </c>
      <c r="BY14" s="27">
        <f>-('입력값'!C47*100*(3/12))</f>
      </c>
      <c r="BZ14" s="27">
        <f>-('입력값'!C47*100*(3/12))</f>
      </c>
      <c r="CA14" s="27">
        <f>-('입력값'!C47*100*(3/12))</f>
      </c>
      <c r="CB14" s="27">
        <f>-('입력값'!C47*100*(3/12))</f>
      </c>
      <c r="CC14" s="27">
        <f>-('입력값'!C47*100*(3/12))</f>
      </c>
      <c r="CD14" s="27">
        <f>-('입력값'!C47*100*(3/12))</f>
      </c>
      <c r="CE14" s="27">
        <f>-('입력값'!C47*100*(3/12))</f>
      </c>
      <c r="CF14" s="27">
        <f>-('입력값'!C47*100*(3/12))</f>
      </c>
      <c r="CG14" s="27">
        <f>-('입력값'!C47*100*(3/12))</f>
      </c>
      <c r="CH14" s="27">
        <f>-('입력값'!C47*100*(3/12))</f>
      </c>
      <c r="CI14" s="27">
        <f>-('입력값'!C47*100*(3/12))</f>
      </c>
      <c r="CJ14" s="27">
        <f>-('입력값'!C47*100*(3/12))</f>
      </c>
      <c r="CK14" s="27">
        <f>-('입력값'!C47*100*(3/12))</f>
      </c>
      <c r="CL14" s="27">
        <f>-('입력값'!C47*100*(3/12))</f>
      </c>
    </row>
    <row r="15" spans="2:90" x14ac:dyDescent="0.25">
      <c r="B15" s="37" t="s">
        <v>231</v>
      </c>
      <c r="C15" s="38" t="s">
        <v>205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f>-('입력값'!C48*100*(3/12)*(1+'입력값'!D48/100)^0)</f>
      </c>
      <c r="L15" s="27">
        <f>-('입력값'!C48*100*(3/12)*(1+'입력값'!D48/100)^0)</f>
      </c>
      <c r="M15" s="27">
        <f>-('입력값'!C48*100*(3/12)*(1+'입력값'!D48/100)^0)</f>
      </c>
      <c r="N15" s="27">
        <f>-('입력값'!C48*100*(3/12)*(1+'입력값'!D48/100)^0)</f>
      </c>
      <c r="O15" s="27">
        <f>-('입력값'!C48*100*(3/12)*(1+'입력값'!D48/100)^1)</f>
      </c>
      <c r="P15" s="27">
        <f>-('입력값'!C48*100*(3/12)*(1+'입력값'!D48/100)^1)</f>
      </c>
      <c r="Q15" s="27">
        <f>-('입력값'!C48*100*(3/12)*(1+'입력값'!D48/100)^1)</f>
      </c>
      <c r="R15" s="27">
        <f>-('입력값'!C48*100*(3/12)*(1+'입력값'!D48/100)^1)</f>
      </c>
      <c r="S15" s="27">
        <f>-('입력값'!C48*100*(3/12)*(1+'입력값'!D48/100)^2)</f>
      </c>
      <c r="T15" s="27">
        <f>-('입력값'!C48*100*(3/12)*(1+'입력값'!D48/100)^2)</f>
      </c>
      <c r="U15" s="27">
        <f>-('입력값'!C48*100*(3/12)*(1+'입력값'!D48/100)^2)</f>
      </c>
      <c r="V15" s="27">
        <f>-('입력값'!C48*100*(3/12)*(1+'입력값'!D48/100)^2)</f>
      </c>
      <c r="W15" s="27">
        <f>-('입력값'!C48*100*(3/12)*(1+'입력값'!D48/100)^3)</f>
      </c>
      <c r="X15" s="27">
        <f>-('입력값'!C48*100*(3/12)*(1+'입력값'!D48/100)^3)</f>
      </c>
      <c r="Y15" s="27">
        <f>-('입력값'!C48*100*(3/12)*(1+'입력값'!D48/100)^3)</f>
      </c>
      <c r="Z15" s="27">
        <f>-('입력값'!C48*100*(3/12)*(1+'입력값'!D48/100)^3)</f>
      </c>
      <c r="AA15" s="27">
        <f>-('입력값'!C48*100*(3/12)*(1+'입력값'!D48/100)^4)</f>
      </c>
      <c r="AB15" s="27">
        <f>-('입력값'!C48*100*(3/12)*(1+'입력값'!D48/100)^4)</f>
      </c>
      <c r="AC15" s="27">
        <f>-('입력값'!C48*100*(3/12)*(1+'입력값'!D48/100)^4)</f>
      </c>
      <c r="AD15" s="27">
        <f>-('입력값'!C48*100*(3/12)*(1+'입력값'!D48/100)^4)</f>
      </c>
      <c r="AE15" s="27">
        <f>-('입력값'!C48*100*(3/12)*(1+'입력값'!D48/100)^5)</f>
      </c>
      <c r="AF15" s="27">
        <f>-('입력값'!C48*100*(3/12)*(1+'입력값'!D48/100)^5)</f>
      </c>
      <c r="AG15" s="27">
        <f>-('입력값'!C48*100*(3/12)*(1+'입력값'!D48/100)^5)</f>
      </c>
      <c r="AH15" s="27">
        <f>-('입력값'!C48*100*(3/12)*(1+'입력값'!D48/100)^5)</f>
      </c>
      <c r="AI15" s="27">
        <f>-('입력값'!C48*100*(3/12)*(1+'입력값'!D48/100)^6)</f>
      </c>
      <c r="AJ15" s="27">
        <f>-('입력값'!C48*100*(3/12)*(1+'입력값'!D48/100)^6)</f>
      </c>
      <c r="AK15" s="27">
        <f>-('입력값'!C48*100*(3/12)*(1+'입력값'!D48/100)^6)</f>
      </c>
      <c r="AL15" s="27">
        <f>-('입력값'!C48*100*(3/12)*(1+'입력값'!D48/100)^6)</f>
      </c>
      <c r="AM15" s="27">
        <f>-('입력값'!C48*100*(3/12)*(1+'입력값'!D48/100)^7)</f>
      </c>
      <c r="AN15" s="27">
        <f>-('입력값'!C48*100*(3/12)*(1+'입력값'!D48/100)^7)</f>
      </c>
      <c r="AO15" s="27">
        <f>-('입력값'!C48*100*(3/12)*(1+'입력값'!D48/100)^7)</f>
      </c>
      <c r="AP15" s="27">
        <f>-('입력값'!C48*100*(3/12)*(1+'입력값'!D48/100)^7)</f>
      </c>
      <c r="AQ15" s="27">
        <f>-('입력값'!C48*100*(3/12)*(1+'입력값'!D48/100)^8)</f>
      </c>
      <c r="AR15" s="27">
        <f>-('입력값'!C48*100*(3/12)*(1+'입력값'!D48/100)^8)</f>
      </c>
      <c r="AS15" s="27">
        <f>-('입력값'!C48*100*(3/12)*(1+'입력값'!D48/100)^8)</f>
      </c>
      <c r="AT15" s="27">
        <f>-('입력값'!C48*100*(3/12)*(1+'입력값'!D48/100)^8)</f>
      </c>
      <c r="AU15" s="27">
        <f>-('입력값'!C48*100*(3/12)*(1+'입력값'!D48/100)^9)</f>
      </c>
      <c r="AV15" s="27">
        <f>-('입력값'!C48*100*(3/12)*(1+'입력값'!D48/100)^9)</f>
      </c>
      <c r="AW15" s="27">
        <f>-('입력값'!C48*100*(3/12)*(1+'입력값'!D48/100)^9)</f>
      </c>
      <c r="AX15" s="27">
        <f>-('입력값'!C48*100*(3/12)*(1+'입력값'!D48/100)^9)</f>
      </c>
      <c r="AY15" s="27">
        <f>-('입력값'!C48*100*(3/12)*(1+'입력값'!D48/100)^10)</f>
      </c>
      <c r="AZ15" s="27">
        <f>-('입력값'!C48*100*(3/12)*(1+'입력값'!D48/100)^10)</f>
      </c>
      <c r="BA15" s="27">
        <f>-('입력값'!C48*100*(3/12)*(1+'입력값'!D48/100)^10)</f>
      </c>
      <c r="BB15" s="27">
        <f>-('입력값'!C48*100*(3/12)*(1+'입력값'!D48/100)^10)</f>
      </c>
      <c r="BC15" s="27">
        <f>-('입력값'!C48*100*(3/12)*(1+'입력값'!D48/100)^11)</f>
      </c>
      <c r="BD15" s="27">
        <f>-('입력값'!C48*100*(3/12)*(1+'입력값'!D48/100)^11)</f>
      </c>
      <c r="BE15" s="27">
        <f>-('입력값'!C48*100*(3/12)*(1+'입력값'!D48/100)^11)</f>
      </c>
      <c r="BF15" s="27">
        <f>-('입력값'!C48*100*(3/12)*(1+'입력값'!D48/100)^11)</f>
      </c>
      <c r="BG15" s="27">
        <f>-('입력값'!C48*100*(3/12)*(1+'입력값'!D48/100)^12)</f>
      </c>
      <c r="BH15" s="27">
        <f>-('입력값'!C48*100*(3/12)*(1+'입력값'!D48/100)^12)</f>
      </c>
      <c r="BI15" s="27">
        <f>-('입력값'!C48*100*(3/12)*(1+'입력값'!D48/100)^12)</f>
      </c>
      <c r="BJ15" s="27">
        <f>-('입력값'!C48*100*(3/12)*(1+'입력값'!D48/100)^12)</f>
      </c>
      <c r="BK15" s="27">
        <f>-('입력값'!C48*100*(3/12)*(1+'입력값'!D48/100)^13)</f>
      </c>
      <c r="BL15" s="27">
        <f>-('입력값'!C48*100*(3/12)*(1+'입력값'!D48/100)^13)</f>
      </c>
      <c r="BM15" s="27">
        <f>-('입력값'!C48*100*(3/12)*(1+'입력값'!D48/100)^13)</f>
      </c>
      <c r="BN15" s="27">
        <f>-('입력값'!C48*100*(3/12)*(1+'입력값'!D48/100)^13)</f>
      </c>
      <c r="BO15" s="27">
        <f>-('입력값'!C48*100*(3/12)*(1+'입력값'!D48/100)^14)</f>
      </c>
      <c r="BP15" s="27">
        <f>-('입력값'!C48*100*(3/12)*(1+'입력값'!D48/100)^14)</f>
      </c>
      <c r="BQ15" s="27">
        <f>-('입력값'!C48*100*(3/12)*(1+'입력값'!D48/100)^14)</f>
      </c>
      <c r="BR15" s="27">
        <f>-('입력값'!C48*100*(3/12)*(1+'입력값'!D48/100)^14)</f>
      </c>
      <c r="BS15" s="27">
        <f>-('입력값'!C48*100*(3/12)*(1+'입력값'!D48/100)^15)</f>
      </c>
      <c r="BT15" s="27">
        <f>-('입력값'!C48*100*(3/12)*(1+'입력값'!D48/100)^15)</f>
      </c>
      <c r="BU15" s="27">
        <f>-('입력값'!C48*100*(3/12)*(1+'입력값'!D48/100)^15)</f>
      </c>
      <c r="BV15" s="27">
        <f>-('입력값'!C48*100*(3/12)*(1+'입력값'!D48/100)^15)</f>
      </c>
      <c r="BW15" s="27">
        <f>-('입력값'!C48*100*(3/12)*(1+'입력값'!D48/100)^16)</f>
      </c>
      <c r="BX15" s="27">
        <f>-('입력값'!C48*100*(3/12)*(1+'입력값'!D48/100)^16)</f>
      </c>
      <c r="BY15" s="27">
        <f>-('입력값'!C48*100*(3/12)*(1+'입력값'!D48/100)^16)</f>
      </c>
      <c r="BZ15" s="27">
        <f>-('입력값'!C48*100*(3/12)*(1+'입력값'!D48/100)^16)</f>
      </c>
      <c r="CA15" s="27">
        <f>-('입력값'!C48*100*(3/12)*(1+'입력값'!D48/100)^17)</f>
      </c>
      <c r="CB15" s="27">
        <f>-('입력값'!C48*100*(3/12)*(1+'입력값'!D48/100)^17)</f>
      </c>
      <c r="CC15" s="27">
        <f>-('입력값'!C48*100*(3/12)*(1+'입력값'!D48/100)^17)</f>
      </c>
      <c r="CD15" s="27">
        <f>-('입력값'!C48*100*(3/12)*(1+'입력값'!D48/100)^17)</f>
      </c>
      <c r="CE15" s="27">
        <f>-('입력값'!C48*100*(3/12)*(1+'입력값'!D48/100)^18)</f>
      </c>
      <c r="CF15" s="27">
        <f>-('입력값'!C48*100*(3/12)*(1+'입력값'!D48/100)^18)</f>
      </c>
      <c r="CG15" s="27">
        <f>-('입력값'!C48*100*(3/12)*(1+'입력값'!D48/100)^18)</f>
      </c>
      <c r="CH15" s="27">
        <f>-('입력값'!C48*100*(3/12)*(1+'입력값'!D48/100)^18)</f>
      </c>
      <c r="CI15" s="27">
        <f>-('입력값'!C48*100*(3/12)*(1+'입력값'!D48/100)^19)</f>
      </c>
      <c r="CJ15" s="27">
        <f>-('입력값'!C48*100*(3/12)*(1+'입력값'!D48/100)^19)</f>
      </c>
      <c r="CK15" s="27">
        <f>-('입력값'!C48*100*(3/12)*(1+'입력값'!D48/100)^19)</f>
      </c>
      <c r="CL15" s="27">
        <f>-('입력값'!C48*100*(3/12)*(1+'입력값'!D48/100)^19)</f>
      </c>
    </row>
    <row r="16" spans="2:90" x14ac:dyDescent="0.25">
      <c r="B16" s="37" t="s">
        <v>232</v>
      </c>
      <c r="C16" s="38" t="s">
        <v>205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f>-('입력값'!C49*100*(3/12)*(1+'입력값'!D49/100)^0)</f>
      </c>
      <c r="L16" s="27">
        <f>-('입력값'!C49*100*(3/12)*(1+'입력값'!D49/100)^0)</f>
      </c>
      <c r="M16" s="27">
        <f>-('입력값'!C49*100*(3/12)*(1+'입력값'!D49/100)^0)</f>
      </c>
      <c r="N16" s="27">
        <f>-('입력값'!C49*100*(3/12)*(1+'입력값'!D49/100)^0)</f>
      </c>
      <c r="O16" s="27">
        <f>-('입력값'!C49*100*(3/12)*(1+'입력값'!D49/100)^1)</f>
      </c>
      <c r="P16" s="27">
        <f>-('입력값'!C49*100*(3/12)*(1+'입력값'!D49/100)^1)</f>
      </c>
      <c r="Q16" s="27">
        <f>-('입력값'!C49*100*(3/12)*(1+'입력값'!D49/100)^1)</f>
      </c>
      <c r="R16" s="27">
        <f>-('입력값'!C49*100*(3/12)*(1+'입력값'!D49/100)^1)</f>
      </c>
      <c r="S16" s="27">
        <f>-('입력값'!C49*100*(3/12)*(1+'입력값'!D49/100)^2)</f>
      </c>
      <c r="T16" s="27">
        <f>-('입력값'!C49*100*(3/12)*(1+'입력값'!D49/100)^2)</f>
      </c>
      <c r="U16" s="27">
        <f>-('입력값'!C49*100*(3/12)*(1+'입력값'!D49/100)^2)</f>
      </c>
      <c r="V16" s="27">
        <f>-('입력값'!C49*100*(3/12)*(1+'입력값'!D49/100)^2)</f>
      </c>
      <c r="W16" s="27">
        <f>-('입력값'!C49*100*(3/12)*(1+'입력값'!D49/100)^3)</f>
      </c>
      <c r="X16" s="27">
        <f>-('입력값'!C49*100*(3/12)*(1+'입력값'!D49/100)^3)</f>
      </c>
      <c r="Y16" s="27">
        <f>-('입력값'!C49*100*(3/12)*(1+'입력값'!D49/100)^3)</f>
      </c>
      <c r="Z16" s="27">
        <f>-('입력값'!C49*100*(3/12)*(1+'입력값'!D49/100)^3)</f>
      </c>
      <c r="AA16" s="27">
        <f>-('입력값'!C49*100*(3/12)*(1+'입력값'!D49/100)^4)</f>
      </c>
      <c r="AB16" s="27">
        <f>-('입력값'!C49*100*(3/12)*(1+'입력값'!D49/100)^4)</f>
      </c>
      <c r="AC16" s="27">
        <f>-('입력값'!C49*100*(3/12)*(1+'입력값'!D49/100)^4)</f>
      </c>
      <c r="AD16" s="27">
        <f>-('입력값'!C49*100*(3/12)*(1+'입력값'!D49/100)^4)</f>
      </c>
      <c r="AE16" s="27">
        <f>-('입력값'!C49*100*(3/12)*(1+'입력값'!D49/100)^5)</f>
      </c>
      <c r="AF16" s="27">
        <f>-('입력값'!C49*100*(3/12)*(1+'입력값'!D49/100)^5)</f>
      </c>
      <c r="AG16" s="27">
        <f>-('입력값'!C49*100*(3/12)*(1+'입력값'!D49/100)^5)</f>
      </c>
      <c r="AH16" s="27">
        <f>-('입력값'!C49*100*(3/12)*(1+'입력값'!D49/100)^5)</f>
      </c>
      <c r="AI16" s="27">
        <f>-('입력값'!C49*100*(3/12)*(1+'입력값'!D49/100)^6)</f>
      </c>
      <c r="AJ16" s="27">
        <f>-('입력값'!C49*100*(3/12)*(1+'입력값'!D49/100)^6)</f>
      </c>
      <c r="AK16" s="27">
        <f>-('입력값'!C49*100*(3/12)*(1+'입력값'!D49/100)^6)</f>
      </c>
      <c r="AL16" s="27">
        <f>-('입력값'!C49*100*(3/12)*(1+'입력값'!D49/100)^6)</f>
      </c>
      <c r="AM16" s="27">
        <f>-('입력값'!C49*100*(3/12)*(1+'입력값'!D49/100)^7)</f>
      </c>
      <c r="AN16" s="27">
        <f>-('입력값'!C49*100*(3/12)*(1+'입력값'!D49/100)^7)</f>
      </c>
      <c r="AO16" s="27">
        <f>-('입력값'!C49*100*(3/12)*(1+'입력값'!D49/100)^7)</f>
      </c>
      <c r="AP16" s="27">
        <f>-('입력값'!C49*100*(3/12)*(1+'입력값'!D49/100)^7)</f>
      </c>
      <c r="AQ16" s="27">
        <f>-('입력값'!C49*100*(3/12)*(1+'입력값'!D49/100)^8)</f>
      </c>
      <c r="AR16" s="27">
        <f>-('입력값'!C49*100*(3/12)*(1+'입력값'!D49/100)^8)</f>
      </c>
      <c r="AS16" s="27">
        <f>-('입력값'!C49*100*(3/12)*(1+'입력값'!D49/100)^8)</f>
      </c>
      <c r="AT16" s="27">
        <f>-('입력값'!C49*100*(3/12)*(1+'입력값'!D49/100)^8)</f>
      </c>
      <c r="AU16" s="27">
        <f>-('입력값'!C49*100*(3/12)*(1+'입력값'!D49/100)^9)</f>
      </c>
      <c r="AV16" s="27">
        <f>-('입력값'!C49*100*(3/12)*(1+'입력값'!D49/100)^9)</f>
      </c>
      <c r="AW16" s="27">
        <f>-('입력값'!C49*100*(3/12)*(1+'입력값'!D49/100)^9)</f>
      </c>
      <c r="AX16" s="27">
        <f>-('입력값'!C49*100*(3/12)*(1+'입력값'!D49/100)^9)</f>
      </c>
      <c r="AY16" s="27">
        <f>-('입력값'!C49*100*(3/12)*(1+'입력값'!D49/100)^10)</f>
      </c>
      <c r="AZ16" s="27">
        <f>-('입력값'!C49*100*(3/12)*(1+'입력값'!D49/100)^10)</f>
      </c>
      <c r="BA16" s="27">
        <f>-('입력값'!C49*100*(3/12)*(1+'입력값'!D49/100)^10)</f>
      </c>
      <c r="BB16" s="27">
        <f>-('입력값'!C49*100*(3/12)*(1+'입력값'!D49/100)^10)</f>
      </c>
      <c r="BC16" s="27">
        <f>-('입력값'!C49*100*(3/12)*(1+'입력값'!D49/100)^11)</f>
      </c>
      <c r="BD16" s="27">
        <f>-('입력값'!C49*100*(3/12)*(1+'입력값'!D49/100)^11)</f>
      </c>
      <c r="BE16" s="27">
        <f>-('입력값'!C49*100*(3/12)*(1+'입력값'!D49/100)^11)</f>
      </c>
      <c r="BF16" s="27">
        <f>-('입력값'!C49*100*(3/12)*(1+'입력값'!D49/100)^11)</f>
      </c>
      <c r="BG16" s="27">
        <f>-('입력값'!C49*100*(3/12)*(1+'입력값'!D49/100)^12)</f>
      </c>
      <c r="BH16" s="27">
        <f>-('입력값'!C49*100*(3/12)*(1+'입력값'!D49/100)^12)</f>
      </c>
      <c r="BI16" s="27">
        <f>-('입력값'!C49*100*(3/12)*(1+'입력값'!D49/100)^12)</f>
      </c>
      <c r="BJ16" s="27">
        <f>-('입력값'!C49*100*(3/12)*(1+'입력값'!D49/100)^12)</f>
      </c>
      <c r="BK16" s="27">
        <f>-('입력값'!C49*100*(3/12)*(1+'입력값'!D49/100)^13)</f>
      </c>
      <c r="BL16" s="27">
        <f>-('입력값'!C49*100*(3/12)*(1+'입력값'!D49/100)^13)</f>
      </c>
      <c r="BM16" s="27">
        <f>-('입력값'!C49*100*(3/12)*(1+'입력값'!D49/100)^13)</f>
      </c>
      <c r="BN16" s="27">
        <f>-('입력값'!C49*100*(3/12)*(1+'입력값'!D49/100)^13)</f>
      </c>
      <c r="BO16" s="27">
        <f>-('입력값'!C49*100*(3/12)*(1+'입력값'!D49/100)^14)</f>
      </c>
      <c r="BP16" s="27">
        <f>-('입력값'!C49*100*(3/12)*(1+'입력값'!D49/100)^14)</f>
      </c>
      <c r="BQ16" s="27">
        <f>-('입력값'!C49*100*(3/12)*(1+'입력값'!D49/100)^14)</f>
      </c>
      <c r="BR16" s="27">
        <f>-('입력값'!C49*100*(3/12)*(1+'입력값'!D49/100)^14)</f>
      </c>
      <c r="BS16" s="27">
        <f>-('입력값'!C49*100*(3/12)*(1+'입력값'!D49/100)^15)</f>
      </c>
      <c r="BT16" s="27">
        <f>-('입력값'!C49*100*(3/12)*(1+'입력값'!D49/100)^15)</f>
      </c>
      <c r="BU16" s="27">
        <f>-('입력값'!C49*100*(3/12)*(1+'입력값'!D49/100)^15)</f>
      </c>
      <c r="BV16" s="27">
        <f>-('입력값'!C49*100*(3/12)*(1+'입력값'!D49/100)^15)</f>
      </c>
      <c r="BW16" s="27">
        <f>-('입력값'!C49*100*(3/12)*(1+'입력값'!D49/100)^16)</f>
      </c>
      <c r="BX16" s="27">
        <f>-('입력값'!C49*100*(3/12)*(1+'입력값'!D49/100)^16)</f>
      </c>
      <c r="BY16" s="27">
        <f>-('입력값'!C49*100*(3/12)*(1+'입력값'!D49/100)^16)</f>
      </c>
      <c r="BZ16" s="27">
        <f>-('입력값'!C49*100*(3/12)*(1+'입력값'!D49/100)^16)</f>
      </c>
      <c r="CA16" s="27">
        <f>-('입력값'!C49*100*(3/12)*(1+'입력값'!D49/100)^17)</f>
      </c>
      <c r="CB16" s="27">
        <f>-('입력값'!C49*100*(3/12)*(1+'입력값'!D49/100)^17)</f>
      </c>
      <c r="CC16" s="27">
        <f>-('입력값'!C49*100*(3/12)*(1+'입력값'!D49/100)^17)</f>
      </c>
      <c r="CD16" s="27">
        <f>-('입력값'!C49*100*(3/12)*(1+'입력값'!D49/100)^17)</f>
      </c>
      <c r="CE16" s="27">
        <f>-('입력값'!C49*100*(3/12)*(1+'입력값'!D49/100)^18)</f>
      </c>
      <c r="CF16" s="27">
        <f>-('입력값'!C49*100*(3/12)*(1+'입력값'!D49/100)^18)</f>
      </c>
      <c r="CG16" s="27">
        <f>-('입력값'!C49*100*(3/12)*(1+'입력값'!D49/100)^18)</f>
      </c>
      <c r="CH16" s="27">
        <f>-('입력값'!C49*100*(3/12)*(1+'입력값'!D49/100)^18)</f>
      </c>
      <c r="CI16" s="27">
        <f>-('입력값'!C49*100*(3/12)*(1+'입력값'!D49/100)^19)</f>
      </c>
      <c r="CJ16" s="27">
        <f>-('입력값'!C49*100*(3/12)*(1+'입력값'!D49/100)^19)</f>
      </c>
      <c r="CK16" s="27">
        <f>-('입력값'!C49*100*(3/12)*(1+'입력값'!D49/100)^19)</f>
      </c>
      <c r="CL16" s="27">
        <f>-('입력값'!C49*100*(3/12)*(1+'입력값'!D49/100)^19)</f>
      </c>
    </row>
    <row r="17" spans="2:90" x14ac:dyDescent="0.25">
      <c r="B17" s="37" t="s">
        <v>233</v>
      </c>
      <c r="C17" s="38" t="s">
        <v>205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f>-('입력값'!C50*100*(3/12)*(1+'입력값'!D50/100)^0)</f>
      </c>
      <c r="L17" s="27">
        <f>-('입력값'!C50*100*(3/12)*(1+'입력값'!D50/100)^0)</f>
      </c>
      <c r="M17" s="27">
        <f>-('입력값'!C50*100*(3/12)*(1+'입력값'!D50/100)^0)</f>
      </c>
      <c r="N17" s="27">
        <f>-('입력값'!C50*100*(3/12)*(1+'입력값'!D50/100)^0)</f>
      </c>
      <c r="O17" s="27">
        <f>-('입력값'!C50*100*(3/12)*(1+'입력값'!D50/100)^1)</f>
      </c>
      <c r="P17" s="27">
        <f>-('입력값'!C50*100*(3/12)*(1+'입력값'!D50/100)^1)</f>
      </c>
      <c r="Q17" s="27">
        <f>-('입력값'!C50*100*(3/12)*(1+'입력값'!D50/100)^1)</f>
      </c>
      <c r="R17" s="27">
        <f>-('입력값'!C50*100*(3/12)*(1+'입력값'!D50/100)^1)</f>
      </c>
      <c r="S17" s="27">
        <f>-('입력값'!C50*100*(3/12)*(1+'입력값'!D50/100)^2)</f>
      </c>
      <c r="T17" s="27">
        <f>-('입력값'!C50*100*(3/12)*(1+'입력값'!D50/100)^2)</f>
      </c>
      <c r="U17" s="27">
        <f>-('입력값'!C50*100*(3/12)*(1+'입력값'!D50/100)^2)</f>
      </c>
      <c r="V17" s="27">
        <f>-('입력값'!C50*100*(3/12)*(1+'입력값'!D50/100)^2)</f>
      </c>
      <c r="W17" s="27">
        <f>-('입력값'!C50*100*(3/12)*(1+'입력값'!D50/100)^3)</f>
      </c>
      <c r="X17" s="27">
        <f>-('입력값'!C50*100*(3/12)*(1+'입력값'!D50/100)^3)</f>
      </c>
      <c r="Y17" s="27">
        <f>-('입력값'!C50*100*(3/12)*(1+'입력값'!D50/100)^3)</f>
      </c>
      <c r="Z17" s="27">
        <f>-('입력값'!C50*100*(3/12)*(1+'입력값'!D50/100)^3)</f>
      </c>
      <c r="AA17" s="27">
        <f>-('입력값'!C50*100*(3/12)*(1+'입력값'!D50/100)^4)</f>
      </c>
      <c r="AB17" s="27">
        <f>-('입력값'!C50*100*(3/12)*(1+'입력값'!D50/100)^4)</f>
      </c>
      <c r="AC17" s="27">
        <f>-('입력값'!C50*100*(3/12)*(1+'입력값'!D50/100)^4)</f>
      </c>
      <c r="AD17" s="27">
        <f>-('입력값'!C50*100*(3/12)*(1+'입력값'!D50/100)^4)</f>
      </c>
      <c r="AE17" s="27">
        <f>-('입력값'!C50*100*(3/12)*(1+'입력값'!D50/100)^5)</f>
      </c>
      <c r="AF17" s="27">
        <f>-('입력값'!C50*100*(3/12)*(1+'입력값'!D50/100)^5)</f>
      </c>
      <c r="AG17" s="27">
        <f>-('입력값'!C50*100*(3/12)*(1+'입력값'!D50/100)^5)</f>
      </c>
      <c r="AH17" s="27">
        <f>-('입력값'!C50*100*(3/12)*(1+'입력값'!D50/100)^5)</f>
      </c>
      <c r="AI17" s="27">
        <f>-('입력값'!C50*100*(3/12)*(1+'입력값'!D50/100)^6)</f>
      </c>
      <c r="AJ17" s="27">
        <f>-('입력값'!C50*100*(3/12)*(1+'입력값'!D50/100)^6)</f>
      </c>
      <c r="AK17" s="27">
        <f>-('입력값'!C50*100*(3/12)*(1+'입력값'!D50/100)^6)</f>
      </c>
      <c r="AL17" s="27">
        <f>-('입력값'!C50*100*(3/12)*(1+'입력값'!D50/100)^6)</f>
      </c>
      <c r="AM17" s="27">
        <f>-('입력값'!C50*100*(3/12)*(1+'입력값'!D50/100)^7)</f>
      </c>
      <c r="AN17" s="27">
        <f>-('입력값'!C50*100*(3/12)*(1+'입력값'!D50/100)^7)</f>
      </c>
      <c r="AO17" s="27">
        <f>-('입력값'!C50*100*(3/12)*(1+'입력값'!D50/100)^7)</f>
      </c>
      <c r="AP17" s="27">
        <f>-('입력값'!C50*100*(3/12)*(1+'입력값'!D50/100)^7)</f>
      </c>
      <c r="AQ17" s="27">
        <f>-('입력값'!C50*100*(3/12)*(1+'입력값'!D50/100)^8)</f>
      </c>
      <c r="AR17" s="27">
        <f>-('입력값'!C50*100*(3/12)*(1+'입력값'!D50/100)^8)</f>
      </c>
      <c r="AS17" s="27">
        <f>-('입력값'!C50*100*(3/12)*(1+'입력값'!D50/100)^8)</f>
      </c>
      <c r="AT17" s="27">
        <f>-('입력값'!C50*100*(3/12)*(1+'입력값'!D50/100)^8)</f>
      </c>
      <c r="AU17" s="27">
        <f>-('입력값'!C50*100*(3/12)*(1+'입력값'!D50/100)^9)</f>
      </c>
      <c r="AV17" s="27">
        <f>-('입력값'!C50*100*(3/12)*(1+'입력값'!D50/100)^9)</f>
      </c>
      <c r="AW17" s="27">
        <f>-('입력값'!C50*100*(3/12)*(1+'입력값'!D50/100)^9)</f>
      </c>
      <c r="AX17" s="27">
        <f>-('입력값'!C50*100*(3/12)*(1+'입력값'!D50/100)^9)</f>
      </c>
      <c r="AY17" s="27">
        <f>-('입력값'!C50*100*(3/12)*(1+'입력값'!D50/100)^10)</f>
      </c>
      <c r="AZ17" s="27">
        <f>-('입력값'!C50*100*(3/12)*(1+'입력값'!D50/100)^10)</f>
      </c>
      <c r="BA17" s="27">
        <f>-('입력값'!C50*100*(3/12)*(1+'입력값'!D50/100)^10)</f>
      </c>
      <c r="BB17" s="27">
        <f>-('입력값'!C50*100*(3/12)*(1+'입력값'!D50/100)^10)</f>
      </c>
      <c r="BC17" s="27">
        <f>-('입력값'!C50*100*(3/12)*(1+'입력값'!D50/100)^11)</f>
      </c>
      <c r="BD17" s="27">
        <f>-('입력값'!C50*100*(3/12)*(1+'입력값'!D50/100)^11)</f>
      </c>
      <c r="BE17" s="27">
        <f>-('입력값'!C50*100*(3/12)*(1+'입력값'!D50/100)^11)</f>
      </c>
      <c r="BF17" s="27">
        <f>-('입력값'!C50*100*(3/12)*(1+'입력값'!D50/100)^11)</f>
      </c>
      <c r="BG17" s="27">
        <f>-('입력값'!C50*100*(3/12)*(1+'입력값'!D50/100)^12)</f>
      </c>
      <c r="BH17" s="27">
        <f>-('입력값'!C50*100*(3/12)*(1+'입력값'!D50/100)^12)</f>
      </c>
      <c r="BI17" s="27">
        <f>-('입력값'!C50*100*(3/12)*(1+'입력값'!D50/100)^12)</f>
      </c>
      <c r="BJ17" s="27">
        <f>-('입력값'!C50*100*(3/12)*(1+'입력값'!D50/100)^12)</f>
      </c>
      <c r="BK17" s="27">
        <f>-('입력값'!C50*100*(3/12)*(1+'입력값'!D50/100)^13)</f>
      </c>
      <c r="BL17" s="27">
        <f>-('입력값'!C50*100*(3/12)*(1+'입력값'!D50/100)^13)</f>
      </c>
      <c r="BM17" s="27">
        <f>-('입력값'!C50*100*(3/12)*(1+'입력값'!D50/100)^13)</f>
      </c>
      <c r="BN17" s="27">
        <f>-('입력값'!C50*100*(3/12)*(1+'입력값'!D50/100)^13)</f>
      </c>
      <c r="BO17" s="27">
        <f>-('입력값'!C50*100*(3/12)*(1+'입력값'!D50/100)^14)</f>
      </c>
      <c r="BP17" s="27">
        <f>-('입력값'!C50*100*(3/12)*(1+'입력값'!D50/100)^14)</f>
      </c>
      <c r="BQ17" s="27">
        <f>-('입력값'!C50*100*(3/12)*(1+'입력값'!D50/100)^14)</f>
      </c>
      <c r="BR17" s="27">
        <f>-('입력값'!C50*100*(3/12)*(1+'입력값'!D50/100)^14)</f>
      </c>
      <c r="BS17" s="27">
        <f>-('입력값'!C50*100*(3/12)*(1+'입력값'!D50/100)^15)</f>
      </c>
      <c r="BT17" s="27">
        <f>-('입력값'!C50*100*(3/12)*(1+'입력값'!D50/100)^15)</f>
      </c>
      <c r="BU17" s="27">
        <f>-('입력값'!C50*100*(3/12)*(1+'입력값'!D50/100)^15)</f>
      </c>
      <c r="BV17" s="27">
        <f>-('입력값'!C50*100*(3/12)*(1+'입력값'!D50/100)^15)</f>
      </c>
      <c r="BW17" s="27">
        <f>-('입력값'!C50*100*(3/12)*(1+'입력값'!D50/100)^16)</f>
      </c>
      <c r="BX17" s="27">
        <f>-('입력값'!C50*100*(3/12)*(1+'입력값'!D50/100)^16)</f>
      </c>
      <c r="BY17" s="27">
        <f>-('입력값'!C50*100*(3/12)*(1+'입력값'!D50/100)^16)</f>
      </c>
      <c r="BZ17" s="27">
        <f>-('입력값'!C50*100*(3/12)*(1+'입력값'!D50/100)^16)</f>
      </c>
      <c r="CA17" s="27">
        <f>-('입력값'!C50*100*(3/12)*(1+'입력값'!D50/100)^17)</f>
      </c>
      <c r="CB17" s="27">
        <f>-('입력값'!C50*100*(3/12)*(1+'입력값'!D50/100)^17)</f>
      </c>
      <c r="CC17" s="27">
        <f>-('입력값'!C50*100*(3/12)*(1+'입력값'!D50/100)^17)</f>
      </c>
      <c r="CD17" s="27">
        <f>-('입력값'!C50*100*(3/12)*(1+'입력값'!D50/100)^17)</f>
      </c>
      <c r="CE17" s="27">
        <f>-('입력값'!C50*100*(3/12)*(1+'입력값'!D50/100)^18)</f>
      </c>
      <c r="CF17" s="27">
        <f>-('입력값'!C50*100*(3/12)*(1+'입력값'!D50/100)^18)</f>
      </c>
      <c r="CG17" s="27">
        <f>-('입력값'!C50*100*(3/12)*(1+'입력값'!D50/100)^18)</f>
      </c>
      <c r="CH17" s="27">
        <f>-('입력값'!C50*100*(3/12)*(1+'입력값'!D50/100)^18)</f>
      </c>
      <c r="CI17" s="27">
        <f>-('입력값'!C50*100*(3/12)*(1+'입력값'!D50/100)^19)</f>
      </c>
      <c r="CJ17" s="27">
        <f>-('입력값'!C50*100*(3/12)*(1+'입력값'!D50/100)^19)</f>
      </c>
      <c r="CK17" s="27">
        <f>-('입력값'!C50*100*(3/12)*(1+'입력값'!D50/100)^19)</f>
      </c>
      <c r="CL17" s="27">
        <f>-('입력값'!C50*100*(3/12)*(1+'입력값'!D50/100)^19)</f>
      </c>
    </row>
    <row r="18" spans="2:90" x14ac:dyDescent="0.25">
      <c r="B18" s="37" t="s">
        <v>234</v>
      </c>
      <c r="C18" s="38" t="s">
        <v>205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f>-('입력값'!C51*100*(3/12))</f>
      </c>
      <c r="L18" s="27">
        <f>-('입력값'!C51*100*(3/12))</f>
      </c>
      <c r="M18" s="27">
        <f>-('입력값'!C51*100*(3/12))</f>
      </c>
      <c r="N18" s="27">
        <f>-('입력값'!C51*100*(3/12))</f>
      </c>
      <c r="O18" s="27">
        <f>-('입력값'!C51*100*(3/12))</f>
      </c>
      <c r="P18" s="27">
        <f>-('입력값'!C51*100*(3/12))</f>
      </c>
      <c r="Q18" s="27">
        <f>-('입력값'!C51*100*(3/12))</f>
      </c>
      <c r="R18" s="27">
        <f>-('입력값'!C51*100*(3/12))</f>
      </c>
      <c r="S18" s="27">
        <f>-('입력값'!C51*100*(3/12))</f>
      </c>
      <c r="T18" s="27">
        <f>-('입력값'!C51*100*(3/12))</f>
      </c>
      <c r="U18" s="27">
        <f>-('입력값'!C51*100*(3/12))</f>
      </c>
      <c r="V18" s="27">
        <f>-('입력값'!C51*100*(3/12))</f>
      </c>
      <c r="W18" s="27">
        <f>-('입력값'!C51*100*(3/12))</f>
      </c>
      <c r="X18" s="27">
        <f>-('입력값'!C51*100*(3/12))</f>
      </c>
      <c r="Y18" s="27">
        <f>-('입력값'!C51*100*(3/12))</f>
      </c>
      <c r="Z18" s="27">
        <f>-('입력값'!C51*100*(3/12))</f>
      </c>
      <c r="AA18" s="27">
        <f>-('입력값'!C51*100*(3/12))</f>
      </c>
      <c r="AB18" s="27">
        <f>-('입력값'!C51*100*(3/12))</f>
      </c>
      <c r="AC18" s="27">
        <f>-('입력값'!C51*100*(3/12))</f>
      </c>
      <c r="AD18" s="27">
        <f>-('입력값'!C51*100*(3/12))</f>
      </c>
      <c r="AE18" s="27">
        <f>-('입력값'!C51*100*(3/12))</f>
      </c>
      <c r="AF18" s="27">
        <f>-('입력값'!C51*100*(3/12))</f>
      </c>
      <c r="AG18" s="27">
        <f>-('입력값'!C51*100*(3/12))</f>
      </c>
      <c r="AH18" s="27">
        <f>-('입력값'!C51*100*(3/12))</f>
      </c>
      <c r="AI18" s="27">
        <f>-('입력값'!C51*100*(3/12))</f>
      </c>
      <c r="AJ18" s="27">
        <f>-('입력값'!C51*100*(3/12))</f>
      </c>
      <c r="AK18" s="27">
        <f>-('입력값'!C51*100*(3/12))</f>
      </c>
      <c r="AL18" s="27">
        <f>-('입력값'!C51*100*(3/12))</f>
      </c>
      <c r="AM18" s="27">
        <f>-('입력값'!C51*100*(3/12))</f>
      </c>
      <c r="AN18" s="27">
        <f>-('입력값'!C51*100*(3/12))</f>
      </c>
      <c r="AO18" s="27">
        <f>-('입력값'!C51*100*(3/12))</f>
      </c>
      <c r="AP18" s="27">
        <f>-('입력값'!C51*100*(3/12))</f>
      </c>
      <c r="AQ18" s="27">
        <f>-('입력값'!C51*100*(3/12))</f>
      </c>
      <c r="AR18" s="27">
        <f>-('입력값'!C51*100*(3/12))</f>
      </c>
      <c r="AS18" s="27">
        <f>-('입력값'!C51*100*(3/12))</f>
      </c>
      <c r="AT18" s="27">
        <f>-('입력값'!C51*100*(3/12))</f>
      </c>
      <c r="AU18" s="27">
        <f>-('입력값'!C51*100*(3/12))</f>
      </c>
      <c r="AV18" s="27">
        <f>-('입력값'!C51*100*(3/12))</f>
      </c>
      <c r="AW18" s="27">
        <f>-('입력값'!C51*100*(3/12))</f>
      </c>
      <c r="AX18" s="27">
        <f>-('입력값'!C51*100*(3/12))</f>
      </c>
      <c r="AY18" s="27">
        <f>-('입력값'!C51*100*(3/12))</f>
      </c>
      <c r="AZ18" s="27">
        <f>-('입력값'!C51*100*(3/12))</f>
      </c>
      <c r="BA18" s="27">
        <f>-('입력값'!C51*100*(3/12))</f>
      </c>
      <c r="BB18" s="27">
        <f>-('입력값'!C51*100*(3/12))</f>
      </c>
      <c r="BC18" s="27">
        <f>-('입력값'!C51*100*(3/12))</f>
      </c>
      <c r="BD18" s="27">
        <f>-('입력값'!C51*100*(3/12))</f>
      </c>
      <c r="BE18" s="27">
        <f>-('입력값'!C51*100*(3/12))</f>
      </c>
      <c r="BF18" s="27">
        <f>-('입력값'!C51*100*(3/12))</f>
      </c>
      <c r="BG18" s="27">
        <f>-('입력값'!C51*100*(3/12))</f>
      </c>
      <c r="BH18" s="27">
        <f>-('입력값'!C51*100*(3/12))</f>
      </c>
      <c r="BI18" s="27">
        <f>-('입력값'!C51*100*(3/12))</f>
      </c>
      <c r="BJ18" s="27">
        <f>-('입력값'!C51*100*(3/12))</f>
      </c>
      <c r="BK18" s="27">
        <f>-('입력값'!C51*100*(3/12))</f>
      </c>
      <c r="BL18" s="27">
        <f>-('입력값'!C51*100*(3/12))</f>
      </c>
      <c r="BM18" s="27">
        <f>-('입력값'!C51*100*(3/12))</f>
      </c>
      <c r="BN18" s="27">
        <f>-('입력값'!C51*100*(3/12))</f>
      </c>
      <c r="BO18" s="27">
        <f>-('입력값'!C51*100*(3/12))</f>
      </c>
      <c r="BP18" s="27">
        <f>-('입력값'!C51*100*(3/12))</f>
      </c>
      <c r="BQ18" s="27">
        <f>-('입력값'!C51*100*(3/12))</f>
      </c>
      <c r="BR18" s="27">
        <f>-('입력값'!C51*100*(3/12))</f>
      </c>
      <c r="BS18" s="27">
        <f>-('입력값'!C51*100*(3/12))</f>
      </c>
      <c r="BT18" s="27">
        <f>-('입력값'!C51*100*(3/12))</f>
      </c>
      <c r="BU18" s="27">
        <f>-('입력값'!C51*100*(3/12))</f>
      </c>
      <c r="BV18" s="27">
        <f>-('입력값'!C51*100*(3/12))</f>
      </c>
      <c r="BW18" s="27">
        <f>-('입력값'!C51*100*(3/12))</f>
      </c>
      <c r="BX18" s="27">
        <f>-('입력값'!C51*100*(3/12))</f>
      </c>
      <c r="BY18" s="27">
        <f>-('입력값'!C51*100*(3/12))</f>
      </c>
      <c r="BZ18" s="27">
        <f>-('입력값'!C51*100*(3/12))</f>
      </c>
      <c r="CA18" s="27">
        <f>-('입력값'!C51*100*(3/12))</f>
      </c>
      <c r="CB18" s="27">
        <f>-('입력값'!C51*100*(3/12))</f>
      </c>
      <c r="CC18" s="27">
        <f>-('입력값'!C51*100*(3/12))</f>
      </c>
      <c r="CD18" s="27">
        <f>-('입력값'!C51*100*(3/12))</f>
      </c>
      <c r="CE18" s="27">
        <f>-('입력값'!C51*100*(3/12))</f>
      </c>
      <c r="CF18" s="27">
        <f>-('입력값'!C51*100*(3/12))</f>
      </c>
      <c r="CG18" s="27">
        <f>-('입력값'!C51*100*(3/12))</f>
      </c>
      <c r="CH18" s="27">
        <f>-('입력값'!C51*100*(3/12))</f>
      </c>
      <c r="CI18" s="27">
        <f>-('입력값'!C51*100*(3/12))</f>
      </c>
      <c r="CJ18" s="27">
        <f>-('입력값'!C51*100*(3/12))</f>
      </c>
      <c r="CK18" s="27">
        <f>-('입력값'!C51*100*(3/12))</f>
      </c>
      <c r="CL18" s="27">
        <f>-('입력값'!C51*100*(3/12))</f>
      </c>
    </row>
    <row r="19" spans="2:90" x14ac:dyDescent="0.25">
      <c r="B19" s="37" t="s">
        <v>235</v>
      </c>
      <c r="C19" s="38" t="s">
        <v>205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f>-('입력값'!C52*100*(3/12))</f>
      </c>
      <c r="L19" s="27">
        <f>-('입력값'!C52*100*(3/12))</f>
      </c>
      <c r="M19" s="27">
        <f>-('입력값'!C52*100*(3/12))</f>
      </c>
      <c r="N19" s="27">
        <f>-('입력값'!C52*100*(3/12))</f>
      </c>
      <c r="O19" s="27">
        <f>-('입력값'!C52*100*(3/12))</f>
      </c>
      <c r="P19" s="27">
        <f>-('입력값'!C52*100*(3/12))</f>
      </c>
      <c r="Q19" s="27">
        <f>-('입력값'!C52*100*(3/12))</f>
      </c>
      <c r="R19" s="27">
        <f>-('입력값'!C52*100*(3/12))</f>
      </c>
      <c r="S19" s="27">
        <f>-('입력값'!C52*100*(3/12))</f>
      </c>
      <c r="T19" s="27">
        <f>-('입력값'!C52*100*(3/12))</f>
      </c>
      <c r="U19" s="27">
        <f>-('입력값'!C52*100*(3/12))</f>
      </c>
      <c r="V19" s="27">
        <f>-('입력값'!C52*100*(3/12))</f>
      </c>
      <c r="W19" s="27">
        <f>-('입력값'!C52*100*(3/12))</f>
      </c>
      <c r="X19" s="27">
        <f>-('입력값'!C52*100*(3/12))</f>
      </c>
      <c r="Y19" s="27">
        <f>-('입력값'!C52*100*(3/12))</f>
      </c>
      <c r="Z19" s="27">
        <f>-('입력값'!C52*100*(3/12))</f>
      </c>
      <c r="AA19" s="27">
        <f>-('입력값'!C52*100*(3/12))</f>
      </c>
      <c r="AB19" s="27">
        <f>-('입력값'!C52*100*(3/12))</f>
      </c>
      <c r="AC19" s="27">
        <f>-('입력값'!C52*100*(3/12))</f>
      </c>
      <c r="AD19" s="27">
        <f>-('입력값'!C52*100*(3/12))</f>
      </c>
      <c r="AE19" s="27">
        <f>-('입력값'!C52*100*(3/12))</f>
      </c>
      <c r="AF19" s="27">
        <f>-('입력값'!C52*100*(3/12))</f>
      </c>
      <c r="AG19" s="27">
        <f>-('입력값'!C52*100*(3/12))</f>
      </c>
      <c r="AH19" s="27">
        <f>-('입력값'!C52*100*(3/12))</f>
      </c>
      <c r="AI19" s="27">
        <f>-('입력값'!C52*100*(3/12))</f>
      </c>
      <c r="AJ19" s="27">
        <f>-('입력값'!C52*100*(3/12))</f>
      </c>
      <c r="AK19" s="27">
        <f>-('입력값'!C52*100*(3/12))</f>
      </c>
      <c r="AL19" s="27">
        <f>-('입력값'!C52*100*(3/12))</f>
      </c>
      <c r="AM19" s="27">
        <f>-('입력값'!C52*100*(3/12))</f>
      </c>
      <c r="AN19" s="27">
        <f>-('입력값'!C52*100*(3/12))</f>
      </c>
      <c r="AO19" s="27">
        <f>-('입력값'!C52*100*(3/12))</f>
      </c>
      <c r="AP19" s="27">
        <f>-('입력값'!C52*100*(3/12))</f>
      </c>
      <c r="AQ19" s="27">
        <f>-('입력값'!C52*100*(3/12))</f>
      </c>
      <c r="AR19" s="27">
        <f>-('입력값'!C52*100*(3/12))</f>
      </c>
      <c r="AS19" s="27">
        <f>-('입력값'!C52*100*(3/12))</f>
      </c>
      <c r="AT19" s="27">
        <f>-('입력값'!C52*100*(3/12))</f>
      </c>
      <c r="AU19" s="27">
        <f>-('입력값'!C52*100*(3/12))</f>
      </c>
      <c r="AV19" s="27">
        <f>-('입력값'!C52*100*(3/12))</f>
      </c>
      <c r="AW19" s="27">
        <f>-('입력값'!C52*100*(3/12))</f>
      </c>
      <c r="AX19" s="27">
        <f>-('입력값'!C52*100*(3/12))</f>
      </c>
      <c r="AY19" s="27">
        <f>-('입력값'!C52*100*(3/12))</f>
      </c>
      <c r="AZ19" s="27">
        <f>-('입력값'!C52*100*(3/12))</f>
      </c>
      <c r="BA19" s="27">
        <f>-('입력값'!C52*100*(3/12))</f>
      </c>
      <c r="BB19" s="27">
        <f>-('입력값'!C52*100*(3/12))</f>
      </c>
      <c r="BC19" s="27">
        <f>-('입력값'!C52*100*(3/12))</f>
      </c>
      <c r="BD19" s="27">
        <f>-('입력값'!C52*100*(3/12))</f>
      </c>
      <c r="BE19" s="27">
        <f>-('입력값'!C52*100*(3/12))</f>
      </c>
      <c r="BF19" s="27">
        <f>-('입력값'!C52*100*(3/12))</f>
      </c>
      <c r="BG19" s="27">
        <f>-('입력값'!C52*100*(3/12))</f>
      </c>
      <c r="BH19" s="27">
        <f>-('입력값'!C52*100*(3/12))</f>
      </c>
      <c r="BI19" s="27">
        <f>-('입력값'!C52*100*(3/12))</f>
      </c>
      <c r="BJ19" s="27">
        <f>-('입력값'!C52*100*(3/12))</f>
      </c>
      <c r="BK19" s="27">
        <f>-('입력값'!C52*100*(3/12))</f>
      </c>
      <c r="BL19" s="27">
        <f>-('입력값'!C52*100*(3/12))</f>
      </c>
      <c r="BM19" s="27">
        <f>-('입력값'!C52*100*(3/12))</f>
      </c>
      <c r="BN19" s="27">
        <f>-('입력값'!C52*100*(3/12))</f>
      </c>
      <c r="BO19" s="27">
        <f>-('입력값'!C52*100*(3/12))</f>
      </c>
      <c r="BP19" s="27">
        <f>-('입력값'!C52*100*(3/12))</f>
      </c>
      <c r="BQ19" s="27">
        <f>-('입력값'!C52*100*(3/12))</f>
      </c>
      <c r="BR19" s="27">
        <f>-('입력값'!C52*100*(3/12))</f>
      </c>
      <c r="BS19" s="27">
        <f>-('입력값'!C52*100*(3/12))</f>
      </c>
      <c r="BT19" s="27">
        <f>-('입력값'!C52*100*(3/12))</f>
      </c>
      <c r="BU19" s="27">
        <f>-('입력값'!C52*100*(3/12))</f>
      </c>
      <c r="BV19" s="27">
        <f>-('입력값'!C52*100*(3/12))</f>
      </c>
      <c r="BW19" s="27">
        <f>-('입력값'!C52*100*(3/12))</f>
      </c>
      <c r="BX19" s="27">
        <f>-('입력값'!C52*100*(3/12))</f>
      </c>
      <c r="BY19" s="27">
        <f>-('입력값'!C52*100*(3/12))</f>
      </c>
      <c r="BZ19" s="27">
        <f>-('입력값'!C52*100*(3/12))</f>
      </c>
      <c r="CA19" s="27">
        <f>-('입력값'!C52*100*(3/12))</f>
      </c>
      <c r="CB19" s="27">
        <f>-('입력값'!C52*100*(3/12))</f>
      </c>
      <c r="CC19" s="27">
        <f>-('입력값'!C52*100*(3/12))</f>
      </c>
      <c r="CD19" s="27">
        <f>-('입력값'!C52*100*(3/12))</f>
      </c>
      <c r="CE19" s="27">
        <f>-('입력값'!C52*100*(3/12))</f>
      </c>
      <c r="CF19" s="27">
        <f>-('입력값'!C52*100*(3/12))</f>
      </c>
      <c r="CG19" s="27">
        <f>-('입력값'!C52*100*(3/12))</f>
      </c>
      <c r="CH19" s="27">
        <f>-('입력값'!C52*100*(3/12))</f>
      </c>
      <c r="CI19" s="27">
        <f>-('입력값'!C52*100*(3/12))</f>
      </c>
      <c r="CJ19" s="27">
        <f>-('입력값'!C52*100*(3/12))</f>
      </c>
      <c r="CK19" s="27">
        <f>-('입력값'!C52*100*(3/12))</f>
      </c>
      <c r="CL19" s="27">
        <f>-('입력값'!C52*100*(3/12))</f>
      </c>
    </row>
    <row r="20" spans="2:90" x14ac:dyDescent="0.25">
      <c r="B20" s="37" t="s">
        <v>236</v>
      </c>
      <c r="C20" s="38" t="s">
        <v>205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f>-('입력값'!C53*100*(3/12))</f>
      </c>
      <c r="L20" s="27">
        <f>-('입력값'!C53*100*(3/12))</f>
      </c>
      <c r="M20" s="27">
        <f>-('입력값'!C53*100*(3/12))</f>
      </c>
      <c r="N20" s="27">
        <f>-('입력값'!C53*100*(3/12))</f>
      </c>
      <c r="O20" s="27">
        <f>-('입력값'!C53*100*(3/12))</f>
      </c>
      <c r="P20" s="27">
        <f>-('입력값'!C53*100*(3/12))</f>
      </c>
      <c r="Q20" s="27">
        <f>-('입력값'!C53*100*(3/12))</f>
      </c>
      <c r="R20" s="27">
        <f>-('입력값'!C53*100*(3/12))</f>
      </c>
      <c r="S20" s="27">
        <f>-('입력값'!C53*100*(3/12))</f>
      </c>
      <c r="T20" s="27">
        <f>-('입력값'!C53*100*(3/12))</f>
      </c>
      <c r="U20" s="27">
        <f>-('입력값'!C53*100*(3/12))</f>
      </c>
      <c r="V20" s="27">
        <f>-('입력값'!C53*100*(3/12))</f>
      </c>
      <c r="W20" s="27">
        <f>-('입력값'!C53*100*(3/12))</f>
      </c>
      <c r="X20" s="27">
        <f>-('입력값'!C53*100*(3/12))</f>
      </c>
      <c r="Y20" s="27">
        <f>-('입력값'!C53*100*(3/12))</f>
      </c>
      <c r="Z20" s="27">
        <f>-('입력값'!C53*100*(3/12))</f>
      </c>
      <c r="AA20" s="27">
        <f>-('입력값'!C53*100*(3/12))</f>
      </c>
      <c r="AB20" s="27">
        <f>-('입력값'!C53*100*(3/12))</f>
      </c>
      <c r="AC20" s="27">
        <f>-('입력값'!C53*100*(3/12))</f>
      </c>
      <c r="AD20" s="27">
        <f>-('입력값'!C53*100*(3/12))</f>
      </c>
      <c r="AE20" s="27">
        <f>-('입력값'!C53*100*(3/12))</f>
      </c>
      <c r="AF20" s="27">
        <f>-('입력값'!C53*100*(3/12))</f>
      </c>
      <c r="AG20" s="27">
        <f>-('입력값'!C53*100*(3/12))</f>
      </c>
      <c r="AH20" s="27">
        <f>-('입력값'!C53*100*(3/12))</f>
      </c>
      <c r="AI20" s="27">
        <f>-('입력값'!C53*100*(3/12))</f>
      </c>
      <c r="AJ20" s="27">
        <f>-('입력값'!C53*100*(3/12))</f>
      </c>
      <c r="AK20" s="27">
        <f>-('입력값'!C53*100*(3/12))</f>
      </c>
      <c r="AL20" s="27">
        <f>-('입력값'!C53*100*(3/12))</f>
      </c>
      <c r="AM20" s="27">
        <f>-('입력값'!C53*100*(3/12))</f>
      </c>
      <c r="AN20" s="27">
        <f>-('입력값'!C53*100*(3/12))</f>
      </c>
      <c r="AO20" s="27">
        <f>-('입력값'!C53*100*(3/12))</f>
      </c>
      <c r="AP20" s="27">
        <f>-('입력값'!C53*100*(3/12))</f>
      </c>
      <c r="AQ20" s="27">
        <f>-('입력값'!C53*100*(3/12))</f>
      </c>
      <c r="AR20" s="27">
        <f>-('입력값'!C53*100*(3/12))</f>
      </c>
      <c r="AS20" s="27">
        <f>-('입력값'!C53*100*(3/12))</f>
      </c>
      <c r="AT20" s="27">
        <f>-('입력값'!C53*100*(3/12))</f>
      </c>
      <c r="AU20" s="27">
        <f>-('입력값'!C53*100*(3/12))</f>
      </c>
      <c r="AV20" s="27">
        <f>-('입력값'!C53*100*(3/12))</f>
      </c>
      <c r="AW20" s="27">
        <f>-('입력값'!C53*100*(3/12))</f>
      </c>
      <c r="AX20" s="27">
        <f>-('입력값'!C53*100*(3/12))</f>
      </c>
      <c r="AY20" s="27">
        <f>-('입력값'!C53*100*(3/12))</f>
      </c>
      <c r="AZ20" s="27">
        <f>-('입력값'!C53*100*(3/12))</f>
      </c>
      <c r="BA20" s="27">
        <f>-('입력값'!C53*100*(3/12))</f>
      </c>
      <c r="BB20" s="27">
        <f>-('입력값'!C53*100*(3/12))</f>
      </c>
      <c r="BC20" s="27">
        <f>-('입력값'!C53*100*(3/12))</f>
      </c>
      <c r="BD20" s="27">
        <f>-('입력값'!C53*100*(3/12))</f>
      </c>
      <c r="BE20" s="27">
        <f>-('입력값'!C53*100*(3/12))</f>
      </c>
      <c r="BF20" s="27">
        <f>-('입력값'!C53*100*(3/12))</f>
      </c>
      <c r="BG20" s="27">
        <f>-('입력값'!C53*100*(3/12))</f>
      </c>
      <c r="BH20" s="27">
        <f>-('입력값'!C53*100*(3/12))</f>
      </c>
      <c r="BI20" s="27">
        <f>-('입력값'!C53*100*(3/12))</f>
      </c>
      <c r="BJ20" s="27">
        <f>-('입력값'!C53*100*(3/12))</f>
      </c>
      <c r="BK20" s="27">
        <f>-('입력값'!C53*100*(3/12))</f>
      </c>
      <c r="BL20" s="27">
        <f>-('입력값'!C53*100*(3/12))</f>
      </c>
      <c r="BM20" s="27">
        <f>-('입력값'!C53*100*(3/12))</f>
      </c>
      <c r="BN20" s="27">
        <f>-('입력값'!C53*100*(3/12))</f>
      </c>
      <c r="BO20" s="27">
        <f>-('입력값'!C53*100*(3/12))</f>
      </c>
      <c r="BP20" s="27">
        <f>-('입력값'!C53*100*(3/12))</f>
      </c>
      <c r="BQ20" s="27">
        <f>-('입력값'!C53*100*(3/12))</f>
      </c>
      <c r="BR20" s="27">
        <f>-('입력값'!C53*100*(3/12))</f>
      </c>
      <c r="BS20" s="27">
        <f>-('입력값'!C53*100*(3/12))</f>
      </c>
      <c r="BT20" s="27">
        <f>-('입력값'!C53*100*(3/12))</f>
      </c>
      <c r="BU20" s="27">
        <f>-('입력값'!C53*100*(3/12))</f>
      </c>
      <c r="BV20" s="27">
        <f>-('입력값'!C53*100*(3/12))</f>
      </c>
      <c r="BW20" s="27">
        <f>-('입력값'!C53*100*(3/12))</f>
      </c>
      <c r="BX20" s="27">
        <f>-('입력값'!C53*100*(3/12))</f>
      </c>
      <c r="BY20" s="27">
        <f>-('입력값'!C53*100*(3/12))</f>
      </c>
      <c r="BZ20" s="27">
        <f>-('입력값'!C53*100*(3/12))</f>
      </c>
      <c r="CA20" s="27">
        <f>-('입력값'!C53*100*(3/12))</f>
      </c>
      <c r="CB20" s="27">
        <f>-('입력값'!C53*100*(3/12))</f>
      </c>
      <c r="CC20" s="27">
        <f>-('입력값'!C53*100*(3/12))</f>
      </c>
      <c r="CD20" s="27">
        <f>-('입력값'!C53*100*(3/12))</f>
      </c>
      <c r="CE20" s="27">
        <f>-('입력값'!C53*100*(3/12))</f>
      </c>
      <c r="CF20" s="27">
        <f>-('입력값'!C53*100*(3/12))</f>
      </c>
      <c r="CG20" s="27">
        <f>-('입력값'!C53*100*(3/12))</f>
      </c>
      <c r="CH20" s="27">
        <f>-('입력값'!C53*100*(3/12))</f>
      </c>
      <c r="CI20" s="27">
        <f>-('입력값'!C53*100*(3/12))</f>
      </c>
      <c r="CJ20" s="27">
        <f>-('입력값'!C53*100*(3/12))</f>
      </c>
      <c r="CK20" s="27">
        <f>-('입력값'!C53*100*(3/12))</f>
      </c>
      <c r="CL20" s="27">
        <f>-('입력값'!C53*100*(3/12))</f>
      </c>
    </row>
    <row r="21" spans="2:90" x14ac:dyDescent="0.25">
      <c r="B21" s="37" t="s">
        <v>237</v>
      </c>
      <c r="C21" s="38" t="s">
        <v>205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f>-('입력값'!C54*100*(3/12))</f>
      </c>
      <c r="L21" s="27">
        <f>-('입력값'!C54*100*(3/12))</f>
      </c>
      <c r="M21" s="27">
        <f>-('입력값'!C54*100*(3/12))</f>
      </c>
      <c r="N21" s="27">
        <f>-('입력값'!C54*100*(3/12))</f>
      </c>
      <c r="O21" s="27">
        <f>-('입력값'!C54*100*(3/12))</f>
      </c>
      <c r="P21" s="27">
        <f>-('입력값'!C54*100*(3/12))</f>
      </c>
      <c r="Q21" s="27">
        <f>-('입력값'!C54*100*(3/12))</f>
      </c>
      <c r="R21" s="27">
        <f>-('입력값'!C54*100*(3/12))</f>
      </c>
      <c r="S21" s="27">
        <f>-('입력값'!C54*100*(3/12))</f>
      </c>
      <c r="T21" s="27">
        <f>-('입력값'!C54*100*(3/12))</f>
      </c>
      <c r="U21" s="27">
        <f>-('입력값'!C54*100*(3/12))</f>
      </c>
      <c r="V21" s="27">
        <f>-('입력값'!C54*100*(3/12))</f>
      </c>
      <c r="W21" s="27">
        <f>-('입력값'!C54*100*(3/12))</f>
      </c>
      <c r="X21" s="27">
        <f>-('입력값'!C54*100*(3/12))</f>
      </c>
      <c r="Y21" s="27">
        <f>-('입력값'!C54*100*(3/12))</f>
      </c>
      <c r="Z21" s="27">
        <f>-('입력값'!C54*100*(3/12))</f>
      </c>
      <c r="AA21" s="27">
        <f>-('입력값'!C54*100*(3/12))</f>
      </c>
      <c r="AB21" s="27">
        <f>-('입력값'!C54*100*(3/12))</f>
      </c>
      <c r="AC21" s="27">
        <f>-('입력값'!C54*100*(3/12))</f>
      </c>
      <c r="AD21" s="27">
        <f>-('입력값'!C54*100*(3/12))</f>
      </c>
      <c r="AE21" s="27">
        <f>-('입력값'!C54*100*(3/12))</f>
      </c>
      <c r="AF21" s="27">
        <f>-('입력값'!C54*100*(3/12))</f>
      </c>
      <c r="AG21" s="27">
        <f>-('입력값'!C54*100*(3/12))</f>
      </c>
      <c r="AH21" s="27">
        <f>-('입력값'!C54*100*(3/12))</f>
      </c>
      <c r="AI21" s="27">
        <f>-('입력값'!C54*100*(3/12))</f>
      </c>
      <c r="AJ21" s="27">
        <f>-('입력값'!C54*100*(3/12))</f>
      </c>
      <c r="AK21" s="27">
        <f>-('입력값'!C54*100*(3/12))</f>
      </c>
      <c r="AL21" s="27">
        <f>-('입력값'!C54*100*(3/12))</f>
      </c>
      <c r="AM21" s="27">
        <f>-('입력값'!C54*100*(3/12))</f>
      </c>
      <c r="AN21" s="27">
        <f>-('입력값'!C54*100*(3/12))</f>
      </c>
      <c r="AO21" s="27">
        <f>-('입력값'!C54*100*(3/12))</f>
      </c>
      <c r="AP21" s="27">
        <f>-('입력값'!C54*100*(3/12))</f>
      </c>
      <c r="AQ21" s="27">
        <f>-('입력값'!C54*100*(3/12))</f>
      </c>
      <c r="AR21" s="27">
        <f>-('입력값'!C54*100*(3/12))</f>
      </c>
      <c r="AS21" s="27">
        <f>-('입력값'!C54*100*(3/12))</f>
      </c>
      <c r="AT21" s="27">
        <f>-('입력값'!C54*100*(3/12))</f>
      </c>
      <c r="AU21" s="27">
        <f>-('입력값'!C54*100*(3/12))</f>
      </c>
      <c r="AV21" s="27">
        <f>-('입력값'!C54*100*(3/12))</f>
      </c>
      <c r="AW21" s="27">
        <f>-('입력값'!C54*100*(3/12))</f>
      </c>
      <c r="AX21" s="27">
        <f>-('입력값'!C54*100*(3/12))</f>
      </c>
      <c r="AY21" s="27">
        <f>-('입력값'!C54*100*(3/12))</f>
      </c>
      <c r="AZ21" s="27">
        <f>-('입력값'!C54*100*(3/12))</f>
      </c>
      <c r="BA21" s="27">
        <f>-('입력값'!C54*100*(3/12))</f>
      </c>
      <c r="BB21" s="27">
        <f>-('입력값'!C54*100*(3/12))</f>
      </c>
      <c r="BC21" s="27">
        <f>-('입력값'!C54*100*(3/12))</f>
      </c>
      <c r="BD21" s="27">
        <f>-('입력값'!C54*100*(3/12))</f>
      </c>
      <c r="BE21" s="27">
        <f>-('입력값'!C54*100*(3/12))</f>
      </c>
      <c r="BF21" s="27">
        <f>-('입력값'!C54*100*(3/12))</f>
      </c>
      <c r="BG21" s="27">
        <f>-('입력값'!C54*100*(3/12))</f>
      </c>
      <c r="BH21" s="27">
        <f>-('입력값'!C54*100*(3/12))</f>
      </c>
      <c r="BI21" s="27">
        <f>-('입력값'!C54*100*(3/12))</f>
      </c>
      <c r="BJ21" s="27">
        <f>-('입력값'!C54*100*(3/12))</f>
      </c>
      <c r="BK21" s="27">
        <f>-('입력값'!C54*100*(3/12))</f>
      </c>
      <c r="BL21" s="27">
        <f>-('입력값'!C54*100*(3/12))</f>
      </c>
      <c r="BM21" s="27">
        <f>-('입력값'!C54*100*(3/12))</f>
      </c>
      <c r="BN21" s="27">
        <f>-('입력값'!C54*100*(3/12))</f>
      </c>
      <c r="BO21" s="27">
        <f>-('입력값'!C54*100*(3/12))</f>
      </c>
      <c r="BP21" s="27">
        <f>-('입력값'!C54*100*(3/12))</f>
      </c>
      <c r="BQ21" s="27">
        <f>-('입력값'!C54*100*(3/12))</f>
      </c>
      <c r="BR21" s="27">
        <f>-('입력값'!C54*100*(3/12))</f>
      </c>
      <c r="BS21" s="27">
        <f>-('입력값'!C54*100*(3/12))</f>
      </c>
      <c r="BT21" s="27">
        <f>-('입력값'!C54*100*(3/12))</f>
      </c>
      <c r="BU21" s="27">
        <f>-('입력값'!C54*100*(3/12))</f>
      </c>
      <c r="BV21" s="27">
        <f>-('입력값'!C54*100*(3/12))</f>
      </c>
      <c r="BW21" s="27">
        <f>-('입력값'!C54*100*(3/12))</f>
      </c>
      <c r="BX21" s="27">
        <f>-('입력값'!C54*100*(3/12))</f>
      </c>
      <c r="BY21" s="27">
        <f>-('입력값'!C54*100*(3/12))</f>
      </c>
      <c r="BZ21" s="27">
        <f>-('입력값'!C54*100*(3/12))</f>
      </c>
      <c r="CA21" s="27">
        <f>-('입력값'!C54*100*(3/12))</f>
      </c>
      <c r="CB21" s="27">
        <f>-('입력값'!C54*100*(3/12))</f>
      </c>
      <c r="CC21" s="27">
        <f>-('입력값'!C54*100*(3/12))</f>
      </c>
      <c r="CD21" s="27">
        <f>-('입력값'!C54*100*(3/12))</f>
      </c>
      <c r="CE21" s="27">
        <f>-('입력값'!C54*100*(3/12))</f>
      </c>
      <c r="CF21" s="27">
        <f>-('입력값'!C54*100*(3/12))</f>
      </c>
      <c r="CG21" s="27">
        <f>-('입력값'!C54*100*(3/12))</f>
      </c>
      <c r="CH21" s="27">
        <f>-('입력값'!C54*100*(3/12))</f>
      </c>
      <c r="CI21" s="27">
        <f>-('입력값'!C54*100*(3/12))</f>
      </c>
      <c r="CJ21" s="27">
        <f>-('입력값'!C54*100*(3/12))</f>
      </c>
      <c r="CK21" s="27">
        <f>-('입력값'!C54*100*(3/12))</f>
      </c>
      <c r="CL21" s="27">
        <f>-('입력값'!C54*100*(3/12))</f>
      </c>
    </row>
    <row r="22" spans="2:90" x14ac:dyDescent="0.25">
      <c r="B22" s="37" t="s">
        <v>238</v>
      </c>
      <c r="C22" s="38" t="s">
        <v>205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f>-('입력값'!C55*100*(3/12))</f>
      </c>
      <c r="L22" s="27">
        <f>-('입력값'!C55*100*(3/12))</f>
      </c>
      <c r="M22" s="27">
        <f>-('입력값'!C55*100*(3/12))</f>
      </c>
      <c r="N22" s="27">
        <f>-('입력값'!C55*100*(3/12))</f>
      </c>
      <c r="O22" s="27">
        <f>-('입력값'!C55*100*(3/12))</f>
      </c>
      <c r="P22" s="27">
        <f>-('입력값'!C55*100*(3/12))</f>
      </c>
      <c r="Q22" s="27">
        <f>-('입력값'!C55*100*(3/12))</f>
      </c>
      <c r="R22" s="27">
        <f>-('입력값'!C55*100*(3/12))</f>
      </c>
      <c r="S22" s="27">
        <f>-('입력값'!C55*100*(3/12))</f>
      </c>
      <c r="T22" s="27">
        <f>-('입력값'!C55*100*(3/12))</f>
      </c>
      <c r="U22" s="27">
        <f>-('입력값'!C55*100*(3/12))</f>
      </c>
      <c r="V22" s="27">
        <f>-('입력값'!C55*100*(3/12))</f>
      </c>
      <c r="W22" s="27">
        <f>-('입력값'!C55*100*(3/12))</f>
      </c>
      <c r="X22" s="27">
        <f>-('입력값'!C55*100*(3/12))</f>
      </c>
      <c r="Y22" s="27">
        <f>-('입력값'!C55*100*(3/12))</f>
      </c>
      <c r="Z22" s="27">
        <f>-('입력값'!C55*100*(3/12))</f>
      </c>
      <c r="AA22" s="27">
        <f>-('입력값'!C55*100*(3/12))</f>
      </c>
      <c r="AB22" s="27">
        <f>-('입력값'!C55*100*(3/12))</f>
      </c>
      <c r="AC22" s="27">
        <f>-('입력값'!C55*100*(3/12))</f>
      </c>
      <c r="AD22" s="27">
        <f>-('입력값'!C55*100*(3/12))</f>
      </c>
      <c r="AE22" s="27">
        <f>-('입력값'!C55*100*(3/12))</f>
      </c>
      <c r="AF22" s="27">
        <f>-('입력값'!C55*100*(3/12))</f>
      </c>
      <c r="AG22" s="27">
        <f>-('입력값'!C55*100*(3/12))</f>
      </c>
      <c r="AH22" s="27">
        <f>-('입력값'!C55*100*(3/12))</f>
      </c>
      <c r="AI22" s="27">
        <f>-('입력값'!C55*100*(3/12))</f>
      </c>
      <c r="AJ22" s="27">
        <f>-('입력값'!C55*100*(3/12))</f>
      </c>
      <c r="AK22" s="27">
        <f>-('입력값'!C55*100*(3/12))</f>
      </c>
      <c r="AL22" s="27">
        <f>-('입력값'!C55*100*(3/12))</f>
      </c>
      <c r="AM22" s="27">
        <f>-('입력값'!C55*100*(3/12))</f>
      </c>
      <c r="AN22" s="27">
        <f>-('입력값'!C55*100*(3/12))</f>
      </c>
      <c r="AO22" s="27">
        <f>-('입력값'!C55*100*(3/12))</f>
      </c>
      <c r="AP22" s="27">
        <f>-('입력값'!C55*100*(3/12))</f>
      </c>
      <c r="AQ22" s="27">
        <f>-('입력값'!C55*100*(3/12))</f>
      </c>
      <c r="AR22" s="27">
        <f>-('입력값'!C55*100*(3/12))</f>
      </c>
      <c r="AS22" s="27">
        <f>-('입력값'!C55*100*(3/12))</f>
      </c>
      <c r="AT22" s="27">
        <f>-('입력값'!C55*100*(3/12))</f>
      </c>
      <c r="AU22" s="27">
        <f>-('입력값'!C55*100*(3/12))</f>
      </c>
      <c r="AV22" s="27">
        <f>-('입력값'!C55*100*(3/12))</f>
      </c>
      <c r="AW22" s="27">
        <f>-('입력값'!C55*100*(3/12))</f>
      </c>
      <c r="AX22" s="27">
        <f>-('입력값'!C55*100*(3/12))</f>
      </c>
      <c r="AY22" s="27">
        <f>-('입력값'!C55*100*(3/12))</f>
      </c>
      <c r="AZ22" s="27">
        <f>-('입력값'!C55*100*(3/12))</f>
      </c>
      <c r="BA22" s="27">
        <f>-('입력값'!C55*100*(3/12))</f>
      </c>
      <c r="BB22" s="27">
        <f>-('입력값'!C55*100*(3/12))</f>
      </c>
      <c r="BC22" s="27">
        <f>-('입력값'!C55*100*(3/12))</f>
      </c>
      <c r="BD22" s="27">
        <f>-('입력값'!C55*100*(3/12))</f>
      </c>
      <c r="BE22" s="27">
        <f>-('입력값'!C55*100*(3/12))</f>
      </c>
      <c r="BF22" s="27">
        <f>-('입력값'!C55*100*(3/12))</f>
      </c>
      <c r="BG22" s="27">
        <f>-('입력값'!C55*100*(3/12))</f>
      </c>
      <c r="BH22" s="27">
        <f>-('입력값'!C55*100*(3/12))</f>
      </c>
      <c r="BI22" s="27">
        <f>-('입력값'!C55*100*(3/12))</f>
      </c>
      <c r="BJ22" s="27">
        <f>-('입력값'!C55*100*(3/12))</f>
      </c>
      <c r="BK22" s="27">
        <f>-('입력값'!C55*100*(3/12))</f>
      </c>
      <c r="BL22" s="27">
        <f>-('입력값'!C55*100*(3/12))</f>
      </c>
      <c r="BM22" s="27">
        <f>-('입력값'!C55*100*(3/12))</f>
      </c>
      <c r="BN22" s="27">
        <f>-('입력값'!C55*100*(3/12))</f>
      </c>
      <c r="BO22" s="27">
        <f>-('입력값'!C55*100*(3/12))</f>
      </c>
      <c r="BP22" s="27">
        <f>-('입력값'!C55*100*(3/12))</f>
      </c>
      <c r="BQ22" s="27">
        <f>-('입력값'!C55*100*(3/12))</f>
      </c>
      <c r="BR22" s="27">
        <f>-('입력값'!C55*100*(3/12))</f>
      </c>
      <c r="BS22" s="27">
        <f>-('입력값'!C55*100*(3/12))</f>
      </c>
      <c r="BT22" s="27">
        <f>-('입력값'!C55*100*(3/12))</f>
      </c>
      <c r="BU22" s="27">
        <f>-('입력값'!C55*100*(3/12))</f>
      </c>
      <c r="BV22" s="27">
        <f>-('입력값'!C55*100*(3/12))</f>
      </c>
      <c r="BW22" s="27">
        <f>-('입력값'!C55*100*(3/12))</f>
      </c>
      <c r="BX22" s="27">
        <f>-('입력값'!C55*100*(3/12))</f>
      </c>
      <c r="BY22" s="27">
        <f>-('입력값'!C55*100*(3/12))</f>
      </c>
      <c r="BZ22" s="27">
        <f>-('입력값'!C55*100*(3/12))</f>
      </c>
      <c r="CA22" s="27">
        <f>-('입력값'!C55*100*(3/12))</f>
      </c>
      <c r="CB22" s="27">
        <f>-('입력값'!C55*100*(3/12))</f>
      </c>
      <c r="CC22" s="27">
        <f>-('입력값'!C55*100*(3/12))</f>
      </c>
      <c r="CD22" s="27">
        <f>-('입력값'!C55*100*(3/12))</f>
      </c>
      <c r="CE22" s="27">
        <f>-('입력값'!C55*100*(3/12))</f>
      </c>
      <c r="CF22" s="27">
        <f>-('입력값'!C55*100*(3/12))</f>
      </c>
      <c r="CG22" s="27">
        <f>-('입력값'!C55*100*(3/12))</f>
      </c>
      <c r="CH22" s="27">
        <f>-('입력값'!C55*100*(3/12))</f>
      </c>
      <c r="CI22" s="27">
        <f>-('입력값'!C55*100*(3/12))</f>
      </c>
      <c r="CJ22" s="27">
        <f>-('입력값'!C55*100*(3/12))</f>
      </c>
      <c r="CK22" s="27">
        <f>-('입력값'!C55*100*(3/12))</f>
      </c>
      <c r="CL22" s="27">
        <f>-('입력값'!C55*100*(3/12))</f>
      </c>
    </row>
    <row r="23" spans="2:90" x14ac:dyDescent="0.25">
      <c r="B23" s="39" t="s">
        <v>241</v>
      </c>
      <c r="C23" s="38" t="s">
        <v>205</v>
      </c>
      <c r="D23" s="14">
        <v>-28498.933682669627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-325</v>
      </c>
      <c r="L23" s="14">
        <v>-325</v>
      </c>
      <c r="M23" s="14">
        <v>-325</v>
      </c>
      <c r="N23" s="14">
        <v>-325</v>
      </c>
      <c r="O23" s="14">
        <v>-328</v>
      </c>
      <c r="P23" s="14">
        <v>-328</v>
      </c>
      <c r="Q23" s="14">
        <v>-328</v>
      </c>
      <c r="R23" s="14">
        <v>-328</v>
      </c>
      <c r="S23" s="14">
        <v>-331.04499999999996</v>
      </c>
      <c r="T23" s="14">
        <v>-331.04499999999996</v>
      </c>
      <c r="U23" s="14">
        <v>-331.04499999999996</v>
      </c>
      <c r="V23" s="14">
        <v>-331.04499999999996</v>
      </c>
      <c r="W23" s="14">
        <v>-334.13567499999994</v>
      </c>
      <c r="X23" s="14">
        <v>-334.13567499999994</v>
      </c>
      <c r="Y23" s="14">
        <v>-334.13567499999994</v>
      </c>
      <c r="Z23" s="14">
        <v>-334.13567499999994</v>
      </c>
      <c r="AA23" s="14">
        <v>-337.2727101249999</v>
      </c>
      <c r="AB23" s="14">
        <v>-337.2727101249999</v>
      </c>
      <c r="AC23" s="14">
        <v>-337.2727101249999</v>
      </c>
      <c r="AD23" s="14">
        <v>-337.2727101249999</v>
      </c>
      <c r="AE23" s="14">
        <v>-340.4568007768749</v>
      </c>
      <c r="AF23" s="14">
        <v>-340.4568007768749</v>
      </c>
      <c r="AG23" s="14">
        <v>-340.4568007768749</v>
      </c>
      <c r="AH23" s="14">
        <v>-340.4568007768749</v>
      </c>
      <c r="AI23" s="14">
        <v>-343.688652788528</v>
      </c>
      <c r="AJ23" s="14">
        <v>-343.688652788528</v>
      </c>
      <c r="AK23" s="14">
        <v>-343.688652788528</v>
      </c>
      <c r="AL23" s="14">
        <v>-343.688652788528</v>
      </c>
      <c r="AM23" s="14">
        <v>-346.96898258035594</v>
      </c>
      <c r="AN23" s="14">
        <v>-346.96898258035594</v>
      </c>
      <c r="AO23" s="14">
        <v>-346.96898258035594</v>
      </c>
      <c r="AP23" s="14">
        <v>-346.96898258035594</v>
      </c>
      <c r="AQ23" s="14">
        <v>-350.29851731906126</v>
      </c>
      <c r="AR23" s="14">
        <v>-350.29851731906126</v>
      </c>
      <c r="AS23" s="14">
        <v>-350.29851731906126</v>
      </c>
      <c r="AT23" s="14">
        <v>-350.29851731906126</v>
      </c>
      <c r="AU23" s="14">
        <v>-353.6779950788471</v>
      </c>
      <c r="AV23" s="14">
        <v>-353.6779950788471</v>
      </c>
      <c r="AW23" s="14">
        <v>-353.6779950788471</v>
      </c>
      <c r="AX23" s="14">
        <v>-353.6779950788471</v>
      </c>
      <c r="AY23" s="14">
        <v>-357.10816500502983</v>
      </c>
      <c r="AZ23" s="14">
        <v>-357.10816500502983</v>
      </c>
      <c r="BA23" s="14">
        <v>-357.10816500502983</v>
      </c>
      <c r="BB23" s="14">
        <v>-357.10816500502983</v>
      </c>
      <c r="BC23" s="14">
        <v>-360.5897874801052</v>
      </c>
      <c r="BD23" s="14">
        <v>-360.5897874801052</v>
      </c>
      <c r="BE23" s="14">
        <v>-360.5897874801052</v>
      </c>
      <c r="BF23" s="14">
        <v>-360.5897874801052</v>
      </c>
      <c r="BG23" s="14">
        <v>-364.12363429230675</v>
      </c>
      <c r="BH23" s="14">
        <v>-364.12363429230675</v>
      </c>
      <c r="BI23" s="14">
        <v>-364.12363429230675</v>
      </c>
      <c r="BJ23" s="14">
        <v>-364.12363429230675</v>
      </c>
      <c r="BK23" s="14">
        <v>-367.7104888066914</v>
      </c>
      <c r="BL23" s="14">
        <v>-367.7104888066914</v>
      </c>
      <c r="BM23" s="14">
        <v>-367.7104888066914</v>
      </c>
      <c r="BN23" s="14">
        <v>-367.7104888066914</v>
      </c>
      <c r="BO23" s="14">
        <v>-371.3511461387917</v>
      </c>
      <c r="BP23" s="14">
        <v>-371.3511461387917</v>
      </c>
      <c r="BQ23" s="14">
        <v>-371.3511461387917</v>
      </c>
      <c r="BR23" s="14">
        <v>-371.3511461387917</v>
      </c>
      <c r="BS23" s="14">
        <v>-375.0464133308736</v>
      </c>
      <c r="BT23" s="14">
        <v>-375.0464133308736</v>
      </c>
      <c r="BU23" s="14">
        <v>-375.0464133308736</v>
      </c>
      <c r="BV23" s="14">
        <v>-375.0464133308736</v>
      </c>
      <c r="BW23" s="14">
        <v>-378.7971095308366</v>
      </c>
      <c r="BX23" s="14">
        <v>-378.7971095308366</v>
      </c>
      <c r="BY23" s="14">
        <v>-378.7971095308366</v>
      </c>
      <c r="BZ23" s="14">
        <v>-378.7971095308366</v>
      </c>
      <c r="CA23" s="14">
        <v>-382.60406617379914</v>
      </c>
      <c r="CB23" s="14">
        <v>-382.60406617379914</v>
      </c>
      <c r="CC23" s="14">
        <v>-382.60406617379914</v>
      </c>
      <c r="CD23" s="14">
        <v>-382.60406617379914</v>
      </c>
      <c r="CE23" s="14">
        <v>-386.46812716640613</v>
      </c>
      <c r="CF23" s="14">
        <v>-386.46812716640613</v>
      </c>
      <c r="CG23" s="14">
        <v>-386.46812716640613</v>
      </c>
      <c r="CH23" s="14">
        <v>-386.46812716640613</v>
      </c>
      <c r="CI23" s="14">
        <v>-390.3901490739022</v>
      </c>
      <c r="CJ23" s="14">
        <v>-390.3901490739022</v>
      </c>
      <c r="CK23" s="14">
        <v>-390.3901490739022</v>
      </c>
      <c r="CL23" s="14">
        <v>-390.3901490739022</v>
      </c>
    </row>
    <row r="25" spans="2:91" x14ac:dyDescent="0.25">
      <c r="B25" s="35" t="s">
        <v>246</v>
      </c>
      <c r="C25" s="41" t="s">
        <v>205</v>
      </c>
      <c r="D25" s="33">
        <v>377281.8392395562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5000.20699373</v>
      </c>
      <c r="L25" s="33">
        <v>5000.20699373</v>
      </c>
      <c r="M25" s="33">
        <v>5000.20699373</v>
      </c>
      <c r="N25" s="33">
        <v>5000.20699373</v>
      </c>
      <c r="O25" s="33">
        <v>4970.58095876135</v>
      </c>
      <c r="P25" s="33">
        <v>4970.58095876135</v>
      </c>
      <c r="Q25" s="33">
        <v>4970.58095876135</v>
      </c>
      <c r="R25" s="33">
        <v>4970.58095876135</v>
      </c>
      <c r="S25" s="33">
        <v>4940.909923792699</v>
      </c>
      <c r="T25" s="33">
        <v>4940.909923792699</v>
      </c>
      <c r="U25" s="33">
        <v>4940.909923792699</v>
      </c>
      <c r="V25" s="33">
        <v>4940.909923792699</v>
      </c>
      <c r="W25" s="33">
        <v>4911.193213824051</v>
      </c>
      <c r="X25" s="33">
        <v>4911.193213824051</v>
      </c>
      <c r="Y25" s="33">
        <v>4911.193213824051</v>
      </c>
      <c r="Z25" s="33">
        <v>4911.193213824051</v>
      </c>
      <c r="AA25" s="33">
        <v>4881.430143730399</v>
      </c>
      <c r="AB25" s="33">
        <v>4881.430143730399</v>
      </c>
      <c r="AC25" s="33">
        <v>4881.430143730399</v>
      </c>
      <c r="AD25" s="33">
        <v>4881.430143730399</v>
      </c>
      <c r="AE25" s="33">
        <v>4851.620018109875</v>
      </c>
      <c r="AF25" s="33">
        <v>4851.620018109875</v>
      </c>
      <c r="AG25" s="33">
        <v>4851.620018109875</v>
      </c>
      <c r="AH25" s="33">
        <v>4851.620018109875</v>
      </c>
      <c r="AI25" s="33">
        <v>4821.7621311295725</v>
      </c>
      <c r="AJ25" s="33">
        <v>4821.7621311295725</v>
      </c>
      <c r="AK25" s="33">
        <v>4821.7621311295725</v>
      </c>
      <c r="AL25" s="33">
        <v>4821.7621311295725</v>
      </c>
      <c r="AM25" s="33">
        <v>4791.8557663690935</v>
      </c>
      <c r="AN25" s="33">
        <v>4791.8557663690935</v>
      </c>
      <c r="AO25" s="33">
        <v>4791.8557663690935</v>
      </c>
      <c r="AP25" s="33">
        <v>4791.8557663690935</v>
      </c>
      <c r="AQ25" s="33">
        <v>4761.900196661739</v>
      </c>
      <c r="AR25" s="33">
        <v>4761.900196661739</v>
      </c>
      <c r="AS25" s="33">
        <v>4761.900196661739</v>
      </c>
      <c r="AT25" s="33">
        <v>4761.900196661739</v>
      </c>
      <c r="AU25" s="33">
        <v>4731.894683933303</v>
      </c>
      <c r="AV25" s="33">
        <v>4731.894683933303</v>
      </c>
      <c r="AW25" s="33">
        <v>4731.894683933303</v>
      </c>
      <c r="AX25" s="33">
        <v>4731.894683933303</v>
      </c>
      <c r="AY25" s="33">
        <v>4701.83847903847</v>
      </c>
      <c r="AZ25" s="33">
        <v>4701.83847903847</v>
      </c>
      <c r="BA25" s="33">
        <v>4701.83847903847</v>
      </c>
      <c r="BB25" s="33">
        <v>4701.83847903847</v>
      </c>
      <c r="BC25" s="33">
        <v>4671.730821594745</v>
      </c>
      <c r="BD25" s="33">
        <v>4671.730821594745</v>
      </c>
      <c r="BE25" s="33">
        <v>4671.730821594745</v>
      </c>
      <c r="BF25" s="33">
        <v>4671.730821594745</v>
      </c>
      <c r="BG25" s="33">
        <v>4641.570939813893</v>
      </c>
      <c r="BH25" s="33">
        <v>4641.570939813893</v>
      </c>
      <c r="BI25" s="33">
        <v>4641.570939813893</v>
      </c>
      <c r="BJ25" s="33">
        <v>4641.570939813893</v>
      </c>
      <c r="BK25" s="33">
        <v>4611.3580503308585</v>
      </c>
      <c r="BL25" s="33">
        <v>4611.3580503308585</v>
      </c>
      <c r="BM25" s="33">
        <v>4611.3580503308585</v>
      </c>
      <c r="BN25" s="33">
        <v>4611.3580503308585</v>
      </c>
      <c r="BO25" s="33">
        <v>4581.0913580301085</v>
      </c>
      <c r="BP25" s="33">
        <v>4581.0913580301085</v>
      </c>
      <c r="BQ25" s="33">
        <v>4581.0913580301085</v>
      </c>
      <c r="BR25" s="33">
        <v>4581.0913580301085</v>
      </c>
      <c r="BS25" s="33">
        <v>4550.770055869377</v>
      </c>
      <c r="BT25" s="33">
        <v>4550.770055869377</v>
      </c>
      <c r="BU25" s="33">
        <v>4550.770055869377</v>
      </c>
      <c r="BV25" s="33">
        <v>4550.770055869377</v>
      </c>
      <c r="BW25" s="33">
        <v>4520.3933247007635</v>
      </c>
      <c r="BX25" s="33">
        <v>4520.3933247007635</v>
      </c>
      <c r="BY25" s="33">
        <v>4520.3933247007635</v>
      </c>
      <c r="BZ25" s="33">
        <v>4520.3933247007635</v>
      </c>
      <c r="CA25" s="33">
        <v>4489.960333089151</v>
      </c>
      <c r="CB25" s="33">
        <v>4489.960333089151</v>
      </c>
      <c r="CC25" s="33">
        <v>4489.960333089151</v>
      </c>
      <c r="CD25" s="33">
        <v>4489.960333089151</v>
      </c>
      <c r="CE25" s="33">
        <v>4459.4702371278945</v>
      </c>
      <c r="CF25" s="33">
        <v>4459.4702371278945</v>
      </c>
      <c r="CG25" s="33">
        <v>4459.4702371278945</v>
      </c>
      <c r="CH25" s="33">
        <v>4459.4702371278945</v>
      </c>
      <c r="CI25" s="33">
        <v>4428.922180251748</v>
      </c>
      <c r="CJ25" s="33">
        <v>4428.922180251748</v>
      </c>
      <c r="CK25" s="33">
        <v>4428.922180251748</v>
      </c>
      <c r="CL25" s="33">
        <v>4428.922180251748</v>
      </c>
      <c r="CM25" s="36"/>
    </row>
    <row r="26" spans="2:90" x14ac:dyDescent="0.25">
      <c r="B26" s="37" t="s">
        <v>247</v>
      </c>
      <c r="C26" s="38" t="s">
        <v>248</v>
      </c>
      <c r="E26" s="29"/>
      <c r="F26" s="29"/>
      <c r="G26" s="29"/>
      <c r="H26" s="29"/>
      <c r="I26" s="29"/>
      <c r="J26" s="29"/>
      <c r="K26" s="29">
        <v>0.9389695085312812</v>
      </c>
      <c r="L26" s="29">
        <v>0.9389695085312812</v>
      </c>
      <c r="M26" s="29">
        <v>0.9389695085312812</v>
      </c>
      <c r="N26" s="29">
        <v>0.9389695085312812</v>
      </c>
      <c r="O26" s="29">
        <v>0.9380966333150684</v>
      </c>
      <c r="P26" s="29">
        <v>0.9380966333150684</v>
      </c>
      <c r="Q26" s="29">
        <v>0.9380966333150684</v>
      </c>
      <c r="R26" s="29">
        <v>0.9380966333150684</v>
      </c>
      <c r="S26" s="29">
        <v>0.9372064054444071</v>
      </c>
      <c r="T26" s="29">
        <v>0.9372064054444071</v>
      </c>
      <c r="U26" s="29">
        <v>0.9372064054444071</v>
      </c>
      <c r="V26" s="29">
        <v>0.9372064054444071</v>
      </c>
      <c r="W26" s="29">
        <v>0.9362984319797515</v>
      </c>
      <c r="X26" s="29">
        <v>0.9362984319797515</v>
      </c>
      <c r="Y26" s="29">
        <v>0.9362984319797515</v>
      </c>
      <c r="Z26" s="29">
        <v>0.9362984319797515</v>
      </c>
      <c r="AA26" s="29">
        <v>0.9353723100222434</v>
      </c>
      <c r="AB26" s="29">
        <v>0.9353723100222434</v>
      </c>
      <c r="AC26" s="29">
        <v>0.9353723100222434</v>
      </c>
      <c r="AD26" s="29">
        <v>0.9353723100222434</v>
      </c>
      <c r="AE26" s="29">
        <v>0.9344276264290956</v>
      </c>
      <c r="AF26" s="29">
        <v>0.9344276264290956</v>
      </c>
      <c r="AG26" s="29">
        <v>0.9344276264290956</v>
      </c>
      <c r="AH26" s="29">
        <v>0.9344276264290956</v>
      </c>
      <c r="AI26" s="29">
        <v>0.9334639575197282</v>
      </c>
      <c r="AJ26" s="29">
        <v>0.9334639575197282</v>
      </c>
      <c r="AK26" s="29">
        <v>0.9334639575197282</v>
      </c>
      <c r="AL26" s="29">
        <v>0.9334639575197282</v>
      </c>
      <c r="AM26" s="29">
        <v>0.9324808687723223</v>
      </c>
      <c r="AN26" s="29">
        <v>0.9324808687723223</v>
      </c>
      <c r="AO26" s="29">
        <v>0.9324808687723223</v>
      </c>
      <c r="AP26" s="29">
        <v>0.9324808687723223</v>
      </c>
      <c r="AQ26" s="29">
        <v>0.9314779145104303</v>
      </c>
      <c r="AR26" s="29">
        <v>0.9314779145104303</v>
      </c>
      <c r="AS26" s="29">
        <v>0.9314779145104303</v>
      </c>
      <c r="AT26" s="29">
        <v>0.9314779145104303</v>
      </c>
      <c r="AU26" s="29">
        <v>0.9304546375792732</v>
      </c>
      <c r="AV26" s="29">
        <v>0.9304546375792732</v>
      </c>
      <c r="AW26" s="29">
        <v>0.9304546375792732</v>
      </c>
      <c r="AX26" s="29">
        <v>0.9304546375792732</v>
      </c>
      <c r="AY26" s="29">
        <v>0.9294105690113383</v>
      </c>
      <c r="AZ26" s="29">
        <v>0.9294105690113383</v>
      </c>
      <c r="BA26" s="29">
        <v>0.9294105690113383</v>
      </c>
      <c r="BB26" s="29">
        <v>0.9294105690113383</v>
      </c>
      <c r="BC26" s="29">
        <v>0.9283452276808738</v>
      </c>
      <c r="BD26" s="29">
        <v>0.9283452276808738</v>
      </c>
      <c r="BE26" s="29">
        <v>0.9283452276808738</v>
      </c>
      <c r="BF26" s="29">
        <v>0.9283452276808738</v>
      </c>
      <c r="BG26" s="29">
        <v>0.927258119946856</v>
      </c>
      <c r="BH26" s="29">
        <v>0.927258119946856</v>
      </c>
      <c r="BI26" s="29">
        <v>0.927258119946856</v>
      </c>
      <c r="BJ26" s="29">
        <v>0.927258119946856</v>
      </c>
      <c r="BK26" s="29">
        <v>0.9261487392839978</v>
      </c>
      <c r="BL26" s="29">
        <v>0.9261487392839978</v>
      </c>
      <c r="BM26" s="29">
        <v>0.9261487392839978</v>
      </c>
      <c r="BN26" s="29">
        <v>0.9261487392839978</v>
      </c>
      <c r="BO26" s="29">
        <v>0.9250165659013319</v>
      </c>
      <c r="BP26" s="29">
        <v>0.9250165659013319</v>
      </c>
      <c r="BQ26" s="29">
        <v>0.9250165659013319</v>
      </c>
      <c r="BR26" s="29">
        <v>0.9250165659013319</v>
      </c>
      <c r="BS26" s="29">
        <v>0.9238610663478972</v>
      </c>
      <c r="BT26" s="29">
        <v>0.9238610663478972</v>
      </c>
      <c r="BU26" s="29">
        <v>0.9238610663478972</v>
      </c>
      <c r="BV26" s="29">
        <v>0.9238610663478972</v>
      </c>
      <c r="BW26" s="29">
        <v>0.9226816931050267</v>
      </c>
      <c r="BX26" s="29">
        <v>0.9226816931050267</v>
      </c>
      <c r="BY26" s="29">
        <v>0.9226816931050267</v>
      </c>
      <c r="BZ26" s="29">
        <v>0.9226816931050267</v>
      </c>
      <c r="CA26" s="29">
        <v>0.9214778841647175</v>
      </c>
      <c r="CB26" s="29">
        <v>0.9214778841647175</v>
      </c>
      <c r="CC26" s="29">
        <v>0.9214778841647175</v>
      </c>
      <c r="CD26" s="29">
        <v>0.9214778841647175</v>
      </c>
      <c r="CE26" s="29">
        <v>0.9202490625935383</v>
      </c>
      <c r="CF26" s="29">
        <v>0.9202490625935383</v>
      </c>
      <c r="CG26" s="29">
        <v>0.9202490625935383</v>
      </c>
      <c r="CH26" s="29">
        <v>0.9202490625935383</v>
      </c>
      <c r="CI26" s="29">
        <v>0.9189946360815076</v>
      </c>
      <c r="CJ26" s="29">
        <v>0.9189946360815076</v>
      </c>
      <c r="CK26" s="29">
        <v>0.9189946360815076</v>
      </c>
      <c r="CL26" s="29">
        <v>0.9189946360815076</v>
      </c>
    </row>
    <row r="28" spans="2:90" x14ac:dyDescent="0.25">
      <c r="B28" s="37" t="s">
        <v>249</v>
      </c>
      <c r="C28" s="38" t="s">
        <v>205</v>
      </c>
      <c r="D28" s="14">
        <v>-138200.56715570597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-1727.5070894463217</v>
      </c>
      <c r="L28" s="27">
        <v>-1727.5070894463217</v>
      </c>
      <c r="M28" s="27">
        <v>-1727.5070894463217</v>
      </c>
      <c r="N28" s="27">
        <v>-1727.5070894463217</v>
      </c>
      <c r="O28" s="27">
        <v>-1727.5070894463217</v>
      </c>
      <c r="P28" s="27">
        <v>-1727.5070894463217</v>
      </c>
      <c r="Q28" s="27">
        <v>-1727.5070894463217</v>
      </c>
      <c r="R28" s="27">
        <v>-1727.5070894463217</v>
      </c>
      <c r="S28" s="27">
        <v>-1727.5070894463217</v>
      </c>
      <c r="T28" s="27">
        <v>-1727.5070894463217</v>
      </c>
      <c r="U28" s="27">
        <v>-1727.5070894463217</v>
      </c>
      <c r="V28" s="27">
        <v>-1727.5070894463217</v>
      </c>
      <c r="W28" s="27">
        <v>-1727.5070894463217</v>
      </c>
      <c r="X28" s="27">
        <v>-1727.5070894463217</v>
      </c>
      <c r="Y28" s="27">
        <v>-1727.5070894463217</v>
      </c>
      <c r="Z28" s="27">
        <v>-1727.5070894463217</v>
      </c>
      <c r="AA28" s="27">
        <v>-1727.5070894463217</v>
      </c>
      <c r="AB28" s="27">
        <v>-1727.5070894463217</v>
      </c>
      <c r="AC28" s="27">
        <v>-1727.5070894463217</v>
      </c>
      <c r="AD28" s="27">
        <v>-1727.5070894463217</v>
      </c>
      <c r="AE28" s="27">
        <v>-1727.5070894463217</v>
      </c>
      <c r="AF28" s="27">
        <v>-1727.5070894463217</v>
      </c>
      <c r="AG28" s="27">
        <v>-1727.5070894463217</v>
      </c>
      <c r="AH28" s="27">
        <v>-1727.5070894463217</v>
      </c>
      <c r="AI28" s="27">
        <v>-1727.5070894463217</v>
      </c>
      <c r="AJ28" s="27">
        <v>-1727.5070894463217</v>
      </c>
      <c r="AK28" s="27">
        <v>-1727.5070894463217</v>
      </c>
      <c r="AL28" s="27">
        <v>-1727.5070894463217</v>
      </c>
      <c r="AM28" s="27">
        <v>-1727.5070894463217</v>
      </c>
      <c r="AN28" s="27">
        <v>-1727.5070894463217</v>
      </c>
      <c r="AO28" s="27">
        <v>-1727.5070894463217</v>
      </c>
      <c r="AP28" s="27">
        <v>-1727.5070894463217</v>
      </c>
      <c r="AQ28" s="27">
        <v>-1727.5070894463217</v>
      </c>
      <c r="AR28" s="27">
        <v>-1727.5070894463217</v>
      </c>
      <c r="AS28" s="27">
        <v>-1727.5070894463217</v>
      </c>
      <c r="AT28" s="27">
        <v>-1727.5070894463217</v>
      </c>
      <c r="AU28" s="27">
        <v>-1727.5070894463217</v>
      </c>
      <c r="AV28" s="27">
        <v>-1727.5070894463217</v>
      </c>
      <c r="AW28" s="27">
        <v>-1727.5070894463217</v>
      </c>
      <c r="AX28" s="27">
        <v>-1727.5070894463217</v>
      </c>
      <c r="AY28" s="27">
        <v>-1727.5070894463217</v>
      </c>
      <c r="AZ28" s="27">
        <v>-1727.5070894463217</v>
      </c>
      <c r="BA28" s="27">
        <v>-1727.5070894463217</v>
      </c>
      <c r="BB28" s="27">
        <v>-1727.5070894463217</v>
      </c>
      <c r="BC28" s="27">
        <v>-1727.5070894463217</v>
      </c>
      <c r="BD28" s="27">
        <v>-1727.5070894463217</v>
      </c>
      <c r="BE28" s="27">
        <v>-1727.5070894463217</v>
      </c>
      <c r="BF28" s="27">
        <v>-1727.5070894463217</v>
      </c>
      <c r="BG28" s="27">
        <v>-1727.5070894463217</v>
      </c>
      <c r="BH28" s="27">
        <v>-1727.5070894463217</v>
      </c>
      <c r="BI28" s="27">
        <v>-1727.5070894463217</v>
      </c>
      <c r="BJ28" s="27">
        <v>-1727.5070894463217</v>
      </c>
      <c r="BK28" s="27">
        <v>-1727.5070894463217</v>
      </c>
      <c r="BL28" s="27">
        <v>-1727.5070894463217</v>
      </c>
      <c r="BM28" s="27">
        <v>-1727.5070894463217</v>
      </c>
      <c r="BN28" s="27">
        <v>-1727.5070894463217</v>
      </c>
      <c r="BO28" s="27">
        <v>-1727.5070894463217</v>
      </c>
      <c r="BP28" s="27">
        <v>-1727.5070894463217</v>
      </c>
      <c r="BQ28" s="27">
        <v>-1727.5070894463217</v>
      </c>
      <c r="BR28" s="27">
        <v>-1727.5070894463217</v>
      </c>
      <c r="BS28" s="27">
        <v>-1727.5070894463217</v>
      </c>
      <c r="BT28" s="27">
        <v>-1727.5070894463217</v>
      </c>
      <c r="BU28" s="27">
        <v>-1727.5070894463217</v>
      </c>
      <c r="BV28" s="27">
        <v>-1727.5070894463217</v>
      </c>
      <c r="BW28" s="27">
        <v>-1727.5070894463217</v>
      </c>
      <c r="BX28" s="27">
        <v>-1727.5070894463217</v>
      </c>
      <c r="BY28" s="27">
        <v>-1727.5070894463217</v>
      </c>
      <c r="BZ28" s="27">
        <v>-1727.5070894463217</v>
      </c>
      <c r="CA28" s="27">
        <v>-1727.5070894463217</v>
      </c>
      <c r="CB28" s="27">
        <v>-1727.5070894463217</v>
      </c>
      <c r="CC28" s="27">
        <v>-1727.5070894463217</v>
      </c>
      <c r="CD28" s="27">
        <v>-1727.5070894463217</v>
      </c>
      <c r="CE28" s="27">
        <v>-1727.5070894463217</v>
      </c>
      <c r="CF28" s="27">
        <v>-1727.5070894463217</v>
      </c>
      <c r="CG28" s="27">
        <v>-1727.5070894463217</v>
      </c>
      <c r="CH28" s="27">
        <v>-1727.5070894463217</v>
      </c>
      <c r="CI28" s="27">
        <v>-1727.5070894463217</v>
      </c>
      <c r="CJ28" s="27">
        <v>-1727.5070894463217</v>
      </c>
      <c r="CK28" s="27">
        <v>-1727.5070894463217</v>
      </c>
      <c r="CL28" s="27">
        <v>-1727.5070894463217</v>
      </c>
    </row>
    <row r="29" spans="2:90" x14ac:dyDescent="0.25">
      <c r="B29" s="37" t="s">
        <v>250</v>
      </c>
      <c r="C29" s="38" t="s">
        <v>205</v>
      </c>
      <c r="D29" s="14">
        <v>-2000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-25</v>
      </c>
      <c r="L29" s="27">
        <v>-25</v>
      </c>
      <c r="M29" s="27">
        <v>-25</v>
      </c>
      <c r="N29" s="27">
        <v>-25</v>
      </c>
      <c r="O29" s="27">
        <v>-25</v>
      </c>
      <c r="P29" s="27">
        <v>-25</v>
      </c>
      <c r="Q29" s="27">
        <v>-25</v>
      </c>
      <c r="R29" s="27">
        <v>-25</v>
      </c>
      <c r="S29" s="27">
        <v>-25</v>
      </c>
      <c r="T29" s="27">
        <v>-25</v>
      </c>
      <c r="U29" s="27">
        <v>-25</v>
      </c>
      <c r="V29" s="27">
        <v>-25</v>
      </c>
      <c r="W29" s="27">
        <v>-25</v>
      </c>
      <c r="X29" s="27">
        <v>-25</v>
      </c>
      <c r="Y29" s="27">
        <v>-25</v>
      </c>
      <c r="Z29" s="27">
        <v>-25</v>
      </c>
      <c r="AA29" s="27">
        <v>-25</v>
      </c>
      <c r="AB29" s="27">
        <v>-25</v>
      </c>
      <c r="AC29" s="27">
        <v>-25</v>
      </c>
      <c r="AD29" s="27">
        <v>-25</v>
      </c>
      <c r="AE29" s="27">
        <v>-25</v>
      </c>
      <c r="AF29" s="27">
        <v>-25</v>
      </c>
      <c r="AG29" s="27">
        <v>-25</v>
      </c>
      <c r="AH29" s="27">
        <v>-25</v>
      </c>
      <c r="AI29" s="27">
        <v>-25</v>
      </c>
      <c r="AJ29" s="27">
        <v>-25</v>
      </c>
      <c r="AK29" s="27">
        <v>-25</v>
      </c>
      <c r="AL29" s="27">
        <v>-25</v>
      </c>
      <c r="AM29" s="27">
        <v>-25</v>
      </c>
      <c r="AN29" s="27">
        <v>-25</v>
      </c>
      <c r="AO29" s="27">
        <v>-25</v>
      </c>
      <c r="AP29" s="27">
        <v>-25</v>
      </c>
      <c r="AQ29" s="27">
        <v>-25</v>
      </c>
      <c r="AR29" s="27">
        <v>-25</v>
      </c>
      <c r="AS29" s="27">
        <v>-25</v>
      </c>
      <c r="AT29" s="27">
        <v>-25</v>
      </c>
      <c r="AU29" s="27">
        <v>-25</v>
      </c>
      <c r="AV29" s="27">
        <v>-25</v>
      </c>
      <c r="AW29" s="27">
        <v>-25</v>
      </c>
      <c r="AX29" s="27">
        <v>-25</v>
      </c>
      <c r="AY29" s="27">
        <v>-25</v>
      </c>
      <c r="AZ29" s="27">
        <v>-25</v>
      </c>
      <c r="BA29" s="27">
        <v>-25</v>
      </c>
      <c r="BB29" s="27">
        <v>-25</v>
      </c>
      <c r="BC29" s="27">
        <v>-25</v>
      </c>
      <c r="BD29" s="27">
        <v>-25</v>
      </c>
      <c r="BE29" s="27">
        <v>-25</v>
      </c>
      <c r="BF29" s="27">
        <v>-25</v>
      </c>
      <c r="BG29" s="27">
        <v>-25</v>
      </c>
      <c r="BH29" s="27">
        <v>-25</v>
      </c>
      <c r="BI29" s="27">
        <v>-25</v>
      </c>
      <c r="BJ29" s="27">
        <v>-25</v>
      </c>
      <c r="BK29" s="27">
        <v>-25</v>
      </c>
      <c r="BL29" s="27">
        <v>-25</v>
      </c>
      <c r="BM29" s="27">
        <v>-25</v>
      </c>
      <c r="BN29" s="27">
        <v>-25</v>
      </c>
      <c r="BO29" s="27">
        <v>-25</v>
      </c>
      <c r="BP29" s="27">
        <v>-25</v>
      </c>
      <c r="BQ29" s="27">
        <v>-25</v>
      </c>
      <c r="BR29" s="27">
        <v>-25</v>
      </c>
      <c r="BS29" s="27">
        <v>-25</v>
      </c>
      <c r="BT29" s="27">
        <v>-25</v>
      </c>
      <c r="BU29" s="27">
        <v>-25</v>
      </c>
      <c r="BV29" s="27">
        <v>-25</v>
      </c>
      <c r="BW29" s="27">
        <v>-25</v>
      </c>
      <c r="BX29" s="27">
        <v>-25</v>
      </c>
      <c r="BY29" s="27">
        <v>-25</v>
      </c>
      <c r="BZ29" s="27">
        <v>-25</v>
      </c>
      <c r="CA29" s="27">
        <v>-25</v>
      </c>
      <c r="CB29" s="27">
        <v>-25</v>
      </c>
      <c r="CC29" s="27">
        <v>-25</v>
      </c>
      <c r="CD29" s="27">
        <v>-25</v>
      </c>
      <c r="CE29" s="27">
        <v>-25</v>
      </c>
      <c r="CF29" s="27">
        <v>-25</v>
      </c>
      <c r="CG29" s="27">
        <v>-25</v>
      </c>
      <c r="CH29" s="27">
        <v>-25</v>
      </c>
      <c r="CI29" s="27">
        <v>-25</v>
      </c>
      <c r="CJ29" s="27">
        <v>-25</v>
      </c>
      <c r="CK29" s="27">
        <v>-25</v>
      </c>
      <c r="CL29" s="27">
        <v>-25</v>
      </c>
    </row>
    <row r="30" spans="2:90" x14ac:dyDescent="0.25">
      <c r="B30" s="39" t="s">
        <v>251</v>
      </c>
      <c r="C30" s="38" t="s">
        <v>205</v>
      </c>
      <c r="D30" s="14">
        <v>237081.27208385072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3247.6999042836787</v>
      </c>
      <c r="L30" s="14">
        <v>3247.6999042836787</v>
      </c>
      <c r="M30" s="14">
        <v>3247.6999042836787</v>
      </c>
      <c r="N30" s="14">
        <v>3247.6999042836787</v>
      </c>
      <c r="O30" s="14">
        <v>3218.073869315029</v>
      </c>
      <c r="P30" s="14">
        <v>3218.073869315029</v>
      </c>
      <c r="Q30" s="14">
        <v>3218.073869315029</v>
      </c>
      <c r="R30" s="14">
        <v>3218.073869315029</v>
      </c>
      <c r="S30" s="14">
        <v>3188.402834346378</v>
      </c>
      <c r="T30" s="14">
        <v>3188.402834346378</v>
      </c>
      <c r="U30" s="14">
        <v>3188.402834346378</v>
      </c>
      <c r="V30" s="14">
        <v>3188.402834346378</v>
      </c>
      <c r="W30" s="14">
        <v>3158.6861243777294</v>
      </c>
      <c r="X30" s="14">
        <v>3158.6861243777294</v>
      </c>
      <c r="Y30" s="14">
        <v>3158.6861243777294</v>
      </c>
      <c r="Z30" s="14">
        <v>3158.6861243777294</v>
      </c>
      <c r="AA30" s="14">
        <v>3128.923054284078</v>
      </c>
      <c r="AB30" s="14">
        <v>3128.923054284078</v>
      </c>
      <c r="AC30" s="14">
        <v>3128.923054284078</v>
      </c>
      <c r="AD30" s="14">
        <v>3128.923054284078</v>
      </c>
      <c r="AE30" s="14">
        <v>3099.1129286635532</v>
      </c>
      <c r="AF30" s="14">
        <v>3099.1129286635532</v>
      </c>
      <c r="AG30" s="14">
        <v>3099.1129286635532</v>
      </c>
      <c r="AH30" s="14">
        <v>3099.1129286635532</v>
      </c>
      <c r="AI30" s="14">
        <v>3069.255041683251</v>
      </c>
      <c r="AJ30" s="14">
        <v>3069.255041683251</v>
      </c>
      <c r="AK30" s="14">
        <v>3069.255041683251</v>
      </c>
      <c r="AL30" s="14">
        <v>3069.255041683251</v>
      </c>
      <c r="AM30" s="14">
        <v>3039.348676922772</v>
      </c>
      <c r="AN30" s="14">
        <v>3039.348676922772</v>
      </c>
      <c r="AO30" s="14">
        <v>3039.348676922772</v>
      </c>
      <c r="AP30" s="14">
        <v>3039.348676922772</v>
      </c>
      <c r="AQ30" s="14">
        <v>3009.3931072154173</v>
      </c>
      <c r="AR30" s="14">
        <v>3009.3931072154173</v>
      </c>
      <c r="AS30" s="14">
        <v>3009.3931072154173</v>
      </c>
      <c r="AT30" s="14">
        <v>3009.3931072154173</v>
      </c>
      <c r="AU30" s="14">
        <v>2979.3875944869815</v>
      </c>
      <c r="AV30" s="14">
        <v>2979.3875944869815</v>
      </c>
      <c r="AW30" s="14">
        <v>2979.3875944869815</v>
      </c>
      <c r="AX30" s="14">
        <v>2979.3875944869815</v>
      </c>
      <c r="AY30" s="14">
        <v>2949.3313895921483</v>
      </c>
      <c r="AZ30" s="14">
        <v>2949.3313895921483</v>
      </c>
      <c r="BA30" s="14">
        <v>2949.3313895921483</v>
      </c>
      <c r="BB30" s="14">
        <v>2949.3313895921483</v>
      </c>
      <c r="BC30" s="14">
        <v>2919.2237321484236</v>
      </c>
      <c r="BD30" s="14">
        <v>2919.2237321484236</v>
      </c>
      <c r="BE30" s="14">
        <v>2919.2237321484236</v>
      </c>
      <c r="BF30" s="14">
        <v>2919.2237321484236</v>
      </c>
      <c r="BG30" s="14">
        <v>2889.063850367572</v>
      </c>
      <c r="BH30" s="14">
        <v>2889.063850367572</v>
      </c>
      <c r="BI30" s="14">
        <v>2889.063850367572</v>
      </c>
      <c r="BJ30" s="14">
        <v>2889.063850367572</v>
      </c>
      <c r="BK30" s="14">
        <v>2858.850960884537</v>
      </c>
      <c r="BL30" s="14">
        <v>2858.850960884537</v>
      </c>
      <c r="BM30" s="14">
        <v>2858.850960884537</v>
      </c>
      <c r="BN30" s="14">
        <v>2858.850960884537</v>
      </c>
      <c r="BO30" s="14">
        <v>2828.584268583787</v>
      </c>
      <c r="BP30" s="14">
        <v>2828.584268583787</v>
      </c>
      <c r="BQ30" s="14">
        <v>2828.584268583787</v>
      </c>
      <c r="BR30" s="14">
        <v>2828.584268583787</v>
      </c>
      <c r="BS30" s="14">
        <v>2798.2629664230553</v>
      </c>
      <c r="BT30" s="14">
        <v>2798.2629664230553</v>
      </c>
      <c r="BU30" s="14">
        <v>2798.2629664230553</v>
      </c>
      <c r="BV30" s="14">
        <v>2798.2629664230553</v>
      </c>
      <c r="BW30" s="14">
        <v>2767.886235254442</v>
      </c>
      <c r="BX30" s="14">
        <v>2767.886235254442</v>
      </c>
      <c r="BY30" s="14">
        <v>2767.886235254442</v>
      </c>
      <c r="BZ30" s="14">
        <v>2767.886235254442</v>
      </c>
      <c r="CA30" s="14">
        <v>2737.45324364283</v>
      </c>
      <c r="CB30" s="14">
        <v>2737.45324364283</v>
      </c>
      <c r="CC30" s="14">
        <v>2737.45324364283</v>
      </c>
      <c r="CD30" s="14">
        <v>2737.45324364283</v>
      </c>
      <c r="CE30" s="14">
        <v>2706.963147681573</v>
      </c>
      <c r="CF30" s="14">
        <v>2706.963147681573</v>
      </c>
      <c r="CG30" s="14">
        <v>2706.963147681573</v>
      </c>
      <c r="CH30" s="14">
        <v>2706.963147681573</v>
      </c>
      <c r="CI30" s="14">
        <v>2676.415090805426</v>
      </c>
      <c r="CJ30" s="14">
        <v>2676.415090805426</v>
      </c>
      <c r="CK30" s="14">
        <v>2676.415090805426</v>
      </c>
      <c r="CL30" s="14">
        <v>2676.415090805426</v>
      </c>
    </row>
    <row r="31" spans="2:90" x14ac:dyDescent="0.25">
      <c r="B31" s="37" t="s">
        <v>252</v>
      </c>
      <c r="C31" s="38" t="s">
        <v>248</v>
      </c>
      <c r="E31" s="29"/>
      <c r="F31" s="29"/>
      <c r="G31" s="29"/>
      <c r="H31" s="29"/>
      <c r="I31" s="29"/>
      <c r="J31" s="29"/>
      <c r="K31" s="29">
        <v>0.6098729886195189</v>
      </c>
      <c r="L31" s="29">
        <v>0.6098729886195189</v>
      </c>
      <c r="M31" s="29">
        <v>0.6098729886195189</v>
      </c>
      <c r="N31" s="29">
        <v>0.6098729886195189</v>
      </c>
      <c r="O31" s="29">
        <v>0.6073463620469656</v>
      </c>
      <c r="P31" s="29">
        <v>0.6073463620469656</v>
      </c>
      <c r="Q31" s="29">
        <v>0.6073463620469656</v>
      </c>
      <c r="R31" s="29">
        <v>0.6073463620469656</v>
      </c>
      <c r="S31" s="29">
        <v>0.6047856782608088</v>
      </c>
      <c r="T31" s="29">
        <v>0.6047856782608088</v>
      </c>
      <c r="U31" s="29">
        <v>0.6047856782608088</v>
      </c>
      <c r="V31" s="29">
        <v>0.6047856782608088</v>
      </c>
      <c r="W31" s="29">
        <v>0.6021902899373531</v>
      </c>
      <c r="X31" s="29">
        <v>0.6021902899373531</v>
      </c>
      <c r="Y31" s="29">
        <v>0.6021902899373531</v>
      </c>
      <c r="Z31" s="29">
        <v>0.6021902899373531</v>
      </c>
      <c r="AA31" s="29">
        <v>0.5995595346020777</v>
      </c>
      <c r="AB31" s="29">
        <v>0.5995595346020777</v>
      </c>
      <c r="AC31" s="29">
        <v>0.5995595346020777</v>
      </c>
      <c r="AD31" s="29">
        <v>0.5995595346020777</v>
      </c>
      <c r="AE31" s="29">
        <v>0.5968927342119034</v>
      </c>
      <c r="AF31" s="29">
        <v>0.5968927342119034</v>
      </c>
      <c r="AG31" s="29">
        <v>0.5968927342119034</v>
      </c>
      <c r="AH31" s="29">
        <v>0.5968927342119034</v>
      </c>
      <c r="AI31" s="29">
        <v>0.5941891947240968</v>
      </c>
      <c r="AJ31" s="29">
        <v>0.5941891947240968</v>
      </c>
      <c r="AK31" s="29">
        <v>0.5941891947240968</v>
      </c>
      <c r="AL31" s="29">
        <v>0.5941891947240968</v>
      </c>
      <c r="AM31" s="29">
        <v>0.5914482056513248</v>
      </c>
      <c r="AN31" s="29">
        <v>0.5914482056513248</v>
      </c>
      <c r="AO31" s="29">
        <v>0.5914482056513248</v>
      </c>
      <c r="AP31" s="29">
        <v>0.5914482056513248</v>
      </c>
      <c r="AQ31" s="29">
        <v>0.5886690396023444</v>
      </c>
      <c r="AR31" s="29">
        <v>0.5886690396023444</v>
      </c>
      <c r="AS31" s="29">
        <v>0.5886690396023444</v>
      </c>
      <c r="AT31" s="29">
        <v>0.5886690396023444</v>
      </c>
      <c r="AU31" s="29">
        <v>0.5858509518077941</v>
      </c>
      <c r="AV31" s="29">
        <v>0.5858509518077941</v>
      </c>
      <c r="AW31" s="29">
        <v>0.5858509518077941</v>
      </c>
      <c r="AX31" s="29">
        <v>0.5858509518077941</v>
      </c>
      <c r="AY31" s="29">
        <v>0.5829931796305358</v>
      </c>
      <c r="AZ31" s="29">
        <v>0.5829931796305358</v>
      </c>
      <c r="BA31" s="29">
        <v>0.5829931796305358</v>
      </c>
      <c r="BB31" s="29">
        <v>0.5829931796305358</v>
      </c>
      <c r="BC31" s="29">
        <v>0.5800949420599611</v>
      </c>
      <c r="BD31" s="29">
        <v>0.5800949420599611</v>
      </c>
      <c r="BE31" s="29">
        <v>0.5800949420599611</v>
      </c>
      <c r="BF31" s="29">
        <v>0.5800949420599611</v>
      </c>
      <c r="BG31" s="29">
        <v>0.577155439189662</v>
      </c>
      <c r="BH31" s="29">
        <v>0.577155439189662</v>
      </c>
      <c r="BI31" s="29">
        <v>0.577155439189662</v>
      </c>
      <c r="BJ31" s="29">
        <v>0.577155439189662</v>
      </c>
      <c r="BK31" s="29">
        <v>0.5741738516778347</v>
      </c>
      <c r="BL31" s="29">
        <v>0.5741738516778347</v>
      </c>
      <c r="BM31" s="29">
        <v>0.5741738516778347</v>
      </c>
      <c r="BN31" s="29">
        <v>0.5741738516778347</v>
      </c>
      <c r="BO31" s="29">
        <v>0.5711493401897594</v>
      </c>
      <c r="BP31" s="29">
        <v>0.5711493401897594</v>
      </c>
      <c r="BQ31" s="29">
        <v>0.5711493401897594</v>
      </c>
      <c r="BR31" s="29">
        <v>0.5711493401897594</v>
      </c>
      <c r="BS31" s="29">
        <v>0.5680810448216675</v>
      </c>
      <c r="BT31" s="29">
        <v>0.5680810448216675</v>
      </c>
      <c r="BU31" s="29">
        <v>0.5680810448216675</v>
      </c>
      <c r="BV31" s="29">
        <v>0.5680810448216675</v>
      </c>
      <c r="BW31" s="29">
        <v>0.5649680845052849</v>
      </c>
      <c r="BX31" s="29">
        <v>0.5649680845052849</v>
      </c>
      <c r="BY31" s="29">
        <v>0.5649680845052849</v>
      </c>
      <c r="BZ31" s="29">
        <v>0.5649680845052849</v>
      </c>
      <c r="CA31" s="29">
        <v>0.5618095563922996</v>
      </c>
      <c r="CB31" s="29">
        <v>0.5618095563922996</v>
      </c>
      <c r="CC31" s="29">
        <v>0.5618095563922996</v>
      </c>
      <c r="CD31" s="29">
        <v>0.5618095563922996</v>
      </c>
      <c r="CE31" s="29">
        <v>0.5586045352179753</v>
      </c>
      <c r="CF31" s="29">
        <v>0.5586045352179753</v>
      </c>
      <c r="CG31" s="29">
        <v>0.5586045352179753</v>
      </c>
      <c r="CH31" s="29">
        <v>0.5586045352179753</v>
      </c>
      <c r="CI31" s="29">
        <v>0.5553520726430959</v>
      </c>
      <c r="CJ31" s="29">
        <v>0.5553520726430959</v>
      </c>
      <c r="CK31" s="29">
        <v>0.5553520726430959</v>
      </c>
      <c r="CL31" s="29">
        <v>0.5553520726430959</v>
      </c>
    </row>
    <row r="33" spans="2:2" x14ac:dyDescent="0.25">
      <c r="B33" s="39" t="s">
        <v>253</v>
      </c>
    </row>
    <row r="34" spans="2:90" x14ac:dyDescent="0.25">
      <c r="B34" s="37" t="s">
        <v>254</v>
      </c>
      <c r="C34" s="38" t="s">
        <v>205</v>
      </c>
      <c r="D34" s="14">
        <v>-58070.53312500009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-1733.44875</v>
      </c>
      <c r="L34" s="27">
        <v>-1733.44875</v>
      </c>
      <c r="M34" s="27">
        <v>-1733.44875</v>
      </c>
      <c r="N34" s="27">
        <v>-1733.44875</v>
      </c>
      <c r="O34" s="27">
        <v>-1704.5579375</v>
      </c>
      <c r="P34" s="27">
        <v>-1675.6671250000002</v>
      </c>
      <c r="Q34" s="27">
        <v>-1646.7763125000004</v>
      </c>
      <c r="R34" s="27">
        <v>-1617.8855000000003</v>
      </c>
      <c r="S34" s="27">
        <v>-1588.9946875000005</v>
      </c>
      <c r="T34" s="27">
        <v>-1560.1038750000005</v>
      </c>
      <c r="U34" s="27">
        <v>-1531.2130625000007</v>
      </c>
      <c r="V34" s="27">
        <v>-1502.3222500000006</v>
      </c>
      <c r="W34" s="27">
        <v>-1473.4314375000008</v>
      </c>
      <c r="X34" s="27">
        <v>-1444.5406250000008</v>
      </c>
      <c r="Y34" s="27">
        <v>-1415.649812500001</v>
      </c>
      <c r="Z34" s="27">
        <v>-1386.759000000001</v>
      </c>
      <c r="AA34" s="27">
        <v>-1357.868187500001</v>
      </c>
      <c r="AB34" s="27">
        <v>-1328.977375000001</v>
      </c>
      <c r="AC34" s="27">
        <v>-1300.0865625000013</v>
      </c>
      <c r="AD34" s="27">
        <v>-1271.1957500000012</v>
      </c>
      <c r="AE34" s="27">
        <v>-1242.3049375000014</v>
      </c>
      <c r="AF34" s="27">
        <v>-1213.4141250000014</v>
      </c>
      <c r="AG34" s="27">
        <v>-1184.5233125000016</v>
      </c>
      <c r="AH34" s="27">
        <v>-1155.6325000000015</v>
      </c>
      <c r="AI34" s="27">
        <v>-1126.7416875000017</v>
      </c>
      <c r="AJ34" s="27">
        <v>-1097.8508750000017</v>
      </c>
      <c r="AK34" s="27">
        <v>-1068.9600625000019</v>
      </c>
      <c r="AL34" s="27">
        <v>-1040.0692500000018</v>
      </c>
      <c r="AM34" s="27">
        <v>-1011.178437500002</v>
      </c>
      <c r="AN34" s="27">
        <v>-982.2876250000021</v>
      </c>
      <c r="AO34" s="27">
        <v>-953.3968125000022</v>
      </c>
      <c r="AP34" s="27">
        <v>-924.5060000000022</v>
      </c>
      <c r="AQ34" s="27">
        <v>-895.6151875000022</v>
      </c>
      <c r="AR34" s="27">
        <v>-866.7243750000022</v>
      </c>
      <c r="AS34" s="27">
        <v>-837.8335625000021</v>
      </c>
      <c r="AT34" s="27">
        <v>-808.9427500000022</v>
      </c>
      <c r="AU34" s="27">
        <v>-780.0519375000022</v>
      </c>
      <c r="AV34" s="27">
        <v>-751.1611250000021</v>
      </c>
      <c r="AW34" s="27">
        <v>-722.2703125000021</v>
      </c>
      <c r="AX34" s="27">
        <v>-693.379500000002</v>
      </c>
      <c r="AY34" s="27">
        <v>-664.488687500002</v>
      </c>
      <c r="AZ34" s="27">
        <v>-635.5978750000021</v>
      </c>
      <c r="BA34" s="27">
        <v>-606.707062500002</v>
      </c>
      <c r="BB34" s="27">
        <v>-577.816250000002</v>
      </c>
      <c r="BC34" s="27">
        <v>-548.925437500002</v>
      </c>
      <c r="BD34" s="27">
        <v>-520.0346250000019</v>
      </c>
      <c r="BE34" s="27">
        <v>-491.14381250000196</v>
      </c>
      <c r="BF34" s="27">
        <v>-462.2530000000019</v>
      </c>
      <c r="BG34" s="27">
        <v>-433.3621875000019</v>
      </c>
      <c r="BH34" s="27">
        <v>-404.4713750000019</v>
      </c>
      <c r="BI34" s="27">
        <v>-375.58056250000186</v>
      </c>
      <c r="BJ34" s="27">
        <v>-346.6897500000018</v>
      </c>
      <c r="BK34" s="27">
        <v>-317.79893750000184</v>
      </c>
      <c r="BL34" s="27">
        <v>-288.9081250000018</v>
      </c>
      <c r="BM34" s="27">
        <v>-260.01731250000176</v>
      </c>
      <c r="BN34" s="27">
        <v>-231.12650000000176</v>
      </c>
      <c r="BO34" s="27">
        <v>-202.23568750000177</v>
      </c>
      <c r="BP34" s="27">
        <v>-173.34487500000176</v>
      </c>
      <c r="BQ34" s="27">
        <v>-144.45406250000178</v>
      </c>
      <c r="BR34" s="27">
        <v>-115.56325000000179</v>
      </c>
      <c r="BS34" s="27">
        <v>-86.67243750000179</v>
      </c>
      <c r="BT34" s="27">
        <v>-57.78162500000179</v>
      </c>
      <c r="BU34" s="27">
        <v>-28.89081250000179</v>
      </c>
      <c r="BV34" s="27">
        <v>-1.7882939573610202e-12</v>
      </c>
      <c r="BW34" s="27">
        <v>-1.7882939573610202e-12</v>
      </c>
      <c r="BX34" s="27">
        <v>-1.7882939573610202e-12</v>
      </c>
      <c r="BY34" s="27">
        <v>-1.7882939573610202e-12</v>
      </c>
      <c r="BZ34" s="27">
        <v>-1.7882939573610202e-12</v>
      </c>
      <c r="CA34" s="27">
        <v>-1.7882939573610202e-12</v>
      </c>
      <c r="CB34" s="27">
        <v>-1.7882939573610202e-12</v>
      </c>
      <c r="CC34" s="27">
        <v>-1.7882939573610202e-12</v>
      </c>
      <c r="CD34" s="27">
        <v>-1.7882939573610202e-12</v>
      </c>
      <c r="CE34" s="27">
        <v>-1.7882939573610202e-12</v>
      </c>
      <c r="CF34" s="27">
        <v>-1.7882939573610202e-12</v>
      </c>
      <c r="CG34" s="27">
        <v>-1.7882939573610202e-12</v>
      </c>
      <c r="CH34" s="27">
        <v>-1.7882939573610202e-12</v>
      </c>
      <c r="CI34" s="27">
        <v>-1.7882939573610202e-12</v>
      </c>
      <c r="CJ34" s="27">
        <v>-1.7882939573610202e-12</v>
      </c>
      <c r="CK34" s="27">
        <v>-1.7882939573610202e-12</v>
      </c>
      <c r="CL34" s="27">
        <v>-1.7882939573610202e-12</v>
      </c>
    </row>
    <row r="35" spans="2:90" x14ac:dyDescent="0.25">
      <c r="B35" s="37" t="s">
        <v>255</v>
      </c>
      <c r="C35" s="38" t="s">
        <v>205</v>
      </c>
      <c r="D35" s="14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  <c r="BQ35" s="27">
        <v>0</v>
      </c>
      <c r="BR35" s="27">
        <v>0</v>
      </c>
      <c r="BS35" s="27">
        <v>0</v>
      </c>
      <c r="BT35" s="27">
        <v>0</v>
      </c>
      <c r="BU35" s="27">
        <v>0</v>
      </c>
      <c r="BV35" s="27">
        <v>0</v>
      </c>
      <c r="BW35" s="27">
        <v>0</v>
      </c>
      <c r="BX35" s="27">
        <v>0</v>
      </c>
      <c r="BY35" s="27">
        <v>0</v>
      </c>
      <c r="BZ35" s="27">
        <v>0</v>
      </c>
      <c r="CA35" s="27">
        <v>0</v>
      </c>
      <c r="CB35" s="27">
        <v>0</v>
      </c>
      <c r="CC35" s="27">
        <v>0</v>
      </c>
      <c r="CD35" s="27">
        <v>0</v>
      </c>
      <c r="CE35" s="27">
        <v>0</v>
      </c>
      <c r="CF35" s="27">
        <v>0</v>
      </c>
      <c r="CG35" s="27">
        <v>0</v>
      </c>
      <c r="CH35" s="27">
        <v>0</v>
      </c>
      <c r="CI35" s="27">
        <v>0</v>
      </c>
      <c r="CJ35" s="27">
        <v>0</v>
      </c>
      <c r="CK35" s="27">
        <v>0</v>
      </c>
      <c r="CL35" s="27">
        <v>0</v>
      </c>
    </row>
    <row r="36" spans="2:90" x14ac:dyDescent="0.25">
      <c r="B36" s="37" t="s">
        <v>256</v>
      </c>
      <c r="C36" s="38" t="s">
        <v>205</v>
      </c>
      <c r="D36" s="14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  <c r="BQ36" s="27">
        <v>0</v>
      </c>
      <c r="BR36" s="27">
        <v>0</v>
      </c>
      <c r="BS36" s="27">
        <v>0</v>
      </c>
      <c r="BT36" s="27">
        <v>0</v>
      </c>
      <c r="BU36" s="27">
        <v>0</v>
      </c>
      <c r="BV36" s="27">
        <v>0</v>
      </c>
      <c r="BW36" s="27">
        <v>0</v>
      </c>
      <c r="BX36" s="27">
        <v>0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0</v>
      </c>
      <c r="CF36" s="27">
        <v>0</v>
      </c>
      <c r="CG36" s="27">
        <v>0</v>
      </c>
      <c r="CH36" s="27">
        <v>0</v>
      </c>
      <c r="CI36" s="27">
        <v>0</v>
      </c>
      <c r="CJ36" s="27">
        <v>0</v>
      </c>
      <c r="CK36" s="27">
        <v>0</v>
      </c>
      <c r="CL36" s="27">
        <v>0</v>
      </c>
    </row>
    <row r="37" spans="2:90" x14ac:dyDescent="0.25">
      <c r="B37" s="37" t="s">
        <v>257</v>
      </c>
      <c r="C37" s="38" t="s">
        <v>205</v>
      </c>
      <c r="D37" s="14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  <c r="O37" s="27">
        <v>0</v>
      </c>
      <c r="P37" s="27">
        <v>0</v>
      </c>
      <c r="Q37" s="27">
        <v>0</v>
      </c>
      <c r="R37" s="27">
        <v>0</v>
      </c>
      <c r="S37" s="27">
        <v>0</v>
      </c>
      <c r="T37" s="27">
        <v>0</v>
      </c>
      <c r="U37" s="27">
        <v>0</v>
      </c>
      <c r="V37" s="27">
        <v>0</v>
      </c>
      <c r="W37" s="27">
        <v>0</v>
      </c>
      <c r="X37" s="27">
        <v>0</v>
      </c>
      <c r="Y37" s="27">
        <v>0</v>
      </c>
      <c r="Z37" s="27">
        <v>0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  <c r="BQ37" s="27">
        <v>0</v>
      </c>
      <c r="BR37" s="27">
        <v>0</v>
      </c>
      <c r="BS37" s="27">
        <v>0</v>
      </c>
      <c r="BT37" s="27">
        <v>0</v>
      </c>
      <c r="BU37" s="27">
        <v>0</v>
      </c>
      <c r="BV37" s="27">
        <v>0</v>
      </c>
      <c r="BW37" s="27">
        <v>0</v>
      </c>
      <c r="BX37" s="27">
        <v>0</v>
      </c>
      <c r="BY37" s="27">
        <v>0</v>
      </c>
      <c r="BZ37" s="27">
        <v>0</v>
      </c>
      <c r="CA37" s="27">
        <v>0</v>
      </c>
      <c r="CB37" s="27">
        <v>0</v>
      </c>
      <c r="CC37" s="27">
        <v>0</v>
      </c>
      <c r="CD37" s="27">
        <v>0</v>
      </c>
      <c r="CE37" s="27">
        <v>0</v>
      </c>
      <c r="CF37" s="27">
        <v>0</v>
      </c>
      <c r="CG37" s="27">
        <v>0</v>
      </c>
      <c r="CH37" s="27">
        <v>0</v>
      </c>
      <c r="CI37" s="27">
        <v>0</v>
      </c>
      <c r="CJ37" s="27">
        <v>0</v>
      </c>
      <c r="CK37" s="27">
        <v>0</v>
      </c>
      <c r="CL37" s="27">
        <v>0</v>
      </c>
    </row>
    <row r="38" spans="2:90" x14ac:dyDescent="0.25">
      <c r="B38" s="37" t="s">
        <v>258</v>
      </c>
      <c r="C38" s="38" t="s">
        <v>205</v>
      </c>
      <c r="D38" s="14">
        <v>0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27">
        <v>0</v>
      </c>
      <c r="R38" s="27">
        <v>0</v>
      </c>
      <c r="S38" s="27">
        <v>0</v>
      </c>
      <c r="T38" s="27">
        <v>0</v>
      </c>
      <c r="U38" s="27">
        <v>0</v>
      </c>
      <c r="V38" s="27">
        <v>0</v>
      </c>
      <c r="W38" s="27">
        <v>0</v>
      </c>
      <c r="X38" s="27">
        <v>0</v>
      </c>
      <c r="Y38" s="27">
        <v>0</v>
      </c>
      <c r="Z38" s="27">
        <v>0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  <c r="BQ38" s="27">
        <v>0</v>
      </c>
      <c r="BR38" s="27">
        <v>0</v>
      </c>
      <c r="BS38" s="27">
        <v>0</v>
      </c>
      <c r="BT38" s="27">
        <v>0</v>
      </c>
      <c r="BU38" s="27">
        <v>0</v>
      </c>
      <c r="BV38" s="27">
        <v>0</v>
      </c>
      <c r="BW38" s="27">
        <v>0</v>
      </c>
      <c r="BX38" s="27">
        <v>0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0</v>
      </c>
      <c r="CF38" s="27">
        <v>0</v>
      </c>
      <c r="CG38" s="27">
        <v>0</v>
      </c>
      <c r="CH38" s="27">
        <v>0</v>
      </c>
      <c r="CI38" s="27">
        <v>0</v>
      </c>
      <c r="CJ38" s="27">
        <v>0</v>
      </c>
      <c r="CK38" s="27">
        <v>0</v>
      </c>
      <c r="CL38" s="27">
        <v>0</v>
      </c>
    </row>
    <row r="39" spans="2:90" x14ac:dyDescent="0.25">
      <c r="B39" s="39" t="s">
        <v>259</v>
      </c>
      <c r="C39" s="38" t="s">
        <v>205</v>
      </c>
      <c r="D39" s="14">
        <v>-58070.53312500009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-1733.44875</v>
      </c>
      <c r="L39" s="14">
        <v>-1733.44875</v>
      </c>
      <c r="M39" s="14">
        <v>-1733.44875</v>
      </c>
      <c r="N39" s="14">
        <v>-1733.44875</v>
      </c>
      <c r="O39" s="14">
        <v>-1704.5579375</v>
      </c>
      <c r="P39" s="14">
        <v>-1675.6671250000002</v>
      </c>
      <c r="Q39" s="14">
        <v>-1646.7763125000004</v>
      </c>
      <c r="R39" s="14">
        <v>-1617.8855000000003</v>
      </c>
      <c r="S39" s="14">
        <v>-1588.9946875000005</v>
      </c>
      <c r="T39" s="14">
        <v>-1560.1038750000005</v>
      </c>
      <c r="U39" s="14">
        <v>-1531.2130625000007</v>
      </c>
      <c r="V39" s="14">
        <v>-1502.3222500000006</v>
      </c>
      <c r="W39" s="14">
        <v>-1473.4314375000008</v>
      </c>
      <c r="X39" s="14">
        <v>-1444.5406250000008</v>
      </c>
      <c r="Y39" s="14">
        <v>-1415.649812500001</v>
      </c>
      <c r="Z39" s="14">
        <v>-1386.759000000001</v>
      </c>
      <c r="AA39" s="14">
        <v>-1357.868187500001</v>
      </c>
      <c r="AB39" s="14">
        <v>-1328.977375000001</v>
      </c>
      <c r="AC39" s="14">
        <v>-1300.0865625000013</v>
      </c>
      <c r="AD39" s="14">
        <v>-1271.1957500000012</v>
      </c>
      <c r="AE39" s="14">
        <v>-1242.3049375000014</v>
      </c>
      <c r="AF39" s="14">
        <v>-1213.4141250000014</v>
      </c>
      <c r="AG39" s="14">
        <v>-1184.5233125000016</v>
      </c>
      <c r="AH39" s="14">
        <v>-1155.6325000000015</v>
      </c>
      <c r="AI39" s="14">
        <v>-1126.7416875000017</v>
      </c>
      <c r="AJ39" s="14">
        <v>-1097.8508750000017</v>
      </c>
      <c r="AK39" s="14">
        <v>-1068.9600625000019</v>
      </c>
      <c r="AL39" s="14">
        <v>-1040.0692500000018</v>
      </c>
      <c r="AM39" s="14">
        <v>-1011.178437500002</v>
      </c>
      <c r="AN39" s="14">
        <v>-982.2876250000021</v>
      </c>
      <c r="AO39" s="14">
        <v>-953.3968125000022</v>
      </c>
      <c r="AP39" s="14">
        <v>-924.5060000000022</v>
      </c>
      <c r="AQ39" s="14">
        <v>-895.6151875000022</v>
      </c>
      <c r="AR39" s="14">
        <v>-866.7243750000022</v>
      </c>
      <c r="AS39" s="14">
        <v>-837.8335625000021</v>
      </c>
      <c r="AT39" s="14">
        <v>-808.9427500000022</v>
      </c>
      <c r="AU39" s="14">
        <v>-780.0519375000022</v>
      </c>
      <c r="AV39" s="14">
        <v>-751.1611250000021</v>
      </c>
      <c r="AW39" s="14">
        <v>-722.2703125000021</v>
      </c>
      <c r="AX39" s="14">
        <v>-693.379500000002</v>
      </c>
      <c r="AY39" s="14">
        <v>-664.488687500002</v>
      </c>
      <c r="AZ39" s="14">
        <v>-635.5978750000021</v>
      </c>
      <c r="BA39" s="14">
        <v>-606.707062500002</v>
      </c>
      <c r="BB39" s="14">
        <v>-577.816250000002</v>
      </c>
      <c r="BC39" s="14">
        <v>-548.925437500002</v>
      </c>
      <c r="BD39" s="14">
        <v>-520.0346250000019</v>
      </c>
      <c r="BE39" s="14">
        <v>-491.14381250000196</v>
      </c>
      <c r="BF39" s="14">
        <v>-462.2530000000019</v>
      </c>
      <c r="BG39" s="14">
        <v>-433.3621875000019</v>
      </c>
      <c r="BH39" s="14">
        <v>-404.4713750000019</v>
      </c>
      <c r="BI39" s="14">
        <v>-375.58056250000186</v>
      </c>
      <c r="BJ39" s="14">
        <v>-346.6897500000018</v>
      </c>
      <c r="BK39" s="14">
        <v>-317.79893750000184</v>
      </c>
      <c r="BL39" s="14">
        <v>-288.9081250000018</v>
      </c>
      <c r="BM39" s="14">
        <v>-260.01731250000176</v>
      </c>
      <c r="BN39" s="14">
        <v>-231.12650000000176</v>
      </c>
      <c r="BO39" s="14">
        <v>-202.23568750000177</v>
      </c>
      <c r="BP39" s="14">
        <v>-173.34487500000176</v>
      </c>
      <c r="BQ39" s="14">
        <v>-144.45406250000178</v>
      </c>
      <c r="BR39" s="14">
        <v>-115.56325000000179</v>
      </c>
      <c r="BS39" s="14">
        <v>-86.67243750000179</v>
      </c>
      <c r="BT39" s="14">
        <v>-57.78162500000179</v>
      </c>
      <c r="BU39" s="14">
        <v>-28.89081250000179</v>
      </c>
      <c r="BV39" s="14">
        <v>-1.7882939573610202e-12</v>
      </c>
      <c r="BW39" s="14">
        <v>-1.7882939573610202e-12</v>
      </c>
      <c r="BX39" s="14">
        <v>-1.7882939573610202e-12</v>
      </c>
      <c r="BY39" s="14">
        <v>-1.7882939573610202e-12</v>
      </c>
      <c r="BZ39" s="14">
        <v>-1.7882939573610202e-12</v>
      </c>
      <c r="CA39" s="14">
        <v>-1.7882939573610202e-12</v>
      </c>
      <c r="CB39" s="14">
        <v>-1.7882939573610202e-12</v>
      </c>
      <c r="CC39" s="14">
        <v>-1.7882939573610202e-12</v>
      </c>
      <c r="CD39" s="14">
        <v>-1.7882939573610202e-12</v>
      </c>
      <c r="CE39" s="14">
        <v>-1.7882939573610202e-12</v>
      </c>
      <c r="CF39" s="14">
        <v>-1.7882939573610202e-12</v>
      </c>
      <c r="CG39" s="14">
        <v>-1.7882939573610202e-12</v>
      </c>
      <c r="CH39" s="14">
        <v>-1.7882939573610202e-12</v>
      </c>
      <c r="CI39" s="14">
        <v>-1.7882939573610202e-12</v>
      </c>
      <c r="CJ39" s="14">
        <v>-1.7882939573610202e-12</v>
      </c>
      <c r="CK39" s="14">
        <v>-1.7882939573610202e-12</v>
      </c>
      <c r="CL39" s="14">
        <v>-1.7882939573610202e-12</v>
      </c>
    </row>
    <row r="40" spans="2:90" x14ac:dyDescent="0.25">
      <c r="B40" s="37" t="s">
        <v>260</v>
      </c>
      <c r="C40" s="38" t="s">
        <v>205</v>
      </c>
      <c r="D40" s="14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0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0</v>
      </c>
      <c r="CF40" s="27">
        <v>0</v>
      </c>
      <c r="CG40" s="27">
        <v>0</v>
      </c>
      <c r="CH40" s="27">
        <v>0</v>
      </c>
      <c r="CI40" s="27">
        <v>0</v>
      </c>
      <c r="CJ40" s="27">
        <v>0</v>
      </c>
      <c r="CK40" s="27">
        <v>0</v>
      </c>
      <c r="CL40" s="27">
        <v>0</v>
      </c>
    </row>
    <row r="42" spans="2:90" x14ac:dyDescent="0.25">
      <c r="B42" s="39" t="s">
        <v>261</v>
      </c>
      <c r="C42" s="38" t="s">
        <v>205</v>
      </c>
      <c r="D42" s="14">
        <v>179010.7389588506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1514.2511542836787</v>
      </c>
      <c r="L42" s="14">
        <v>1514.2511542836787</v>
      </c>
      <c r="M42" s="14">
        <v>1514.2511542836787</v>
      </c>
      <c r="N42" s="14">
        <v>1514.2511542836787</v>
      </c>
      <c r="O42" s="14">
        <v>1513.5159318150288</v>
      </c>
      <c r="P42" s="14">
        <v>1542.4067443150286</v>
      </c>
      <c r="Q42" s="14">
        <v>1571.2975568150284</v>
      </c>
      <c r="R42" s="14">
        <v>1600.1883693150285</v>
      </c>
      <c r="S42" s="14">
        <v>1599.4081468463773</v>
      </c>
      <c r="T42" s="14">
        <v>1628.2989593463774</v>
      </c>
      <c r="U42" s="14">
        <v>1657.1897718463772</v>
      </c>
      <c r="V42" s="14">
        <v>1686.0805843463772</v>
      </c>
      <c r="W42" s="14">
        <v>1685.2546868777285</v>
      </c>
      <c r="X42" s="14">
        <v>1714.1454993777286</v>
      </c>
      <c r="Y42" s="14">
        <v>1743.0363118777284</v>
      </c>
      <c r="Z42" s="14">
        <v>1771.9271243777284</v>
      </c>
      <c r="AA42" s="14">
        <v>1771.0548667840767</v>
      </c>
      <c r="AB42" s="14">
        <v>1799.9456792840767</v>
      </c>
      <c r="AC42" s="14">
        <v>1828.8364917840765</v>
      </c>
      <c r="AD42" s="14">
        <v>1857.7273042840766</v>
      </c>
      <c r="AE42" s="14">
        <v>1856.8079911635518</v>
      </c>
      <c r="AF42" s="14">
        <v>1885.6988036635519</v>
      </c>
      <c r="AG42" s="14">
        <v>1914.5896161635517</v>
      </c>
      <c r="AH42" s="14">
        <v>1943.4804286635517</v>
      </c>
      <c r="AI42" s="14">
        <v>1942.5133541832492</v>
      </c>
      <c r="AJ42" s="14">
        <v>1971.4041666832493</v>
      </c>
      <c r="AK42" s="14">
        <v>2000.294979183249</v>
      </c>
      <c r="AL42" s="14">
        <v>2029.1857916832491</v>
      </c>
      <c r="AM42" s="14">
        <v>2028.17023942277</v>
      </c>
      <c r="AN42" s="14">
        <v>2057.06105192277</v>
      </c>
      <c r="AO42" s="14">
        <v>2085.95186442277</v>
      </c>
      <c r="AP42" s="14">
        <v>2114.84267692277</v>
      </c>
      <c r="AQ42" s="14">
        <v>2113.777919715415</v>
      </c>
      <c r="AR42" s="14">
        <v>2142.6687322154153</v>
      </c>
      <c r="AS42" s="14">
        <v>2171.559544715415</v>
      </c>
      <c r="AT42" s="14">
        <v>2200.4503572154154</v>
      </c>
      <c r="AU42" s="14">
        <v>2199.3356569869793</v>
      </c>
      <c r="AV42" s="14">
        <v>2228.226469486979</v>
      </c>
      <c r="AW42" s="14">
        <v>2257.1172819869794</v>
      </c>
      <c r="AX42" s="14">
        <v>2286.0080944869796</v>
      </c>
      <c r="AY42" s="14">
        <v>2284.8427020921463</v>
      </c>
      <c r="AZ42" s="14">
        <v>2313.733514592146</v>
      </c>
      <c r="BA42" s="14">
        <v>2342.6243270921464</v>
      </c>
      <c r="BB42" s="14">
        <v>2371.515139592146</v>
      </c>
      <c r="BC42" s="14">
        <v>2370.2982946484217</v>
      </c>
      <c r="BD42" s="14">
        <v>2399.1891071484215</v>
      </c>
      <c r="BE42" s="14">
        <v>2428.0799196484218</v>
      </c>
      <c r="BF42" s="14">
        <v>2456.9707321484216</v>
      </c>
      <c r="BG42" s="14">
        <v>2455.70166286757</v>
      </c>
      <c r="BH42" s="14">
        <v>2484.59247536757</v>
      </c>
      <c r="BI42" s="14">
        <v>2513.4832878675697</v>
      </c>
      <c r="BJ42" s="14">
        <v>2542.37410036757</v>
      </c>
      <c r="BK42" s="14">
        <v>2541.052023384535</v>
      </c>
      <c r="BL42" s="14">
        <v>2569.9428358845353</v>
      </c>
      <c r="BM42" s="14">
        <v>2598.833648384535</v>
      </c>
      <c r="BN42" s="14">
        <v>2627.7244608845353</v>
      </c>
      <c r="BO42" s="14">
        <v>2626.348581083785</v>
      </c>
      <c r="BP42" s="14">
        <v>2655.2393935837854</v>
      </c>
      <c r="BQ42" s="14">
        <v>2684.130206083785</v>
      </c>
      <c r="BR42" s="14">
        <v>2713.021018583785</v>
      </c>
      <c r="BS42" s="14">
        <v>2711.5905289230536</v>
      </c>
      <c r="BT42" s="14">
        <v>2740.4813414230534</v>
      </c>
      <c r="BU42" s="14">
        <v>2769.3721539230537</v>
      </c>
      <c r="BV42" s="14">
        <v>2798.2629664230535</v>
      </c>
      <c r="BW42" s="14">
        <v>2767.88623525444</v>
      </c>
      <c r="BX42" s="14">
        <v>2767.88623525444</v>
      </c>
      <c r="BY42" s="14">
        <v>2767.88623525444</v>
      </c>
      <c r="BZ42" s="14">
        <v>2767.88623525444</v>
      </c>
      <c r="CA42" s="14">
        <v>2737.453243642828</v>
      </c>
      <c r="CB42" s="14">
        <v>2737.453243642828</v>
      </c>
      <c r="CC42" s="14">
        <v>2737.453243642828</v>
      </c>
      <c r="CD42" s="14">
        <v>2737.453243642828</v>
      </c>
      <c r="CE42" s="14">
        <v>2706.963147681571</v>
      </c>
      <c r="CF42" s="14">
        <v>2706.963147681571</v>
      </c>
      <c r="CG42" s="14">
        <v>2706.963147681571</v>
      </c>
      <c r="CH42" s="14">
        <v>2706.963147681571</v>
      </c>
      <c r="CI42" s="14">
        <v>2676.4150908054244</v>
      </c>
      <c r="CJ42" s="14">
        <v>2676.4150908054244</v>
      </c>
      <c r="CK42" s="14">
        <v>2676.4150908054244</v>
      </c>
      <c r="CL42" s="14">
        <v>2676.4150908054244</v>
      </c>
    </row>
    <row r="43" spans="2:90" x14ac:dyDescent="0.25">
      <c r="B43" s="37" t="s">
        <v>262</v>
      </c>
      <c r="C43" s="38" t="s">
        <v>205</v>
      </c>
      <c r="D43" s="14">
        <v>-36951.24444239979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-299.7034912452889</v>
      </c>
      <c r="L43" s="27">
        <v>-316.20345786068106</v>
      </c>
      <c r="M43" s="27">
        <v>-316.20345786068106</v>
      </c>
      <c r="N43" s="27">
        <v>-316.20345786068106</v>
      </c>
      <c r="O43" s="27">
        <v>-316.0499299031647</v>
      </c>
      <c r="P43" s="27">
        <v>-322.09426782628174</v>
      </c>
      <c r="Q43" s="27">
        <v>-328.12741383876653</v>
      </c>
      <c r="R43" s="27">
        <v>-334.1605598512513</v>
      </c>
      <c r="S43" s="27">
        <v>-333.99762929761624</v>
      </c>
      <c r="T43" s="27">
        <v>-340.0454159253024</v>
      </c>
      <c r="U43" s="27">
        <v>-346.0788217053601</v>
      </c>
      <c r="V43" s="27">
        <v>-352.11222748541786</v>
      </c>
      <c r="W43" s="27">
        <v>-351.93975138904364</v>
      </c>
      <c r="X43" s="27">
        <v>-357.9870499517179</v>
      </c>
      <c r="Y43" s="27">
        <v>-364.02068988563116</v>
      </c>
      <c r="Z43" s="27">
        <v>-370.0543298195444</v>
      </c>
      <c r="AA43" s="27">
        <v>-369.8721650483143</v>
      </c>
      <c r="AB43" s="27">
        <v>-375.9190222052382</v>
      </c>
      <c r="AC43" s="27">
        <v>-381.95287428794916</v>
      </c>
      <c r="AD43" s="27">
        <v>-387.98672637066016</v>
      </c>
      <c r="AE43" s="27">
        <v>-387.79472763795087</v>
      </c>
      <c r="AF43" s="27">
        <v>-393.8411836467866</v>
      </c>
      <c r="AG43" s="27">
        <v>-399.8752288343909</v>
      </c>
      <c r="AH43" s="27">
        <v>-405.9092740219953</v>
      </c>
      <c r="AI43" s="27">
        <v>-405.70729385567336</v>
      </c>
      <c r="AJ43" s="27">
        <v>-411.75338369260174</v>
      </c>
      <c r="AK43" s="27">
        <v>-417.78760539383586</v>
      </c>
      <c r="AL43" s="27">
        <v>-423.8218270950701</v>
      </c>
      <c r="AM43" s="27">
        <v>-423.6097158057486</v>
      </c>
      <c r="AN43" s="27">
        <v>-429.65547005075797</v>
      </c>
      <c r="AO43" s="27">
        <v>-435.6898537231498</v>
      </c>
      <c r="AP43" s="27">
        <v>-441.7242373955415</v>
      </c>
      <c r="AQ43" s="27">
        <v>-441.5018430441496</v>
      </c>
      <c r="AR43" s="27">
        <v>-447.54728858821784</v>
      </c>
      <c r="AS43" s="27">
        <v>-453.5818214140721</v>
      </c>
      <c r="AT43" s="27">
        <v>-459.61635423992647</v>
      </c>
      <c r="AU43" s="27">
        <v>-459.38352260462773</v>
      </c>
      <c r="AV43" s="27">
        <v>-465.42868322014857</v>
      </c>
      <c r="AW43" s="27">
        <v>-471.4633538441499</v>
      </c>
      <c r="AX43" s="27">
        <v>-477.49802446815124</v>
      </c>
      <c r="AY43" s="27">
        <v>-477.2545990106452</v>
      </c>
      <c r="AZ43" s="27">
        <v>-483.29949581566245</v>
      </c>
      <c r="BA43" s="27">
        <v>-489.3342941305481</v>
      </c>
      <c r="BB43" s="27">
        <v>-495.3690924454335</v>
      </c>
      <c r="BC43" s="27">
        <v>-495.1149142766518</v>
      </c>
      <c r="BD43" s="27">
        <v>-501.15956611578105</v>
      </c>
      <c r="BE43" s="27">
        <v>-507.1944830858908</v>
      </c>
      <c r="BF43" s="27">
        <v>-513.2294000560005</v>
      </c>
      <c r="BG43" s="27">
        <v>-512.9643079012106</v>
      </c>
      <c r="BH43" s="27">
        <v>-519.0087316605708</v>
      </c>
      <c r="BI43" s="27">
        <v>-525.0437591755157</v>
      </c>
      <c r="BJ43" s="27">
        <v>-531.0787866904607</v>
      </c>
      <c r="BK43" s="27">
        <v>-530.8026168537871</v>
      </c>
      <c r="BL43" s="27">
        <v>-536.846827723209</v>
      </c>
      <c r="BM43" s="27">
        <v>-542.8819584756923</v>
      </c>
      <c r="BN43" s="27">
        <v>-548.9170892281758</v>
      </c>
      <c r="BO43" s="27">
        <v>-548.6296755565378</v>
      </c>
      <c r="BP43" s="27">
        <v>-554.6736872492954</v>
      </c>
      <c r="BQ43" s="27">
        <v>-560.7089146324557</v>
      </c>
      <c r="BR43" s="27">
        <v>-566.744142015616</v>
      </c>
      <c r="BS43" s="27">
        <v>-566.4453158620846</v>
      </c>
      <c r="BT43" s="27">
        <v>-572.48843272095</v>
      </c>
      <c r="BU43" s="27">
        <v>-578.5237432768581</v>
      </c>
      <c r="BV43" s="27">
        <v>-584.5590538327663</v>
      </c>
      <c r="BW43" s="27">
        <v>-578.2133338473585</v>
      </c>
      <c r="BX43" s="27">
        <v>-578.2124651763443</v>
      </c>
      <c r="BY43" s="27">
        <v>-578.2124651763443</v>
      </c>
      <c r="BZ43" s="27">
        <v>-578.2124651763443</v>
      </c>
      <c r="CA43" s="27">
        <v>-571.8550018968524</v>
      </c>
      <c r="CB43" s="27">
        <v>-571.8519600370709</v>
      </c>
      <c r="CC43" s="27">
        <v>-571.8519600370709</v>
      </c>
      <c r="CD43" s="27">
        <v>-571.8519600370709</v>
      </c>
      <c r="CE43" s="27">
        <v>-565.4826015182891</v>
      </c>
      <c r="CF43" s="27">
        <v>-565.4795198272247</v>
      </c>
      <c r="CG43" s="27">
        <v>-565.4795198272247</v>
      </c>
      <c r="CH43" s="27">
        <v>-565.4795198272247</v>
      </c>
      <c r="CI43" s="27">
        <v>-559.0980880930051</v>
      </c>
      <c r="CJ43" s="27">
        <v>-417.929087311667</v>
      </c>
      <c r="CK43" s="27">
        <v>-417.929087311667</v>
      </c>
      <c r="CL43" s="27">
        <v>-417.929087311667</v>
      </c>
    </row>
    <row r="44" spans="2:91" x14ac:dyDescent="0.25">
      <c r="B44" s="35" t="s">
        <v>263</v>
      </c>
      <c r="C44" s="41" t="s">
        <v>205</v>
      </c>
      <c r="D44" s="33">
        <v>142059.49451645077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1214.5476630383898</v>
      </c>
      <c r="L44" s="33">
        <v>1198.0476964229977</v>
      </c>
      <c r="M44" s="33">
        <v>1198.0476964229977</v>
      </c>
      <c r="N44" s="33">
        <v>1198.0476964229977</v>
      </c>
      <c r="O44" s="33">
        <v>1197.4660019118642</v>
      </c>
      <c r="P44" s="33">
        <v>1220.3124764887468</v>
      </c>
      <c r="Q44" s="33">
        <v>1243.170142976262</v>
      </c>
      <c r="R44" s="33">
        <v>1266.0278094637772</v>
      </c>
      <c r="S44" s="33">
        <v>1265.4105175487612</v>
      </c>
      <c r="T44" s="33">
        <v>1288.253543421075</v>
      </c>
      <c r="U44" s="33">
        <v>1311.1109501410172</v>
      </c>
      <c r="V44" s="33">
        <v>1333.9683568609594</v>
      </c>
      <c r="W44" s="33">
        <v>1333.314935488685</v>
      </c>
      <c r="X44" s="33">
        <v>1356.1584494260107</v>
      </c>
      <c r="Y44" s="33">
        <v>1379.0156219920973</v>
      </c>
      <c r="Z44" s="33">
        <v>1401.872794558184</v>
      </c>
      <c r="AA44" s="33">
        <v>1401.1827017357623</v>
      </c>
      <c r="AB44" s="33">
        <v>1424.0266570788385</v>
      </c>
      <c r="AC44" s="33">
        <v>1446.8836174961275</v>
      </c>
      <c r="AD44" s="33">
        <v>1469.7405779134165</v>
      </c>
      <c r="AE44" s="33">
        <v>1469.013263525601</v>
      </c>
      <c r="AF44" s="33">
        <v>1491.8576200167654</v>
      </c>
      <c r="AG44" s="33">
        <v>1514.7143873291607</v>
      </c>
      <c r="AH44" s="33">
        <v>1537.5711546415564</v>
      </c>
      <c r="AI44" s="33">
        <v>1536.8060603275758</v>
      </c>
      <c r="AJ44" s="33">
        <v>1559.6507829906475</v>
      </c>
      <c r="AK44" s="33">
        <v>1582.5073737894131</v>
      </c>
      <c r="AL44" s="33">
        <v>1605.363964588179</v>
      </c>
      <c r="AM44" s="33">
        <v>1604.5605236170213</v>
      </c>
      <c r="AN44" s="33">
        <v>1627.405581872012</v>
      </c>
      <c r="AO44" s="33">
        <v>1650.2620106996203</v>
      </c>
      <c r="AP44" s="33">
        <v>1673.1184395272285</v>
      </c>
      <c r="AQ44" s="33">
        <v>1672.2760766712654</v>
      </c>
      <c r="AR44" s="33">
        <v>1695.1214436271976</v>
      </c>
      <c r="AS44" s="33">
        <v>1717.9777233013428</v>
      </c>
      <c r="AT44" s="33">
        <v>1740.8340029754888</v>
      </c>
      <c r="AU44" s="33">
        <v>1739.9521343823517</v>
      </c>
      <c r="AV44" s="33">
        <v>1762.7977862668306</v>
      </c>
      <c r="AW44" s="33">
        <v>1785.6539281428295</v>
      </c>
      <c r="AX44" s="33">
        <v>1808.5100700188284</v>
      </c>
      <c r="AY44" s="33">
        <v>1807.588103081501</v>
      </c>
      <c r="AZ44" s="33">
        <v>1830.4340187764838</v>
      </c>
      <c r="BA44" s="33">
        <v>1853.2900329615982</v>
      </c>
      <c r="BB44" s="33">
        <v>1876.1460471467126</v>
      </c>
      <c r="BC44" s="33">
        <v>1875.18338037177</v>
      </c>
      <c r="BD44" s="33">
        <v>1898.0295410326405</v>
      </c>
      <c r="BE44" s="33">
        <v>1920.885436562531</v>
      </c>
      <c r="BF44" s="33">
        <v>1943.741332092421</v>
      </c>
      <c r="BG44" s="33">
        <v>1942.7373549663594</v>
      </c>
      <c r="BH44" s="33">
        <v>1965.583743706999</v>
      </c>
      <c r="BI44" s="33">
        <v>1988.439528692054</v>
      </c>
      <c r="BJ44" s="33">
        <v>2011.2953136771093</v>
      </c>
      <c r="BK44" s="33">
        <v>2010.2494065307478</v>
      </c>
      <c r="BL44" s="33">
        <v>2033.0960081613262</v>
      </c>
      <c r="BM44" s="33">
        <v>2055.951689908843</v>
      </c>
      <c r="BN44" s="33">
        <v>2078.8073716563595</v>
      </c>
      <c r="BO44" s="33">
        <v>2077.7189055272474</v>
      </c>
      <c r="BP44" s="33">
        <v>2100.5657063344897</v>
      </c>
      <c r="BQ44" s="33">
        <v>2123.4212914513296</v>
      </c>
      <c r="BR44" s="33">
        <v>2146.276876568169</v>
      </c>
      <c r="BS44" s="33">
        <v>2145.145213060969</v>
      </c>
      <c r="BT44" s="33">
        <v>2167.9929087021037</v>
      </c>
      <c r="BU44" s="33">
        <v>2190.8484106461956</v>
      </c>
      <c r="BV44" s="33">
        <v>2213.7039125902875</v>
      </c>
      <c r="BW44" s="33">
        <v>2189.6729014070816</v>
      </c>
      <c r="BX44" s="33">
        <v>2189.673770078096</v>
      </c>
      <c r="BY44" s="33">
        <v>2189.673770078096</v>
      </c>
      <c r="BZ44" s="33">
        <v>2189.673770078096</v>
      </c>
      <c r="CA44" s="33">
        <v>2165.5982417459754</v>
      </c>
      <c r="CB44" s="33">
        <v>2165.601283605757</v>
      </c>
      <c r="CC44" s="33">
        <v>2165.601283605757</v>
      </c>
      <c r="CD44" s="33">
        <v>2165.601283605757</v>
      </c>
      <c r="CE44" s="33">
        <v>2141.4805461632823</v>
      </c>
      <c r="CF44" s="33">
        <v>2141.483627854346</v>
      </c>
      <c r="CG44" s="33">
        <v>2141.483627854346</v>
      </c>
      <c r="CH44" s="33">
        <v>2141.483627854346</v>
      </c>
      <c r="CI44" s="33">
        <v>2117.3170027124193</v>
      </c>
      <c r="CJ44" s="33">
        <v>2258.4860034937574</v>
      </c>
      <c r="CK44" s="33">
        <v>2258.4860034937574</v>
      </c>
      <c r="CL44" s="33">
        <v>2258.4860034937574</v>
      </c>
      <c r="CM44" s="36"/>
    </row>
    <row r="46" spans="2:2" x14ac:dyDescent="0.25">
      <c r="B46" s="26" t="s">
        <v>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265</v>
      </c>
    </row>
    <row r="4" spans="2:91" x14ac:dyDescent="0.25">
      <c r="B4" s="9" t="s">
        <v>266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3" t="s">
        <v>116</v>
      </c>
      <c r="C6" s="23" t="s">
        <v>117</v>
      </c>
      <c r="D6" s="23" t="s">
        <v>118</v>
      </c>
      <c r="E6" s="34" t="s">
        <v>119</v>
      </c>
      <c r="F6" s="34" t="s">
        <v>120</v>
      </c>
      <c r="G6" s="34" t="s">
        <v>121</v>
      </c>
      <c r="H6" s="34" t="s">
        <v>122</v>
      </c>
      <c r="I6" s="34" t="s">
        <v>123</v>
      </c>
      <c r="J6" s="34" t="s">
        <v>124</v>
      </c>
      <c r="K6" s="34" t="s">
        <v>125</v>
      </c>
      <c r="L6" s="34" t="s">
        <v>126</v>
      </c>
      <c r="M6" s="34" t="s">
        <v>127</v>
      </c>
      <c r="N6" s="34" t="s">
        <v>106</v>
      </c>
      <c r="O6" s="34" t="s">
        <v>128</v>
      </c>
      <c r="P6" s="34" t="s">
        <v>129</v>
      </c>
      <c r="Q6" s="34" t="s">
        <v>130</v>
      </c>
      <c r="R6" s="34" t="s">
        <v>131</v>
      </c>
      <c r="S6" s="34" t="s">
        <v>132</v>
      </c>
      <c r="T6" s="34" t="s">
        <v>133</v>
      </c>
      <c r="U6" s="34" t="s">
        <v>134</v>
      </c>
      <c r="V6" s="34" t="s">
        <v>135</v>
      </c>
      <c r="W6" s="34" t="s">
        <v>136</v>
      </c>
      <c r="X6" s="34" t="s">
        <v>137</v>
      </c>
      <c r="Y6" s="34" t="s">
        <v>138</v>
      </c>
      <c r="Z6" s="34" t="s">
        <v>139</v>
      </c>
      <c r="AA6" s="34" t="s">
        <v>140</v>
      </c>
      <c r="AB6" s="34" t="s">
        <v>141</v>
      </c>
      <c r="AC6" s="34" t="s">
        <v>142</v>
      </c>
      <c r="AD6" s="34" t="s">
        <v>143</v>
      </c>
      <c r="AE6" s="34" t="s">
        <v>144</v>
      </c>
      <c r="AF6" s="34" t="s">
        <v>145</v>
      </c>
      <c r="AG6" s="34" t="s">
        <v>146</v>
      </c>
      <c r="AH6" s="34" t="s">
        <v>147</v>
      </c>
      <c r="AI6" s="34" t="s">
        <v>148</v>
      </c>
      <c r="AJ6" s="34" t="s">
        <v>149</v>
      </c>
      <c r="AK6" s="34" t="s">
        <v>150</v>
      </c>
      <c r="AL6" s="34" t="s">
        <v>151</v>
      </c>
      <c r="AM6" s="34" t="s">
        <v>152</v>
      </c>
      <c r="AN6" s="34" t="s">
        <v>153</v>
      </c>
      <c r="AO6" s="34" t="s">
        <v>154</v>
      </c>
      <c r="AP6" s="34" t="s">
        <v>155</v>
      </c>
      <c r="AQ6" s="34" t="s">
        <v>156</v>
      </c>
      <c r="AR6" s="34" t="s">
        <v>157</v>
      </c>
      <c r="AS6" s="34" t="s">
        <v>158</v>
      </c>
      <c r="AT6" s="34" t="s">
        <v>159</v>
      </c>
      <c r="AU6" s="34" t="s">
        <v>160</v>
      </c>
      <c r="AV6" s="34" t="s">
        <v>161</v>
      </c>
      <c r="AW6" s="34" t="s">
        <v>162</v>
      </c>
      <c r="AX6" s="34" t="s">
        <v>163</v>
      </c>
      <c r="AY6" s="34" t="s">
        <v>164</v>
      </c>
      <c r="AZ6" s="34" t="s">
        <v>165</v>
      </c>
      <c r="BA6" s="34" t="s">
        <v>166</v>
      </c>
      <c r="BB6" s="34" t="s">
        <v>167</v>
      </c>
      <c r="BC6" s="34" t="s">
        <v>168</v>
      </c>
      <c r="BD6" s="34" t="s">
        <v>169</v>
      </c>
      <c r="BE6" s="34" t="s">
        <v>170</v>
      </c>
      <c r="BF6" s="34" t="s">
        <v>171</v>
      </c>
      <c r="BG6" s="34" t="s">
        <v>172</v>
      </c>
      <c r="BH6" s="34" t="s">
        <v>173</v>
      </c>
      <c r="BI6" s="34" t="s">
        <v>174</v>
      </c>
      <c r="BJ6" s="34" t="s">
        <v>175</v>
      </c>
      <c r="BK6" s="34" t="s">
        <v>176</v>
      </c>
      <c r="BL6" s="34" t="s">
        <v>177</v>
      </c>
      <c r="BM6" s="34" t="s">
        <v>178</v>
      </c>
      <c r="BN6" s="34" t="s">
        <v>179</v>
      </c>
      <c r="BO6" s="34" t="s">
        <v>180</v>
      </c>
      <c r="BP6" s="34" t="s">
        <v>181</v>
      </c>
      <c r="BQ6" s="34" t="s">
        <v>182</v>
      </c>
      <c r="BR6" s="34" t="s">
        <v>183</v>
      </c>
      <c r="BS6" s="34" t="s">
        <v>184</v>
      </c>
      <c r="BT6" s="34" t="s">
        <v>185</v>
      </c>
      <c r="BU6" s="34" t="s">
        <v>186</v>
      </c>
      <c r="BV6" s="34" t="s">
        <v>187</v>
      </c>
      <c r="BW6" s="34" t="s">
        <v>188</v>
      </c>
      <c r="BX6" s="34" t="s">
        <v>189</v>
      </c>
      <c r="BY6" s="34" t="s">
        <v>190</v>
      </c>
      <c r="BZ6" s="34" t="s">
        <v>191</v>
      </c>
      <c r="CA6" s="34" t="s">
        <v>192</v>
      </c>
      <c r="CB6" s="34" t="s">
        <v>193</v>
      </c>
      <c r="CC6" s="34" t="s">
        <v>194</v>
      </c>
      <c r="CD6" s="34" t="s">
        <v>195</v>
      </c>
      <c r="CE6" s="34" t="s">
        <v>196</v>
      </c>
      <c r="CF6" s="34" t="s">
        <v>197</v>
      </c>
      <c r="CG6" s="34" t="s">
        <v>198</v>
      </c>
      <c r="CH6" s="34" t="s">
        <v>199</v>
      </c>
      <c r="CI6" s="34" t="s">
        <v>200</v>
      </c>
      <c r="CJ6" s="34" t="s">
        <v>201</v>
      </c>
      <c r="CK6" s="34" t="s">
        <v>202</v>
      </c>
      <c r="CL6" s="34" t="s">
        <v>203</v>
      </c>
    </row>
    <row r="9" spans="2:91" x14ac:dyDescent="0.25">
      <c r="B9" s="35" t="s">
        <v>267</v>
      </c>
      <c r="C9" s="41" t="s">
        <v>205</v>
      </c>
      <c r="D9" s="33">
        <v>340330.59479715663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4700.503502484711</v>
      </c>
      <c r="L9" s="33">
        <v>4684.003535869319</v>
      </c>
      <c r="M9" s="33">
        <v>4684.003535869319</v>
      </c>
      <c r="N9" s="33">
        <v>4684.003535869319</v>
      </c>
      <c r="O9" s="33">
        <v>4654.531028858186</v>
      </c>
      <c r="P9" s="33">
        <v>4648.4866909350685</v>
      </c>
      <c r="Q9" s="33">
        <v>4642.453544922584</v>
      </c>
      <c r="R9" s="33">
        <v>4636.420398910099</v>
      </c>
      <c r="S9" s="33">
        <v>4606.912294495083</v>
      </c>
      <c r="T9" s="33">
        <v>4600.864507867397</v>
      </c>
      <c r="U9" s="33">
        <v>4594.831102087339</v>
      </c>
      <c r="V9" s="33">
        <v>4588.7976963072815</v>
      </c>
      <c r="W9" s="33">
        <v>4559.253462435007</v>
      </c>
      <c r="X9" s="33">
        <v>4553.206163872333</v>
      </c>
      <c r="Y9" s="33">
        <v>4547.1725239384195</v>
      </c>
      <c r="Z9" s="33">
        <v>4541.1388840045065</v>
      </c>
      <c r="AA9" s="33">
        <v>4511.557978682085</v>
      </c>
      <c r="AB9" s="33">
        <v>4505.511121525161</v>
      </c>
      <c r="AC9" s="33">
        <v>4499.47726944245</v>
      </c>
      <c r="AD9" s="33">
        <v>4493.443417359739</v>
      </c>
      <c r="AE9" s="33">
        <v>4463.825290471924</v>
      </c>
      <c r="AF9" s="33">
        <v>4457.778834463088</v>
      </c>
      <c r="AG9" s="33">
        <v>4451.7447892754835</v>
      </c>
      <c r="AH9" s="33">
        <v>4445.710744087879</v>
      </c>
      <c r="AI9" s="33">
        <v>4416.0548372738995</v>
      </c>
      <c r="AJ9" s="33">
        <v>4410.008747436971</v>
      </c>
      <c r="AK9" s="33">
        <v>4403.974525735736</v>
      </c>
      <c r="AL9" s="33">
        <v>4397.940304034502</v>
      </c>
      <c r="AM9" s="33">
        <v>4368.246050563345</v>
      </c>
      <c r="AN9" s="33">
        <v>4362.200296318336</v>
      </c>
      <c r="AO9" s="33">
        <v>4356.1659126459435</v>
      </c>
      <c r="AP9" s="33">
        <v>4350.131528973552</v>
      </c>
      <c r="AQ9" s="33">
        <v>4320.398353617589</v>
      </c>
      <c r="AR9" s="33">
        <v>4314.352908073521</v>
      </c>
      <c r="AS9" s="33">
        <v>4308.318375247667</v>
      </c>
      <c r="AT9" s="33">
        <v>4302.283842421813</v>
      </c>
      <c r="AU9" s="33">
        <v>4272.511161328675</v>
      </c>
      <c r="AV9" s="33">
        <v>4266.466000713154</v>
      </c>
      <c r="AW9" s="33">
        <v>4260.431330089154</v>
      </c>
      <c r="AX9" s="33">
        <v>4254.396659465152</v>
      </c>
      <c r="AY9" s="33">
        <v>4224.583880027824</v>
      </c>
      <c r="AZ9" s="33">
        <v>4218.5389832228075</v>
      </c>
      <c r="BA9" s="33">
        <v>4212.504184907922</v>
      </c>
      <c r="BB9" s="33">
        <v>4206.469386593037</v>
      </c>
      <c r="BC9" s="33">
        <v>4176.615907318093</v>
      </c>
      <c r="BD9" s="33">
        <v>4170.571255478964</v>
      </c>
      <c r="BE9" s="33">
        <v>4164.536338508854</v>
      </c>
      <c r="BF9" s="33">
        <v>4158.501421538745</v>
      </c>
      <c r="BG9" s="33">
        <v>4128.606631912683</v>
      </c>
      <c r="BH9" s="33">
        <v>4122.562208153323</v>
      </c>
      <c r="BI9" s="33">
        <v>4116.527180638378</v>
      </c>
      <c r="BJ9" s="33">
        <v>4110.492153123432</v>
      </c>
      <c r="BK9" s="33">
        <v>4080.5554334770713</v>
      </c>
      <c r="BL9" s="33">
        <v>4074.5112226076494</v>
      </c>
      <c r="BM9" s="33">
        <v>4068.4760918551665</v>
      </c>
      <c r="BN9" s="33">
        <v>4062.4409611026826</v>
      </c>
      <c r="BO9" s="33">
        <v>4032.461682473571</v>
      </c>
      <c r="BP9" s="33">
        <v>4026.417670780813</v>
      </c>
      <c r="BQ9" s="33">
        <v>4020.382443397653</v>
      </c>
      <c r="BR9" s="33">
        <v>4014.3472160144925</v>
      </c>
      <c r="BS9" s="33">
        <v>3984.3247400072923</v>
      </c>
      <c r="BT9" s="33">
        <v>3978.2816231484267</v>
      </c>
      <c r="BU9" s="33">
        <v>3972.2463125925187</v>
      </c>
      <c r="BV9" s="33">
        <v>3966.211002036611</v>
      </c>
      <c r="BW9" s="33">
        <v>3942.179990853405</v>
      </c>
      <c r="BX9" s="33">
        <v>3942.1808595244192</v>
      </c>
      <c r="BY9" s="33">
        <v>3942.1808595244192</v>
      </c>
      <c r="BZ9" s="33">
        <v>3942.1808595244192</v>
      </c>
      <c r="CA9" s="33">
        <v>3918.1053311922988</v>
      </c>
      <c r="CB9" s="33">
        <v>3918.1083730520804</v>
      </c>
      <c r="CC9" s="33">
        <v>3918.1083730520804</v>
      </c>
      <c r="CD9" s="33">
        <v>3918.1083730520804</v>
      </c>
      <c r="CE9" s="33">
        <v>3893.9876356096056</v>
      </c>
      <c r="CF9" s="33">
        <v>3893.9907173006695</v>
      </c>
      <c r="CG9" s="33">
        <v>3893.9907173006695</v>
      </c>
      <c r="CH9" s="33">
        <v>3893.9907173006695</v>
      </c>
      <c r="CI9" s="33">
        <v>3869.8240921587426</v>
      </c>
      <c r="CJ9" s="33">
        <v>4010.9930929400807</v>
      </c>
      <c r="CK9" s="33">
        <v>4010.9930929400807</v>
      </c>
      <c r="CL9" s="33">
        <v>4010.9930929400807</v>
      </c>
      <c r="CM9" s="36"/>
    </row>
    <row r="10" spans="2:90" x14ac:dyDescent="0.25">
      <c r="B10" s="37" t="s">
        <v>215</v>
      </c>
      <c r="C10" s="38" t="s">
        <v>205</v>
      </c>
      <c r="D10" s="14">
        <v>184139.5331250001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1733.44875</v>
      </c>
      <c r="L10" s="27">
        <v>1733.44875</v>
      </c>
      <c r="M10" s="27">
        <v>1733.44875</v>
      </c>
      <c r="N10" s="27">
        <v>3834.59875</v>
      </c>
      <c r="O10" s="27">
        <v>3805.7079375000003</v>
      </c>
      <c r="P10" s="27">
        <v>3776.8171250000005</v>
      </c>
      <c r="Q10" s="27">
        <v>3747.9263125000007</v>
      </c>
      <c r="R10" s="27">
        <v>3719.0355000000004</v>
      </c>
      <c r="S10" s="27">
        <v>3690.1446875000006</v>
      </c>
      <c r="T10" s="27">
        <v>3661.2538750000003</v>
      </c>
      <c r="U10" s="27">
        <v>3632.3630625000005</v>
      </c>
      <c r="V10" s="27">
        <v>3603.4722500000007</v>
      </c>
      <c r="W10" s="27">
        <v>3574.581437500001</v>
      </c>
      <c r="X10" s="27">
        <v>3545.690625000001</v>
      </c>
      <c r="Y10" s="27">
        <v>3516.7998125000013</v>
      </c>
      <c r="Z10" s="27">
        <v>3487.909000000001</v>
      </c>
      <c r="AA10" s="27">
        <v>3459.018187500001</v>
      </c>
      <c r="AB10" s="27">
        <v>3430.127375000001</v>
      </c>
      <c r="AC10" s="27">
        <v>3401.236562500001</v>
      </c>
      <c r="AD10" s="27">
        <v>3372.3457500000013</v>
      </c>
      <c r="AE10" s="27">
        <v>3343.4549375000015</v>
      </c>
      <c r="AF10" s="27">
        <v>3314.5641250000017</v>
      </c>
      <c r="AG10" s="27">
        <v>3285.673312500002</v>
      </c>
      <c r="AH10" s="27">
        <v>3256.7825000000016</v>
      </c>
      <c r="AI10" s="27">
        <v>3227.891687500002</v>
      </c>
      <c r="AJ10" s="27">
        <v>3199.0008750000015</v>
      </c>
      <c r="AK10" s="27">
        <v>3170.1100625000017</v>
      </c>
      <c r="AL10" s="27">
        <v>3141.219250000002</v>
      </c>
      <c r="AM10" s="27">
        <v>3112.328437500002</v>
      </c>
      <c r="AN10" s="27">
        <v>3083.4376250000023</v>
      </c>
      <c r="AO10" s="27">
        <v>3054.5468125000025</v>
      </c>
      <c r="AP10" s="27">
        <v>3025.656000000002</v>
      </c>
      <c r="AQ10" s="27">
        <v>2996.7651875000024</v>
      </c>
      <c r="AR10" s="27">
        <v>2967.874375000002</v>
      </c>
      <c r="AS10" s="27">
        <v>2938.9835625000023</v>
      </c>
      <c r="AT10" s="27">
        <v>2910.0927500000025</v>
      </c>
      <c r="AU10" s="27">
        <v>2881.2019375000023</v>
      </c>
      <c r="AV10" s="27">
        <v>2852.311125000002</v>
      </c>
      <c r="AW10" s="27">
        <v>2823.420312500002</v>
      </c>
      <c r="AX10" s="27">
        <v>2794.5295000000024</v>
      </c>
      <c r="AY10" s="27">
        <v>2765.638687500002</v>
      </c>
      <c r="AZ10" s="27">
        <v>2736.7478750000023</v>
      </c>
      <c r="BA10" s="27">
        <v>2707.857062500002</v>
      </c>
      <c r="BB10" s="27">
        <v>2678.966250000002</v>
      </c>
      <c r="BC10" s="27">
        <v>2650.075437500002</v>
      </c>
      <c r="BD10" s="27">
        <v>2621.184625000002</v>
      </c>
      <c r="BE10" s="27">
        <v>2592.293812500002</v>
      </c>
      <c r="BF10" s="27">
        <v>2563.403000000002</v>
      </c>
      <c r="BG10" s="27">
        <v>2534.512187500002</v>
      </c>
      <c r="BH10" s="27">
        <v>2505.621375000002</v>
      </c>
      <c r="BI10" s="27">
        <v>2476.7305625000017</v>
      </c>
      <c r="BJ10" s="27">
        <v>2447.839750000002</v>
      </c>
      <c r="BK10" s="27">
        <v>2418.948937500002</v>
      </c>
      <c r="BL10" s="27">
        <v>2390.058125000002</v>
      </c>
      <c r="BM10" s="27">
        <v>2361.167312500002</v>
      </c>
      <c r="BN10" s="27">
        <v>2332.2765000000018</v>
      </c>
      <c r="BO10" s="27">
        <v>2303.385687500002</v>
      </c>
      <c r="BP10" s="27">
        <v>2274.4948750000017</v>
      </c>
      <c r="BQ10" s="27">
        <v>2245.604062500002</v>
      </c>
      <c r="BR10" s="27">
        <v>2216.713250000002</v>
      </c>
      <c r="BS10" s="27">
        <v>2187.822437500002</v>
      </c>
      <c r="BT10" s="27">
        <v>2158.931625000002</v>
      </c>
      <c r="BU10" s="27">
        <v>2130.0408125000017</v>
      </c>
      <c r="BV10" s="27">
        <v>1.7882939573610202e-12</v>
      </c>
      <c r="BW10" s="27">
        <v>1.7882939573610202e-12</v>
      </c>
      <c r="BX10" s="27">
        <v>1.7882939573610202e-12</v>
      </c>
      <c r="BY10" s="27">
        <v>1.7882939573610202e-12</v>
      </c>
      <c r="BZ10" s="27">
        <v>1.7882939573610202e-12</v>
      </c>
      <c r="CA10" s="27">
        <v>1.7882939573610202e-12</v>
      </c>
      <c r="CB10" s="27">
        <v>1.7882939573610202e-12</v>
      </c>
      <c r="CC10" s="27">
        <v>1.7882939573610202e-12</v>
      </c>
      <c r="CD10" s="27">
        <v>1.7882939573610202e-12</v>
      </c>
      <c r="CE10" s="27">
        <v>1.7882939573610202e-12</v>
      </c>
      <c r="CF10" s="27">
        <v>1.7882939573610202e-12</v>
      </c>
      <c r="CG10" s="27">
        <v>1.7882939573610202e-12</v>
      </c>
      <c r="CH10" s="27">
        <v>1.7882939573610202e-12</v>
      </c>
      <c r="CI10" s="27">
        <v>1.7882939573610202e-12</v>
      </c>
      <c r="CJ10" s="27">
        <v>1.7882939573610202e-12</v>
      </c>
      <c r="CK10" s="27">
        <v>1.7882939573610202e-12</v>
      </c>
      <c r="CL10" s="27">
        <v>1.7882939573610202e-12</v>
      </c>
    </row>
    <row r="11" spans="2:90" x14ac:dyDescent="0.25">
      <c r="B11" s="39" t="s">
        <v>268</v>
      </c>
      <c r="C11" s="38" t="s">
        <v>269</v>
      </c>
      <c r="E11" s="16"/>
      <c r="F11" s="16"/>
      <c r="G11" s="16"/>
      <c r="H11" s="16"/>
      <c r="I11" s="16"/>
      <c r="J11" s="16"/>
      <c r="K11" s="16">
        <v>2.7116483844617334</v>
      </c>
      <c r="L11" s="16">
        <v>2.7021298067619934</v>
      </c>
      <c r="M11" s="16">
        <v>2.7021298067619934</v>
      </c>
      <c r="N11" s="16">
        <v>1.221510734563641</v>
      </c>
      <c r="O11" s="16">
        <v>1.2230394726285234</v>
      </c>
      <c r="P11" s="16">
        <v>1.2307947504699657</v>
      </c>
      <c r="Q11" s="16">
        <v>1.2386725772700429</v>
      </c>
      <c r="R11" s="16">
        <v>1.2466727996842457</v>
      </c>
      <c r="S11" s="16">
        <v>1.2484367645801375</v>
      </c>
      <c r="T11" s="16">
        <v>1.2566362959103448</v>
      </c>
      <c r="U11" s="16">
        <v>1.2649702199440693</v>
      </c>
      <c r="V11" s="16">
        <v>1.273437778328189</v>
      </c>
      <c r="W11" s="16">
        <v>1.2754649858036717</v>
      </c>
      <c r="X11" s="16">
        <v>1.2841521287188815</v>
      </c>
      <c r="Y11" s="16">
        <v>1.2929858867075954</v>
      </c>
      <c r="Z11" s="16">
        <v>1.3019659870726286</v>
      </c>
      <c r="AA11" s="16">
        <v>1.3042885969740463</v>
      </c>
      <c r="AB11" s="16">
        <v>1.3135113157496547</v>
      </c>
      <c r="AC11" s="16">
        <v>1.3228945375487826</v>
      </c>
      <c r="AD11" s="16">
        <v>1.3324385310609796</v>
      </c>
      <c r="AE11" s="16">
        <v>1.3350936004567946</v>
      </c>
      <c r="AF11" s="16">
        <v>1.3449064994218767</v>
      </c>
      <c r="AG11" s="16">
        <v>1.3548957446071355</v>
      </c>
      <c r="AH11" s="16">
        <v>1.365062218336004</v>
      </c>
      <c r="AI11" s="16">
        <v>1.3680926328398981</v>
      </c>
      <c r="AJ11" s="16">
        <v>1.3785581560483222</v>
      </c>
      <c r="AK11" s="16">
        <v>1.389218178205046</v>
      </c>
      <c r="AL11" s="16">
        <v>1.4000742877258567</v>
      </c>
      <c r="AM11" s="16">
        <v>1.40352990961075</v>
      </c>
      <c r="AN11" s="16">
        <v>1.4147198117290707</v>
      </c>
      <c r="AO11" s="16">
        <v>1.4261251112012348</v>
      </c>
      <c r="AP11" s="16">
        <v>1.4377482202119305</v>
      </c>
      <c r="AQ11" s="16">
        <v>1.4416873139205826</v>
      </c>
      <c r="AR11" s="16">
        <v>1.4536844768146622</v>
      </c>
      <c r="AS11" s="16">
        <v>1.465921221955682</v>
      </c>
      <c r="AT11" s="16">
        <v>1.4784009349605125</v>
      </c>
      <c r="AU11" s="16">
        <v>1.482891950654421</v>
      </c>
      <c r="AV11" s="16">
        <v>1.4957926445394878</v>
      </c>
      <c r="AW11" s="16">
        <v>1.5089610679738814</v>
      </c>
      <c r="AX11" s="16">
        <v>1.5224017708401891</v>
      </c>
      <c r="AY11" s="16">
        <v>1.527525594403163</v>
      </c>
      <c r="AZ11" s="16">
        <v>1.5414423161734634</v>
      </c>
      <c r="BA11" s="16">
        <v>1.5556597293280943</v>
      </c>
      <c r="BB11" s="16">
        <v>1.570183792570374</v>
      </c>
      <c r="BC11" s="16">
        <v>1.5760366094552318</v>
      </c>
      <c r="BD11" s="16">
        <v>1.5911016781120333</v>
      </c>
      <c r="BE11" s="16">
        <v>1.6065062989494179</v>
      </c>
      <c r="BF11" s="16">
        <v>1.622258155092563</v>
      </c>
      <c r="BG11" s="16">
        <v>1.628955130803718</v>
      </c>
      <c r="BH11" s="16">
        <v>1.6453252870870483</v>
      </c>
      <c r="BI11" s="16">
        <v>1.6620811496278272</v>
      </c>
      <c r="BJ11" s="16">
        <v>1.6792325368208556</v>
      </c>
      <c r="BK11" s="16">
        <v>1.6869125967141536</v>
      </c>
      <c r="BL11" s="16">
        <v>1.7047749508634424</v>
      </c>
      <c r="BM11" s="16">
        <v>1.7230782716314446</v>
      </c>
      <c r="BN11" s="16">
        <v>1.7418350530491045</v>
      </c>
      <c r="BO11" s="16">
        <v>1.7506671611084965</v>
      </c>
      <c r="BP11" s="16">
        <v>1.7702469744104434</v>
      </c>
      <c r="BQ11" s="16">
        <v>1.7903345075542005</v>
      </c>
      <c r="BR11" s="16">
        <v>1.8109456493817992</v>
      </c>
      <c r="BS11" s="16">
        <v>1.821137159814547</v>
      </c>
      <c r="BT11" s="16">
        <v>1.8427084846415287</v>
      </c>
      <c r="BU11" s="16">
        <v>1.864868639737632</v>
      </c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39" t="s">
        <v>270</v>
      </c>
      <c r="C13" s="38" t="s">
        <v>205</v>
      </c>
      <c r="D13" s="14">
        <v>159191.0616721565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4500.157252484711</v>
      </c>
      <c r="L13" s="14">
        <v>849.4047858693189</v>
      </c>
      <c r="M13" s="14">
        <v>878.2955983693196</v>
      </c>
      <c r="N13" s="14">
        <v>907.1864108693189</v>
      </c>
      <c r="O13" s="14">
        <v>906.6047163581852</v>
      </c>
      <c r="P13" s="14">
        <v>929.4511909350676</v>
      </c>
      <c r="Q13" s="14">
        <v>952.308857422584</v>
      </c>
      <c r="R13" s="14">
        <v>975.1665239100989</v>
      </c>
      <c r="S13" s="14">
        <v>974.5492319950822</v>
      </c>
      <c r="T13" s="14">
        <v>997.3922578673964</v>
      </c>
      <c r="U13" s="14">
        <v>1020.249664587338</v>
      </c>
      <c r="V13" s="14">
        <v>1043.1070713072804</v>
      </c>
      <c r="W13" s="14">
        <v>1042.453649935006</v>
      </c>
      <c r="X13" s="14">
        <v>1065.297163872331</v>
      </c>
      <c r="Y13" s="14">
        <v>1088.1543364384188</v>
      </c>
      <c r="Z13" s="14">
        <v>1111.011509004506</v>
      </c>
      <c r="AA13" s="14">
        <v>1110.3214161820838</v>
      </c>
      <c r="AB13" s="14">
        <v>1133.1653715251596</v>
      </c>
      <c r="AC13" s="14">
        <v>1156.0223319424485</v>
      </c>
      <c r="AD13" s="14">
        <v>1178.8792923597375</v>
      </c>
      <c r="AE13" s="14">
        <v>1178.151977971922</v>
      </c>
      <c r="AF13" s="14">
        <v>1200.996334463086</v>
      </c>
      <c r="AG13" s="14">
        <v>1223.8531017754822</v>
      </c>
      <c r="AH13" s="14">
        <v>1246.709869087878</v>
      </c>
      <c r="AI13" s="14">
        <v>1245.9447747738973</v>
      </c>
      <c r="AJ13" s="14">
        <v>1268.7894974369692</v>
      </c>
      <c r="AK13" s="14">
        <v>1291.6460882357342</v>
      </c>
      <c r="AL13" s="14">
        <v>1314.5026790345</v>
      </c>
      <c r="AM13" s="14">
        <v>1313.6992380633428</v>
      </c>
      <c r="AN13" s="14">
        <v>1336.5442963183332</v>
      </c>
      <c r="AO13" s="14">
        <v>1359.4007251459416</v>
      </c>
      <c r="AP13" s="14">
        <v>1382.2571539735504</v>
      </c>
      <c r="AQ13" s="14">
        <v>1381.4147911175864</v>
      </c>
      <c r="AR13" s="14">
        <v>1404.2601580735181</v>
      </c>
      <c r="AS13" s="14">
        <v>1427.1164377476643</v>
      </c>
      <c r="AT13" s="14">
        <v>1449.9727174218115</v>
      </c>
      <c r="AU13" s="14">
        <v>1449.0908488286727</v>
      </c>
      <c r="AV13" s="14">
        <v>1471.9365007131519</v>
      </c>
      <c r="AW13" s="14">
        <v>1494.792642589151</v>
      </c>
      <c r="AX13" s="14">
        <v>1517.6487844651501</v>
      </c>
      <c r="AY13" s="14">
        <v>1516.7268175278227</v>
      </c>
      <c r="AZ13" s="14">
        <v>1539.5727332228048</v>
      </c>
      <c r="BA13" s="14">
        <v>1562.4287474079192</v>
      </c>
      <c r="BB13" s="14">
        <v>1585.284761593035</v>
      </c>
      <c r="BC13" s="14">
        <v>1584.322094818092</v>
      </c>
      <c r="BD13" s="14">
        <v>1607.1682554789618</v>
      </c>
      <c r="BE13" s="14">
        <v>1630.0241510088517</v>
      </c>
      <c r="BF13" s="14">
        <v>1652.880046538743</v>
      </c>
      <c r="BG13" s="14">
        <v>1651.8760694126818</v>
      </c>
      <c r="BH13" s="14">
        <v>1674.7224581533205</v>
      </c>
      <c r="BI13" s="14">
        <v>1697.578243138376</v>
      </c>
      <c r="BJ13" s="14">
        <v>1720.43402812343</v>
      </c>
      <c r="BK13" s="14">
        <v>1719.3881209770698</v>
      </c>
      <c r="BL13" s="14">
        <v>1742.234722607648</v>
      </c>
      <c r="BM13" s="14">
        <v>1765.090404355164</v>
      </c>
      <c r="BN13" s="14">
        <v>1787.9460861026805</v>
      </c>
      <c r="BO13" s="14">
        <v>1786.8576199735694</v>
      </c>
      <c r="BP13" s="14">
        <v>1809.7044207808108</v>
      </c>
      <c r="BQ13" s="14">
        <v>1832.5600058976515</v>
      </c>
      <c r="BR13" s="14">
        <v>1855.41559101449</v>
      </c>
      <c r="BS13" s="14">
        <v>1854.2839275072902</v>
      </c>
      <c r="BT13" s="14">
        <v>3978.2816231484253</v>
      </c>
      <c r="BU13" s="14">
        <v>3972.246312592517</v>
      </c>
      <c r="BV13" s="14">
        <v>3966.211002036609</v>
      </c>
      <c r="BW13" s="14">
        <v>3942.179990853403</v>
      </c>
      <c r="BX13" s="14">
        <v>3942.1808595244174</v>
      </c>
      <c r="BY13" s="14">
        <v>3942.1808595244174</v>
      </c>
      <c r="BZ13" s="14">
        <v>3942.1808595244174</v>
      </c>
      <c r="CA13" s="14">
        <v>3918.105331192297</v>
      </c>
      <c r="CB13" s="14">
        <v>3918.1083730520786</v>
      </c>
      <c r="CC13" s="14">
        <v>3918.1083730520786</v>
      </c>
      <c r="CD13" s="14">
        <v>3918.1083730520786</v>
      </c>
      <c r="CE13" s="14">
        <v>3893.987635609604</v>
      </c>
      <c r="CF13" s="14">
        <v>3893.9907173006677</v>
      </c>
      <c r="CG13" s="14">
        <v>3893.9907173006677</v>
      </c>
      <c r="CH13" s="14">
        <v>3893.9907173006677</v>
      </c>
      <c r="CI13" s="14">
        <v>3869.8240921587408</v>
      </c>
      <c r="CJ13" s="14">
        <v>4010.993092940079</v>
      </c>
      <c r="CK13" s="14">
        <v>4010.9930929400807</v>
      </c>
      <c r="CL13" s="14">
        <v>2010.9930929400807</v>
      </c>
    </row>
    <row r="14" spans="2:90" x14ac:dyDescent="0.25">
      <c r="B14" s="37" t="s">
        <v>271</v>
      </c>
      <c r="C14" s="38" t="s">
        <v>205</v>
      </c>
      <c r="D14" s="14">
        <v>-5000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-1533.1025</v>
      </c>
      <c r="L14" s="27">
        <v>2101.1500000000005</v>
      </c>
      <c r="M14" s="27">
        <v>2072.2591875</v>
      </c>
      <c r="N14" s="27">
        <v>-57.78162499999962</v>
      </c>
      <c r="O14" s="27">
        <v>-57.78162499999962</v>
      </c>
      <c r="P14" s="27">
        <v>-57.78162499999962</v>
      </c>
      <c r="Q14" s="27">
        <v>-57.78162500000053</v>
      </c>
      <c r="R14" s="27">
        <v>-57.78162500000053</v>
      </c>
      <c r="S14" s="27">
        <v>-57.78162499999962</v>
      </c>
      <c r="T14" s="27">
        <v>-57.78162499999962</v>
      </c>
      <c r="U14" s="27">
        <v>-57.78162499999962</v>
      </c>
      <c r="V14" s="27">
        <v>-57.78162499999962</v>
      </c>
      <c r="W14" s="27">
        <v>-57.78162499999962</v>
      </c>
      <c r="X14" s="27">
        <v>-57.78162499999962</v>
      </c>
      <c r="Y14" s="27">
        <v>-57.78162500000053</v>
      </c>
      <c r="Z14" s="27">
        <v>-57.78162500000053</v>
      </c>
      <c r="AA14" s="27">
        <v>-57.78162499999962</v>
      </c>
      <c r="AB14" s="27">
        <v>-57.78162499999962</v>
      </c>
      <c r="AC14" s="27">
        <v>-57.78162499999962</v>
      </c>
      <c r="AD14" s="27">
        <v>-57.78162499999962</v>
      </c>
      <c r="AE14" s="27">
        <v>-57.78162499999962</v>
      </c>
      <c r="AF14" s="27">
        <v>-57.78162499999962</v>
      </c>
      <c r="AG14" s="27">
        <v>-57.78162500000053</v>
      </c>
      <c r="AH14" s="27">
        <v>-57.78162500000053</v>
      </c>
      <c r="AI14" s="27">
        <v>-57.78162499999962</v>
      </c>
      <c r="AJ14" s="27">
        <v>-57.78162499999962</v>
      </c>
      <c r="AK14" s="27">
        <v>-57.78162499999962</v>
      </c>
      <c r="AL14" s="27">
        <v>-57.78162499999962</v>
      </c>
      <c r="AM14" s="27">
        <v>-57.78162499999962</v>
      </c>
      <c r="AN14" s="27">
        <v>-57.78162499999962</v>
      </c>
      <c r="AO14" s="27">
        <v>-57.78162500000053</v>
      </c>
      <c r="AP14" s="27">
        <v>-57.78162500000053</v>
      </c>
      <c r="AQ14" s="27">
        <v>-57.78162499999962</v>
      </c>
      <c r="AR14" s="27">
        <v>-57.78162499999962</v>
      </c>
      <c r="AS14" s="27">
        <v>-57.78162499999962</v>
      </c>
      <c r="AT14" s="27">
        <v>-57.78162500000144</v>
      </c>
      <c r="AU14" s="27">
        <v>-57.78162499999962</v>
      </c>
      <c r="AV14" s="27">
        <v>-57.78162499999962</v>
      </c>
      <c r="AW14" s="27">
        <v>-57.78162499999962</v>
      </c>
      <c r="AX14" s="27">
        <v>-57.78162500000053</v>
      </c>
      <c r="AY14" s="27">
        <v>-57.78162500000053</v>
      </c>
      <c r="AZ14" s="27">
        <v>-57.78162499999962</v>
      </c>
      <c r="BA14" s="27">
        <v>-57.78162499999962</v>
      </c>
      <c r="BB14" s="27">
        <v>-57.78162500000053</v>
      </c>
      <c r="BC14" s="27">
        <v>-57.78162500000053</v>
      </c>
      <c r="BD14" s="27">
        <v>-57.78162499999962</v>
      </c>
      <c r="BE14" s="27">
        <v>-57.78162499999962</v>
      </c>
      <c r="BF14" s="27">
        <v>-57.78162500000053</v>
      </c>
      <c r="BG14" s="27">
        <v>-57.78162500000053</v>
      </c>
      <c r="BH14" s="27">
        <v>-57.78162499999962</v>
      </c>
      <c r="BI14" s="27">
        <v>-57.78162499999962</v>
      </c>
      <c r="BJ14" s="27">
        <v>-57.78162499999962</v>
      </c>
      <c r="BK14" s="27">
        <v>-57.78162500000053</v>
      </c>
      <c r="BL14" s="27">
        <v>-57.78162500000053</v>
      </c>
      <c r="BM14" s="27">
        <v>-57.78162499999962</v>
      </c>
      <c r="BN14" s="27">
        <v>-57.78162499999962</v>
      </c>
      <c r="BO14" s="27">
        <v>-57.78162500000053</v>
      </c>
      <c r="BP14" s="27">
        <v>-57.78162499999962</v>
      </c>
      <c r="BQ14" s="27">
        <v>-57.78162500000053</v>
      </c>
      <c r="BR14" s="27">
        <v>-57.78162499999962</v>
      </c>
      <c r="BS14" s="27">
        <v>-57.78162499999962</v>
      </c>
      <c r="BT14" s="27">
        <v>-2158.9316250000006</v>
      </c>
      <c r="BU14" s="27">
        <v>-2130.0408125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-1.7882939573610202e-12</v>
      </c>
      <c r="CL14" s="27">
        <v>-1.7882939573610202e-12</v>
      </c>
    </row>
    <row r="15" spans="2:90" x14ac:dyDescent="0.25">
      <c r="B15" s="37" t="s">
        <v>272</v>
      </c>
      <c r="C15" s="38" t="s">
        <v>205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4500.157252484711</v>
      </c>
      <c r="M15" s="27">
        <v>5349.56203835403</v>
      </c>
      <c r="N15" s="27">
        <v>6227.857636723349</v>
      </c>
      <c r="O15" s="27">
        <v>7135.044047592668</v>
      </c>
      <c r="P15" s="27">
        <v>1000</v>
      </c>
      <c r="Q15" s="27">
        <v>1000</v>
      </c>
      <c r="R15" s="27">
        <v>1000</v>
      </c>
      <c r="S15" s="27">
        <v>1000</v>
      </c>
      <c r="T15" s="27">
        <v>1000</v>
      </c>
      <c r="U15" s="27">
        <v>1000</v>
      </c>
      <c r="V15" s="27">
        <v>1000</v>
      </c>
      <c r="W15" s="27">
        <v>1000</v>
      </c>
      <c r="X15" s="27">
        <v>1000</v>
      </c>
      <c r="Y15" s="27">
        <v>1000</v>
      </c>
      <c r="Z15" s="27">
        <v>1000</v>
      </c>
      <c r="AA15" s="27">
        <v>1000</v>
      </c>
      <c r="AB15" s="27">
        <v>1000</v>
      </c>
      <c r="AC15" s="27">
        <v>1000</v>
      </c>
      <c r="AD15" s="27">
        <v>1000</v>
      </c>
      <c r="AE15" s="27">
        <v>1000</v>
      </c>
      <c r="AF15" s="27">
        <v>1000</v>
      </c>
      <c r="AG15" s="27">
        <v>1000</v>
      </c>
      <c r="AH15" s="27">
        <v>1000</v>
      </c>
      <c r="AI15" s="27">
        <v>1000</v>
      </c>
      <c r="AJ15" s="27">
        <v>1000</v>
      </c>
      <c r="AK15" s="27">
        <v>1000</v>
      </c>
      <c r="AL15" s="27">
        <v>1000</v>
      </c>
      <c r="AM15" s="27">
        <v>1000</v>
      </c>
      <c r="AN15" s="27">
        <v>1000</v>
      </c>
      <c r="AO15" s="27">
        <v>1000</v>
      </c>
      <c r="AP15" s="27">
        <v>1000</v>
      </c>
      <c r="AQ15" s="27">
        <v>1000</v>
      </c>
      <c r="AR15" s="27">
        <v>1000</v>
      </c>
      <c r="AS15" s="27">
        <v>1000</v>
      </c>
      <c r="AT15" s="27">
        <v>1000</v>
      </c>
      <c r="AU15" s="27">
        <v>1000</v>
      </c>
      <c r="AV15" s="27">
        <v>1000</v>
      </c>
      <c r="AW15" s="27">
        <v>1000</v>
      </c>
      <c r="AX15" s="27">
        <v>1000</v>
      </c>
      <c r="AY15" s="27">
        <v>1000</v>
      </c>
      <c r="AZ15" s="27">
        <v>1000</v>
      </c>
      <c r="BA15" s="27">
        <v>1000</v>
      </c>
      <c r="BB15" s="27">
        <v>1000</v>
      </c>
      <c r="BC15" s="27">
        <v>1000</v>
      </c>
      <c r="BD15" s="27">
        <v>1000</v>
      </c>
      <c r="BE15" s="27">
        <v>1000</v>
      </c>
      <c r="BF15" s="27">
        <v>1000</v>
      </c>
      <c r="BG15" s="27">
        <v>1000</v>
      </c>
      <c r="BH15" s="27">
        <v>1000</v>
      </c>
      <c r="BI15" s="27">
        <v>1000</v>
      </c>
      <c r="BJ15" s="27">
        <v>1000</v>
      </c>
      <c r="BK15" s="27">
        <v>1000</v>
      </c>
      <c r="BL15" s="27">
        <v>1000</v>
      </c>
      <c r="BM15" s="27">
        <v>1000</v>
      </c>
      <c r="BN15" s="27">
        <v>1000</v>
      </c>
      <c r="BO15" s="27">
        <v>1000</v>
      </c>
      <c r="BP15" s="27">
        <v>1000</v>
      </c>
      <c r="BQ15" s="27">
        <v>1000</v>
      </c>
      <c r="BR15" s="27">
        <v>1000</v>
      </c>
      <c r="BS15" s="27">
        <v>1000</v>
      </c>
      <c r="BT15" s="27">
        <v>1000</v>
      </c>
      <c r="BU15" s="27">
        <v>1000</v>
      </c>
      <c r="BV15" s="27">
        <v>1000</v>
      </c>
      <c r="BW15" s="27">
        <v>1000</v>
      </c>
      <c r="BX15" s="27">
        <v>1000</v>
      </c>
      <c r="BY15" s="27">
        <v>1000</v>
      </c>
      <c r="BZ15" s="27">
        <v>1000</v>
      </c>
      <c r="CA15" s="27">
        <v>1000</v>
      </c>
      <c r="CB15" s="27">
        <v>1000</v>
      </c>
      <c r="CC15" s="27">
        <v>1000</v>
      </c>
      <c r="CD15" s="27">
        <v>1000</v>
      </c>
      <c r="CE15" s="27">
        <v>1000</v>
      </c>
      <c r="CF15" s="27">
        <v>1000</v>
      </c>
      <c r="CG15" s="27">
        <v>1000</v>
      </c>
      <c r="CH15" s="27">
        <v>1000</v>
      </c>
      <c r="CI15" s="27">
        <v>1000</v>
      </c>
      <c r="CJ15" s="27">
        <v>1000</v>
      </c>
      <c r="CK15" s="27">
        <v>1000</v>
      </c>
      <c r="CL15" s="27">
        <v>1000</v>
      </c>
    </row>
    <row r="16" spans="2:91" x14ac:dyDescent="0.25">
      <c r="B16" s="35" t="s">
        <v>273</v>
      </c>
      <c r="C16" s="41" t="s">
        <v>205</v>
      </c>
      <c r="D16" s="33">
        <v>159191.06167215647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7041.648763950853</v>
      </c>
      <c r="P16" s="33">
        <v>929.4511909350676</v>
      </c>
      <c r="Q16" s="33">
        <v>952.308857422584</v>
      </c>
      <c r="R16" s="33">
        <v>975.1665239100989</v>
      </c>
      <c r="S16" s="33">
        <v>974.5492319950822</v>
      </c>
      <c r="T16" s="33">
        <v>997.3922578673964</v>
      </c>
      <c r="U16" s="33">
        <v>1020.249664587338</v>
      </c>
      <c r="V16" s="33">
        <v>1043.1070713072804</v>
      </c>
      <c r="W16" s="33">
        <v>1042.453649935006</v>
      </c>
      <c r="X16" s="33">
        <v>1065.297163872331</v>
      </c>
      <c r="Y16" s="33">
        <v>1088.1543364384188</v>
      </c>
      <c r="Z16" s="33">
        <v>1111.011509004506</v>
      </c>
      <c r="AA16" s="33">
        <v>1110.3214161820838</v>
      </c>
      <c r="AB16" s="33">
        <v>1133.1653715251596</v>
      </c>
      <c r="AC16" s="33">
        <v>1156.0223319424485</v>
      </c>
      <c r="AD16" s="33">
        <v>1178.8792923597375</v>
      </c>
      <c r="AE16" s="33">
        <v>1178.151977971922</v>
      </c>
      <c r="AF16" s="33">
        <v>1200.996334463086</v>
      </c>
      <c r="AG16" s="33">
        <v>1223.8531017754822</v>
      </c>
      <c r="AH16" s="33">
        <v>1246.709869087878</v>
      </c>
      <c r="AI16" s="33">
        <v>1245.9447747738973</v>
      </c>
      <c r="AJ16" s="33">
        <v>1268.7894974369692</v>
      </c>
      <c r="AK16" s="33">
        <v>1291.6460882357342</v>
      </c>
      <c r="AL16" s="33">
        <v>1314.5026790345</v>
      </c>
      <c r="AM16" s="33">
        <v>1313.6992380633428</v>
      </c>
      <c r="AN16" s="33">
        <v>1336.5442963183332</v>
      </c>
      <c r="AO16" s="33">
        <v>1359.4007251459416</v>
      </c>
      <c r="AP16" s="33">
        <v>1382.2571539735504</v>
      </c>
      <c r="AQ16" s="33">
        <v>1381.4147911175864</v>
      </c>
      <c r="AR16" s="33">
        <v>1404.2601580735181</v>
      </c>
      <c r="AS16" s="33">
        <v>1427.1164377476643</v>
      </c>
      <c r="AT16" s="33">
        <v>1449.9727174218115</v>
      </c>
      <c r="AU16" s="33">
        <v>1449.0908488286727</v>
      </c>
      <c r="AV16" s="33">
        <v>1471.9365007131519</v>
      </c>
      <c r="AW16" s="33">
        <v>1494.792642589151</v>
      </c>
      <c r="AX16" s="33">
        <v>1517.6487844651501</v>
      </c>
      <c r="AY16" s="33">
        <v>1516.7268175278227</v>
      </c>
      <c r="AZ16" s="33">
        <v>1539.5727332228048</v>
      </c>
      <c r="BA16" s="33">
        <v>1562.4287474079192</v>
      </c>
      <c r="BB16" s="33">
        <v>1585.284761593035</v>
      </c>
      <c r="BC16" s="33">
        <v>1584.322094818092</v>
      </c>
      <c r="BD16" s="33">
        <v>1607.1682554789618</v>
      </c>
      <c r="BE16" s="33">
        <v>1630.0241510088517</v>
      </c>
      <c r="BF16" s="33">
        <v>1652.880046538743</v>
      </c>
      <c r="BG16" s="33">
        <v>1651.8760694126818</v>
      </c>
      <c r="BH16" s="33">
        <v>1674.7224581533205</v>
      </c>
      <c r="BI16" s="33">
        <v>1697.578243138376</v>
      </c>
      <c r="BJ16" s="33">
        <v>1720.43402812343</v>
      </c>
      <c r="BK16" s="33">
        <v>1719.3881209770698</v>
      </c>
      <c r="BL16" s="33">
        <v>1742.234722607648</v>
      </c>
      <c r="BM16" s="33">
        <v>1765.090404355164</v>
      </c>
      <c r="BN16" s="33">
        <v>1787.9460861026805</v>
      </c>
      <c r="BO16" s="33">
        <v>1786.8576199735694</v>
      </c>
      <c r="BP16" s="33">
        <v>1809.7044207808108</v>
      </c>
      <c r="BQ16" s="33">
        <v>1832.5600058976515</v>
      </c>
      <c r="BR16" s="33">
        <v>1855.41559101449</v>
      </c>
      <c r="BS16" s="33">
        <v>1854.2839275072902</v>
      </c>
      <c r="BT16" s="33">
        <v>3978.281623148425</v>
      </c>
      <c r="BU16" s="33">
        <v>3972.246312592517</v>
      </c>
      <c r="BV16" s="33">
        <v>3966.211002036609</v>
      </c>
      <c r="BW16" s="33">
        <v>3942.179990853403</v>
      </c>
      <c r="BX16" s="33">
        <v>3942.1808595244174</v>
      </c>
      <c r="BY16" s="33">
        <v>3942.1808595244174</v>
      </c>
      <c r="BZ16" s="33">
        <v>3942.1808595244174</v>
      </c>
      <c r="CA16" s="33">
        <v>3918.105331192297</v>
      </c>
      <c r="CB16" s="33">
        <v>3918.1083730520786</v>
      </c>
      <c r="CC16" s="33">
        <v>3918.1083730520786</v>
      </c>
      <c r="CD16" s="33">
        <v>3918.1083730520786</v>
      </c>
      <c r="CE16" s="33">
        <v>3893.987635609604</v>
      </c>
      <c r="CF16" s="33">
        <v>3893.9907173006677</v>
      </c>
      <c r="CG16" s="33">
        <v>3893.9907173006677</v>
      </c>
      <c r="CH16" s="33">
        <v>3893.9907173006677</v>
      </c>
      <c r="CI16" s="33">
        <v>3869.8240921587403</v>
      </c>
      <c r="CJ16" s="33">
        <v>4010.993092940079</v>
      </c>
      <c r="CK16" s="33">
        <v>4010.9930929400807</v>
      </c>
      <c r="CL16" s="33">
        <v>3010.9930929400807</v>
      </c>
      <c r="CM16" s="36"/>
    </row>
    <row r="17" spans="2:90" x14ac:dyDescent="0.25">
      <c r="B17" s="37" t="s">
        <v>274</v>
      </c>
      <c r="C17" s="38" t="s">
        <v>205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4500.157252484711</v>
      </c>
      <c r="L17" s="27">
        <v>5349.56203835403</v>
      </c>
      <c r="M17" s="27">
        <v>6227.857636723349</v>
      </c>
      <c r="N17" s="27">
        <v>7135.044047592668</v>
      </c>
      <c r="O17" s="27">
        <v>1000</v>
      </c>
      <c r="P17" s="27">
        <v>1000</v>
      </c>
      <c r="Q17" s="27">
        <v>1000</v>
      </c>
      <c r="R17" s="27">
        <v>1000</v>
      </c>
      <c r="S17" s="27">
        <v>1000</v>
      </c>
      <c r="T17" s="27">
        <v>1000</v>
      </c>
      <c r="U17" s="27">
        <v>1000</v>
      </c>
      <c r="V17" s="27">
        <v>1000</v>
      </c>
      <c r="W17" s="27">
        <v>1000</v>
      </c>
      <c r="X17" s="27">
        <v>1000</v>
      </c>
      <c r="Y17" s="27">
        <v>1000</v>
      </c>
      <c r="Z17" s="27">
        <v>1000</v>
      </c>
      <c r="AA17" s="27">
        <v>1000</v>
      </c>
      <c r="AB17" s="27">
        <v>1000</v>
      </c>
      <c r="AC17" s="27">
        <v>1000</v>
      </c>
      <c r="AD17" s="27">
        <v>1000</v>
      </c>
      <c r="AE17" s="27">
        <v>1000</v>
      </c>
      <c r="AF17" s="27">
        <v>1000</v>
      </c>
      <c r="AG17" s="27">
        <v>1000</v>
      </c>
      <c r="AH17" s="27">
        <v>1000</v>
      </c>
      <c r="AI17" s="27">
        <v>1000</v>
      </c>
      <c r="AJ17" s="27">
        <v>1000</v>
      </c>
      <c r="AK17" s="27">
        <v>1000</v>
      </c>
      <c r="AL17" s="27">
        <v>1000</v>
      </c>
      <c r="AM17" s="27">
        <v>1000</v>
      </c>
      <c r="AN17" s="27">
        <v>1000</v>
      </c>
      <c r="AO17" s="27">
        <v>1000</v>
      </c>
      <c r="AP17" s="27">
        <v>1000</v>
      </c>
      <c r="AQ17" s="27">
        <v>1000</v>
      </c>
      <c r="AR17" s="27">
        <v>1000</v>
      </c>
      <c r="AS17" s="27">
        <v>1000</v>
      </c>
      <c r="AT17" s="27">
        <v>1000</v>
      </c>
      <c r="AU17" s="27">
        <v>1000</v>
      </c>
      <c r="AV17" s="27">
        <v>1000</v>
      </c>
      <c r="AW17" s="27">
        <v>1000</v>
      </c>
      <c r="AX17" s="27">
        <v>1000</v>
      </c>
      <c r="AY17" s="27">
        <v>1000</v>
      </c>
      <c r="AZ17" s="27">
        <v>1000</v>
      </c>
      <c r="BA17" s="27">
        <v>1000</v>
      </c>
      <c r="BB17" s="27">
        <v>1000</v>
      </c>
      <c r="BC17" s="27">
        <v>1000</v>
      </c>
      <c r="BD17" s="27">
        <v>1000</v>
      </c>
      <c r="BE17" s="27">
        <v>1000</v>
      </c>
      <c r="BF17" s="27">
        <v>1000</v>
      </c>
      <c r="BG17" s="27">
        <v>1000</v>
      </c>
      <c r="BH17" s="27">
        <v>1000</v>
      </c>
      <c r="BI17" s="27">
        <v>1000</v>
      </c>
      <c r="BJ17" s="27">
        <v>1000</v>
      </c>
      <c r="BK17" s="27">
        <v>1000</v>
      </c>
      <c r="BL17" s="27">
        <v>1000</v>
      </c>
      <c r="BM17" s="27">
        <v>1000</v>
      </c>
      <c r="BN17" s="27">
        <v>1000</v>
      </c>
      <c r="BO17" s="27">
        <v>1000</v>
      </c>
      <c r="BP17" s="27">
        <v>1000</v>
      </c>
      <c r="BQ17" s="27">
        <v>1000</v>
      </c>
      <c r="BR17" s="27">
        <v>1000</v>
      </c>
      <c r="BS17" s="27">
        <v>1000</v>
      </c>
      <c r="BT17" s="27">
        <v>1000</v>
      </c>
      <c r="BU17" s="27">
        <v>1000</v>
      </c>
      <c r="BV17" s="27">
        <v>1000</v>
      </c>
      <c r="BW17" s="27">
        <v>1000</v>
      </c>
      <c r="BX17" s="27">
        <v>1000</v>
      </c>
      <c r="BY17" s="27">
        <v>1000</v>
      </c>
      <c r="BZ17" s="27">
        <v>1000</v>
      </c>
      <c r="CA17" s="27">
        <v>1000</v>
      </c>
      <c r="CB17" s="27">
        <v>1000</v>
      </c>
      <c r="CC17" s="27">
        <v>1000</v>
      </c>
      <c r="CD17" s="27">
        <v>1000</v>
      </c>
      <c r="CE17" s="27">
        <v>1000</v>
      </c>
      <c r="CF17" s="27">
        <v>1000</v>
      </c>
      <c r="CG17" s="27">
        <v>1000</v>
      </c>
      <c r="CH17" s="27">
        <v>1000</v>
      </c>
      <c r="CI17" s="27">
        <v>1000</v>
      </c>
      <c r="CJ17" s="27">
        <v>1000</v>
      </c>
      <c r="CK17" s="27">
        <v>1000</v>
      </c>
      <c r="CL17" s="27">
        <v>0</v>
      </c>
    </row>
    <row r="20" spans="2:91" x14ac:dyDescent="0.25">
      <c r="B20" s="9" t="s">
        <v>275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39" t="s">
        <v>276</v>
      </c>
      <c r="C22" s="38" t="s">
        <v>269</v>
      </c>
      <c r="D22" s="16">
        <v>1.2410852897516966</v>
      </c>
    </row>
    <row r="23" spans="2:4" x14ac:dyDescent="0.25">
      <c r="B23" s="39" t="s">
        <v>277</v>
      </c>
      <c r="C23" s="38" t="s">
        <v>269</v>
      </c>
      <c r="D23" s="16">
        <v>1.811916080879437</v>
      </c>
    </row>
    <row r="24" spans="2:4" x14ac:dyDescent="0.25">
      <c r="B24" s="39" t="s">
        <v>278</v>
      </c>
      <c r="C24" s="38" t="s">
        <v>205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 t="s">
        <v>0</v>
      </c>
    </row>
    <row r="7" spans="2:4" x14ac:dyDescent="0.25">
      <c r="B7" s="5" t="s">
        <v>24</v>
      </c>
      <c r="D7" s="12">
        <v>99.998</v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v>145474.28121653237</v>
      </c>
    </row>
    <row r="14" spans="2:4" x14ac:dyDescent="0.25">
      <c r="B14" s="5" t="s">
        <v>30</v>
      </c>
      <c r="D14" s="14">
        <v>4405.281216532376</v>
      </c>
    </row>
    <row r="15" spans="2:4" x14ac:dyDescent="0.25">
      <c r="B15" s="5" t="s">
        <v>31</v>
      </c>
      <c r="D15" s="14">
        <v>15000</v>
      </c>
    </row>
    <row r="16" spans="2:4" x14ac:dyDescent="0.25">
      <c r="B16" s="5" t="s">
        <v>32</v>
      </c>
      <c r="D16" s="14">
        <v>126069</v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0.11848488042953709</v>
      </c>
    </row>
    <row r="21" spans="2:4" x14ac:dyDescent="0.25">
      <c r="B21" s="5" t="s">
        <v>35</v>
      </c>
      <c r="D21" s="15">
        <v>0.10465734815560213</v>
      </c>
    </row>
    <row r="22" spans="2:4" x14ac:dyDescent="0.25">
      <c r="B22" s="5" t="s">
        <v>36</v>
      </c>
      <c r="D22" s="15">
        <v>0.32982826346230776</v>
      </c>
    </row>
    <row r="23" spans="2:4" x14ac:dyDescent="0.25">
      <c r="B23" s="5" t="s">
        <v>37</v>
      </c>
      <c r="D23" s="15">
        <v>0.2998625689942218</v>
      </c>
    </row>
    <row r="24" spans="2:4" x14ac:dyDescent="0.25">
      <c r="B24" s="5" t="s">
        <v>38</v>
      </c>
      <c r="D24" s="15">
        <v>0.10770215444903197</v>
      </c>
    </row>
    <row r="25" spans="2:4" x14ac:dyDescent="0.25">
      <c r="B25" s="5" t="s">
        <v>39</v>
      </c>
      <c r="D25" s="16">
        <v>1.2410852897516966</v>
      </c>
    </row>
    <row r="26" spans="2:4" x14ac:dyDescent="0.25">
      <c r="B26" s="5" t="s">
        <v>40</v>
      </c>
      <c r="D26" s="16">
        <v>1.811916080879437</v>
      </c>
    </row>
    <row r="27" spans="2:4" x14ac:dyDescent="0.25">
      <c r="B27" s="5" t="s">
        <v>41</v>
      </c>
      <c r="D27" s="14">
        <v>405780.7729222257</v>
      </c>
    </row>
    <row r="28" spans="2:4" x14ac:dyDescent="0.25">
      <c r="B28" s="5" t="s">
        <v>42</v>
      </c>
      <c r="D28" s="14">
        <v>28498.933682669627</v>
      </c>
    </row>
    <row r="29" spans="2:4" x14ac:dyDescent="0.25">
      <c r="B29" s="5" t="s">
        <v>43</v>
      </c>
      <c r="D29" s="14">
        <v>58070.53312500009</v>
      </c>
    </row>
    <row r="30" spans="2:4" x14ac:dyDescent="0.25">
      <c r="B30" s="5" t="s">
        <v>44</v>
      </c>
      <c r="D30" s="14">
        <v>36951.24444239979</v>
      </c>
    </row>
    <row r="31" spans="2:4" x14ac:dyDescent="0.25">
      <c r="B31" s="5" t="s">
        <v>45</v>
      </c>
      <c r="D31" s="14">
        <v>159191.06167215647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2026-08-26T07:26:11Z</dcterms:created>
  <dcterms:modified xsi:type="dcterms:W3CDTF">2026-08-26T07:26:11Z</dcterms:modified>
</cp:coreProperties>
</file>