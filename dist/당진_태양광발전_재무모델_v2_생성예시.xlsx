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<sst xmlns="http://schemas.openxmlformats.org/spreadsheetml/2006/main" count="798" uniqueCount="262">
  <si>
    <t>당진 태양광발전</t>
  </si>
  <si>
    <t>재무모델 v2 (분기·5트랜치) — 재생E AI Agent 자동생성 · 2026-08-26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</si>
  <si>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</si>
  <si>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</si>
  <si>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</si>
  <si>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</si>
  <si>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</si>
  <si>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</si>
  <si>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</si>
  <si>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</si>
  <si>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</si>
  <si>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</si>
  <si>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</si>
  <si>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</si>
  <si>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</si>
  <si>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</si>
  <si>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</si>
  <si>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</si>
  <si>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</si>
  <si>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</si>
  <si>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Funding 시트의 트랜치 조건·총사업비 항목·사업자 지분은 "입력값" 시트를 참조하는 수식입니다(입력값 시트를 고치면 같이 바뀝니다). 그 외 계산 결과(세금·DSCR·배당 등)는 값(baked) 기준이라 가정을 바꾸려면 생성기에서 다시 뽑아야 합니다.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</si>
  <si>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</si>
  <si>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</si>
  <si>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</si>
  <si>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</si>
  <si>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</si>
  <si>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</si>
  <si>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</si>
  <si>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</si>
  <si>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</si>
  <si>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</si>
  <si>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</si>
  <si>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</si>
  <si>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</si>
  <si>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</si>
  <si>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</si>
  <si>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</si>
  <si>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</si>
  <si>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</si>
  <si>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</si>
  <si>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</si>
  <si>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</si>
  <si>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</si>
  <si>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</si>
  <si>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</si>
  <si>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</si>
  <si>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</si>
  <si>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</si>
  <si>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</si>
  <si>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</si>
  <si>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</si>
  <si>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</si>
  <si>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</si>
  <si>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</si>
  <si>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</si>
  <si>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</si>
  <si>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</si>
  <si>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</si>
  <si>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</si>
  <si>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</si>
  <si>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</si>
  <si>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</si>
  <si>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</si>
  <si>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선순위A</t>
  </si>
  <si>
    <t>선순위B</t>
  </si>
  <si>
    <t>선순위C</t>
  </si>
  <si>
    <t>선순위D</t>
  </si>
  <si>
    <t>후순위</t>
  </si>
  <si>
    <t>운영비 항목</t>
  </si>
  <si>
    <t>항목</t>
  </si>
  <si>
    <t>연간금액[억원/yr]</t>
  </si>
  <si>
    <t>에스컬레이션[%/yr]</t>
  </si>
  <si>
    <t>부지임대료</t>
  </si>
  <si>
    <t>O&amp;M</t>
  </si>
  <si>
    <t>보험료</t>
  </si>
  <si>
    <t>환경모니터링비용</t>
  </si>
  <si>
    <t>소내전력비</t>
  </si>
  <si>
    <t>인건비</t>
  </si>
  <si>
    <t>법인운영비</t>
  </si>
  <si>
    <t>주민보상비</t>
  </si>
  <si>
    <t>도로점용료</t>
  </si>
  <si>
    <t>예비비</t>
  </si>
  <si>
    <t>전력거래수수료</t>
  </si>
  <si>
    <t>관리운영비 성과보수</t>
  </si>
  <si>
    <t>※ 세금·최저한세·배당가능이익 캡 등 IS(Q)/CF(Q)의 계산 결과는 반복계산·조건부 누적 로직이 얽혀 있어 여기 대상이 아니며 값(baked) 기준입니다. "예시 불러오기"로 채운 실측 오버라이드 분기도 공식이 아니라 실측 사실이라 수식화 대상이 아닙니다.</t>
  </si>
  <si>
    <t>자금조달 — 자본금 + 5개 트랜치</t>
  </si>
  <si>
    <t>금액[KRWm]</t>
  </si>
  <si>
    <t>투입순서</t>
  </si>
  <si>
    <t>건설금리</t>
  </si>
  <si>
    <t>운영금리</t>
  </si>
  <si>
    <t>상환개시</t>
  </si>
  <si>
    <t>자본금</t>
  </si>
  <si>
    <t/>
  </si>
  <si>
    <t>2026-09-30</t>
  </si>
  <si>
    <t>-</t>
  </si>
  <si>
    <t>건설이자(IDC)</t>
  </si>
  <si>
    <t>IDC 합계[KRWm]</t>
  </si>
  <si>
    <t>총투자비(TIC)[KRWm]</t>
  </si>
  <si>
    <t>총사업비(건설이자 제외)[KRWm]</t>
  </si>
  <si>
    <t>차입금 상환 스케줄 — 트랜치별 + 합계</t>
  </si>
  <si>
    <t>트랜치별 인출/상환 + 전체 합계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</si>
  <si>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</si>
  <si>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</si>
  <si>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</si>
  <si>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</si>
  <si>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</si>
  <si>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</si>
  <si>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</si>
  <si>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</si>
  <si>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</si>
  <si>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</si>
  <si>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</si>
  <si>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</si>
  <si>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</si>
  <si>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</si>
  <si>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</si>
  <si>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</si>
  <si>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</si>
  <si>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</si>
  <si>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</si>
  <si>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</si>
  <si>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</si>
  <si>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</si>
  <si>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</si>
  <si>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</si>
  <si>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</si>
  <si>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</si>
  <si>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</si>
  <si>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</si>
  <si>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</si>
  <si>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</si>
  <si>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</si>
  <si>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</si>
  <si>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</si>
  <si>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</si>
  <si>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</si>
  <si>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</si>
  <si>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</si>
  <si>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</si>
  <si>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</si>
  <si>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</si>
  <si>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</si>
  <si>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</si>
  <si>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</si>
  <si>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</si>
  <si>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</si>
  <si>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</si>
  <si>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</si>
  <si>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</si>
  <si>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</si>
  <si>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</si>
  <si>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</si>
  <si>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</si>
  <si>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</si>
  <si>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</si>
  <si>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</si>
  <si>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</si>
  <si>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</si>
  <si>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</si>
  <si>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</si>
  <si>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</si>
  <si>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</si>
  <si>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</si>
  <si>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</si>
  <si>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</si>
  <si>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</si>
  <si>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</si>
  <si>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</si>
  <si>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</si>
  <si>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</si>
  <si>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</si>
  <si>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</si>
  <si>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</si>
  <si>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</si>
  <si>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</si>
  <si>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</si>
  <si>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</si>
  <si>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</si>
  <si>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</si>
  <si>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</si>
  <si>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</si>
  <si>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</si>
  <si>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</si>
  <si>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</si>
  <si>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</si>
  <si>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</si>
  <si>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</si>
  <si>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</si>
  <si>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</si>
  <si>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기초잔액</t>
  </si>
  <si>
    <t>[KRWm]</t>
  </si>
  <si>
    <t>인출</t>
  </si>
  <si>
    <t>이자(운영)</t>
  </si>
  <si>
    <t>원금상환</t>
  </si>
  <si>
    <t>기말잔액</t>
  </si>
  <si>
    <t>미상환 잔액(검증용)</t>
  </si>
  <si>
    <t>완전상환 확인 (OK)</t>
  </si>
  <si>
    <t>전체 합계</t>
  </si>
  <si>
    <t>이자</t>
  </si>
  <si>
    <t>원리금(DS)</t>
  </si>
  <si>
    <t>DSRA 기말잔액</t>
  </si>
  <si>
    <t>영업수익 추정</t>
  </si>
  <si>
    <t>발전량 및 매출</t>
  </si>
  <si>
    <t>발전량</t>
  </si>
  <si>
    <t>[MWh]</t>
  </si>
  <si>
    <t>판매단가</t>
  </si>
  <si>
    <t>[원/kWh]</t>
  </si>
  <si>
    <t>영업수익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</si>
  <si>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</si>
  <si>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</si>
  <si>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</si>
  <si>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</si>
  <si>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</si>
  <si>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</si>
  <si>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</si>
  <si>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</si>
  <si>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</si>
  <si>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</si>
  <si>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</si>
  <si>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</si>
  <si>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</si>
  <si>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</si>
  <si>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</si>
  <si>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</si>
  <si>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</si>
  <si>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</si>
  <si>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</si>
  <si>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</si>
  <si>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</si>
  <si>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</si>
  <si>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</si>
  <si>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</si>
  <si>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</si>
  <si>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</si>
  <si>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</si>
  <si>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</si>
  <si>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</si>
  <si>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</si>
  <si>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</si>
  <si>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</si>
  <si>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</si>
  <si>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</si>
  <si>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</si>
  <si>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대리은행수수료</t>
  </si>
  <si>
    <t>법인세차감전순이익</t>
  </si>
  <si>
    <t>법인세비용</t>
  </si>
  <si>
    <t>당기순이익</t>
  </si>
  <si>
    <t>※ 영업비용 세부내역은 실측 오버라이드가 적용된 분기의 경우 항목별 실제값이 아니라, 공식(항목별 물가상승률) 기준 비중을 실제 합계에 비례 배분한 근사치입니다 — 합계 자체는 검증된 실제값과 정확히 일치합니다.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</si>
  <si>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</si>
  <si>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</si>
  <si>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</si>
  <si>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</si>
  <si>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</si>
  <si>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</si>
  <si>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</si>
  <si>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</si>
  <si>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</si>
  <si>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</si>
  <si>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검증</t>
  </si>
  <si>
    <t>최소 단순DSCR(연 합산)</t>
  </si>
  <si>
    <t>최소 누적DSCR</t>
  </si>
  <si>
    <t>최종 기말현금(음수면 오류)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</si>
</sst>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00"/>
    <numFmt numFmtId="165" formatCode="#,##0;(#,##0);&quot;-&quot;"/>
    <numFmt numFmtId="166" formatCode="0.0000&quot;x&quot;"/>
    <numFmt numFmtId="167" formatCode="#,##0.0"/>
  </numFmts>
  <fonts count="16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i/>
      <color rgb="FF9AA6A1"/>
      <sz val="8"/>
      <name val="맑은 고딕"/>
    </font>
    <font>
      <b/>
      <color rgb="FFFFFFFF"/>
      <sz val="8"/>
      <name val="맑은 고딕"/>
    </font>
    <font>
      <color rgb="FF9AA6A1"/>
      <sz val="9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0" borderId="0" xfId="0" applyNumberFormat="1" applyFont="1"/>
    <xf numFmtId="164" fontId="11" fillId="0" borderId="0" xfId="0" applyNumberFormat="1" applyFont="1"/>
    <xf numFmtId="165" fontId="11" fillId="0" borderId="0" xfId="0" applyNumberFormat="1" applyFont="1"/>
    <xf numFmtId="167" fontId="11" fillId="0" borderId="0" xfId="0" applyNumberFormat="1" applyFont="1"/>
    <xf numFmtId="2" fontId="11" fillId="0" borderId="0" xfId="0" applyNumberFormat="1" applyFont="1"/>
    <xf numFmtId="0" fontId="12" fillId="3" borderId="0" xfId="0" applyFont="1" applyFill="1" applyAlignment="1">
      <alignment horizontal="center"/>
    </xf>
    <xf numFmtId="10" fontId="11" fillId="0" borderId="0" xfId="0" applyNumberFormat="1" applyFont="1"/>
    <xf numFmtId="1" fontId="11" fillId="0" borderId="0" xfId="0" applyNumberFormat="1" applyFont="1"/>
    <xf numFmtId="0" fontId="13" fillId="0" borderId="0" xfId="0" applyFont="1"/>
    <xf numFmtId="49" fontId="14" fillId="3" borderId="0" xfId="0" applyNumberFormat="1" applyFont="1" applyFill="1" applyAlignment="1">
      <alignment horizontal="center" textRotation="90"/>
    </xf>
    <xf numFmtId="0" fontId="10" fillId="4" borderId="0" xfId="0" applyFont="1" applyFill="1"/>
    <xf numFmtId="0" fontId="0" fillId="4" borderId="0" xfId="0" applyFill="1"/>
    <xf numFmtId="0" fontId="11" fillId="0" borderId="0" xfId="0" applyFont="1"/>
    <xf numFmtId="0" fontId="15" fillId="0" borderId="0" xfId="0" applyFont="1" applyAlignment="1">
      <alignment horizontal="center"/>
    </xf>
    <xf numFmtId="0" fontId="10" fillId="0" borderId="0" xfId="0" applyFont="1"/>
    <xf numFmtId="0" fontId="15" fillId="4" borderId="0" xfId="0" applyFont="1" applyFill="1" applyAlignment="1">
      <alignment horizontal="center"/>
    </xf>
    <xf numFmtId="165" fontId="10" fillId="4" borderId="0" xfId="0" applyNumberFormat="1" applyFont="1" applyFill="1"/>
    <xf numFmtId="3" fontId="10" fillId="0" borderId="0" xfId="0" applyNumberFormat="1" applyFont="1"/>
    <xf numFmtId="3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7B76"/>
  </sheetPr>
  <dimension ref="A1:CM41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10" width="12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1410.68821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/>
    </row>
    <row r="11" spans="2:3" x14ac:dyDescent="0.25">
      <c r="B11" s="5" t="s">
        <v>52</v>
      </c>
      <c r="C11" s="21"/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5" spans="2:91" x14ac:dyDescent="0.25">
      <c r="B15" s="9" t="s">
        <v>55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8" x14ac:dyDescent="0.25">
      <c r="B17" s="22" t="s">
        <v>56</v>
      </c>
      <c r="C17" s="22" t="s">
        <v>57</v>
      </c>
      <c r="D17" s="22" t="s">
        <v>58</v>
      </c>
      <c r="E17" s="22" t="s">
        <v>59</v>
      </c>
      <c r="F17" s="22" t="s">
        <v>60</v>
      </c>
      <c r="G17" s="22" t="s">
        <v>61</v>
      </c>
      <c r="H17" s="22" t="s">
        <v>62</v>
      </c>
    </row>
    <row r="18" spans="2:8" x14ac:dyDescent="0.25">
      <c r="B18" s="17" t="s">
        <v>63</v>
      </c>
      <c r="C18" s="19">
        <v>500</v>
      </c>
      <c r="D18" s="23">
        <v>0.05600000000000001</v>
      </c>
      <c r="E18" s="23">
        <v>0.05600000000000001</v>
      </c>
      <c r="F18" s="21">
        <v>2</v>
      </c>
      <c r="G18" s="21">
        <v>16</v>
      </c>
      <c r="H18" s="24">
        <v>3</v>
      </c>
    </row>
    <row r="19" spans="2:8" x14ac:dyDescent="0.25">
      <c r="B19" s="17" t="s">
        <v>64</v>
      </c>
      <c r="C19" s="19">
        <v>500</v>
      </c>
      <c r="D19" s="23">
        <v>0.055</v>
      </c>
      <c r="E19" s="23">
        <v>0.055</v>
      </c>
      <c r="F19" s="21">
        <v>2</v>
      </c>
      <c r="G19" s="21">
        <v>16</v>
      </c>
      <c r="H19" s="24">
        <v>3</v>
      </c>
    </row>
    <row r="20" spans="2:8" x14ac:dyDescent="0.25">
      <c r="B20" s="17" t="s">
        <v>65</v>
      </c>
      <c r="C20" s="19">
        <v>349.9999950416849</v>
      </c>
      <c r="D20" s="23">
        <v>0.055</v>
      </c>
      <c r="E20" s="23">
        <v>0.055</v>
      </c>
      <c r="F20" s="21">
        <v>1.25</v>
      </c>
      <c r="G20" s="21">
        <v>16</v>
      </c>
      <c r="H20" s="24">
        <v>3</v>
      </c>
    </row>
    <row r="21" spans="2:8" x14ac:dyDescent="0.25">
      <c r="B21" s="17" t="s">
        <v>66</v>
      </c>
      <c r="C21" s="19">
        <v>0</v>
      </c>
      <c r="D21" s="23">
        <v>0.0225</v>
      </c>
      <c r="E21" s="23">
        <v>0.0225</v>
      </c>
      <c r="F21" s="21">
        <v>5</v>
      </c>
      <c r="G21" s="21">
        <v>10</v>
      </c>
      <c r="H21" s="24">
        <v>3</v>
      </c>
    </row>
    <row r="22" spans="2:8" x14ac:dyDescent="0.25">
      <c r="B22" s="17" t="s">
        <v>67</v>
      </c>
      <c r="C22" s="19">
        <v>0</v>
      </c>
      <c r="D22" s="23">
        <v>0.0565</v>
      </c>
      <c r="E22" s="23">
        <v>0.0565</v>
      </c>
      <c r="F22" s="21">
        <v>15</v>
      </c>
      <c r="G22" s="21">
        <v>2.75</v>
      </c>
      <c r="H22" s="24">
        <v>3</v>
      </c>
    </row>
    <row r="24" spans="2:91" x14ac:dyDescent="0.25">
      <c r="B24" s="9" t="s">
        <v>68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</row>
    <row r="26" spans="2:4" x14ac:dyDescent="0.25">
      <c r="B26" s="22" t="s">
        <v>69</v>
      </c>
      <c r="C26" s="22" t="s">
        <v>70</v>
      </c>
      <c r="D26" s="22" t="s">
        <v>71</v>
      </c>
    </row>
    <row r="27" spans="2:4" x14ac:dyDescent="0.25">
      <c r="B27" s="17" t="s">
        <v>72</v>
      </c>
      <c r="C27" s="19">
        <v>9.555</v>
      </c>
      <c r="D27" s="21">
        <v>0</v>
      </c>
    </row>
    <row r="28" spans="2:4" x14ac:dyDescent="0.25">
      <c r="B28" s="17" t="s">
        <v>73</v>
      </c>
      <c r="C28" s="19">
        <v>15</v>
      </c>
      <c r="D28" s="21">
        <v>1.5</v>
      </c>
    </row>
    <row r="29" spans="2:4" x14ac:dyDescent="0.25">
      <c r="B29" s="17" t="s">
        <v>74</v>
      </c>
      <c r="C29" s="19">
        <v>6.5</v>
      </c>
      <c r="D29" s="21">
        <v>0</v>
      </c>
    </row>
    <row r="30" spans="2:4" x14ac:dyDescent="0.25">
      <c r="B30" s="17" t="s">
        <v>75</v>
      </c>
      <c r="C30" s="19">
        <v>1.095</v>
      </c>
      <c r="D30" s="21">
        <v>0</v>
      </c>
    </row>
    <row r="31" spans="2:4" x14ac:dyDescent="0.25">
      <c r="B31" s="17" t="s">
        <v>76</v>
      </c>
      <c r="C31" s="19">
        <v>2</v>
      </c>
      <c r="D31" s="21">
        <v>2</v>
      </c>
    </row>
    <row r="32" spans="2:4" x14ac:dyDescent="0.25">
      <c r="B32" s="17" t="s">
        <v>77</v>
      </c>
      <c r="C32" s="19">
        <v>2</v>
      </c>
      <c r="D32" s="21">
        <v>2</v>
      </c>
    </row>
    <row r="33" spans="2:4" x14ac:dyDescent="0.25">
      <c r="B33" s="17" t="s">
        <v>78</v>
      </c>
      <c r="C33" s="19">
        <v>1.5</v>
      </c>
      <c r="D33" s="21">
        <v>2</v>
      </c>
    </row>
    <row r="34" spans="2:4" x14ac:dyDescent="0.25">
      <c r="B34" s="17" t="s">
        <v>79</v>
      </c>
      <c r="C34" s="19">
        <v>8</v>
      </c>
      <c r="D34" s="21">
        <v>0</v>
      </c>
    </row>
    <row r="35" spans="2:4" x14ac:dyDescent="0.25">
      <c r="B35" s="17" t="s">
        <v>80</v>
      </c>
      <c r="C35" s="19">
        <v>0.3</v>
      </c>
      <c r="D35" s="21">
        <v>0</v>
      </c>
    </row>
    <row r="36" spans="2:4" x14ac:dyDescent="0.25">
      <c r="B36" s="17" t="s">
        <v>81</v>
      </c>
      <c r="C36" s="19">
        <v>3</v>
      </c>
      <c r="D36" s="21">
        <v>0</v>
      </c>
    </row>
    <row r="37" spans="2:4" x14ac:dyDescent="0.25">
      <c r="B37" s="17" t="s">
        <v>82</v>
      </c>
      <c r="C37" s="19">
        <v>0.21416000000000002</v>
      </c>
      <c r="D37" s="21">
        <v>0</v>
      </c>
    </row>
    <row r="38" spans="2:4" x14ac:dyDescent="0.25">
      <c r="B38" s="17" t="s">
        <v>83</v>
      </c>
      <c r="C38" s="19">
        <v>0</v>
      </c>
      <c r="D38" s="21">
        <v>0</v>
      </c>
    </row>
    <row r="41" spans="2:2" x14ac:dyDescent="0.25">
      <c r="B41" s="25" t="s">
        <v>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18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85</v>
      </c>
    </row>
    <row r="4" spans="2:91" x14ac:dyDescent="0.25">
      <c r="B4" s="9" t="s">
        <v>55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2" t="s">
        <v>56</v>
      </c>
      <c r="C6" s="22" t="s">
        <v>86</v>
      </c>
      <c r="D6" s="22" t="s">
        <v>87</v>
      </c>
      <c r="E6" s="22" t="s">
        <v>88</v>
      </c>
      <c r="F6" s="22" t="s">
        <v>89</v>
      </c>
      <c r="G6" s="22" t="s">
        <v>60</v>
      </c>
      <c r="H6" s="22" t="s">
        <v>61</v>
      </c>
      <c r="I6" s="22" t="s">
        <v>62</v>
      </c>
      <c r="J6" s="22" t="s">
        <v>90</v>
      </c>
    </row>
    <row r="7" spans="2:3" x14ac:dyDescent="0.25">
      <c r="B7" s="19" t="s">
        <v>91</v>
      </c>
      <c r="C7" s="19">
        <f>'입력값'!C9*100</f>
      </c>
    </row>
    <row r="8" spans="2:10" x14ac:dyDescent="0.25">
      <c r="B8" s="19" t="s">
        <v>63</v>
      </c>
      <c r="C8" s="19">
        <f>'입력값'!C18*100</f>
      </c>
      <c r="D8" s="24" t="s">
        <v>92</v>
      </c>
      <c r="E8" s="23">
        <f>'입력값'!D18</f>
      </c>
      <c r="F8" s="23">
        <f>'입력값'!E18</f>
      </c>
      <c r="G8" s="21">
        <f>'입력값'!F18</f>
      </c>
      <c r="H8" s="21">
        <f>'입력값'!G18</f>
      </c>
      <c r="I8" s="24">
        <f>'입력값'!H18</f>
      </c>
      <c r="J8" s="17" t="s">
        <v>93</v>
      </c>
    </row>
    <row r="9" spans="2:10" x14ac:dyDescent="0.25">
      <c r="B9" s="19" t="s">
        <v>64</v>
      </c>
      <c r="C9" s="19">
        <f>'입력값'!C19*100</f>
      </c>
      <c r="D9" s="24" t="s">
        <v>92</v>
      </c>
      <c r="E9" s="23">
        <f>'입력값'!D19</f>
      </c>
      <c r="F9" s="23">
        <f>'입력값'!E19</f>
      </c>
      <c r="G9" s="21">
        <f>'입력값'!F19</f>
      </c>
      <c r="H9" s="21">
        <f>'입력값'!G19</f>
      </c>
      <c r="I9" s="24">
        <f>'입력값'!H19</f>
      </c>
      <c r="J9" s="17" t="s">
        <v>93</v>
      </c>
    </row>
    <row r="10" spans="2:10" x14ac:dyDescent="0.25">
      <c r="B10" s="19" t="s">
        <v>65</v>
      </c>
      <c r="C10" s="19">
        <f>'입력값'!C20*100</f>
      </c>
      <c r="D10" s="24" t="s">
        <v>92</v>
      </c>
      <c r="E10" s="23">
        <f>'입력값'!D20</f>
      </c>
      <c r="F10" s="23">
        <f>'입력값'!E20</f>
      </c>
      <c r="G10" s="21">
        <f>'입력값'!F20</f>
      </c>
      <c r="H10" s="21">
        <f>'입력값'!G20</f>
      </c>
      <c r="I10" s="24">
        <f>'입력값'!H20</f>
      </c>
      <c r="J10" s="17" t="s">
        <v>93</v>
      </c>
    </row>
    <row r="11" spans="2:10" x14ac:dyDescent="0.25">
      <c r="B11" s="19" t="s">
        <v>66</v>
      </c>
      <c r="C11" s="19">
        <f>'입력값'!C21*100</f>
      </c>
      <c r="D11" s="24" t="s">
        <v>92</v>
      </c>
      <c r="E11" s="23">
        <f>'입력값'!D21</f>
      </c>
      <c r="F11" s="23">
        <f>'입력값'!E21</f>
      </c>
      <c r="G11" s="21">
        <f>'입력값'!F21</f>
      </c>
      <c r="H11" s="21">
        <f>'입력값'!G21</f>
      </c>
      <c r="I11" s="24">
        <f>'입력값'!H21</f>
      </c>
      <c r="J11" s="17" t="s">
        <v>94</v>
      </c>
    </row>
    <row r="12" spans="2:10" x14ac:dyDescent="0.25">
      <c r="B12" s="19" t="s">
        <v>67</v>
      </c>
      <c r="C12" s="19">
        <f>'입력값'!C22*100</f>
      </c>
      <c r="D12" s="24" t="s">
        <v>92</v>
      </c>
      <c r="E12" s="23">
        <f>'입력값'!D22</f>
      </c>
      <c r="F12" s="23">
        <f>'입력값'!E22</f>
      </c>
      <c r="G12" s="21">
        <f>'입력값'!F22</f>
      </c>
      <c r="H12" s="21">
        <f>'입력값'!G22</f>
      </c>
      <c r="I12" s="24">
        <f>'입력값'!H22</f>
      </c>
      <c r="J12" s="17" t="s">
        <v>94</v>
      </c>
    </row>
    <row r="14" spans="2:91" x14ac:dyDescent="0.25">
      <c r="B14" s="9" t="s">
        <v>95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</row>
    <row r="16" spans="2:3" x14ac:dyDescent="0.25">
      <c r="B16" s="19" t="s">
        <v>96</v>
      </c>
      <c r="C16" s="19">
        <v>3931.178504168494</v>
      </c>
    </row>
    <row r="17" spans="2:3" x14ac:dyDescent="0.25">
      <c r="B17" s="19" t="s">
        <v>97</v>
      </c>
      <c r="C17" s="19">
        <v>144999.9995041685</v>
      </c>
    </row>
    <row r="18" spans="2:3" x14ac:dyDescent="0.25">
      <c r="B18" s="19" t="s">
        <v>98</v>
      </c>
      <c r="C18" s="19">
        <f>'입력값'!C8*100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99</v>
      </c>
    </row>
    <row r="4" spans="2:91" x14ac:dyDescent="0.25">
      <c r="B4" s="9" t="s">
        <v>100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2" t="s">
        <v>101</v>
      </c>
      <c r="C6" s="22" t="s">
        <v>102</v>
      </c>
      <c r="D6" s="22" t="s">
        <v>103</v>
      </c>
      <c r="E6" s="26" t="s">
        <v>104</v>
      </c>
      <c r="F6" s="26" t="s">
        <v>105</v>
      </c>
      <c r="G6" s="26" t="s">
        <v>106</v>
      </c>
      <c r="H6" s="26" t="s">
        <v>107</v>
      </c>
      <c r="I6" s="26" t="s">
        <v>108</v>
      </c>
      <c r="J6" s="26" t="s">
        <v>109</v>
      </c>
      <c r="K6" s="26" t="s">
        <v>110</v>
      </c>
      <c r="L6" s="26" t="s">
        <v>111</v>
      </c>
      <c r="M6" s="26" t="s">
        <v>112</v>
      </c>
      <c r="N6" s="26" t="s">
        <v>93</v>
      </c>
      <c r="O6" s="26" t="s">
        <v>113</v>
      </c>
      <c r="P6" s="26" t="s">
        <v>114</v>
      </c>
      <c r="Q6" s="26" t="s">
        <v>115</v>
      </c>
      <c r="R6" s="26" t="s">
        <v>116</v>
      </c>
      <c r="S6" s="26" t="s">
        <v>117</v>
      </c>
      <c r="T6" s="26" t="s">
        <v>118</v>
      </c>
      <c r="U6" s="26" t="s">
        <v>119</v>
      </c>
      <c r="V6" s="26" t="s">
        <v>120</v>
      </c>
      <c r="W6" s="26" t="s">
        <v>121</v>
      </c>
      <c r="X6" s="26" t="s">
        <v>122</v>
      </c>
      <c r="Y6" s="26" t="s">
        <v>123</v>
      </c>
      <c r="Z6" s="26" t="s">
        <v>124</v>
      </c>
      <c r="AA6" s="26" t="s">
        <v>125</v>
      </c>
      <c r="AB6" s="26" t="s">
        <v>126</v>
      </c>
      <c r="AC6" s="26" t="s">
        <v>127</v>
      </c>
      <c r="AD6" s="26" t="s">
        <v>128</v>
      </c>
      <c r="AE6" s="26" t="s">
        <v>129</v>
      </c>
      <c r="AF6" s="26" t="s">
        <v>130</v>
      </c>
      <c r="AG6" s="26" t="s">
        <v>131</v>
      </c>
      <c r="AH6" s="26" t="s">
        <v>132</v>
      </c>
      <c r="AI6" s="26" t="s">
        <v>133</v>
      </c>
      <c r="AJ6" s="26" t="s">
        <v>134</v>
      </c>
      <c r="AK6" s="26" t="s">
        <v>135</v>
      </c>
      <c r="AL6" s="26" t="s">
        <v>136</v>
      </c>
      <c r="AM6" s="26" t="s">
        <v>137</v>
      </c>
      <c r="AN6" s="26" t="s">
        <v>138</v>
      </c>
      <c r="AO6" s="26" t="s">
        <v>139</v>
      </c>
      <c r="AP6" s="26" t="s">
        <v>140</v>
      </c>
      <c r="AQ6" s="26" t="s">
        <v>141</v>
      </c>
      <c r="AR6" s="26" t="s">
        <v>142</v>
      </c>
      <c r="AS6" s="26" t="s">
        <v>143</v>
      </c>
      <c r="AT6" s="26" t="s">
        <v>144</v>
      </c>
      <c r="AU6" s="26" t="s">
        <v>145</v>
      </c>
      <c r="AV6" s="26" t="s">
        <v>146</v>
      </c>
      <c r="AW6" s="26" t="s">
        <v>147</v>
      </c>
      <c r="AX6" s="26" t="s">
        <v>148</v>
      </c>
      <c r="AY6" s="26" t="s">
        <v>149</v>
      </c>
      <c r="AZ6" s="26" t="s">
        <v>150</v>
      </c>
      <c r="BA6" s="26" t="s">
        <v>151</v>
      </c>
      <c r="BB6" s="26" t="s">
        <v>152</v>
      </c>
      <c r="BC6" s="26" t="s">
        <v>153</v>
      </c>
      <c r="BD6" s="26" t="s">
        <v>154</v>
      </c>
      <c r="BE6" s="26" t="s">
        <v>155</v>
      </c>
      <c r="BF6" s="26" t="s">
        <v>156</v>
      </c>
      <c r="BG6" s="26" t="s">
        <v>157</v>
      </c>
      <c r="BH6" s="26" t="s">
        <v>158</v>
      </c>
      <c r="BI6" s="26" t="s">
        <v>159</v>
      </c>
      <c r="BJ6" s="26" t="s">
        <v>160</v>
      </c>
      <c r="BK6" s="26" t="s">
        <v>161</v>
      </c>
      <c r="BL6" s="26" t="s">
        <v>162</v>
      </c>
      <c r="BM6" s="26" t="s">
        <v>163</v>
      </c>
      <c r="BN6" s="26" t="s">
        <v>164</v>
      </c>
      <c r="BO6" s="26" t="s">
        <v>165</v>
      </c>
      <c r="BP6" s="26" t="s">
        <v>166</v>
      </c>
      <c r="BQ6" s="26" t="s">
        <v>167</v>
      </c>
      <c r="BR6" s="26" t="s">
        <v>168</v>
      </c>
      <c r="BS6" s="26" t="s">
        <v>169</v>
      </c>
      <c r="BT6" s="26" t="s">
        <v>170</v>
      </c>
      <c r="BU6" s="26" t="s">
        <v>171</v>
      </c>
      <c r="BV6" s="26" t="s">
        <v>172</v>
      </c>
      <c r="BW6" s="26" t="s">
        <v>173</v>
      </c>
      <c r="BX6" s="26" t="s">
        <v>174</v>
      </c>
      <c r="BY6" s="26" t="s">
        <v>175</v>
      </c>
      <c r="BZ6" s="26" t="s">
        <v>176</v>
      </c>
      <c r="CA6" s="26" t="s">
        <v>177</v>
      </c>
      <c r="CB6" s="26" t="s">
        <v>178</v>
      </c>
      <c r="CC6" s="26" t="s">
        <v>179</v>
      </c>
      <c r="CD6" s="26" t="s">
        <v>180</v>
      </c>
      <c r="CE6" s="26" t="s">
        <v>181</v>
      </c>
      <c r="CF6" s="26" t="s">
        <v>182</v>
      </c>
      <c r="CG6" s="26" t="s">
        <v>183</v>
      </c>
      <c r="CH6" s="26" t="s">
        <v>184</v>
      </c>
      <c r="CI6" s="26" t="s">
        <v>185</v>
      </c>
      <c r="CJ6" s="26" t="s">
        <v>186</v>
      </c>
      <c r="CK6" s="26" t="s">
        <v>187</v>
      </c>
      <c r="CL6" s="26" t="s">
        <v>188</v>
      </c>
    </row>
    <row r="8" spans="2:91" x14ac:dyDescent="0.25">
      <c r="B8" s="27" t="s">
        <v>63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  <c r="BW8" s="28"/>
      <c r="BX8" s="28"/>
      <c r="BY8" s="28"/>
      <c r="BZ8" s="28"/>
      <c r="CA8" s="28"/>
      <c r="CB8" s="28"/>
      <c r="CC8" s="28"/>
      <c r="CD8" s="28"/>
      <c r="CE8" s="28"/>
      <c r="CF8" s="28"/>
      <c r="CG8" s="28"/>
      <c r="CH8" s="28"/>
      <c r="CI8" s="28"/>
      <c r="CJ8" s="28"/>
      <c r="CK8" s="28"/>
      <c r="CL8" s="28"/>
      <c r="CM8" s="28"/>
    </row>
    <row r="9" spans="2:90" x14ac:dyDescent="0.25">
      <c r="B9" s="29" t="s">
        <v>189</v>
      </c>
      <c r="C9" s="30" t="s">
        <v>190</v>
      </c>
      <c r="E9" s="19">
        <v>0</v>
      </c>
      <c r="F9" s="19">
        <v>9935.161359526319</v>
      </c>
      <c r="G9" s="19">
        <v>15649.5321582252</v>
      </c>
      <c r="H9" s="19">
        <v>26980.33528352117</v>
      </c>
      <c r="I9" s="19">
        <v>38474.198302636396</v>
      </c>
      <c r="J9" s="19">
        <v>50000</v>
      </c>
      <c r="K9" s="19">
        <v>50000</v>
      </c>
      <c r="L9" s="19">
        <v>50000</v>
      </c>
      <c r="M9" s="19">
        <v>50000</v>
      </c>
      <c r="N9" s="19">
        <v>50000</v>
      </c>
      <c r="O9" s="19">
        <v>48468.75</v>
      </c>
      <c r="P9" s="19">
        <v>47418.75</v>
      </c>
      <c r="Q9" s="19">
        <v>46768.75</v>
      </c>
      <c r="R9" s="19">
        <v>46118.75</v>
      </c>
      <c r="S9" s="19">
        <v>45418.75</v>
      </c>
      <c r="T9" s="19">
        <v>44718.75</v>
      </c>
      <c r="U9" s="19">
        <v>44018.75</v>
      </c>
      <c r="V9" s="19">
        <v>43318.75</v>
      </c>
      <c r="W9" s="19">
        <v>42618.75</v>
      </c>
      <c r="X9" s="19">
        <v>41918.75</v>
      </c>
      <c r="Y9" s="19">
        <v>41218.75</v>
      </c>
      <c r="Z9" s="19">
        <v>40468.75</v>
      </c>
      <c r="AA9" s="19">
        <v>39718.75</v>
      </c>
      <c r="AB9" s="19">
        <v>38968.75</v>
      </c>
      <c r="AC9" s="19">
        <v>38218.75</v>
      </c>
      <c r="AD9" s="19">
        <v>37468.75</v>
      </c>
      <c r="AE9" s="19">
        <v>36718.75</v>
      </c>
      <c r="AF9" s="19">
        <v>35937.5</v>
      </c>
      <c r="AG9" s="19">
        <v>35156.25</v>
      </c>
      <c r="AH9" s="19">
        <v>34375</v>
      </c>
      <c r="AI9" s="19">
        <v>33593.75</v>
      </c>
      <c r="AJ9" s="19">
        <v>32812.5</v>
      </c>
      <c r="AK9" s="19">
        <v>32031.25</v>
      </c>
      <c r="AL9" s="19">
        <v>31250</v>
      </c>
      <c r="AM9" s="19">
        <v>30468.75</v>
      </c>
      <c r="AN9" s="19">
        <v>29687.5</v>
      </c>
      <c r="AO9" s="19">
        <v>28906.25</v>
      </c>
      <c r="AP9" s="19">
        <v>28125</v>
      </c>
      <c r="AQ9" s="19">
        <v>27343.75</v>
      </c>
      <c r="AR9" s="19">
        <v>26562.5</v>
      </c>
      <c r="AS9" s="19">
        <v>25781.25</v>
      </c>
      <c r="AT9" s="19">
        <v>25000</v>
      </c>
      <c r="AU9" s="19">
        <v>24218.75</v>
      </c>
      <c r="AV9" s="19">
        <v>23437.5</v>
      </c>
      <c r="AW9" s="19">
        <v>22656.25</v>
      </c>
      <c r="AX9" s="19">
        <v>21875</v>
      </c>
      <c r="AY9" s="19">
        <v>21093.75</v>
      </c>
      <c r="AZ9" s="19">
        <v>20312.5</v>
      </c>
      <c r="BA9" s="19">
        <v>19531.25</v>
      </c>
      <c r="BB9" s="19">
        <v>18750</v>
      </c>
      <c r="BC9" s="19">
        <v>17968.75</v>
      </c>
      <c r="BD9" s="19">
        <v>17187.5</v>
      </c>
      <c r="BE9" s="19">
        <v>16406.25</v>
      </c>
      <c r="BF9" s="19">
        <v>15625</v>
      </c>
      <c r="BG9" s="19">
        <v>14843.75</v>
      </c>
      <c r="BH9" s="19">
        <v>14062.5</v>
      </c>
      <c r="BI9" s="19">
        <v>13281.25</v>
      </c>
      <c r="BJ9" s="19">
        <v>12500</v>
      </c>
      <c r="BK9" s="19">
        <v>11718.75</v>
      </c>
      <c r="BL9" s="19">
        <v>10937.5</v>
      </c>
      <c r="BM9" s="19">
        <v>10156.25</v>
      </c>
      <c r="BN9" s="19">
        <v>9375</v>
      </c>
      <c r="BO9" s="19">
        <v>8593.75</v>
      </c>
      <c r="BP9" s="19">
        <v>7812.5</v>
      </c>
      <c r="BQ9" s="19">
        <v>7031.25</v>
      </c>
      <c r="BR9" s="19">
        <v>6250</v>
      </c>
      <c r="BS9" s="19">
        <v>5468.75</v>
      </c>
      <c r="BT9" s="19">
        <v>4687.5</v>
      </c>
      <c r="BU9" s="19">
        <v>3906.25</v>
      </c>
      <c r="BV9" s="19">
        <v>3125</v>
      </c>
      <c r="BW9" s="19">
        <v>2343.75</v>
      </c>
      <c r="BX9" s="19">
        <v>1562.5</v>
      </c>
      <c r="BY9" s="19">
        <v>781.25</v>
      </c>
      <c r="BZ9" s="19">
        <v>0</v>
      </c>
      <c r="CA9" s="19">
        <v>0</v>
      </c>
      <c r="CB9" s="19">
        <v>0</v>
      </c>
      <c r="CC9" s="19">
        <v>0</v>
      </c>
      <c r="CD9" s="19">
        <v>0</v>
      </c>
      <c r="CE9" s="19">
        <v>0</v>
      </c>
      <c r="CF9" s="19">
        <v>0</v>
      </c>
      <c r="CG9" s="19">
        <v>0</v>
      </c>
      <c r="CH9" s="19">
        <v>0</v>
      </c>
      <c r="CI9" s="19">
        <v>0</v>
      </c>
      <c r="CJ9" s="19">
        <v>0</v>
      </c>
      <c r="CK9" s="19">
        <v>0</v>
      </c>
      <c r="CL9" s="19">
        <v>0</v>
      </c>
    </row>
    <row r="10" spans="2:90" x14ac:dyDescent="0.25">
      <c r="B10" s="29" t="s">
        <v>191</v>
      </c>
      <c r="C10" s="30" t="s">
        <v>190</v>
      </c>
      <c r="D10" s="14">
        <v>50000</v>
      </c>
      <c r="E10" s="19">
        <v>9935.161359526319</v>
      </c>
      <c r="F10" s="19">
        <v>5714.370798698882</v>
      </c>
      <c r="G10" s="19">
        <v>11330.803125295972</v>
      </c>
      <c r="H10" s="19">
        <v>11493.863019115224</v>
      </c>
      <c r="I10" s="19">
        <v>11525.801697363604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  <c r="BK10" s="19">
        <v>0</v>
      </c>
      <c r="BL10" s="19">
        <v>0</v>
      </c>
      <c r="BM10" s="19">
        <v>0</v>
      </c>
      <c r="BN10" s="19">
        <v>0</v>
      </c>
      <c r="BO10" s="19">
        <v>0</v>
      </c>
      <c r="BP10" s="19">
        <v>0</v>
      </c>
      <c r="BQ10" s="19">
        <v>0</v>
      </c>
      <c r="BR10" s="19">
        <v>0</v>
      </c>
      <c r="BS10" s="19">
        <v>0</v>
      </c>
      <c r="BT10" s="19">
        <v>0</v>
      </c>
      <c r="BU10" s="19">
        <v>0</v>
      </c>
      <c r="BV10" s="19">
        <v>0</v>
      </c>
      <c r="BW10" s="19">
        <v>0</v>
      </c>
      <c r="BX10" s="19">
        <v>0</v>
      </c>
      <c r="BY10" s="19">
        <v>0</v>
      </c>
      <c r="BZ10" s="19">
        <v>0</v>
      </c>
      <c r="CA10" s="19">
        <v>0</v>
      </c>
      <c r="CB10" s="19">
        <v>0</v>
      </c>
      <c r="CC10" s="19">
        <v>0</v>
      </c>
      <c r="CD10" s="19">
        <v>0</v>
      </c>
      <c r="CE10" s="19">
        <v>0</v>
      </c>
      <c r="CF10" s="19">
        <v>0</v>
      </c>
      <c r="CG10" s="19">
        <v>0</v>
      </c>
      <c r="CH10" s="19">
        <v>0</v>
      </c>
      <c r="CI10" s="19">
        <v>0</v>
      </c>
      <c r="CJ10" s="19">
        <v>0</v>
      </c>
      <c r="CK10" s="19">
        <v>0</v>
      </c>
      <c r="CL10" s="19">
        <v>0</v>
      </c>
    </row>
    <row r="11" spans="2:90" x14ac:dyDescent="0.25">
      <c r="B11" s="29" t="s">
        <v>95</v>
      </c>
      <c r="C11" s="30" t="s">
        <v>190</v>
      </c>
      <c r="D11" s="14">
        <v>1974.5491794547274</v>
      </c>
      <c r="E11" s="19">
        <v>0</v>
      </c>
      <c r="F11" s="19">
        <v>139.0922590333685</v>
      </c>
      <c r="G11" s="19">
        <v>219.09345021515284</v>
      </c>
      <c r="H11" s="19">
        <v>377.7246939692964</v>
      </c>
      <c r="I11" s="19">
        <v>538.6387762369096</v>
      </c>
      <c r="J11" s="19">
        <v>700.0000000000001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  <c r="BK11" s="19">
        <v>0</v>
      </c>
      <c r="BL11" s="19">
        <v>0</v>
      </c>
      <c r="BM11" s="19">
        <v>0</v>
      </c>
      <c r="BN11" s="19">
        <v>0</v>
      </c>
      <c r="BO11" s="19">
        <v>0</v>
      </c>
      <c r="BP11" s="19">
        <v>0</v>
      </c>
      <c r="BQ11" s="19">
        <v>0</v>
      </c>
      <c r="BR11" s="19">
        <v>0</v>
      </c>
      <c r="BS11" s="19">
        <v>0</v>
      </c>
      <c r="BT11" s="19">
        <v>0</v>
      </c>
      <c r="BU11" s="19">
        <v>0</v>
      </c>
      <c r="BV11" s="19">
        <v>0</v>
      </c>
      <c r="BW11" s="19">
        <v>0</v>
      </c>
      <c r="BX11" s="19">
        <v>0</v>
      </c>
      <c r="BY11" s="19">
        <v>0</v>
      </c>
      <c r="BZ11" s="19">
        <v>0</v>
      </c>
      <c r="CA11" s="19">
        <v>0</v>
      </c>
      <c r="CB11" s="19">
        <v>0</v>
      </c>
      <c r="CC11" s="19">
        <v>0</v>
      </c>
      <c r="CD11" s="19">
        <v>0</v>
      </c>
      <c r="CE11" s="19">
        <v>0</v>
      </c>
      <c r="CF11" s="19">
        <v>0</v>
      </c>
      <c r="CG11" s="19">
        <v>0</v>
      </c>
      <c r="CH11" s="19">
        <v>0</v>
      </c>
      <c r="CI11" s="19">
        <v>0</v>
      </c>
      <c r="CJ11" s="19">
        <v>0</v>
      </c>
      <c r="CK11" s="19">
        <v>0</v>
      </c>
      <c r="CL11" s="19">
        <v>0</v>
      </c>
    </row>
    <row r="12" spans="2:90" x14ac:dyDescent="0.25">
      <c r="B12" s="29" t="s">
        <v>192</v>
      </c>
      <c r="C12" s="30" t="s">
        <v>190</v>
      </c>
      <c r="D12" s="14">
        <v>24753.4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700.0000000000001</v>
      </c>
      <c r="L12" s="19">
        <v>700.0000000000001</v>
      </c>
      <c r="M12" s="19">
        <v>700.0000000000001</v>
      </c>
      <c r="N12" s="19">
        <v>700.0000000000001</v>
      </c>
      <c r="O12" s="19">
        <v>678.5625000000001</v>
      </c>
      <c r="P12" s="19">
        <v>663.8625000000001</v>
      </c>
      <c r="Q12" s="19">
        <v>654.7625</v>
      </c>
      <c r="R12" s="19">
        <v>645.6625000000001</v>
      </c>
      <c r="S12" s="19">
        <v>635.8625000000001</v>
      </c>
      <c r="T12" s="19">
        <v>626.0625000000001</v>
      </c>
      <c r="U12" s="19">
        <v>616.2625</v>
      </c>
      <c r="V12" s="19">
        <v>606.4625000000001</v>
      </c>
      <c r="W12" s="19">
        <v>596.6625000000001</v>
      </c>
      <c r="X12" s="19">
        <v>586.8625000000001</v>
      </c>
      <c r="Y12" s="19">
        <v>577.0625000000001</v>
      </c>
      <c r="Z12" s="19">
        <v>566.5625000000001</v>
      </c>
      <c r="AA12" s="19">
        <v>556.0625000000001</v>
      </c>
      <c r="AB12" s="19">
        <v>545.5625000000001</v>
      </c>
      <c r="AC12" s="19">
        <v>535.0625000000001</v>
      </c>
      <c r="AD12" s="19">
        <v>524.5625000000001</v>
      </c>
      <c r="AE12" s="19">
        <v>514.0625000000001</v>
      </c>
      <c r="AF12" s="19">
        <v>503.12500000000006</v>
      </c>
      <c r="AG12" s="19">
        <v>492.18750000000006</v>
      </c>
      <c r="AH12" s="19">
        <v>481.25000000000006</v>
      </c>
      <c r="AI12" s="19">
        <v>470.31250000000006</v>
      </c>
      <c r="AJ12" s="19">
        <v>459.37500000000006</v>
      </c>
      <c r="AK12" s="19">
        <v>448.43750000000006</v>
      </c>
      <c r="AL12" s="19">
        <v>437.50000000000006</v>
      </c>
      <c r="AM12" s="19">
        <v>426.56250000000006</v>
      </c>
      <c r="AN12" s="19">
        <v>415.62500000000006</v>
      </c>
      <c r="AO12" s="19">
        <v>404.68750000000006</v>
      </c>
      <c r="AP12" s="19">
        <v>393.75000000000006</v>
      </c>
      <c r="AQ12" s="19">
        <v>382.81250000000006</v>
      </c>
      <c r="AR12" s="19">
        <v>371.87500000000006</v>
      </c>
      <c r="AS12" s="19">
        <v>360.93750000000006</v>
      </c>
      <c r="AT12" s="19">
        <v>350.00000000000006</v>
      </c>
      <c r="AU12" s="19">
        <v>339.06250000000006</v>
      </c>
      <c r="AV12" s="19">
        <v>328.12500000000006</v>
      </c>
      <c r="AW12" s="19">
        <v>317.18750000000006</v>
      </c>
      <c r="AX12" s="19">
        <v>306.25000000000006</v>
      </c>
      <c r="AY12" s="19">
        <v>295.31250000000006</v>
      </c>
      <c r="AZ12" s="19">
        <v>284.37500000000006</v>
      </c>
      <c r="BA12" s="19">
        <v>273.43750000000006</v>
      </c>
      <c r="BB12" s="19">
        <v>262.50000000000006</v>
      </c>
      <c r="BC12" s="19">
        <v>251.56250000000003</v>
      </c>
      <c r="BD12" s="19">
        <v>240.62500000000003</v>
      </c>
      <c r="BE12" s="19">
        <v>229.68750000000003</v>
      </c>
      <c r="BF12" s="19">
        <v>218.75000000000003</v>
      </c>
      <c r="BG12" s="19">
        <v>207.81250000000003</v>
      </c>
      <c r="BH12" s="19">
        <v>196.87500000000003</v>
      </c>
      <c r="BI12" s="19">
        <v>185.93750000000003</v>
      </c>
      <c r="BJ12" s="19">
        <v>175.00000000000003</v>
      </c>
      <c r="BK12" s="19">
        <v>164.06250000000003</v>
      </c>
      <c r="BL12" s="19">
        <v>153.12500000000003</v>
      </c>
      <c r="BM12" s="19">
        <v>142.18750000000003</v>
      </c>
      <c r="BN12" s="19">
        <v>131.25000000000003</v>
      </c>
      <c r="BO12" s="19">
        <v>120.31250000000001</v>
      </c>
      <c r="BP12" s="19">
        <v>109.37500000000001</v>
      </c>
      <c r="BQ12" s="19">
        <v>98.43750000000001</v>
      </c>
      <c r="BR12" s="19">
        <v>87.50000000000001</v>
      </c>
      <c r="BS12" s="19">
        <v>76.56250000000001</v>
      </c>
      <c r="BT12" s="19">
        <v>65.62500000000001</v>
      </c>
      <c r="BU12" s="19">
        <v>54.68750000000001</v>
      </c>
      <c r="BV12" s="19">
        <v>43.75000000000001</v>
      </c>
      <c r="BW12" s="19">
        <v>32.81250000000001</v>
      </c>
      <c r="BX12" s="19">
        <v>21.875000000000004</v>
      </c>
      <c r="BY12" s="19">
        <v>10.937500000000002</v>
      </c>
      <c r="BZ12" s="19">
        <v>0</v>
      </c>
      <c r="CA12" s="19">
        <v>0</v>
      </c>
      <c r="CB12" s="19">
        <v>0</v>
      </c>
      <c r="CC12" s="19">
        <v>0</v>
      </c>
      <c r="CD12" s="19">
        <v>0</v>
      </c>
      <c r="CE12" s="19">
        <v>0</v>
      </c>
      <c r="CF12" s="19">
        <v>0</v>
      </c>
      <c r="CG12" s="19">
        <v>0</v>
      </c>
      <c r="CH12" s="19">
        <v>0</v>
      </c>
      <c r="CI12" s="19">
        <v>0</v>
      </c>
      <c r="CJ12" s="19">
        <v>0</v>
      </c>
      <c r="CK12" s="19">
        <v>0</v>
      </c>
      <c r="CL12" s="19">
        <v>0</v>
      </c>
    </row>
    <row r="13" spans="2:90" x14ac:dyDescent="0.25">
      <c r="B13" s="29" t="s">
        <v>193</v>
      </c>
      <c r="C13" s="30" t="s">
        <v>190</v>
      </c>
      <c r="D13" s="14">
        <v>50000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0</v>
      </c>
      <c r="L13" s="19">
        <v>0</v>
      </c>
      <c r="M13" s="19">
        <v>0</v>
      </c>
      <c r="N13" s="19">
        <v>1531.25</v>
      </c>
      <c r="O13" s="19">
        <v>1050</v>
      </c>
      <c r="P13" s="19">
        <v>650</v>
      </c>
      <c r="Q13" s="19">
        <v>650</v>
      </c>
      <c r="R13" s="19">
        <v>700</v>
      </c>
      <c r="S13" s="19">
        <v>700</v>
      </c>
      <c r="T13" s="19">
        <v>700</v>
      </c>
      <c r="U13" s="19">
        <v>700</v>
      </c>
      <c r="V13" s="19">
        <v>700</v>
      </c>
      <c r="W13" s="19">
        <v>700</v>
      </c>
      <c r="X13" s="19">
        <v>700</v>
      </c>
      <c r="Y13" s="19">
        <v>750</v>
      </c>
      <c r="Z13" s="19">
        <v>750</v>
      </c>
      <c r="AA13" s="19">
        <v>750</v>
      </c>
      <c r="AB13" s="19">
        <v>750</v>
      </c>
      <c r="AC13" s="19">
        <v>750</v>
      </c>
      <c r="AD13" s="19">
        <v>750</v>
      </c>
      <c r="AE13" s="19">
        <v>781.25</v>
      </c>
      <c r="AF13" s="19">
        <v>781.25</v>
      </c>
      <c r="AG13" s="19">
        <v>781.25</v>
      </c>
      <c r="AH13" s="19">
        <v>781.25</v>
      </c>
      <c r="AI13" s="19">
        <v>781.25</v>
      </c>
      <c r="AJ13" s="19">
        <v>781.25</v>
      </c>
      <c r="AK13" s="19">
        <v>781.25</v>
      </c>
      <c r="AL13" s="19">
        <v>781.25</v>
      </c>
      <c r="AM13" s="19">
        <v>781.25</v>
      </c>
      <c r="AN13" s="19">
        <v>781.25</v>
      </c>
      <c r="AO13" s="19">
        <v>781.25</v>
      </c>
      <c r="AP13" s="19">
        <v>781.25</v>
      </c>
      <c r="AQ13" s="19">
        <v>781.25</v>
      </c>
      <c r="AR13" s="19">
        <v>781.25</v>
      </c>
      <c r="AS13" s="19">
        <v>781.25</v>
      </c>
      <c r="AT13" s="19">
        <v>781.25</v>
      </c>
      <c r="AU13" s="19">
        <v>781.25</v>
      </c>
      <c r="AV13" s="19">
        <v>781.25</v>
      </c>
      <c r="AW13" s="19">
        <v>781.25</v>
      </c>
      <c r="AX13" s="19">
        <v>781.25</v>
      </c>
      <c r="AY13" s="19">
        <v>781.25</v>
      </c>
      <c r="AZ13" s="19">
        <v>781.25</v>
      </c>
      <c r="BA13" s="19">
        <v>781.25</v>
      </c>
      <c r="BB13" s="19">
        <v>781.25</v>
      </c>
      <c r="BC13" s="19">
        <v>781.25</v>
      </c>
      <c r="BD13" s="19">
        <v>781.25</v>
      </c>
      <c r="BE13" s="19">
        <v>781.25</v>
      </c>
      <c r="BF13" s="19">
        <v>781.25</v>
      </c>
      <c r="BG13" s="19">
        <v>781.25</v>
      </c>
      <c r="BH13" s="19">
        <v>781.25</v>
      </c>
      <c r="BI13" s="19">
        <v>781.25</v>
      </c>
      <c r="BJ13" s="19">
        <v>781.25</v>
      </c>
      <c r="BK13" s="19">
        <v>781.25</v>
      </c>
      <c r="BL13" s="19">
        <v>781.25</v>
      </c>
      <c r="BM13" s="19">
        <v>781.25</v>
      </c>
      <c r="BN13" s="19">
        <v>781.25</v>
      </c>
      <c r="BO13" s="19">
        <v>781.25</v>
      </c>
      <c r="BP13" s="19">
        <v>781.25</v>
      </c>
      <c r="BQ13" s="19">
        <v>781.25</v>
      </c>
      <c r="BR13" s="19">
        <v>781.25</v>
      </c>
      <c r="BS13" s="19">
        <v>781.25</v>
      </c>
      <c r="BT13" s="19">
        <v>781.25</v>
      </c>
      <c r="BU13" s="19">
        <v>781.25</v>
      </c>
      <c r="BV13" s="19">
        <v>781.25</v>
      </c>
      <c r="BW13" s="19">
        <v>781.25</v>
      </c>
      <c r="BX13" s="19">
        <v>781.25</v>
      </c>
      <c r="BY13" s="19">
        <v>781.25</v>
      </c>
      <c r="BZ13" s="19">
        <v>0</v>
      </c>
      <c r="CA13" s="19">
        <v>0</v>
      </c>
      <c r="CB13" s="19">
        <v>0</v>
      </c>
      <c r="CC13" s="19">
        <v>0</v>
      </c>
      <c r="CD13" s="19">
        <v>0</v>
      </c>
      <c r="CE13" s="19">
        <v>0</v>
      </c>
      <c r="CF13" s="19">
        <v>0</v>
      </c>
      <c r="CG13" s="19">
        <v>0</v>
      </c>
      <c r="CH13" s="19">
        <v>0</v>
      </c>
      <c r="CI13" s="19">
        <v>0</v>
      </c>
      <c r="CJ13" s="19">
        <v>0</v>
      </c>
      <c r="CK13" s="19">
        <v>0</v>
      </c>
      <c r="CL13" s="19">
        <v>0</v>
      </c>
    </row>
    <row r="14" spans="2:90" x14ac:dyDescent="0.25">
      <c r="B14" s="31" t="s">
        <v>194</v>
      </c>
      <c r="C14" s="30" t="s">
        <v>190</v>
      </c>
      <c r="E14" s="14">
        <v>9935.161359526319</v>
      </c>
      <c r="F14" s="14">
        <v>15649.5321582252</v>
      </c>
      <c r="G14" s="14">
        <v>26980.33528352117</v>
      </c>
      <c r="H14" s="14">
        <v>38474.198302636396</v>
      </c>
      <c r="I14" s="14">
        <v>50000</v>
      </c>
      <c r="J14" s="14">
        <v>50000</v>
      </c>
      <c r="K14" s="14">
        <v>50000</v>
      </c>
      <c r="L14" s="14">
        <v>50000</v>
      </c>
      <c r="M14" s="14">
        <v>50000</v>
      </c>
      <c r="N14" s="14">
        <v>48468.75</v>
      </c>
      <c r="O14" s="14">
        <v>47418.75</v>
      </c>
      <c r="P14" s="14">
        <v>46768.75</v>
      </c>
      <c r="Q14" s="14">
        <v>46118.75</v>
      </c>
      <c r="R14" s="14">
        <v>45418.75</v>
      </c>
      <c r="S14" s="14">
        <v>44718.75</v>
      </c>
      <c r="T14" s="14">
        <v>44018.75</v>
      </c>
      <c r="U14" s="14">
        <v>43318.75</v>
      </c>
      <c r="V14" s="14">
        <v>42618.75</v>
      </c>
      <c r="W14" s="14">
        <v>41918.75</v>
      </c>
      <c r="X14" s="14">
        <v>41218.75</v>
      </c>
      <c r="Y14" s="14">
        <v>40468.75</v>
      </c>
      <c r="Z14" s="14">
        <v>39718.75</v>
      </c>
      <c r="AA14" s="14">
        <v>38968.75</v>
      </c>
      <c r="AB14" s="14">
        <v>38218.75</v>
      </c>
      <c r="AC14" s="14">
        <v>37468.75</v>
      </c>
      <c r="AD14" s="14">
        <v>36718.75</v>
      </c>
      <c r="AE14" s="14">
        <v>35937.5</v>
      </c>
      <c r="AF14" s="14">
        <v>35156.25</v>
      </c>
      <c r="AG14" s="14">
        <v>34375</v>
      </c>
      <c r="AH14" s="14">
        <v>33593.75</v>
      </c>
      <c r="AI14" s="14">
        <v>32812.5</v>
      </c>
      <c r="AJ14" s="14">
        <v>32031.25</v>
      </c>
      <c r="AK14" s="14">
        <v>31250</v>
      </c>
      <c r="AL14" s="14">
        <v>30468.75</v>
      </c>
      <c r="AM14" s="14">
        <v>29687.5</v>
      </c>
      <c r="AN14" s="14">
        <v>28906.25</v>
      </c>
      <c r="AO14" s="14">
        <v>28125</v>
      </c>
      <c r="AP14" s="14">
        <v>27343.75</v>
      </c>
      <c r="AQ14" s="14">
        <v>26562.5</v>
      </c>
      <c r="AR14" s="14">
        <v>25781.25</v>
      </c>
      <c r="AS14" s="14">
        <v>25000</v>
      </c>
      <c r="AT14" s="14">
        <v>24218.75</v>
      </c>
      <c r="AU14" s="14">
        <v>23437.5</v>
      </c>
      <c r="AV14" s="14">
        <v>22656.25</v>
      </c>
      <c r="AW14" s="14">
        <v>21875</v>
      </c>
      <c r="AX14" s="14">
        <v>21093.75</v>
      </c>
      <c r="AY14" s="14">
        <v>20312.5</v>
      </c>
      <c r="AZ14" s="14">
        <v>19531.25</v>
      </c>
      <c r="BA14" s="14">
        <v>18750</v>
      </c>
      <c r="BB14" s="14">
        <v>17968.75</v>
      </c>
      <c r="BC14" s="14">
        <v>17187.5</v>
      </c>
      <c r="BD14" s="14">
        <v>16406.25</v>
      </c>
      <c r="BE14" s="14">
        <v>15625</v>
      </c>
      <c r="BF14" s="14">
        <v>14843.75</v>
      </c>
      <c r="BG14" s="14">
        <v>14062.5</v>
      </c>
      <c r="BH14" s="14">
        <v>13281.25</v>
      </c>
      <c r="BI14" s="14">
        <v>12500</v>
      </c>
      <c r="BJ14" s="14">
        <v>11718.75</v>
      </c>
      <c r="BK14" s="14">
        <v>10937.5</v>
      </c>
      <c r="BL14" s="14">
        <v>10156.25</v>
      </c>
      <c r="BM14" s="14">
        <v>9375</v>
      </c>
      <c r="BN14" s="14">
        <v>8593.75</v>
      </c>
      <c r="BO14" s="14">
        <v>7812.5</v>
      </c>
      <c r="BP14" s="14">
        <v>7031.25</v>
      </c>
      <c r="BQ14" s="14">
        <v>6250</v>
      </c>
      <c r="BR14" s="14">
        <v>5468.75</v>
      </c>
      <c r="BS14" s="14">
        <v>4687.5</v>
      </c>
      <c r="BT14" s="14">
        <v>3906.25</v>
      </c>
      <c r="BU14" s="14">
        <v>3125</v>
      </c>
      <c r="BV14" s="14">
        <v>2343.75</v>
      </c>
      <c r="BW14" s="14">
        <v>1562.5</v>
      </c>
      <c r="BX14" s="14">
        <v>781.25</v>
      </c>
      <c r="BY14" s="14">
        <v>0</v>
      </c>
      <c r="BZ14" s="14">
        <v>0</v>
      </c>
      <c r="CA14" s="14">
        <v>0</v>
      </c>
      <c r="CB14" s="14">
        <v>0</v>
      </c>
      <c r="CC14" s="14">
        <v>0</v>
      </c>
      <c r="CD14" s="14">
        <v>0</v>
      </c>
      <c r="CE14" s="14">
        <v>0</v>
      </c>
      <c r="CF14" s="14">
        <v>0</v>
      </c>
      <c r="CG14" s="14">
        <v>0</v>
      </c>
      <c r="CH14" s="14">
        <v>0</v>
      </c>
      <c r="CI14" s="14">
        <v>0</v>
      </c>
      <c r="CJ14" s="14">
        <v>0</v>
      </c>
      <c r="CK14" s="14">
        <v>0</v>
      </c>
      <c r="CL14" s="14">
        <v>0</v>
      </c>
    </row>
    <row r="15" spans="2:6" x14ac:dyDescent="0.25">
      <c r="B15" s="29" t="s">
        <v>195</v>
      </c>
      <c r="C15" s="30" t="s">
        <v>190</v>
      </c>
      <c r="D15" s="19">
        <v>0</v>
      </c>
      <c r="F15" s="19" t="s">
        <v>196</v>
      </c>
    </row>
    <row r="17" spans="2:91" x14ac:dyDescent="0.25">
      <c r="B17" s="27" t="s">
        <v>64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  <c r="BV17" s="28"/>
      <c r="BW17" s="28"/>
      <c r="BX17" s="28"/>
      <c r="BY17" s="28"/>
      <c r="BZ17" s="28"/>
      <c r="CA17" s="28"/>
      <c r="CB17" s="28"/>
      <c r="CC17" s="28"/>
      <c r="CD17" s="28"/>
      <c r="CE17" s="28"/>
      <c r="CF17" s="28"/>
      <c r="CG17" s="28"/>
      <c r="CH17" s="28"/>
      <c r="CI17" s="28"/>
      <c r="CJ17" s="28"/>
      <c r="CK17" s="28"/>
      <c r="CL17" s="28"/>
      <c r="CM17" s="28"/>
    </row>
    <row r="18" spans="2:90" x14ac:dyDescent="0.25">
      <c r="B18" s="29" t="s">
        <v>189</v>
      </c>
      <c r="C18" s="30" t="s">
        <v>190</v>
      </c>
      <c r="E18" s="19">
        <v>0</v>
      </c>
      <c r="F18" s="19">
        <v>9935.161359526319</v>
      </c>
      <c r="G18" s="19">
        <v>15649.5321582252</v>
      </c>
      <c r="H18" s="19">
        <v>26980.33528352117</v>
      </c>
      <c r="I18" s="19">
        <v>38474.198302636396</v>
      </c>
      <c r="J18" s="19">
        <v>50000</v>
      </c>
      <c r="K18" s="19">
        <v>50000</v>
      </c>
      <c r="L18" s="19">
        <v>50000</v>
      </c>
      <c r="M18" s="19">
        <v>50000</v>
      </c>
      <c r="N18" s="19">
        <v>50000</v>
      </c>
      <c r="O18" s="19">
        <v>48468.75</v>
      </c>
      <c r="P18" s="19">
        <v>47418.75</v>
      </c>
      <c r="Q18" s="19">
        <v>46768.75</v>
      </c>
      <c r="R18" s="19">
        <v>46118.75</v>
      </c>
      <c r="S18" s="19">
        <v>45418.75</v>
      </c>
      <c r="T18" s="19">
        <v>44718.75</v>
      </c>
      <c r="U18" s="19">
        <v>44018.75</v>
      </c>
      <c r="V18" s="19">
        <v>43318.75</v>
      </c>
      <c r="W18" s="19">
        <v>42618.75</v>
      </c>
      <c r="X18" s="19">
        <v>41918.75</v>
      </c>
      <c r="Y18" s="19">
        <v>41218.75</v>
      </c>
      <c r="Z18" s="19">
        <v>40468.75</v>
      </c>
      <c r="AA18" s="19">
        <v>39718.75</v>
      </c>
      <c r="AB18" s="19">
        <v>38968.75</v>
      </c>
      <c r="AC18" s="19">
        <v>38218.75</v>
      </c>
      <c r="AD18" s="19">
        <v>37468.75</v>
      </c>
      <c r="AE18" s="19">
        <v>36718.75</v>
      </c>
      <c r="AF18" s="19">
        <v>35937.5</v>
      </c>
      <c r="AG18" s="19">
        <v>35156.25</v>
      </c>
      <c r="AH18" s="19">
        <v>34375</v>
      </c>
      <c r="AI18" s="19">
        <v>33593.75</v>
      </c>
      <c r="AJ18" s="19">
        <v>32812.5</v>
      </c>
      <c r="AK18" s="19">
        <v>32031.25</v>
      </c>
      <c r="AL18" s="19">
        <v>31250</v>
      </c>
      <c r="AM18" s="19">
        <v>30468.75</v>
      </c>
      <c r="AN18" s="19">
        <v>29687.5</v>
      </c>
      <c r="AO18" s="19">
        <v>28906.25</v>
      </c>
      <c r="AP18" s="19">
        <v>28125</v>
      </c>
      <c r="AQ18" s="19">
        <v>27343.75</v>
      </c>
      <c r="AR18" s="19">
        <v>26562.5</v>
      </c>
      <c r="AS18" s="19">
        <v>25781.25</v>
      </c>
      <c r="AT18" s="19">
        <v>25000</v>
      </c>
      <c r="AU18" s="19">
        <v>24218.75</v>
      </c>
      <c r="AV18" s="19">
        <v>23437.5</v>
      </c>
      <c r="AW18" s="19">
        <v>22656.25</v>
      </c>
      <c r="AX18" s="19">
        <v>21875</v>
      </c>
      <c r="AY18" s="19">
        <v>21093.75</v>
      </c>
      <c r="AZ18" s="19">
        <v>20312.5</v>
      </c>
      <c r="BA18" s="19">
        <v>19531.25</v>
      </c>
      <c r="BB18" s="19">
        <v>18750</v>
      </c>
      <c r="BC18" s="19">
        <v>17968.75</v>
      </c>
      <c r="BD18" s="19">
        <v>17187.5</v>
      </c>
      <c r="BE18" s="19">
        <v>16406.25</v>
      </c>
      <c r="BF18" s="19">
        <v>15625</v>
      </c>
      <c r="BG18" s="19">
        <v>14843.75</v>
      </c>
      <c r="BH18" s="19">
        <v>14062.5</v>
      </c>
      <c r="BI18" s="19">
        <v>13281.25</v>
      </c>
      <c r="BJ18" s="19">
        <v>12500</v>
      </c>
      <c r="BK18" s="19">
        <v>11718.75</v>
      </c>
      <c r="BL18" s="19">
        <v>10937.5</v>
      </c>
      <c r="BM18" s="19">
        <v>10156.25</v>
      </c>
      <c r="BN18" s="19">
        <v>9375</v>
      </c>
      <c r="BO18" s="19">
        <v>8593.75</v>
      </c>
      <c r="BP18" s="19">
        <v>7812.5</v>
      </c>
      <c r="BQ18" s="19">
        <v>7031.25</v>
      </c>
      <c r="BR18" s="19">
        <v>6250</v>
      </c>
      <c r="BS18" s="19">
        <v>5468.75</v>
      </c>
      <c r="BT18" s="19">
        <v>4687.5</v>
      </c>
      <c r="BU18" s="19">
        <v>3906.25</v>
      </c>
      <c r="BV18" s="19">
        <v>3125</v>
      </c>
      <c r="BW18" s="19">
        <v>2343.75</v>
      </c>
      <c r="BX18" s="19">
        <v>1562.5</v>
      </c>
      <c r="BY18" s="19">
        <v>781.25</v>
      </c>
      <c r="BZ18" s="19">
        <v>0</v>
      </c>
      <c r="CA18" s="19">
        <v>0</v>
      </c>
      <c r="CB18" s="19">
        <v>0</v>
      </c>
      <c r="CC18" s="19">
        <v>0</v>
      </c>
      <c r="CD18" s="19">
        <v>0</v>
      </c>
      <c r="CE18" s="19">
        <v>0</v>
      </c>
      <c r="CF18" s="19">
        <v>0</v>
      </c>
      <c r="CG18" s="19">
        <v>0</v>
      </c>
      <c r="CH18" s="19">
        <v>0</v>
      </c>
      <c r="CI18" s="19">
        <v>0</v>
      </c>
      <c r="CJ18" s="19">
        <v>0</v>
      </c>
      <c r="CK18" s="19">
        <v>0</v>
      </c>
      <c r="CL18" s="19">
        <v>0</v>
      </c>
    </row>
    <row r="19" spans="2:90" x14ac:dyDescent="0.25">
      <c r="B19" s="29" t="s">
        <v>191</v>
      </c>
      <c r="C19" s="30" t="s">
        <v>190</v>
      </c>
      <c r="D19" s="14">
        <v>50000</v>
      </c>
      <c r="E19" s="19">
        <v>9935.161359526319</v>
      </c>
      <c r="F19" s="19">
        <v>5714.370798698882</v>
      </c>
      <c r="G19" s="19">
        <v>11330.803125295972</v>
      </c>
      <c r="H19" s="19">
        <v>11493.863019115224</v>
      </c>
      <c r="I19" s="19">
        <v>11525.801697363604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  <c r="BK19" s="19">
        <v>0</v>
      </c>
      <c r="BL19" s="19">
        <v>0</v>
      </c>
      <c r="BM19" s="19">
        <v>0</v>
      </c>
      <c r="BN19" s="19">
        <v>0</v>
      </c>
      <c r="BO19" s="19">
        <v>0</v>
      </c>
      <c r="BP19" s="19">
        <v>0</v>
      </c>
      <c r="BQ19" s="19">
        <v>0</v>
      </c>
      <c r="BR19" s="19">
        <v>0</v>
      </c>
      <c r="BS19" s="19">
        <v>0</v>
      </c>
      <c r="BT19" s="19">
        <v>0</v>
      </c>
      <c r="BU19" s="19">
        <v>0</v>
      </c>
      <c r="BV19" s="19">
        <v>0</v>
      </c>
      <c r="BW19" s="19">
        <v>0</v>
      </c>
      <c r="BX19" s="19">
        <v>0</v>
      </c>
      <c r="BY19" s="19">
        <v>0</v>
      </c>
      <c r="BZ19" s="19">
        <v>0</v>
      </c>
      <c r="CA19" s="19">
        <v>0</v>
      </c>
      <c r="CB19" s="19">
        <v>0</v>
      </c>
      <c r="CC19" s="19">
        <v>0</v>
      </c>
      <c r="CD19" s="19">
        <v>0</v>
      </c>
      <c r="CE19" s="19">
        <v>0</v>
      </c>
      <c r="CF19" s="19">
        <v>0</v>
      </c>
      <c r="CG19" s="19">
        <v>0</v>
      </c>
      <c r="CH19" s="19">
        <v>0</v>
      </c>
      <c r="CI19" s="19">
        <v>0</v>
      </c>
      <c r="CJ19" s="19">
        <v>0</v>
      </c>
      <c r="CK19" s="19">
        <v>0</v>
      </c>
      <c r="CL19" s="19">
        <v>0</v>
      </c>
    </row>
    <row r="20" spans="2:90" x14ac:dyDescent="0.25">
      <c r="B20" s="29" t="s">
        <v>95</v>
      </c>
      <c r="C20" s="30" t="s">
        <v>190</v>
      </c>
      <c r="D20" s="14">
        <v>1939.28937267875</v>
      </c>
      <c r="E20" s="19">
        <v>0</v>
      </c>
      <c r="F20" s="19">
        <v>136.60846869348688</v>
      </c>
      <c r="G20" s="19">
        <v>215.1810671755965</v>
      </c>
      <c r="H20" s="19">
        <v>370.9796101484161</v>
      </c>
      <c r="I20" s="19">
        <v>529.0202266612505</v>
      </c>
      <c r="J20" s="19">
        <v>687.5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  <c r="BK20" s="19">
        <v>0</v>
      </c>
      <c r="BL20" s="19">
        <v>0</v>
      </c>
      <c r="BM20" s="19">
        <v>0</v>
      </c>
      <c r="BN20" s="19">
        <v>0</v>
      </c>
      <c r="BO20" s="19">
        <v>0</v>
      </c>
      <c r="BP20" s="19">
        <v>0</v>
      </c>
      <c r="BQ20" s="19">
        <v>0</v>
      </c>
      <c r="BR20" s="19">
        <v>0</v>
      </c>
      <c r="BS20" s="19">
        <v>0</v>
      </c>
      <c r="BT20" s="19">
        <v>0</v>
      </c>
      <c r="BU20" s="19">
        <v>0</v>
      </c>
      <c r="BV20" s="19">
        <v>0</v>
      </c>
      <c r="BW20" s="19">
        <v>0</v>
      </c>
      <c r="BX20" s="19">
        <v>0</v>
      </c>
      <c r="BY20" s="19">
        <v>0</v>
      </c>
      <c r="BZ20" s="19">
        <v>0</v>
      </c>
      <c r="CA20" s="19">
        <v>0</v>
      </c>
      <c r="CB20" s="19">
        <v>0</v>
      </c>
      <c r="CC20" s="19">
        <v>0</v>
      </c>
      <c r="CD20" s="19">
        <v>0</v>
      </c>
      <c r="CE20" s="19">
        <v>0</v>
      </c>
      <c r="CF20" s="19">
        <v>0</v>
      </c>
      <c r="CG20" s="19">
        <v>0</v>
      </c>
      <c r="CH20" s="19">
        <v>0</v>
      </c>
      <c r="CI20" s="19">
        <v>0</v>
      </c>
      <c r="CJ20" s="19">
        <v>0</v>
      </c>
      <c r="CK20" s="19">
        <v>0</v>
      </c>
      <c r="CL20" s="19">
        <v>0</v>
      </c>
    </row>
    <row r="21" spans="2:90" x14ac:dyDescent="0.25">
      <c r="B21" s="29" t="s">
        <v>192</v>
      </c>
      <c r="C21" s="30" t="s">
        <v>190</v>
      </c>
      <c r="D21" s="14">
        <v>24311.375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687.5</v>
      </c>
      <c r="L21" s="19">
        <v>687.5</v>
      </c>
      <c r="M21" s="19">
        <v>687.5</v>
      </c>
      <c r="N21" s="19">
        <v>687.5</v>
      </c>
      <c r="O21" s="19">
        <v>666.4453125</v>
      </c>
      <c r="P21" s="19">
        <v>652.0078125</v>
      </c>
      <c r="Q21" s="19">
        <v>643.0703125</v>
      </c>
      <c r="R21" s="19">
        <v>634.1328125</v>
      </c>
      <c r="S21" s="19">
        <v>624.5078125</v>
      </c>
      <c r="T21" s="19">
        <v>614.8828125</v>
      </c>
      <c r="U21" s="19">
        <v>605.2578125</v>
      </c>
      <c r="V21" s="19">
        <v>595.6328125</v>
      </c>
      <c r="W21" s="19">
        <v>586.0078125</v>
      </c>
      <c r="X21" s="19">
        <v>576.3828125</v>
      </c>
      <c r="Y21" s="19">
        <v>566.7578125</v>
      </c>
      <c r="Z21" s="19">
        <v>556.4453125</v>
      </c>
      <c r="AA21" s="19">
        <v>546.1328125</v>
      </c>
      <c r="AB21" s="19">
        <v>535.8203125</v>
      </c>
      <c r="AC21" s="19">
        <v>525.5078125</v>
      </c>
      <c r="AD21" s="19">
        <v>515.1953125</v>
      </c>
      <c r="AE21" s="19">
        <v>504.8828125</v>
      </c>
      <c r="AF21" s="19">
        <v>494.140625</v>
      </c>
      <c r="AG21" s="19">
        <v>483.3984375</v>
      </c>
      <c r="AH21" s="19">
        <v>472.65625</v>
      </c>
      <c r="AI21" s="19">
        <v>461.9140625</v>
      </c>
      <c r="AJ21" s="19">
        <v>451.171875</v>
      </c>
      <c r="AK21" s="19">
        <v>440.4296875</v>
      </c>
      <c r="AL21" s="19">
        <v>429.6875</v>
      </c>
      <c r="AM21" s="19">
        <v>418.9453125</v>
      </c>
      <c r="AN21" s="19">
        <v>408.203125</v>
      </c>
      <c r="AO21" s="19">
        <v>397.4609375</v>
      </c>
      <c r="AP21" s="19">
        <v>386.71875</v>
      </c>
      <c r="AQ21" s="19">
        <v>375.9765625</v>
      </c>
      <c r="AR21" s="19">
        <v>365.234375</v>
      </c>
      <c r="AS21" s="19">
        <v>354.4921875</v>
      </c>
      <c r="AT21" s="19">
        <v>343.75</v>
      </c>
      <c r="AU21" s="19">
        <v>333.0078125</v>
      </c>
      <c r="AV21" s="19">
        <v>322.265625</v>
      </c>
      <c r="AW21" s="19">
        <v>311.5234375</v>
      </c>
      <c r="AX21" s="19">
        <v>300.78125</v>
      </c>
      <c r="AY21" s="19">
        <v>290.0390625</v>
      </c>
      <c r="AZ21" s="19">
        <v>279.296875</v>
      </c>
      <c r="BA21" s="19">
        <v>268.5546875</v>
      </c>
      <c r="BB21" s="19">
        <v>257.8125</v>
      </c>
      <c r="BC21" s="19">
        <v>247.0703125</v>
      </c>
      <c r="BD21" s="19">
        <v>236.328125</v>
      </c>
      <c r="BE21" s="19">
        <v>225.5859375</v>
      </c>
      <c r="BF21" s="19">
        <v>214.84375</v>
      </c>
      <c r="BG21" s="19">
        <v>204.1015625</v>
      </c>
      <c r="BH21" s="19">
        <v>193.359375</v>
      </c>
      <c r="BI21" s="19">
        <v>182.6171875</v>
      </c>
      <c r="BJ21" s="19">
        <v>171.875</v>
      </c>
      <c r="BK21" s="19">
        <v>161.1328125</v>
      </c>
      <c r="BL21" s="19">
        <v>150.390625</v>
      </c>
      <c r="BM21" s="19">
        <v>139.6484375</v>
      </c>
      <c r="BN21" s="19">
        <v>128.90625</v>
      </c>
      <c r="BO21" s="19">
        <v>118.1640625</v>
      </c>
      <c r="BP21" s="19">
        <v>107.421875</v>
      </c>
      <c r="BQ21" s="19">
        <v>96.6796875</v>
      </c>
      <c r="BR21" s="19">
        <v>85.9375</v>
      </c>
      <c r="BS21" s="19">
        <v>75.1953125</v>
      </c>
      <c r="BT21" s="19">
        <v>64.453125</v>
      </c>
      <c r="BU21" s="19">
        <v>53.7109375</v>
      </c>
      <c r="BV21" s="19">
        <v>42.96875</v>
      </c>
      <c r="BW21" s="19">
        <v>32.2265625</v>
      </c>
      <c r="BX21" s="19">
        <v>21.484375</v>
      </c>
      <c r="BY21" s="19">
        <v>10.7421875</v>
      </c>
      <c r="BZ21" s="19">
        <v>0</v>
      </c>
      <c r="CA21" s="19">
        <v>0</v>
      </c>
      <c r="CB21" s="19">
        <v>0</v>
      </c>
      <c r="CC21" s="19">
        <v>0</v>
      </c>
      <c r="CD21" s="19">
        <v>0</v>
      </c>
      <c r="CE21" s="19">
        <v>0</v>
      </c>
      <c r="CF21" s="19">
        <v>0</v>
      </c>
      <c r="CG21" s="19">
        <v>0</v>
      </c>
      <c r="CH21" s="19">
        <v>0</v>
      </c>
      <c r="CI21" s="19">
        <v>0</v>
      </c>
      <c r="CJ21" s="19">
        <v>0</v>
      </c>
      <c r="CK21" s="19">
        <v>0</v>
      </c>
      <c r="CL21" s="19">
        <v>0</v>
      </c>
    </row>
    <row r="22" spans="2:90" x14ac:dyDescent="0.25">
      <c r="B22" s="29" t="s">
        <v>193</v>
      </c>
      <c r="C22" s="30" t="s">
        <v>190</v>
      </c>
      <c r="D22" s="14">
        <v>50000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1531.25</v>
      </c>
      <c r="O22" s="19">
        <v>1050</v>
      </c>
      <c r="P22" s="19">
        <v>650</v>
      </c>
      <c r="Q22" s="19">
        <v>650</v>
      </c>
      <c r="R22" s="19">
        <v>700</v>
      </c>
      <c r="S22" s="19">
        <v>700</v>
      </c>
      <c r="T22" s="19">
        <v>700</v>
      </c>
      <c r="U22" s="19">
        <v>700</v>
      </c>
      <c r="V22" s="19">
        <v>700</v>
      </c>
      <c r="W22" s="19">
        <v>700</v>
      </c>
      <c r="X22" s="19">
        <v>700</v>
      </c>
      <c r="Y22" s="19">
        <v>750</v>
      </c>
      <c r="Z22" s="19">
        <v>750</v>
      </c>
      <c r="AA22" s="19">
        <v>750</v>
      </c>
      <c r="AB22" s="19">
        <v>750</v>
      </c>
      <c r="AC22" s="19">
        <v>750</v>
      </c>
      <c r="AD22" s="19">
        <v>750</v>
      </c>
      <c r="AE22" s="19">
        <v>781.25</v>
      </c>
      <c r="AF22" s="19">
        <v>781.25</v>
      </c>
      <c r="AG22" s="19">
        <v>781.25</v>
      </c>
      <c r="AH22" s="19">
        <v>781.25</v>
      </c>
      <c r="AI22" s="19">
        <v>781.25</v>
      </c>
      <c r="AJ22" s="19">
        <v>781.25</v>
      </c>
      <c r="AK22" s="19">
        <v>781.25</v>
      </c>
      <c r="AL22" s="19">
        <v>781.25</v>
      </c>
      <c r="AM22" s="19">
        <v>781.25</v>
      </c>
      <c r="AN22" s="19">
        <v>781.25</v>
      </c>
      <c r="AO22" s="19">
        <v>781.25</v>
      </c>
      <c r="AP22" s="19">
        <v>781.25</v>
      </c>
      <c r="AQ22" s="19">
        <v>781.25</v>
      </c>
      <c r="AR22" s="19">
        <v>781.25</v>
      </c>
      <c r="AS22" s="19">
        <v>781.25</v>
      </c>
      <c r="AT22" s="19">
        <v>781.25</v>
      </c>
      <c r="AU22" s="19">
        <v>781.25</v>
      </c>
      <c r="AV22" s="19">
        <v>781.25</v>
      </c>
      <c r="AW22" s="19">
        <v>781.25</v>
      </c>
      <c r="AX22" s="19">
        <v>781.25</v>
      </c>
      <c r="AY22" s="19">
        <v>781.25</v>
      </c>
      <c r="AZ22" s="19">
        <v>781.25</v>
      </c>
      <c r="BA22" s="19">
        <v>781.25</v>
      </c>
      <c r="BB22" s="19">
        <v>781.25</v>
      </c>
      <c r="BC22" s="19">
        <v>781.25</v>
      </c>
      <c r="BD22" s="19">
        <v>781.25</v>
      </c>
      <c r="BE22" s="19">
        <v>781.25</v>
      </c>
      <c r="BF22" s="19">
        <v>781.25</v>
      </c>
      <c r="BG22" s="19">
        <v>781.25</v>
      </c>
      <c r="BH22" s="19">
        <v>781.25</v>
      </c>
      <c r="BI22" s="19">
        <v>781.25</v>
      </c>
      <c r="BJ22" s="19">
        <v>781.25</v>
      </c>
      <c r="BK22" s="19">
        <v>781.25</v>
      </c>
      <c r="BL22" s="19">
        <v>781.25</v>
      </c>
      <c r="BM22" s="19">
        <v>781.25</v>
      </c>
      <c r="BN22" s="19">
        <v>781.25</v>
      </c>
      <c r="BO22" s="19">
        <v>781.25</v>
      </c>
      <c r="BP22" s="19">
        <v>781.25</v>
      </c>
      <c r="BQ22" s="19">
        <v>781.25</v>
      </c>
      <c r="BR22" s="19">
        <v>781.25</v>
      </c>
      <c r="BS22" s="19">
        <v>781.25</v>
      </c>
      <c r="BT22" s="19">
        <v>781.25</v>
      </c>
      <c r="BU22" s="19">
        <v>781.25</v>
      </c>
      <c r="BV22" s="19">
        <v>781.25</v>
      </c>
      <c r="BW22" s="19">
        <v>781.25</v>
      </c>
      <c r="BX22" s="19">
        <v>781.25</v>
      </c>
      <c r="BY22" s="19">
        <v>781.25</v>
      </c>
      <c r="BZ22" s="19">
        <v>0</v>
      </c>
      <c r="CA22" s="19">
        <v>0</v>
      </c>
      <c r="CB22" s="19">
        <v>0</v>
      </c>
      <c r="CC22" s="19">
        <v>0</v>
      </c>
      <c r="CD22" s="19">
        <v>0</v>
      </c>
      <c r="CE22" s="19">
        <v>0</v>
      </c>
      <c r="CF22" s="19">
        <v>0</v>
      </c>
      <c r="CG22" s="19">
        <v>0</v>
      </c>
      <c r="CH22" s="19">
        <v>0</v>
      </c>
      <c r="CI22" s="19">
        <v>0</v>
      </c>
      <c r="CJ22" s="19">
        <v>0</v>
      </c>
      <c r="CK22" s="19">
        <v>0</v>
      </c>
      <c r="CL22" s="19">
        <v>0</v>
      </c>
    </row>
    <row r="23" spans="2:90" x14ac:dyDescent="0.25">
      <c r="B23" s="31" t="s">
        <v>194</v>
      </c>
      <c r="C23" s="30" t="s">
        <v>190</v>
      </c>
      <c r="E23" s="14">
        <v>9935.161359526319</v>
      </c>
      <c r="F23" s="14">
        <v>15649.5321582252</v>
      </c>
      <c r="G23" s="14">
        <v>26980.33528352117</v>
      </c>
      <c r="H23" s="14">
        <v>38474.198302636396</v>
      </c>
      <c r="I23" s="14">
        <v>50000</v>
      </c>
      <c r="J23" s="14">
        <v>50000</v>
      </c>
      <c r="K23" s="14">
        <v>50000</v>
      </c>
      <c r="L23" s="14">
        <v>50000</v>
      </c>
      <c r="M23" s="14">
        <v>50000</v>
      </c>
      <c r="N23" s="14">
        <v>48468.75</v>
      </c>
      <c r="O23" s="14">
        <v>47418.75</v>
      </c>
      <c r="P23" s="14">
        <v>46768.75</v>
      </c>
      <c r="Q23" s="14">
        <v>46118.75</v>
      </c>
      <c r="R23" s="14">
        <v>45418.75</v>
      </c>
      <c r="S23" s="14">
        <v>44718.75</v>
      </c>
      <c r="T23" s="14">
        <v>44018.75</v>
      </c>
      <c r="U23" s="14">
        <v>43318.75</v>
      </c>
      <c r="V23" s="14">
        <v>42618.75</v>
      </c>
      <c r="W23" s="14">
        <v>41918.75</v>
      </c>
      <c r="X23" s="14">
        <v>41218.75</v>
      </c>
      <c r="Y23" s="14">
        <v>40468.75</v>
      </c>
      <c r="Z23" s="14">
        <v>39718.75</v>
      </c>
      <c r="AA23" s="14">
        <v>38968.75</v>
      </c>
      <c r="AB23" s="14">
        <v>38218.75</v>
      </c>
      <c r="AC23" s="14">
        <v>37468.75</v>
      </c>
      <c r="AD23" s="14">
        <v>36718.75</v>
      </c>
      <c r="AE23" s="14">
        <v>35937.5</v>
      </c>
      <c r="AF23" s="14">
        <v>35156.25</v>
      </c>
      <c r="AG23" s="14">
        <v>34375</v>
      </c>
      <c r="AH23" s="14">
        <v>33593.75</v>
      </c>
      <c r="AI23" s="14">
        <v>32812.5</v>
      </c>
      <c r="AJ23" s="14">
        <v>32031.25</v>
      </c>
      <c r="AK23" s="14">
        <v>31250</v>
      </c>
      <c r="AL23" s="14">
        <v>30468.75</v>
      </c>
      <c r="AM23" s="14">
        <v>29687.5</v>
      </c>
      <c r="AN23" s="14">
        <v>28906.25</v>
      </c>
      <c r="AO23" s="14">
        <v>28125</v>
      </c>
      <c r="AP23" s="14">
        <v>27343.75</v>
      </c>
      <c r="AQ23" s="14">
        <v>26562.5</v>
      </c>
      <c r="AR23" s="14">
        <v>25781.25</v>
      </c>
      <c r="AS23" s="14">
        <v>25000</v>
      </c>
      <c r="AT23" s="14">
        <v>24218.75</v>
      </c>
      <c r="AU23" s="14">
        <v>23437.5</v>
      </c>
      <c r="AV23" s="14">
        <v>22656.25</v>
      </c>
      <c r="AW23" s="14">
        <v>21875</v>
      </c>
      <c r="AX23" s="14">
        <v>21093.75</v>
      </c>
      <c r="AY23" s="14">
        <v>20312.5</v>
      </c>
      <c r="AZ23" s="14">
        <v>19531.25</v>
      </c>
      <c r="BA23" s="14">
        <v>18750</v>
      </c>
      <c r="BB23" s="14">
        <v>17968.75</v>
      </c>
      <c r="BC23" s="14">
        <v>17187.5</v>
      </c>
      <c r="BD23" s="14">
        <v>16406.25</v>
      </c>
      <c r="BE23" s="14">
        <v>15625</v>
      </c>
      <c r="BF23" s="14">
        <v>14843.75</v>
      </c>
      <c r="BG23" s="14">
        <v>14062.5</v>
      </c>
      <c r="BH23" s="14">
        <v>13281.25</v>
      </c>
      <c r="BI23" s="14">
        <v>12500</v>
      </c>
      <c r="BJ23" s="14">
        <v>11718.75</v>
      </c>
      <c r="BK23" s="14">
        <v>10937.5</v>
      </c>
      <c r="BL23" s="14">
        <v>10156.25</v>
      </c>
      <c r="BM23" s="14">
        <v>9375</v>
      </c>
      <c r="BN23" s="14">
        <v>8593.75</v>
      </c>
      <c r="BO23" s="14">
        <v>7812.5</v>
      </c>
      <c r="BP23" s="14">
        <v>7031.25</v>
      </c>
      <c r="BQ23" s="14">
        <v>6250</v>
      </c>
      <c r="BR23" s="14">
        <v>5468.75</v>
      </c>
      <c r="BS23" s="14">
        <v>4687.5</v>
      </c>
      <c r="BT23" s="14">
        <v>3906.25</v>
      </c>
      <c r="BU23" s="14">
        <v>3125</v>
      </c>
      <c r="BV23" s="14">
        <v>2343.75</v>
      </c>
      <c r="BW23" s="14">
        <v>1562.5</v>
      </c>
      <c r="BX23" s="14">
        <v>781.25</v>
      </c>
      <c r="BY23" s="14">
        <v>0</v>
      </c>
      <c r="BZ23" s="14">
        <v>0</v>
      </c>
      <c r="CA23" s="14">
        <v>0</v>
      </c>
      <c r="CB23" s="14">
        <v>0</v>
      </c>
      <c r="CC23" s="14">
        <v>0</v>
      </c>
      <c r="CD23" s="14">
        <v>0</v>
      </c>
      <c r="CE23" s="14">
        <v>0</v>
      </c>
      <c r="CF23" s="14">
        <v>0</v>
      </c>
      <c r="CG23" s="14">
        <v>0</v>
      </c>
      <c r="CH23" s="14">
        <v>0</v>
      </c>
      <c r="CI23" s="14">
        <v>0</v>
      </c>
      <c r="CJ23" s="14">
        <v>0</v>
      </c>
      <c r="CK23" s="14">
        <v>0</v>
      </c>
      <c r="CL23" s="14">
        <v>0</v>
      </c>
    </row>
    <row r="24" spans="2:6" x14ac:dyDescent="0.25">
      <c r="B24" s="29" t="s">
        <v>195</v>
      </c>
      <c r="C24" s="30" t="s">
        <v>190</v>
      </c>
      <c r="D24" s="19">
        <v>0</v>
      </c>
      <c r="F24" s="19" t="s">
        <v>196</v>
      </c>
    </row>
    <row r="26" spans="2:91" x14ac:dyDescent="0.25">
      <c r="B26" s="27" t="s">
        <v>65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8"/>
      <c r="BS26" s="28"/>
      <c r="BT26" s="28"/>
      <c r="BU26" s="28"/>
      <c r="BV26" s="28"/>
      <c r="BW26" s="28"/>
      <c r="BX26" s="28"/>
      <c r="BY26" s="28"/>
      <c r="BZ26" s="28"/>
      <c r="CA26" s="28"/>
      <c r="CB26" s="28"/>
      <c r="CC26" s="28"/>
      <c r="CD26" s="28"/>
      <c r="CE26" s="28"/>
      <c r="CF26" s="28"/>
      <c r="CG26" s="28"/>
      <c r="CH26" s="28"/>
      <c r="CI26" s="28"/>
      <c r="CJ26" s="28"/>
      <c r="CK26" s="28"/>
      <c r="CL26" s="28"/>
      <c r="CM26" s="28"/>
    </row>
    <row r="27" spans="2:90" x14ac:dyDescent="0.25">
      <c r="B27" s="29" t="s">
        <v>189</v>
      </c>
      <c r="C27" s="30" t="s">
        <v>190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1261.0874207284542</v>
      </c>
      <c r="K27" s="19">
        <v>34999.99950416849</v>
      </c>
      <c r="L27" s="19">
        <v>34999.99950416849</v>
      </c>
      <c r="M27" s="19">
        <v>34999.99950416849</v>
      </c>
      <c r="N27" s="19">
        <v>34999.99950416849</v>
      </c>
      <c r="O27" s="19">
        <v>33928.12451935333</v>
      </c>
      <c r="P27" s="19">
        <v>33193.124529765795</v>
      </c>
      <c r="Q27" s="19">
        <v>32738.124536211606</v>
      </c>
      <c r="R27" s="19">
        <v>32283.124542657417</v>
      </c>
      <c r="S27" s="19">
        <v>31793.12454959906</v>
      </c>
      <c r="T27" s="19">
        <v>31303.1245565407</v>
      </c>
      <c r="U27" s="19">
        <v>30813.124563482343</v>
      </c>
      <c r="V27" s="19">
        <v>30323.124570423985</v>
      </c>
      <c r="W27" s="19">
        <v>29833.124577365626</v>
      </c>
      <c r="X27" s="19">
        <v>29343.12458430727</v>
      </c>
      <c r="Y27" s="19">
        <v>28853.12459124891</v>
      </c>
      <c r="Z27" s="19">
        <v>28328.124598686383</v>
      </c>
      <c r="AA27" s="19">
        <v>27803.124606123856</v>
      </c>
      <c r="AB27" s="19">
        <v>27278.12461356133</v>
      </c>
      <c r="AC27" s="19">
        <v>26753.124620998802</v>
      </c>
      <c r="AD27" s="19">
        <v>26228.124628436275</v>
      </c>
      <c r="AE27" s="19">
        <v>25703.124635873748</v>
      </c>
      <c r="AF27" s="19">
        <v>25156.249643621115</v>
      </c>
      <c r="AG27" s="19">
        <v>24609.374651368482</v>
      </c>
      <c r="AH27" s="19">
        <v>24062.49965911585</v>
      </c>
      <c r="AI27" s="19">
        <v>23515.624666863216</v>
      </c>
      <c r="AJ27" s="19">
        <v>22968.749674610583</v>
      </c>
      <c r="AK27" s="19">
        <v>22421.87468235795</v>
      </c>
      <c r="AL27" s="19">
        <v>21874.999690105316</v>
      </c>
      <c r="AM27" s="19">
        <v>21328.124697852683</v>
      </c>
      <c r="AN27" s="19">
        <v>20781.24970560005</v>
      </c>
      <c r="AO27" s="19">
        <v>20234.374713347417</v>
      </c>
      <c r="AP27" s="19">
        <v>19687.499721094784</v>
      </c>
      <c r="AQ27" s="19">
        <v>19140.62472884215</v>
      </c>
      <c r="AR27" s="19">
        <v>18593.749736589518</v>
      </c>
      <c r="AS27" s="19">
        <v>18046.874744336885</v>
      </c>
      <c r="AT27" s="19">
        <v>17499.99975208425</v>
      </c>
      <c r="AU27" s="19">
        <v>16953.12475983162</v>
      </c>
      <c r="AV27" s="19">
        <v>16406.249767578985</v>
      </c>
      <c r="AW27" s="19">
        <v>15859.374775326352</v>
      </c>
      <c r="AX27" s="19">
        <v>15312.49978307372</v>
      </c>
      <c r="AY27" s="19">
        <v>14765.624790821086</v>
      </c>
      <c r="AZ27" s="19">
        <v>14218.749798568453</v>
      </c>
      <c r="BA27" s="19">
        <v>13671.87480631582</v>
      </c>
      <c r="BB27" s="19">
        <v>13124.999814063187</v>
      </c>
      <c r="BC27" s="19">
        <v>12578.124821810554</v>
      </c>
      <c r="BD27" s="19">
        <v>12031.24982955792</v>
      </c>
      <c r="BE27" s="19">
        <v>11484.374837305288</v>
      </c>
      <c r="BF27" s="19">
        <v>10937.499845052655</v>
      </c>
      <c r="BG27" s="19">
        <v>10390.624852800021</v>
      </c>
      <c r="BH27" s="19">
        <v>9843.749860547388</v>
      </c>
      <c r="BI27" s="19">
        <v>9296.874868294755</v>
      </c>
      <c r="BJ27" s="19">
        <v>8749.999876042122</v>
      </c>
      <c r="BK27" s="19">
        <v>8203.12488378949</v>
      </c>
      <c r="BL27" s="19">
        <v>7656.249891536856</v>
      </c>
      <c r="BM27" s="19">
        <v>7109.374899284223</v>
      </c>
      <c r="BN27" s="19">
        <v>6562.49990703159</v>
      </c>
      <c r="BO27" s="19">
        <v>6015.624914778957</v>
      </c>
      <c r="BP27" s="19">
        <v>5468.749922526324</v>
      </c>
      <c r="BQ27" s="19">
        <v>4921.874930273691</v>
      </c>
      <c r="BR27" s="19">
        <v>4374.9999380210575</v>
      </c>
      <c r="BS27" s="19">
        <v>3828.124945768425</v>
      </c>
      <c r="BT27" s="19">
        <v>3281.249953515792</v>
      </c>
      <c r="BU27" s="19">
        <v>2734.3749612631595</v>
      </c>
      <c r="BV27" s="19">
        <v>2187.499969010527</v>
      </c>
      <c r="BW27" s="19">
        <v>1640.6249767578943</v>
      </c>
      <c r="BX27" s="19">
        <v>1093.7499845052616</v>
      </c>
      <c r="BY27" s="19">
        <v>546.874992252629</v>
      </c>
      <c r="BZ27" s="19">
        <v>0</v>
      </c>
      <c r="CA27" s="19">
        <v>0</v>
      </c>
      <c r="CB27" s="19">
        <v>0</v>
      </c>
      <c r="CC27" s="19">
        <v>0</v>
      </c>
      <c r="CD27" s="19">
        <v>0</v>
      </c>
      <c r="CE27" s="19">
        <v>0</v>
      </c>
      <c r="CF27" s="19">
        <v>0</v>
      </c>
      <c r="CG27" s="19">
        <v>0</v>
      </c>
      <c r="CH27" s="19">
        <v>0</v>
      </c>
      <c r="CI27" s="19">
        <v>0</v>
      </c>
      <c r="CJ27" s="19">
        <v>0</v>
      </c>
      <c r="CK27" s="19">
        <v>0</v>
      </c>
      <c r="CL27" s="19">
        <v>0</v>
      </c>
    </row>
    <row r="28" spans="2:90" x14ac:dyDescent="0.25">
      <c r="B28" s="29" t="s">
        <v>191</v>
      </c>
      <c r="C28" s="30" t="s">
        <v>190</v>
      </c>
      <c r="D28" s="14">
        <v>34999.99950416849</v>
      </c>
      <c r="E28" s="19">
        <v>0</v>
      </c>
      <c r="F28" s="19">
        <v>0</v>
      </c>
      <c r="G28" s="19">
        <v>0</v>
      </c>
      <c r="H28" s="19">
        <v>0</v>
      </c>
      <c r="I28" s="19">
        <v>1261.0874207284542</v>
      </c>
      <c r="J28" s="19">
        <v>33738.91208344004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  <c r="BK28" s="19">
        <v>0</v>
      </c>
      <c r="BL28" s="19">
        <v>0</v>
      </c>
      <c r="BM28" s="19">
        <v>0</v>
      </c>
      <c r="BN28" s="19">
        <v>0</v>
      </c>
      <c r="BO28" s="19">
        <v>0</v>
      </c>
      <c r="BP28" s="19">
        <v>0</v>
      </c>
      <c r="BQ28" s="19">
        <v>0</v>
      </c>
      <c r="BR28" s="19">
        <v>0</v>
      </c>
      <c r="BS28" s="19">
        <v>0</v>
      </c>
      <c r="BT28" s="19">
        <v>0</v>
      </c>
      <c r="BU28" s="19">
        <v>0</v>
      </c>
      <c r="BV28" s="19">
        <v>0</v>
      </c>
      <c r="BW28" s="19">
        <v>0</v>
      </c>
      <c r="BX28" s="19">
        <v>0</v>
      </c>
      <c r="BY28" s="19">
        <v>0</v>
      </c>
      <c r="BZ28" s="19">
        <v>0</v>
      </c>
      <c r="CA28" s="19">
        <v>0</v>
      </c>
      <c r="CB28" s="19">
        <v>0</v>
      </c>
      <c r="CC28" s="19">
        <v>0</v>
      </c>
      <c r="CD28" s="19">
        <v>0</v>
      </c>
      <c r="CE28" s="19">
        <v>0</v>
      </c>
      <c r="CF28" s="19">
        <v>0</v>
      </c>
      <c r="CG28" s="19">
        <v>0</v>
      </c>
      <c r="CH28" s="19">
        <v>0</v>
      </c>
      <c r="CI28" s="19">
        <v>0</v>
      </c>
      <c r="CJ28" s="19">
        <v>0</v>
      </c>
      <c r="CK28" s="19">
        <v>0</v>
      </c>
      <c r="CL28" s="19">
        <v>0</v>
      </c>
    </row>
    <row r="29" spans="2:90" x14ac:dyDescent="0.25">
      <c r="B29" s="29" t="s">
        <v>95</v>
      </c>
      <c r="C29" s="30" t="s">
        <v>190</v>
      </c>
      <c r="D29" s="14">
        <v>17.339952035016246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17.339952035016246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  <c r="BK29" s="19">
        <v>0</v>
      </c>
      <c r="BL29" s="19">
        <v>0</v>
      </c>
      <c r="BM29" s="19">
        <v>0</v>
      </c>
      <c r="BN29" s="19">
        <v>0</v>
      </c>
      <c r="BO29" s="19">
        <v>0</v>
      </c>
      <c r="BP29" s="19">
        <v>0</v>
      </c>
      <c r="BQ29" s="19">
        <v>0</v>
      </c>
      <c r="BR29" s="19">
        <v>0</v>
      </c>
      <c r="BS29" s="19">
        <v>0</v>
      </c>
      <c r="BT29" s="19">
        <v>0</v>
      </c>
      <c r="BU29" s="19">
        <v>0</v>
      </c>
      <c r="BV29" s="19">
        <v>0</v>
      </c>
      <c r="BW29" s="19">
        <v>0</v>
      </c>
      <c r="BX29" s="19">
        <v>0</v>
      </c>
      <c r="BY29" s="19">
        <v>0</v>
      </c>
      <c r="BZ29" s="19">
        <v>0</v>
      </c>
      <c r="CA29" s="19">
        <v>0</v>
      </c>
      <c r="CB29" s="19">
        <v>0</v>
      </c>
      <c r="CC29" s="19">
        <v>0</v>
      </c>
      <c r="CD29" s="19">
        <v>0</v>
      </c>
      <c r="CE29" s="19">
        <v>0</v>
      </c>
      <c r="CF29" s="19">
        <v>0</v>
      </c>
      <c r="CG29" s="19">
        <v>0</v>
      </c>
      <c r="CH29" s="19">
        <v>0</v>
      </c>
      <c r="CI29" s="19">
        <v>0</v>
      </c>
      <c r="CJ29" s="19">
        <v>0</v>
      </c>
      <c r="CK29" s="19">
        <v>0</v>
      </c>
      <c r="CL29" s="19">
        <v>0</v>
      </c>
    </row>
    <row r="30" spans="2:90" x14ac:dyDescent="0.25">
      <c r="B30" s="29" t="s">
        <v>192</v>
      </c>
      <c r="C30" s="30" t="s">
        <v>190</v>
      </c>
      <c r="D30" s="14">
        <v>17017.96225891309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481.2499931823167</v>
      </c>
      <c r="L30" s="19">
        <v>481.2499931823167</v>
      </c>
      <c r="M30" s="19">
        <v>481.2499931823167</v>
      </c>
      <c r="N30" s="19">
        <v>481.2499931823167</v>
      </c>
      <c r="O30" s="19">
        <v>466.5117121411083</v>
      </c>
      <c r="P30" s="19">
        <v>456.4054622842797</v>
      </c>
      <c r="Q30" s="19">
        <v>450.1492123729096</v>
      </c>
      <c r="R30" s="19">
        <v>443.89296246153947</v>
      </c>
      <c r="S30" s="19">
        <v>437.15546255698706</v>
      </c>
      <c r="T30" s="19">
        <v>430.41796265243465</v>
      </c>
      <c r="U30" s="19">
        <v>423.6804627478822</v>
      </c>
      <c r="V30" s="19">
        <v>416.9429628433298</v>
      </c>
      <c r="W30" s="19">
        <v>410.2054629387774</v>
      </c>
      <c r="X30" s="19">
        <v>403.46796303422497</v>
      </c>
      <c r="Y30" s="19">
        <v>396.7304631296725</v>
      </c>
      <c r="Z30" s="19">
        <v>389.5117132319378</v>
      </c>
      <c r="AA30" s="19">
        <v>382.292963334203</v>
      </c>
      <c r="AB30" s="19">
        <v>375.07421343646826</v>
      </c>
      <c r="AC30" s="19">
        <v>367.85546353873355</v>
      </c>
      <c r="AD30" s="19">
        <v>360.6367136409988</v>
      </c>
      <c r="AE30" s="19">
        <v>353.417963743264</v>
      </c>
      <c r="AF30" s="19">
        <v>345.89843259979034</v>
      </c>
      <c r="AG30" s="19">
        <v>338.3789014563166</v>
      </c>
      <c r="AH30" s="19">
        <v>330.85937031284294</v>
      </c>
      <c r="AI30" s="19">
        <v>323.3398391693692</v>
      </c>
      <c r="AJ30" s="19">
        <v>315.8203080258955</v>
      </c>
      <c r="AK30" s="19">
        <v>308.3007768824218</v>
      </c>
      <c r="AL30" s="19">
        <v>300.7812457389481</v>
      </c>
      <c r="AM30" s="19">
        <v>293.2617145954744</v>
      </c>
      <c r="AN30" s="19">
        <v>285.7421834520007</v>
      </c>
      <c r="AO30" s="19">
        <v>278.22265230852696</v>
      </c>
      <c r="AP30" s="19">
        <v>270.7031211650533</v>
      </c>
      <c r="AQ30" s="19">
        <v>263.18359002157956</v>
      </c>
      <c r="AR30" s="19">
        <v>255.66405887810586</v>
      </c>
      <c r="AS30" s="19">
        <v>248.14452773463216</v>
      </c>
      <c r="AT30" s="19">
        <v>240.62499659115846</v>
      </c>
      <c r="AU30" s="19">
        <v>233.10546544768476</v>
      </c>
      <c r="AV30" s="19">
        <v>225.58593430421107</v>
      </c>
      <c r="AW30" s="19">
        <v>218.06640316073734</v>
      </c>
      <c r="AX30" s="19">
        <v>210.54687201726364</v>
      </c>
      <c r="AY30" s="19">
        <v>203.02734087378994</v>
      </c>
      <c r="AZ30" s="19">
        <v>195.50780973031624</v>
      </c>
      <c r="BA30" s="19">
        <v>187.98827858684254</v>
      </c>
      <c r="BB30" s="19">
        <v>180.4687474433688</v>
      </c>
      <c r="BC30" s="19">
        <v>172.9492162998951</v>
      </c>
      <c r="BD30" s="19">
        <v>165.4296851564214</v>
      </c>
      <c r="BE30" s="19">
        <v>157.91015401294771</v>
      </c>
      <c r="BF30" s="19">
        <v>150.39062286947402</v>
      </c>
      <c r="BG30" s="19">
        <v>142.8710917260003</v>
      </c>
      <c r="BH30" s="19">
        <v>135.3515605825266</v>
      </c>
      <c r="BI30" s="19">
        <v>127.83202943905289</v>
      </c>
      <c r="BJ30" s="19">
        <v>120.31249829557918</v>
      </c>
      <c r="BK30" s="19">
        <v>112.79296715210548</v>
      </c>
      <c r="BL30" s="19">
        <v>105.27343600863178</v>
      </c>
      <c r="BM30" s="19">
        <v>97.75390486515806</v>
      </c>
      <c r="BN30" s="19">
        <v>90.23437372168436</v>
      </c>
      <c r="BO30" s="19">
        <v>82.71484257821065</v>
      </c>
      <c r="BP30" s="19">
        <v>75.19531143473695</v>
      </c>
      <c r="BQ30" s="19">
        <v>67.67578029126325</v>
      </c>
      <c r="BR30" s="19">
        <v>60.15624914778954</v>
      </c>
      <c r="BS30" s="19">
        <v>52.63671800431584</v>
      </c>
      <c r="BT30" s="19">
        <v>45.117186860842146</v>
      </c>
      <c r="BU30" s="19">
        <v>37.59765571736845</v>
      </c>
      <c r="BV30" s="19">
        <v>30.078124573894744</v>
      </c>
      <c r="BW30" s="19">
        <v>22.558593430421045</v>
      </c>
      <c r="BX30" s="19">
        <v>15.039062286947347</v>
      </c>
      <c r="BY30" s="19">
        <v>7.519531143473649</v>
      </c>
      <c r="BZ30" s="19">
        <v>0</v>
      </c>
      <c r="CA30" s="19">
        <v>0</v>
      </c>
      <c r="CB30" s="19">
        <v>0</v>
      </c>
      <c r="CC30" s="19">
        <v>0</v>
      </c>
      <c r="CD30" s="19">
        <v>0</v>
      </c>
      <c r="CE30" s="19">
        <v>0</v>
      </c>
      <c r="CF30" s="19">
        <v>0</v>
      </c>
      <c r="CG30" s="19">
        <v>0</v>
      </c>
      <c r="CH30" s="19">
        <v>0</v>
      </c>
      <c r="CI30" s="19">
        <v>0</v>
      </c>
      <c r="CJ30" s="19">
        <v>0</v>
      </c>
      <c r="CK30" s="19">
        <v>0</v>
      </c>
      <c r="CL30" s="19">
        <v>0</v>
      </c>
    </row>
    <row r="31" spans="2:90" x14ac:dyDescent="0.25">
      <c r="B31" s="29" t="s">
        <v>193</v>
      </c>
      <c r="C31" s="30" t="s">
        <v>190</v>
      </c>
      <c r="D31" s="14">
        <v>34999.9995041685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0</v>
      </c>
      <c r="N31" s="19">
        <v>1071.87498481516</v>
      </c>
      <c r="O31" s="19">
        <v>734.9999895875383</v>
      </c>
      <c r="P31" s="19">
        <v>454.9999935541903</v>
      </c>
      <c r="Q31" s="19">
        <v>454.9999935541903</v>
      </c>
      <c r="R31" s="19">
        <v>489.9999930583588</v>
      </c>
      <c r="S31" s="19">
        <v>489.9999930583588</v>
      </c>
      <c r="T31" s="19">
        <v>489.9999930583588</v>
      </c>
      <c r="U31" s="19">
        <v>489.9999930583588</v>
      </c>
      <c r="V31" s="19">
        <v>489.9999930583588</v>
      </c>
      <c r="W31" s="19">
        <v>489.9999930583588</v>
      </c>
      <c r="X31" s="19">
        <v>489.9999930583588</v>
      </c>
      <c r="Y31" s="19">
        <v>524.9999925625273</v>
      </c>
      <c r="Z31" s="19">
        <v>524.9999925625273</v>
      </c>
      <c r="AA31" s="19">
        <v>524.9999925625273</v>
      </c>
      <c r="AB31" s="19">
        <v>524.9999925625273</v>
      </c>
      <c r="AC31" s="19">
        <v>524.9999925625273</v>
      </c>
      <c r="AD31" s="19">
        <v>524.9999925625273</v>
      </c>
      <c r="AE31" s="19">
        <v>546.8749922526326</v>
      </c>
      <c r="AF31" s="19">
        <v>546.8749922526326</v>
      </c>
      <c r="AG31" s="19">
        <v>546.8749922526326</v>
      </c>
      <c r="AH31" s="19">
        <v>546.8749922526326</v>
      </c>
      <c r="AI31" s="19">
        <v>546.8749922526326</v>
      </c>
      <c r="AJ31" s="19">
        <v>546.8749922526326</v>
      </c>
      <c r="AK31" s="19">
        <v>546.8749922526326</v>
      </c>
      <c r="AL31" s="19">
        <v>546.8749922526326</v>
      </c>
      <c r="AM31" s="19">
        <v>546.8749922526326</v>
      </c>
      <c r="AN31" s="19">
        <v>546.8749922526326</v>
      </c>
      <c r="AO31" s="19">
        <v>546.8749922526326</v>
      </c>
      <c r="AP31" s="19">
        <v>546.8749922526326</v>
      </c>
      <c r="AQ31" s="19">
        <v>546.8749922526326</v>
      </c>
      <c r="AR31" s="19">
        <v>546.8749922526326</v>
      </c>
      <c r="AS31" s="19">
        <v>546.8749922526326</v>
      </c>
      <c r="AT31" s="19">
        <v>546.8749922526326</v>
      </c>
      <c r="AU31" s="19">
        <v>546.8749922526326</v>
      </c>
      <c r="AV31" s="19">
        <v>546.8749922526326</v>
      </c>
      <c r="AW31" s="19">
        <v>546.8749922526326</v>
      </c>
      <c r="AX31" s="19">
        <v>546.8749922526326</v>
      </c>
      <c r="AY31" s="19">
        <v>546.8749922526326</v>
      </c>
      <c r="AZ31" s="19">
        <v>546.8749922526326</v>
      </c>
      <c r="BA31" s="19">
        <v>546.8749922526326</v>
      </c>
      <c r="BB31" s="19">
        <v>546.8749922526326</v>
      </c>
      <c r="BC31" s="19">
        <v>546.8749922526326</v>
      </c>
      <c r="BD31" s="19">
        <v>546.8749922526326</v>
      </c>
      <c r="BE31" s="19">
        <v>546.8749922526326</v>
      </c>
      <c r="BF31" s="19">
        <v>546.8749922526326</v>
      </c>
      <c r="BG31" s="19">
        <v>546.8749922526326</v>
      </c>
      <c r="BH31" s="19">
        <v>546.8749922526326</v>
      </c>
      <c r="BI31" s="19">
        <v>546.8749922526326</v>
      </c>
      <c r="BJ31" s="19">
        <v>546.8749922526326</v>
      </c>
      <c r="BK31" s="19">
        <v>546.8749922526326</v>
      </c>
      <c r="BL31" s="19">
        <v>546.8749922526326</v>
      </c>
      <c r="BM31" s="19">
        <v>546.8749922526326</v>
      </c>
      <c r="BN31" s="19">
        <v>546.8749922526326</v>
      </c>
      <c r="BO31" s="19">
        <v>546.8749922526326</v>
      </c>
      <c r="BP31" s="19">
        <v>546.8749922526326</v>
      </c>
      <c r="BQ31" s="19">
        <v>546.8749922526326</v>
      </c>
      <c r="BR31" s="19">
        <v>546.8749922526326</v>
      </c>
      <c r="BS31" s="19">
        <v>546.8749922526326</v>
      </c>
      <c r="BT31" s="19">
        <v>546.8749922526326</v>
      </c>
      <c r="BU31" s="19">
        <v>546.8749922526326</v>
      </c>
      <c r="BV31" s="19">
        <v>546.8749922526326</v>
      </c>
      <c r="BW31" s="19">
        <v>546.8749922526326</v>
      </c>
      <c r="BX31" s="19">
        <v>546.8749922526326</v>
      </c>
      <c r="BY31" s="19">
        <v>546.874992252629</v>
      </c>
      <c r="BZ31" s="19">
        <v>0</v>
      </c>
      <c r="CA31" s="19">
        <v>0</v>
      </c>
      <c r="CB31" s="19">
        <v>0</v>
      </c>
      <c r="CC31" s="19">
        <v>0</v>
      </c>
      <c r="CD31" s="19">
        <v>0</v>
      </c>
      <c r="CE31" s="19">
        <v>0</v>
      </c>
      <c r="CF31" s="19">
        <v>0</v>
      </c>
      <c r="CG31" s="19">
        <v>0</v>
      </c>
      <c r="CH31" s="19">
        <v>0</v>
      </c>
      <c r="CI31" s="19">
        <v>0</v>
      </c>
      <c r="CJ31" s="19">
        <v>0</v>
      </c>
      <c r="CK31" s="19">
        <v>0</v>
      </c>
      <c r="CL31" s="19">
        <v>0</v>
      </c>
    </row>
    <row r="32" spans="2:90" x14ac:dyDescent="0.25">
      <c r="B32" s="31" t="s">
        <v>194</v>
      </c>
      <c r="C32" s="30" t="s">
        <v>190</v>
      </c>
      <c r="E32" s="14">
        <v>0</v>
      </c>
      <c r="F32" s="14">
        <v>0</v>
      </c>
      <c r="G32" s="14">
        <v>0</v>
      </c>
      <c r="H32" s="14">
        <v>0</v>
      </c>
      <c r="I32" s="14">
        <v>1261.0874207284542</v>
      </c>
      <c r="J32" s="14">
        <v>34999.99950416849</v>
      </c>
      <c r="K32" s="14">
        <v>34999.99950416849</v>
      </c>
      <c r="L32" s="14">
        <v>34999.99950416849</v>
      </c>
      <c r="M32" s="14">
        <v>34999.99950416849</v>
      </c>
      <c r="N32" s="14">
        <v>33928.12451935333</v>
      </c>
      <c r="O32" s="14">
        <v>33193.124529765795</v>
      </c>
      <c r="P32" s="14">
        <v>32738.124536211606</v>
      </c>
      <c r="Q32" s="14">
        <v>32283.124542657417</v>
      </c>
      <c r="R32" s="14">
        <v>31793.12454959906</v>
      </c>
      <c r="S32" s="14">
        <v>31303.1245565407</v>
      </c>
      <c r="T32" s="14">
        <v>30813.124563482343</v>
      </c>
      <c r="U32" s="14">
        <v>30323.124570423985</v>
      </c>
      <c r="V32" s="14">
        <v>29833.124577365626</v>
      </c>
      <c r="W32" s="14">
        <v>29343.12458430727</v>
      </c>
      <c r="X32" s="14">
        <v>28853.12459124891</v>
      </c>
      <c r="Y32" s="14">
        <v>28328.124598686383</v>
      </c>
      <c r="Z32" s="14">
        <v>27803.124606123856</v>
      </c>
      <c r="AA32" s="14">
        <v>27278.12461356133</v>
      </c>
      <c r="AB32" s="14">
        <v>26753.124620998802</v>
      </c>
      <c r="AC32" s="14">
        <v>26228.124628436275</v>
      </c>
      <c r="AD32" s="14">
        <v>25703.124635873748</v>
      </c>
      <c r="AE32" s="14">
        <v>25156.249643621115</v>
      </c>
      <c r="AF32" s="14">
        <v>24609.374651368482</v>
      </c>
      <c r="AG32" s="14">
        <v>24062.49965911585</v>
      </c>
      <c r="AH32" s="14">
        <v>23515.624666863216</v>
      </c>
      <c r="AI32" s="14">
        <v>22968.749674610583</v>
      </c>
      <c r="AJ32" s="14">
        <v>22421.87468235795</v>
      </c>
      <c r="AK32" s="14">
        <v>21874.999690105316</v>
      </c>
      <c r="AL32" s="14">
        <v>21328.124697852683</v>
      </c>
      <c r="AM32" s="14">
        <v>20781.24970560005</v>
      </c>
      <c r="AN32" s="14">
        <v>20234.374713347417</v>
      </c>
      <c r="AO32" s="14">
        <v>19687.499721094784</v>
      </c>
      <c r="AP32" s="14">
        <v>19140.62472884215</v>
      </c>
      <c r="AQ32" s="14">
        <v>18593.749736589518</v>
      </c>
      <c r="AR32" s="14">
        <v>18046.874744336885</v>
      </c>
      <c r="AS32" s="14">
        <v>17499.99975208425</v>
      </c>
      <c r="AT32" s="14">
        <v>16953.12475983162</v>
      </c>
      <c r="AU32" s="14">
        <v>16406.249767578985</v>
      </c>
      <c r="AV32" s="14">
        <v>15859.374775326352</v>
      </c>
      <c r="AW32" s="14">
        <v>15312.49978307372</v>
      </c>
      <c r="AX32" s="14">
        <v>14765.624790821086</v>
      </c>
      <c r="AY32" s="14">
        <v>14218.749798568453</v>
      </c>
      <c r="AZ32" s="14">
        <v>13671.87480631582</v>
      </c>
      <c r="BA32" s="14">
        <v>13124.999814063187</v>
      </c>
      <c r="BB32" s="14">
        <v>12578.124821810554</v>
      </c>
      <c r="BC32" s="14">
        <v>12031.24982955792</v>
      </c>
      <c r="BD32" s="14">
        <v>11484.374837305288</v>
      </c>
      <c r="BE32" s="14">
        <v>10937.499845052655</v>
      </c>
      <c r="BF32" s="14">
        <v>10390.624852800021</v>
      </c>
      <c r="BG32" s="14">
        <v>9843.749860547388</v>
      </c>
      <c r="BH32" s="14">
        <v>9296.874868294755</v>
      </c>
      <c r="BI32" s="14">
        <v>8749.999876042122</v>
      </c>
      <c r="BJ32" s="14">
        <v>8203.12488378949</v>
      </c>
      <c r="BK32" s="14">
        <v>7656.249891536856</v>
      </c>
      <c r="BL32" s="14">
        <v>7109.374899284223</v>
      </c>
      <c r="BM32" s="14">
        <v>6562.49990703159</v>
      </c>
      <c r="BN32" s="14">
        <v>6015.624914778957</v>
      </c>
      <c r="BO32" s="14">
        <v>5468.749922526324</v>
      </c>
      <c r="BP32" s="14">
        <v>4921.874930273691</v>
      </c>
      <c r="BQ32" s="14">
        <v>4374.9999380210575</v>
      </c>
      <c r="BR32" s="14">
        <v>3828.124945768425</v>
      </c>
      <c r="BS32" s="14">
        <v>3281.249953515792</v>
      </c>
      <c r="BT32" s="14">
        <v>2734.3749612631595</v>
      </c>
      <c r="BU32" s="14">
        <v>2187.499969010527</v>
      </c>
      <c r="BV32" s="14">
        <v>1640.6249767578943</v>
      </c>
      <c r="BW32" s="14">
        <v>1093.7499845052616</v>
      </c>
      <c r="BX32" s="14">
        <v>546.874992252629</v>
      </c>
      <c r="BY32" s="14">
        <v>0</v>
      </c>
      <c r="BZ32" s="14">
        <v>0</v>
      </c>
      <c r="CA32" s="14">
        <v>0</v>
      </c>
      <c r="CB32" s="14">
        <v>0</v>
      </c>
      <c r="CC32" s="14">
        <v>0</v>
      </c>
      <c r="CD32" s="14">
        <v>0</v>
      </c>
      <c r="CE32" s="14">
        <v>0</v>
      </c>
      <c r="CF32" s="14">
        <v>0</v>
      </c>
      <c r="CG32" s="14">
        <v>0</v>
      </c>
      <c r="CH32" s="14">
        <v>0</v>
      </c>
      <c r="CI32" s="14">
        <v>0</v>
      </c>
      <c r="CJ32" s="14">
        <v>0</v>
      </c>
      <c r="CK32" s="14">
        <v>0</v>
      </c>
      <c r="CL32" s="14">
        <v>0</v>
      </c>
    </row>
    <row r="33" spans="2:6" x14ac:dyDescent="0.25">
      <c r="B33" s="29" t="s">
        <v>195</v>
      </c>
      <c r="C33" s="30" t="s">
        <v>190</v>
      </c>
      <c r="D33" s="19">
        <v>0</v>
      </c>
      <c r="F33" s="19" t="s">
        <v>196</v>
      </c>
    </row>
    <row r="35" spans="2:91" x14ac:dyDescent="0.25">
      <c r="B35" s="27" t="s">
        <v>66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8"/>
      <c r="BS35" s="28"/>
      <c r="BT35" s="28"/>
      <c r="BU35" s="28"/>
      <c r="BV35" s="28"/>
      <c r="BW35" s="28"/>
      <c r="BX35" s="28"/>
      <c r="BY35" s="28"/>
      <c r="BZ35" s="28"/>
      <c r="CA35" s="28"/>
      <c r="CB35" s="28"/>
      <c r="CC35" s="28"/>
      <c r="CD35" s="28"/>
      <c r="CE35" s="28"/>
      <c r="CF35" s="28"/>
      <c r="CG35" s="28"/>
      <c r="CH35" s="28"/>
      <c r="CI35" s="28"/>
      <c r="CJ35" s="28"/>
      <c r="CK35" s="28"/>
      <c r="CL35" s="28"/>
      <c r="CM35" s="28"/>
    </row>
    <row r="36" spans="2:90" x14ac:dyDescent="0.25">
      <c r="B36" s="29" t="s">
        <v>189</v>
      </c>
      <c r="C36" s="30" t="s">
        <v>190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  <c r="BK36" s="19">
        <v>0</v>
      </c>
      <c r="BL36" s="19">
        <v>0</v>
      </c>
      <c r="BM36" s="19">
        <v>0</v>
      </c>
      <c r="BN36" s="19">
        <v>0</v>
      </c>
      <c r="BO36" s="19">
        <v>0</v>
      </c>
      <c r="BP36" s="19">
        <v>0</v>
      </c>
      <c r="BQ36" s="19">
        <v>0</v>
      </c>
      <c r="BR36" s="19">
        <v>0</v>
      </c>
      <c r="BS36" s="19">
        <v>0</v>
      </c>
      <c r="BT36" s="19">
        <v>0</v>
      </c>
      <c r="BU36" s="19">
        <v>0</v>
      </c>
      <c r="BV36" s="19">
        <v>0</v>
      </c>
      <c r="BW36" s="19">
        <v>0</v>
      </c>
      <c r="BX36" s="19">
        <v>0</v>
      </c>
      <c r="BY36" s="19">
        <v>0</v>
      </c>
      <c r="BZ36" s="19">
        <v>0</v>
      </c>
      <c r="CA36" s="19">
        <v>0</v>
      </c>
      <c r="CB36" s="19">
        <v>0</v>
      </c>
      <c r="CC36" s="19">
        <v>0</v>
      </c>
      <c r="CD36" s="19">
        <v>0</v>
      </c>
      <c r="CE36" s="19">
        <v>0</v>
      </c>
      <c r="CF36" s="19">
        <v>0</v>
      </c>
      <c r="CG36" s="19">
        <v>0</v>
      </c>
      <c r="CH36" s="19">
        <v>0</v>
      </c>
      <c r="CI36" s="19">
        <v>0</v>
      </c>
      <c r="CJ36" s="19">
        <v>0</v>
      </c>
      <c r="CK36" s="19">
        <v>0</v>
      </c>
      <c r="CL36" s="19">
        <v>0</v>
      </c>
    </row>
    <row r="37" spans="2:90" x14ac:dyDescent="0.25">
      <c r="B37" s="29" t="s">
        <v>191</v>
      </c>
      <c r="C37" s="30" t="s">
        <v>190</v>
      </c>
      <c r="D37" s="14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  <c r="BK37" s="19">
        <v>0</v>
      </c>
      <c r="BL37" s="19">
        <v>0</v>
      </c>
      <c r="BM37" s="19">
        <v>0</v>
      </c>
      <c r="BN37" s="19">
        <v>0</v>
      </c>
      <c r="BO37" s="19">
        <v>0</v>
      </c>
      <c r="BP37" s="19">
        <v>0</v>
      </c>
      <c r="BQ37" s="19">
        <v>0</v>
      </c>
      <c r="BR37" s="19">
        <v>0</v>
      </c>
      <c r="BS37" s="19">
        <v>0</v>
      </c>
      <c r="BT37" s="19">
        <v>0</v>
      </c>
      <c r="BU37" s="19">
        <v>0</v>
      </c>
      <c r="BV37" s="19">
        <v>0</v>
      </c>
      <c r="BW37" s="19">
        <v>0</v>
      </c>
      <c r="BX37" s="19">
        <v>0</v>
      </c>
      <c r="BY37" s="19">
        <v>0</v>
      </c>
      <c r="BZ37" s="19">
        <v>0</v>
      </c>
      <c r="CA37" s="19">
        <v>0</v>
      </c>
      <c r="CB37" s="19">
        <v>0</v>
      </c>
      <c r="CC37" s="19">
        <v>0</v>
      </c>
      <c r="CD37" s="19">
        <v>0</v>
      </c>
      <c r="CE37" s="19">
        <v>0</v>
      </c>
      <c r="CF37" s="19">
        <v>0</v>
      </c>
      <c r="CG37" s="19">
        <v>0</v>
      </c>
      <c r="CH37" s="19">
        <v>0</v>
      </c>
      <c r="CI37" s="19">
        <v>0</v>
      </c>
      <c r="CJ37" s="19">
        <v>0</v>
      </c>
      <c r="CK37" s="19">
        <v>0</v>
      </c>
      <c r="CL37" s="19">
        <v>0</v>
      </c>
    </row>
    <row r="38" spans="2:90" x14ac:dyDescent="0.25">
      <c r="B38" s="29" t="s">
        <v>95</v>
      </c>
      <c r="C38" s="30" t="s">
        <v>190</v>
      </c>
      <c r="D38" s="14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  <c r="BK38" s="19">
        <v>0</v>
      </c>
      <c r="BL38" s="19">
        <v>0</v>
      </c>
      <c r="BM38" s="19">
        <v>0</v>
      </c>
      <c r="BN38" s="19">
        <v>0</v>
      </c>
      <c r="BO38" s="19">
        <v>0</v>
      </c>
      <c r="BP38" s="19">
        <v>0</v>
      </c>
      <c r="BQ38" s="19">
        <v>0</v>
      </c>
      <c r="BR38" s="19">
        <v>0</v>
      </c>
      <c r="BS38" s="19">
        <v>0</v>
      </c>
      <c r="BT38" s="19">
        <v>0</v>
      </c>
      <c r="BU38" s="19">
        <v>0</v>
      </c>
      <c r="BV38" s="19">
        <v>0</v>
      </c>
      <c r="BW38" s="19">
        <v>0</v>
      </c>
      <c r="BX38" s="19">
        <v>0</v>
      </c>
      <c r="BY38" s="19">
        <v>0</v>
      </c>
      <c r="BZ38" s="19">
        <v>0</v>
      </c>
      <c r="CA38" s="19">
        <v>0</v>
      </c>
      <c r="CB38" s="19">
        <v>0</v>
      </c>
      <c r="CC38" s="19">
        <v>0</v>
      </c>
      <c r="CD38" s="19">
        <v>0</v>
      </c>
      <c r="CE38" s="19">
        <v>0</v>
      </c>
      <c r="CF38" s="19">
        <v>0</v>
      </c>
      <c r="CG38" s="19">
        <v>0</v>
      </c>
      <c r="CH38" s="19">
        <v>0</v>
      </c>
      <c r="CI38" s="19">
        <v>0</v>
      </c>
      <c r="CJ38" s="19">
        <v>0</v>
      </c>
      <c r="CK38" s="19">
        <v>0</v>
      </c>
      <c r="CL38" s="19">
        <v>0</v>
      </c>
    </row>
    <row r="39" spans="2:90" x14ac:dyDescent="0.25">
      <c r="B39" s="29" t="s">
        <v>192</v>
      </c>
      <c r="C39" s="30" t="s">
        <v>190</v>
      </c>
      <c r="D39" s="14">
        <v>0</v>
      </c>
      <c r="E39" s="19">
        <v>0</v>
      </c>
      <c r="F39" s="19">
        <v>0</v>
      </c>
      <c r="G39" s="19">
        <v>0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  <c r="BK39" s="19">
        <v>0</v>
      </c>
      <c r="BL39" s="19">
        <v>0</v>
      </c>
      <c r="BM39" s="19">
        <v>0</v>
      </c>
      <c r="BN39" s="19">
        <v>0</v>
      </c>
      <c r="BO39" s="19">
        <v>0</v>
      </c>
      <c r="BP39" s="19">
        <v>0</v>
      </c>
      <c r="BQ39" s="19">
        <v>0</v>
      </c>
      <c r="BR39" s="19">
        <v>0</v>
      </c>
      <c r="BS39" s="19">
        <v>0</v>
      </c>
      <c r="BT39" s="19">
        <v>0</v>
      </c>
      <c r="BU39" s="19">
        <v>0</v>
      </c>
      <c r="BV39" s="19">
        <v>0</v>
      </c>
      <c r="BW39" s="19">
        <v>0</v>
      </c>
      <c r="BX39" s="19">
        <v>0</v>
      </c>
      <c r="BY39" s="19">
        <v>0</v>
      </c>
      <c r="BZ39" s="19">
        <v>0</v>
      </c>
      <c r="CA39" s="19">
        <v>0</v>
      </c>
      <c r="CB39" s="19">
        <v>0</v>
      </c>
      <c r="CC39" s="19">
        <v>0</v>
      </c>
      <c r="CD39" s="19">
        <v>0</v>
      </c>
      <c r="CE39" s="19">
        <v>0</v>
      </c>
      <c r="CF39" s="19">
        <v>0</v>
      </c>
      <c r="CG39" s="19">
        <v>0</v>
      </c>
      <c r="CH39" s="19">
        <v>0</v>
      </c>
      <c r="CI39" s="19">
        <v>0</v>
      </c>
      <c r="CJ39" s="19">
        <v>0</v>
      </c>
      <c r="CK39" s="19">
        <v>0</v>
      </c>
      <c r="CL39" s="19">
        <v>0</v>
      </c>
    </row>
    <row r="40" spans="2:90" x14ac:dyDescent="0.25">
      <c r="B40" s="29" t="s">
        <v>193</v>
      </c>
      <c r="C40" s="30" t="s">
        <v>190</v>
      </c>
      <c r="D40" s="14">
        <v>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9">
        <v>0</v>
      </c>
      <c r="BL40" s="19">
        <v>0</v>
      </c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  <c r="BV40" s="19">
        <v>0</v>
      </c>
      <c r="BW40" s="19">
        <v>0</v>
      </c>
      <c r="BX40" s="19">
        <v>0</v>
      </c>
      <c r="BY40" s="19">
        <v>0</v>
      </c>
      <c r="BZ40" s="19">
        <v>0</v>
      </c>
      <c r="CA40" s="19">
        <v>0</v>
      </c>
      <c r="CB40" s="19">
        <v>0</v>
      </c>
      <c r="CC40" s="19">
        <v>0</v>
      </c>
      <c r="CD40" s="19">
        <v>0</v>
      </c>
      <c r="CE40" s="19">
        <v>0</v>
      </c>
      <c r="CF40" s="19">
        <v>0</v>
      </c>
      <c r="CG40" s="19">
        <v>0</v>
      </c>
      <c r="CH40" s="19">
        <v>0</v>
      </c>
      <c r="CI40" s="19">
        <v>0</v>
      </c>
      <c r="CJ40" s="19">
        <v>0</v>
      </c>
      <c r="CK40" s="19">
        <v>0</v>
      </c>
      <c r="CL40" s="19">
        <v>0</v>
      </c>
    </row>
    <row r="41" spans="2:90" x14ac:dyDescent="0.25">
      <c r="B41" s="31" t="s">
        <v>194</v>
      </c>
      <c r="C41" s="30" t="s">
        <v>190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14">
        <v>0</v>
      </c>
      <c r="AE41" s="14">
        <v>0</v>
      </c>
      <c r="AF41" s="14">
        <v>0</v>
      </c>
      <c r="AG41" s="14">
        <v>0</v>
      </c>
      <c r="AH41" s="14">
        <v>0</v>
      </c>
      <c r="AI41" s="14">
        <v>0</v>
      </c>
      <c r="AJ41" s="14">
        <v>0</v>
      </c>
      <c r="AK41" s="14">
        <v>0</v>
      </c>
      <c r="AL41" s="14">
        <v>0</v>
      </c>
      <c r="AM41" s="14">
        <v>0</v>
      </c>
      <c r="AN41" s="14">
        <v>0</v>
      </c>
      <c r="AO41" s="14">
        <v>0</v>
      </c>
      <c r="AP41" s="14">
        <v>0</v>
      </c>
      <c r="AQ41" s="14">
        <v>0</v>
      </c>
      <c r="AR41" s="14">
        <v>0</v>
      </c>
      <c r="AS41" s="14">
        <v>0</v>
      </c>
      <c r="AT41" s="14">
        <v>0</v>
      </c>
      <c r="AU41" s="14">
        <v>0</v>
      </c>
      <c r="AV41" s="14">
        <v>0</v>
      </c>
      <c r="AW41" s="14">
        <v>0</v>
      </c>
      <c r="AX41" s="14">
        <v>0</v>
      </c>
      <c r="AY41" s="14">
        <v>0</v>
      </c>
      <c r="AZ41" s="14">
        <v>0</v>
      </c>
      <c r="BA41" s="14">
        <v>0</v>
      </c>
      <c r="BB41" s="14">
        <v>0</v>
      </c>
      <c r="BC41" s="14">
        <v>0</v>
      </c>
      <c r="BD41" s="14">
        <v>0</v>
      </c>
      <c r="BE41" s="14">
        <v>0</v>
      </c>
      <c r="BF41" s="14">
        <v>0</v>
      </c>
      <c r="BG41" s="14">
        <v>0</v>
      </c>
      <c r="BH41" s="14">
        <v>0</v>
      </c>
      <c r="BI41" s="14">
        <v>0</v>
      </c>
      <c r="BJ41" s="14">
        <v>0</v>
      </c>
      <c r="BK41" s="14">
        <v>0</v>
      </c>
      <c r="BL41" s="14">
        <v>0</v>
      </c>
      <c r="BM41" s="14">
        <v>0</v>
      </c>
      <c r="BN41" s="14">
        <v>0</v>
      </c>
      <c r="BO41" s="14">
        <v>0</v>
      </c>
      <c r="BP41" s="14">
        <v>0</v>
      </c>
      <c r="BQ41" s="14">
        <v>0</v>
      </c>
      <c r="BR41" s="14">
        <v>0</v>
      </c>
      <c r="BS41" s="14">
        <v>0</v>
      </c>
      <c r="BT41" s="14">
        <v>0</v>
      </c>
      <c r="BU41" s="14">
        <v>0</v>
      </c>
      <c r="BV41" s="14">
        <v>0</v>
      </c>
      <c r="BW41" s="14">
        <v>0</v>
      </c>
      <c r="BX41" s="14">
        <v>0</v>
      </c>
      <c r="BY41" s="14">
        <v>0</v>
      </c>
      <c r="BZ41" s="14">
        <v>0</v>
      </c>
      <c r="CA41" s="14">
        <v>0</v>
      </c>
      <c r="CB41" s="14">
        <v>0</v>
      </c>
      <c r="CC41" s="14">
        <v>0</v>
      </c>
      <c r="CD41" s="14">
        <v>0</v>
      </c>
      <c r="CE41" s="14">
        <v>0</v>
      </c>
      <c r="CF41" s="14">
        <v>0</v>
      </c>
      <c r="CG41" s="14">
        <v>0</v>
      </c>
      <c r="CH41" s="14">
        <v>0</v>
      </c>
      <c r="CI41" s="14">
        <v>0</v>
      </c>
      <c r="CJ41" s="14">
        <v>0</v>
      </c>
      <c r="CK41" s="14">
        <v>0</v>
      </c>
      <c r="CL41" s="14">
        <v>0</v>
      </c>
    </row>
    <row r="42" spans="2:6" x14ac:dyDescent="0.25">
      <c r="B42" s="29" t="s">
        <v>195</v>
      </c>
      <c r="C42" s="30" t="s">
        <v>190</v>
      </c>
      <c r="D42" s="19">
        <v>0</v>
      </c>
      <c r="F42" s="19" t="s">
        <v>196</v>
      </c>
    </row>
    <row r="44" spans="2:91" x14ac:dyDescent="0.25">
      <c r="B44" s="27" t="s">
        <v>67</v>
      </c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8"/>
      <c r="CJ44" s="28"/>
      <c r="CK44" s="28"/>
      <c r="CL44" s="28"/>
      <c r="CM44" s="28"/>
    </row>
    <row r="45" spans="2:90" x14ac:dyDescent="0.25">
      <c r="B45" s="29" t="s">
        <v>189</v>
      </c>
      <c r="C45" s="30" t="s">
        <v>190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  <c r="BK45" s="19">
        <v>0</v>
      </c>
      <c r="BL45" s="19">
        <v>0</v>
      </c>
      <c r="BM45" s="19">
        <v>0</v>
      </c>
      <c r="BN45" s="19">
        <v>0</v>
      </c>
      <c r="BO45" s="19">
        <v>0</v>
      </c>
      <c r="BP45" s="19">
        <v>0</v>
      </c>
      <c r="BQ45" s="19">
        <v>0</v>
      </c>
      <c r="BR45" s="19">
        <v>0</v>
      </c>
      <c r="BS45" s="19">
        <v>0</v>
      </c>
      <c r="BT45" s="19">
        <v>0</v>
      </c>
      <c r="BU45" s="19">
        <v>0</v>
      </c>
      <c r="BV45" s="19">
        <v>0</v>
      </c>
      <c r="BW45" s="19">
        <v>0</v>
      </c>
      <c r="BX45" s="19">
        <v>0</v>
      </c>
      <c r="BY45" s="19">
        <v>0</v>
      </c>
      <c r="BZ45" s="19">
        <v>0</v>
      </c>
      <c r="CA45" s="19">
        <v>0</v>
      </c>
      <c r="CB45" s="19">
        <v>0</v>
      </c>
      <c r="CC45" s="19">
        <v>0</v>
      </c>
      <c r="CD45" s="19">
        <v>0</v>
      </c>
      <c r="CE45" s="19">
        <v>0</v>
      </c>
      <c r="CF45" s="19">
        <v>0</v>
      </c>
      <c r="CG45" s="19">
        <v>0</v>
      </c>
      <c r="CH45" s="19">
        <v>0</v>
      </c>
      <c r="CI45" s="19">
        <v>0</v>
      </c>
      <c r="CJ45" s="19">
        <v>0</v>
      </c>
      <c r="CK45" s="19">
        <v>0</v>
      </c>
      <c r="CL45" s="19">
        <v>0</v>
      </c>
    </row>
    <row r="46" spans="2:90" x14ac:dyDescent="0.25">
      <c r="B46" s="29" t="s">
        <v>191</v>
      </c>
      <c r="C46" s="30" t="s">
        <v>190</v>
      </c>
      <c r="D46" s="14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  <c r="BK46" s="19">
        <v>0</v>
      </c>
      <c r="BL46" s="19">
        <v>0</v>
      </c>
      <c r="BM46" s="19">
        <v>0</v>
      </c>
      <c r="BN46" s="19">
        <v>0</v>
      </c>
      <c r="BO46" s="19">
        <v>0</v>
      </c>
      <c r="BP46" s="19">
        <v>0</v>
      </c>
      <c r="BQ46" s="19">
        <v>0</v>
      </c>
      <c r="BR46" s="19">
        <v>0</v>
      </c>
      <c r="BS46" s="19">
        <v>0</v>
      </c>
      <c r="BT46" s="19">
        <v>0</v>
      </c>
      <c r="BU46" s="19">
        <v>0</v>
      </c>
      <c r="BV46" s="19">
        <v>0</v>
      </c>
      <c r="BW46" s="19">
        <v>0</v>
      </c>
      <c r="BX46" s="19">
        <v>0</v>
      </c>
      <c r="BY46" s="19">
        <v>0</v>
      </c>
      <c r="BZ46" s="19">
        <v>0</v>
      </c>
      <c r="CA46" s="19">
        <v>0</v>
      </c>
      <c r="CB46" s="19">
        <v>0</v>
      </c>
      <c r="CC46" s="19">
        <v>0</v>
      </c>
      <c r="CD46" s="19">
        <v>0</v>
      </c>
      <c r="CE46" s="19">
        <v>0</v>
      </c>
      <c r="CF46" s="19">
        <v>0</v>
      </c>
      <c r="CG46" s="19">
        <v>0</v>
      </c>
      <c r="CH46" s="19">
        <v>0</v>
      </c>
      <c r="CI46" s="19">
        <v>0</v>
      </c>
      <c r="CJ46" s="19">
        <v>0</v>
      </c>
      <c r="CK46" s="19">
        <v>0</v>
      </c>
      <c r="CL46" s="19">
        <v>0</v>
      </c>
    </row>
    <row r="47" spans="2:90" x14ac:dyDescent="0.25">
      <c r="B47" s="29" t="s">
        <v>95</v>
      </c>
      <c r="C47" s="30" t="s">
        <v>190</v>
      </c>
      <c r="D47" s="14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0</v>
      </c>
      <c r="X47" s="19">
        <v>0</v>
      </c>
      <c r="Y47" s="19">
        <v>0</v>
      </c>
      <c r="Z47" s="19">
        <v>0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  <c r="BK47" s="19">
        <v>0</v>
      </c>
      <c r="BL47" s="19">
        <v>0</v>
      </c>
      <c r="BM47" s="19">
        <v>0</v>
      </c>
      <c r="BN47" s="19">
        <v>0</v>
      </c>
      <c r="BO47" s="19">
        <v>0</v>
      </c>
      <c r="BP47" s="19">
        <v>0</v>
      </c>
      <c r="BQ47" s="19">
        <v>0</v>
      </c>
      <c r="BR47" s="19">
        <v>0</v>
      </c>
      <c r="BS47" s="19">
        <v>0</v>
      </c>
      <c r="BT47" s="19">
        <v>0</v>
      </c>
      <c r="BU47" s="19">
        <v>0</v>
      </c>
      <c r="BV47" s="19">
        <v>0</v>
      </c>
      <c r="BW47" s="19">
        <v>0</v>
      </c>
      <c r="BX47" s="19">
        <v>0</v>
      </c>
      <c r="BY47" s="19">
        <v>0</v>
      </c>
      <c r="BZ47" s="19">
        <v>0</v>
      </c>
      <c r="CA47" s="19">
        <v>0</v>
      </c>
      <c r="CB47" s="19">
        <v>0</v>
      </c>
      <c r="CC47" s="19">
        <v>0</v>
      </c>
      <c r="CD47" s="19">
        <v>0</v>
      </c>
      <c r="CE47" s="19">
        <v>0</v>
      </c>
      <c r="CF47" s="19">
        <v>0</v>
      </c>
      <c r="CG47" s="19">
        <v>0</v>
      </c>
      <c r="CH47" s="19">
        <v>0</v>
      </c>
      <c r="CI47" s="19">
        <v>0</v>
      </c>
      <c r="CJ47" s="19">
        <v>0</v>
      </c>
      <c r="CK47" s="19">
        <v>0</v>
      </c>
      <c r="CL47" s="19">
        <v>0</v>
      </c>
    </row>
    <row r="48" spans="2:90" x14ac:dyDescent="0.25">
      <c r="B48" s="29" t="s">
        <v>192</v>
      </c>
      <c r="C48" s="30" t="s">
        <v>190</v>
      </c>
      <c r="D48" s="14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  <c r="BK48" s="19">
        <v>0</v>
      </c>
      <c r="BL48" s="19">
        <v>0</v>
      </c>
      <c r="BM48" s="19">
        <v>0</v>
      </c>
      <c r="BN48" s="19">
        <v>0</v>
      </c>
      <c r="BO48" s="19">
        <v>0</v>
      </c>
      <c r="BP48" s="19">
        <v>0</v>
      </c>
      <c r="BQ48" s="19">
        <v>0</v>
      </c>
      <c r="BR48" s="19">
        <v>0</v>
      </c>
      <c r="BS48" s="19">
        <v>0</v>
      </c>
      <c r="BT48" s="19">
        <v>0</v>
      </c>
      <c r="BU48" s="19">
        <v>0</v>
      </c>
      <c r="BV48" s="19">
        <v>0</v>
      </c>
      <c r="BW48" s="19">
        <v>0</v>
      </c>
      <c r="BX48" s="19">
        <v>0</v>
      </c>
      <c r="BY48" s="19">
        <v>0</v>
      </c>
      <c r="BZ48" s="19">
        <v>0</v>
      </c>
      <c r="CA48" s="19">
        <v>0</v>
      </c>
      <c r="CB48" s="19">
        <v>0</v>
      </c>
      <c r="CC48" s="19">
        <v>0</v>
      </c>
      <c r="CD48" s="19">
        <v>0</v>
      </c>
      <c r="CE48" s="19">
        <v>0</v>
      </c>
      <c r="CF48" s="19">
        <v>0</v>
      </c>
      <c r="CG48" s="19">
        <v>0</v>
      </c>
      <c r="CH48" s="19">
        <v>0</v>
      </c>
      <c r="CI48" s="19">
        <v>0</v>
      </c>
      <c r="CJ48" s="19">
        <v>0</v>
      </c>
      <c r="CK48" s="19">
        <v>0</v>
      </c>
      <c r="CL48" s="19">
        <v>0</v>
      </c>
    </row>
    <row r="49" spans="2:90" x14ac:dyDescent="0.25">
      <c r="B49" s="29" t="s">
        <v>193</v>
      </c>
      <c r="C49" s="30" t="s">
        <v>190</v>
      </c>
      <c r="D49" s="14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  <c r="BK49" s="19">
        <v>0</v>
      </c>
      <c r="BL49" s="19">
        <v>0</v>
      </c>
      <c r="BM49" s="19">
        <v>0</v>
      </c>
      <c r="BN49" s="19">
        <v>0</v>
      </c>
      <c r="BO49" s="19">
        <v>0</v>
      </c>
      <c r="BP49" s="19">
        <v>0</v>
      </c>
      <c r="BQ49" s="19">
        <v>0</v>
      </c>
      <c r="BR49" s="19">
        <v>0</v>
      </c>
      <c r="BS49" s="19">
        <v>0</v>
      </c>
      <c r="BT49" s="19">
        <v>0</v>
      </c>
      <c r="BU49" s="19">
        <v>0</v>
      </c>
      <c r="BV49" s="19">
        <v>0</v>
      </c>
      <c r="BW49" s="19">
        <v>0</v>
      </c>
      <c r="BX49" s="19">
        <v>0</v>
      </c>
      <c r="BY49" s="19">
        <v>0</v>
      </c>
      <c r="BZ49" s="19">
        <v>0</v>
      </c>
      <c r="CA49" s="19">
        <v>0</v>
      </c>
      <c r="CB49" s="19">
        <v>0</v>
      </c>
      <c r="CC49" s="19">
        <v>0</v>
      </c>
      <c r="CD49" s="19">
        <v>0</v>
      </c>
      <c r="CE49" s="19">
        <v>0</v>
      </c>
      <c r="CF49" s="19">
        <v>0</v>
      </c>
      <c r="CG49" s="19">
        <v>0</v>
      </c>
      <c r="CH49" s="19">
        <v>0</v>
      </c>
      <c r="CI49" s="19">
        <v>0</v>
      </c>
      <c r="CJ49" s="19">
        <v>0</v>
      </c>
      <c r="CK49" s="19">
        <v>0</v>
      </c>
      <c r="CL49" s="19">
        <v>0</v>
      </c>
    </row>
    <row r="50" spans="2:90" x14ac:dyDescent="0.25">
      <c r="B50" s="31" t="s">
        <v>194</v>
      </c>
      <c r="C50" s="30" t="s">
        <v>190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14">
        <v>0</v>
      </c>
      <c r="AE50" s="14">
        <v>0</v>
      </c>
      <c r="AF50" s="14">
        <v>0</v>
      </c>
      <c r="AG50" s="14">
        <v>0</v>
      </c>
      <c r="AH50" s="14">
        <v>0</v>
      </c>
      <c r="AI50" s="14">
        <v>0</v>
      </c>
      <c r="AJ50" s="14">
        <v>0</v>
      </c>
      <c r="AK50" s="14">
        <v>0</v>
      </c>
      <c r="AL50" s="14">
        <v>0</v>
      </c>
      <c r="AM50" s="14">
        <v>0</v>
      </c>
      <c r="AN50" s="14">
        <v>0</v>
      </c>
      <c r="AO50" s="14">
        <v>0</v>
      </c>
      <c r="AP50" s="14">
        <v>0</v>
      </c>
      <c r="AQ50" s="14">
        <v>0</v>
      </c>
      <c r="AR50" s="14">
        <v>0</v>
      </c>
      <c r="AS50" s="14">
        <v>0</v>
      </c>
      <c r="AT50" s="14">
        <v>0</v>
      </c>
      <c r="AU50" s="14">
        <v>0</v>
      </c>
      <c r="AV50" s="14">
        <v>0</v>
      </c>
      <c r="AW50" s="14">
        <v>0</v>
      </c>
      <c r="AX50" s="14">
        <v>0</v>
      </c>
      <c r="AY50" s="14">
        <v>0</v>
      </c>
      <c r="AZ50" s="14">
        <v>0</v>
      </c>
      <c r="BA50" s="14">
        <v>0</v>
      </c>
      <c r="BB50" s="14">
        <v>0</v>
      </c>
      <c r="BC50" s="14">
        <v>0</v>
      </c>
      <c r="BD50" s="14">
        <v>0</v>
      </c>
      <c r="BE50" s="14">
        <v>0</v>
      </c>
      <c r="BF50" s="14">
        <v>0</v>
      </c>
      <c r="BG50" s="14">
        <v>0</v>
      </c>
      <c r="BH50" s="14">
        <v>0</v>
      </c>
      <c r="BI50" s="14">
        <v>0</v>
      </c>
      <c r="BJ50" s="14">
        <v>0</v>
      </c>
      <c r="BK50" s="14">
        <v>0</v>
      </c>
      <c r="BL50" s="14">
        <v>0</v>
      </c>
      <c r="BM50" s="14">
        <v>0</v>
      </c>
      <c r="BN50" s="14">
        <v>0</v>
      </c>
      <c r="BO50" s="14">
        <v>0</v>
      </c>
      <c r="BP50" s="14">
        <v>0</v>
      </c>
      <c r="BQ50" s="14">
        <v>0</v>
      </c>
      <c r="BR50" s="14">
        <v>0</v>
      </c>
      <c r="BS50" s="14">
        <v>0</v>
      </c>
      <c r="BT50" s="14">
        <v>0</v>
      </c>
      <c r="BU50" s="14">
        <v>0</v>
      </c>
      <c r="BV50" s="14">
        <v>0</v>
      </c>
      <c r="BW50" s="14">
        <v>0</v>
      </c>
      <c r="BX50" s="14">
        <v>0</v>
      </c>
      <c r="BY50" s="14">
        <v>0</v>
      </c>
      <c r="BZ50" s="14">
        <v>0</v>
      </c>
      <c r="CA50" s="14">
        <v>0</v>
      </c>
      <c r="CB50" s="14">
        <v>0</v>
      </c>
      <c r="CC50" s="14">
        <v>0</v>
      </c>
      <c r="CD50" s="14">
        <v>0</v>
      </c>
      <c r="CE50" s="14">
        <v>0</v>
      </c>
      <c r="CF50" s="14">
        <v>0</v>
      </c>
      <c r="CG50" s="14">
        <v>0</v>
      </c>
      <c r="CH50" s="14">
        <v>0</v>
      </c>
      <c r="CI50" s="14">
        <v>0</v>
      </c>
      <c r="CJ50" s="14">
        <v>0</v>
      </c>
      <c r="CK50" s="14">
        <v>0</v>
      </c>
      <c r="CL50" s="14">
        <v>0</v>
      </c>
    </row>
    <row r="51" spans="2:6" x14ac:dyDescent="0.25">
      <c r="B51" s="29" t="s">
        <v>195</v>
      </c>
      <c r="C51" s="30" t="s">
        <v>190</v>
      </c>
      <c r="D51" s="19">
        <v>0</v>
      </c>
      <c r="F51" s="19" t="s">
        <v>196</v>
      </c>
    </row>
    <row r="53" spans="2:91" x14ac:dyDescent="0.25">
      <c r="B53" s="9" t="s">
        <v>197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</row>
    <row r="54" spans="2:90" x14ac:dyDescent="0.25">
      <c r="B54" s="29" t="s">
        <v>189</v>
      </c>
      <c r="C54" s="30" t="s">
        <v>190</v>
      </c>
      <c r="E54" s="19">
        <v>0</v>
      </c>
      <c r="F54" s="19">
        <v>19870.322719052638</v>
      </c>
      <c r="G54" s="19">
        <v>31299.064316450396</v>
      </c>
      <c r="H54" s="19">
        <v>53960.67056704234</v>
      </c>
      <c r="I54" s="19">
        <v>76948.39660527279</v>
      </c>
      <c r="J54" s="19">
        <v>101261.08742072845</v>
      </c>
      <c r="K54" s="19">
        <v>134999.9995041685</v>
      </c>
      <c r="L54" s="19">
        <v>134999.9995041685</v>
      </c>
      <c r="M54" s="19">
        <v>134999.9995041685</v>
      </c>
      <c r="N54" s="19">
        <v>134999.9995041685</v>
      </c>
      <c r="O54" s="19">
        <v>130865.62451935333</v>
      </c>
      <c r="P54" s="19">
        <v>128030.6245297658</v>
      </c>
      <c r="Q54" s="19">
        <v>126275.6245362116</v>
      </c>
      <c r="R54" s="19">
        <v>124520.62454265742</v>
      </c>
      <c r="S54" s="19">
        <v>122630.62454959906</v>
      </c>
      <c r="T54" s="19">
        <v>120740.6245565407</v>
      </c>
      <c r="U54" s="19">
        <v>118850.62456348234</v>
      </c>
      <c r="V54" s="19">
        <v>116960.62457042398</v>
      </c>
      <c r="W54" s="19">
        <v>115070.62457736563</v>
      </c>
      <c r="X54" s="19">
        <v>113180.62458430727</v>
      </c>
      <c r="Y54" s="19">
        <v>111290.62459124891</v>
      </c>
      <c r="Z54" s="19">
        <v>109265.62459868638</v>
      </c>
      <c r="AA54" s="19">
        <v>107240.62460612386</v>
      </c>
      <c r="AB54" s="19">
        <v>105215.62461356133</v>
      </c>
      <c r="AC54" s="19">
        <v>103190.6246209988</v>
      </c>
      <c r="AD54" s="19">
        <v>101165.62462843627</v>
      </c>
      <c r="AE54" s="19">
        <v>99140.62463587374</v>
      </c>
      <c r="AF54" s="19">
        <v>97031.24964362112</v>
      </c>
      <c r="AG54" s="19">
        <v>94921.87465136847</v>
      </c>
      <c r="AH54" s="19">
        <v>92812.49965911586</v>
      </c>
      <c r="AI54" s="19">
        <v>90703.12466686321</v>
      </c>
      <c r="AJ54" s="19">
        <v>88593.74967461059</v>
      </c>
      <c r="AK54" s="19">
        <v>86484.37468235794</v>
      </c>
      <c r="AL54" s="19">
        <v>84374.99969010532</v>
      </c>
      <c r="AM54" s="19">
        <v>82265.62469785268</v>
      </c>
      <c r="AN54" s="19">
        <v>80156.24970560006</v>
      </c>
      <c r="AO54" s="19">
        <v>78046.87471334741</v>
      </c>
      <c r="AP54" s="19">
        <v>75937.49972109479</v>
      </c>
      <c r="AQ54" s="19">
        <v>73828.12472884214</v>
      </c>
      <c r="AR54" s="19">
        <v>71718.74973658953</v>
      </c>
      <c r="AS54" s="19">
        <v>69609.37474433688</v>
      </c>
      <c r="AT54" s="19">
        <v>67499.99975208426</v>
      </c>
      <c r="AU54" s="19">
        <v>65390.62475983162</v>
      </c>
      <c r="AV54" s="19">
        <v>63281.249767578985</v>
      </c>
      <c r="AW54" s="19">
        <v>61171.87477532635</v>
      </c>
      <c r="AX54" s="19">
        <v>59062.49978307372</v>
      </c>
      <c r="AY54" s="19">
        <v>56953.124790821086</v>
      </c>
      <c r="AZ54" s="19">
        <v>54843.74979856845</v>
      </c>
      <c r="BA54" s="19">
        <v>52734.37480631582</v>
      </c>
      <c r="BB54" s="19">
        <v>50624.99981406319</v>
      </c>
      <c r="BC54" s="19">
        <v>48515.624821810554</v>
      </c>
      <c r="BD54" s="19">
        <v>46406.24982955792</v>
      </c>
      <c r="BE54" s="19">
        <v>44296.87483730529</v>
      </c>
      <c r="BF54" s="19">
        <v>42187.499845052655</v>
      </c>
      <c r="BG54" s="19">
        <v>40078.12485280002</v>
      </c>
      <c r="BH54" s="19">
        <v>37968.74986054739</v>
      </c>
      <c r="BI54" s="19">
        <v>35859.374868294755</v>
      </c>
      <c r="BJ54" s="19">
        <v>33749.99987604212</v>
      </c>
      <c r="BK54" s="19">
        <v>31640.62488378949</v>
      </c>
      <c r="BL54" s="19">
        <v>29531.249891536856</v>
      </c>
      <c r="BM54" s="19">
        <v>27421.874899284223</v>
      </c>
      <c r="BN54" s="19">
        <v>25312.49990703159</v>
      </c>
      <c r="BO54" s="19">
        <v>23203.124914778957</v>
      </c>
      <c r="BP54" s="19">
        <v>21093.749922526324</v>
      </c>
      <c r="BQ54" s="19">
        <v>18984.37493027369</v>
      </c>
      <c r="BR54" s="19">
        <v>16874.999938021057</v>
      </c>
      <c r="BS54" s="19">
        <v>14765.624945768424</v>
      </c>
      <c r="BT54" s="19">
        <v>12656.249953515791</v>
      </c>
      <c r="BU54" s="19">
        <v>10546.87496126316</v>
      </c>
      <c r="BV54" s="19">
        <v>8437.499969010527</v>
      </c>
      <c r="BW54" s="19">
        <v>6328.124976757894</v>
      </c>
      <c r="BX54" s="19">
        <v>4218.749984505262</v>
      </c>
      <c r="BY54" s="19">
        <v>2109.374992252629</v>
      </c>
      <c r="BZ54" s="19">
        <v>0</v>
      </c>
      <c r="CA54" s="19">
        <v>0</v>
      </c>
      <c r="CB54" s="19">
        <v>0</v>
      </c>
      <c r="CC54" s="19">
        <v>0</v>
      </c>
      <c r="CD54" s="19">
        <v>0</v>
      </c>
      <c r="CE54" s="19">
        <v>0</v>
      </c>
      <c r="CF54" s="19">
        <v>0</v>
      </c>
      <c r="CG54" s="19">
        <v>0</v>
      </c>
      <c r="CH54" s="19">
        <v>0</v>
      </c>
      <c r="CI54" s="19">
        <v>0</v>
      </c>
      <c r="CJ54" s="19">
        <v>0</v>
      </c>
      <c r="CK54" s="19">
        <v>0</v>
      </c>
      <c r="CL54" s="19">
        <v>0</v>
      </c>
    </row>
    <row r="55" spans="2:90" x14ac:dyDescent="0.25">
      <c r="B55" s="29" t="s">
        <v>198</v>
      </c>
      <c r="C55" s="30" t="s">
        <v>190</v>
      </c>
      <c r="D55" s="14">
        <v>66082.73725891308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1868.7499931823168</v>
      </c>
      <c r="L55" s="19">
        <v>1868.7499931823168</v>
      </c>
      <c r="M55" s="19">
        <v>1868.7499931823168</v>
      </c>
      <c r="N55" s="19">
        <v>1868.7499931823168</v>
      </c>
      <c r="O55" s="19">
        <v>1811.5195246411083</v>
      </c>
      <c r="P55" s="19">
        <v>1772.2757747842797</v>
      </c>
      <c r="Q55" s="19">
        <v>1747.9820248729097</v>
      </c>
      <c r="R55" s="19">
        <v>1723.6882749615397</v>
      </c>
      <c r="S55" s="19">
        <v>1697.5257750569872</v>
      </c>
      <c r="T55" s="19">
        <v>1671.3632751524347</v>
      </c>
      <c r="U55" s="19">
        <v>1645.2007752478821</v>
      </c>
      <c r="V55" s="19">
        <v>1619.0382753433298</v>
      </c>
      <c r="W55" s="19">
        <v>1592.8757754387775</v>
      </c>
      <c r="X55" s="19">
        <v>1566.7132755342252</v>
      </c>
      <c r="Y55" s="19">
        <v>1540.5507756296724</v>
      </c>
      <c r="Z55" s="19">
        <v>1512.5195257319378</v>
      </c>
      <c r="AA55" s="19">
        <v>1484.488275834203</v>
      </c>
      <c r="AB55" s="19">
        <v>1456.4570259364682</v>
      </c>
      <c r="AC55" s="19">
        <v>1428.4257760387336</v>
      </c>
      <c r="AD55" s="19">
        <v>1400.3945261409988</v>
      </c>
      <c r="AE55" s="19">
        <v>1372.3632762432642</v>
      </c>
      <c r="AF55" s="19">
        <v>1343.1640575997903</v>
      </c>
      <c r="AG55" s="19">
        <v>1313.9648389563167</v>
      </c>
      <c r="AH55" s="19">
        <v>1284.7656203128429</v>
      </c>
      <c r="AI55" s="19">
        <v>1255.5664016693693</v>
      </c>
      <c r="AJ55" s="19">
        <v>1226.3671830258954</v>
      </c>
      <c r="AK55" s="19">
        <v>1197.1679643824218</v>
      </c>
      <c r="AL55" s="19">
        <v>1167.9687457389482</v>
      </c>
      <c r="AM55" s="19">
        <v>1138.7695270954744</v>
      </c>
      <c r="AN55" s="19">
        <v>1109.5703084520007</v>
      </c>
      <c r="AO55" s="19">
        <v>1080.371089808527</v>
      </c>
      <c r="AP55" s="19">
        <v>1051.1718711650533</v>
      </c>
      <c r="AQ55" s="19">
        <v>1021.9726525215796</v>
      </c>
      <c r="AR55" s="19">
        <v>992.7734338781058</v>
      </c>
      <c r="AS55" s="19">
        <v>963.5742152346322</v>
      </c>
      <c r="AT55" s="19">
        <v>934.3749965911585</v>
      </c>
      <c r="AU55" s="19">
        <v>905.1757779476848</v>
      </c>
      <c r="AV55" s="19">
        <v>875.976559304211</v>
      </c>
      <c r="AW55" s="19">
        <v>846.7773406607373</v>
      </c>
      <c r="AX55" s="19">
        <v>817.5781220172637</v>
      </c>
      <c r="AY55" s="19">
        <v>788.37890337379</v>
      </c>
      <c r="AZ55" s="19">
        <v>759.1796847303162</v>
      </c>
      <c r="BA55" s="19">
        <v>729.9804660868425</v>
      </c>
      <c r="BB55" s="19">
        <v>700.7812474433688</v>
      </c>
      <c r="BC55" s="19">
        <v>671.5820287998952</v>
      </c>
      <c r="BD55" s="19">
        <v>642.3828101564214</v>
      </c>
      <c r="BE55" s="19">
        <v>613.1835915129477</v>
      </c>
      <c r="BF55" s="19">
        <v>583.984372869474</v>
      </c>
      <c r="BG55" s="19">
        <v>554.7851542260003</v>
      </c>
      <c r="BH55" s="19">
        <v>525.5859355825266</v>
      </c>
      <c r="BI55" s="19">
        <v>496.3867169390529</v>
      </c>
      <c r="BJ55" s="19">
        <v>467.1874982955792</v>
      </c>
      <c r="BK55" s="19">
        <v>437.98827965210546</v>
      </c>
      <c r="BL55" s="19">
        <v>408.7890610086318</v>
      </c>
      <c r="BM55" s="19">
        <v>379.58984236515806</v>
      </c>
      <c r="BN55" s="19">
        <v>350.3906237216844</v>
      </c>
      <c r="BO55" s="19">
        <v>321.19140507821066</v>
      </c>
      <c r="BP55" s="19">
        <v>291.99218643473694</v>
      </c>
      <c r="BQ55" s="19">
        <v>262.79296779126327</v>
      </c>
      <c r="BR55" s="19">
        <v>233.59374914778954</v>
      </c>
      <c r="BS55" s="19">
        <v>204.39453050431584</v>
      </c>
      <c r="BT55" s="19">
        <v>175.19531186084214</v>
      </c>
      <c r="BU55" s="19">
        <v>145.99609321736844</v>
      </c>
      <c r="BV55" s="19">
        <v>116.79687457389474</v>
      </c>
      <c r="BW55" s="19">
        <v>87.59765593042104</v>
      </c>
      <c r="BX55" s="19">
        <v>58.39843728694735</v>
      </c>
      <c r="BY55" s="19">
        <v>29.19921864347365</v>
      </c>
      <c r="BZ55" s="19">
        <v>0</v>
      </c>
      <c r="CA55" s="19">
        <v>0</v>
      </c>
      <c r="CB55" s="19">
        <v>0</v>
      </c>
      <c r="CC55" s="19">
        <v>0</v>
      </c>
      <c r="CD55" s="19">
        <v>0</v>
      </c>
      <c r="CE55" s="19">
        <v>0</v>
      </c>
      <c r="CF55" s="19">
        <v>0</v>
      </c>
      <c r="CG55" s="19">
        <v>0</v>
      </c>
      <c r="CH55" s="19">
        <v>0</v>
      </c>
      <c r="CI55" s="19">
        <v>0</v>
      </c>
      <c r="CJ55" s="19">
        <v>0</v>
      </c>
      <c r="CK55" s="19">
        <v>0</v>
      </c>
      <c r="CL55" s="19">
        <v>0</v>
      </c>
    </row>
    <row r="56" spans="2:90" x14ac:dyDescent="0.25">
      <c r="B56" s="29" t="s">
        <v>193</v>
      </c>
      <c r="C56" s="30" t="s">
        <v>190</v>
      </c>
      <c r="D56" s="14">
        <v>134999.9995041685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4134.37498481516</v>
      </c>
      <c r="O56" s="19">
        <v>2834.999989587538</v>
      </c>
      <c r="P56" s="19">
        <v>1754.9999935541903</v>
      </c>
      <c r="Q56" s="19">
        <v>1754.9999935541903</v>
      </c>
      <c r="R56" s="19">
        <v>1889.9999930583588</v>
      </c>
      <c r="S56" s="19">
        <v>1889.9999930583588</v>
      </c>
      <c r="T56" s="19">
        <v>1889.9999930583588</v>
      </c>
      <c r="U56" s="19">
        <v>1889.9999930583588</v>
      </c>
      <c r="V56" s="19">
        <v>1889.9999930583588</v>
      </c>
      <c r="W56" s="19">
        <v>1889.9999930583588</v>
      </c>
      <c r="X56" s="19">
        <v>1889.9999930583588</v>
      </c>
      <c r="Y56" s="19">
        <v>2024.9999925625273</v>
      </c>
      <c r="Z56" s="19">
        <v>2024.9999925625273</v>
      </c>
      <c r="AA56" s="19">
        <v>2024.9999925625273</v>
      </c>
      <c r="AB56" s="19">
        <v>2024.9999925625273</v>
      </c>
      <c r="AC56" s="19">
        <v>2024.9999925625273</v>
      </c>
      <c r="AD56" s="19">
        <v>2024.9999925625273</v>
      </c>
      <c r="AE56" s="19">
        <v>2109.3749922526326</v>
      </c>
      <c r="AF56" s="19">
        <v>2109.3749922526326</v>
      </c>
      <c r="AG56" s="19">
        <v>2109.3749922526326</v>
      </c>
      <c r="AH56" s="19">
        <v>2109.3749922526326</v>
      </c>
      <c r="AI56" s="19">
        <v>2109.3749922526326</v>
      </c>
      <c r="AJ56" s="19">
        <v>2109.3749922526326</v>
      </c>
      <c r="AK56" s="19">
        <v>2109.3749922526326</v>
      </c>
      <c r="AL56" s="19">
        <v>2109.3749922526326</v>
      </c>
      <c r="AM56" s="19">
        <v>2109.3749922526326</v>
      </c>
      <c r="AN56" s="19">
        <v>2109.3749922526326</v>
      </c>
      <c r="AO56" s="19">
        <v>2109.3749922526326</v>
      </c>
      <c r="AP56" s="19">
        <v>2109.3749922526326</v>
      </c>
      <c r="AQ56" s="19">
        <v>2109.3749922526326</v>
      </c>
      <c r="AR56" s="19">
        <v>2109.3749922526326</v>
      </c>
      <c r="AS56" s="19">
        <v>2109.3749922526326</v>
      </c>
      <c r="AT56" s="19">
        <v>2109.3749922526326</v>
      </c>
      <c r="AU56" s="19">
        <v>2109.3749922526326</v>
      </c>
      <c r="AV56" s="19">
        <v>2109.3749922526326</v>
      </c>
      <c r="AW56" s="19">
        <v>2109.3749922526326</v>
      </c>
      <c r="AX56" s="19">
        <v>2109.3749922526326</v>
      </c>
      <c r="AY56" s="19">
        <v>2109.3749922526326</v>
      </c>
      <c r="AZ56" s="19">
        <v>2109.3749922526326</v>
      </c>
      <c r="BA56" s="19">
        <v>2109.3749922526326</v>
      </c>
      <c r="BB56" s="19">
        <v>2109.3749922526326</v>
      </c>
      <c r="BC56" s="19">
        <v>2109.3749922526326</v>
      </c>
      <c r="BD56" s="19">
        <v>2109.3749922526326</v>
      </c>
      <c r="BE56" s="19">
        <v>2109.3749922526326</v>
      </c>
      <c r="BF56" s="19">
        <v>2109.3749922526326</v>
      </c>
      <c r="BG56" s="19">
        <v>2109.3749922526326</v>
      </c>
      <c r="BH56" s="19">
        <v>2109.3749922526326</v>
      </c>
      <c r="BI56" s="19">
        <v>2109.3749922526326</v>
      </c>
      <c r="BJ56" s="19">
        <v>2109.3749922526326</v>
      </c>
      <c r="BK56" s="19">
        <v>2109.3749922526326</v>
      </c>
      <c r="BL56" s="19">
        <v>2109.3749922526326</v>
      </c>
      <c r="BM56" s="19">
        <v>2109.3749922526326</v>
      </c>
      <c r="BN56" s="19">
        <v>2109.3749922526326</v>
      </c>
      <c r="BO56" s="19">
        <v>2109.3749922526326</v>
      </c>
      <c r="BP56" s="19">
        <v>2109.3749922526326</v>
      </c>
      <c r="BQ56" s="19">
        <v>2109.3749922526326</v>
      </c>
      <c r="BR56" s="19">
        <v>2109.3749922526326</v>
      </c>
      <c r="BS56" s="19">
        <v>2109.3749922526326</v>
      </c>
      <c r="BT56" s="19">
        <v>2109.3749922526326</v>
      </c>
      <c r="BU56" s="19">
        <v>2109.3749922526326</v>
      </c>
      <c r="BV56" s="19">
        <v>2109.3749922526326</v>
      </c>
      <c r="BW56" s="19">
        <v>2109.3749922526326</v>
      </c>
      <c r="BX56" s="19">
        <v>2109.3749922526326</v>
      </c>
      <c r="BY56" s="19">
        <v>2109.374992252629</v>
      </c>
      <c r="BZ56" s="19">
        <v>0</v>
      </c>
      <c r="CA56" s="19">
        <v>0</v>
      </c>
      <c r="CB56" s="19">
        <v>0</v>
      </c>
      <c r="CC56" s="19">
        <v>0</v>
      </c>
      <c r="CD56" s="19">
        <v>0</v>
      </c>
      <c r="CE56" s="19">
        <v>0</v>
      </c>
      <c r="CF56" s="19">
        <v>0</v>
      </c>
      <c r="CG56" s="19">
        <v>0</v>
      </c>
      <c r="CH56" s="19">
        <v>0</v>
      </c>
      <c r="CI56" s="19">
        <v>0</v>
      </c>
      <c r="CJ56" s="19">
        <v>0</v>
      </c>
      <c r="CK56" s="19">
        <v>0</v>
      </c>
      <c r="CL56" s="19">
        <v>0</v>
      </c>
    </row>
    <row r="57" spans="2:91" x14ac:dyDescent="0.25">
      <c r="B57" s="27" t="s">
        <v>199</v>
      </c>
      <c r="C57" s="32" t="s">
        <v>190</v>
      </c>
      <c r="D57" s="33">
        <v>201082.7367630816</v>
      </c>
      <c r="E57" s="33">
        <v>0</v>
      </c>
      <c r="F57" s="33">
        <v>0</v>
      </c>
      <c r="G57" s="33">
        <v>0</v>
      </c>
      <c r="H57" s="33">
        <v>0</v>
      </c>
      <c r="I57" s="33">
        <v>0</v>
      </c>
      <c r="J57" s="33">
        <v>0</v>
      </c>
      <c r="K57" s="33">
        <v>1868.7499931823168</v>
      </c>
      <c r="L57" s="33">
        <v>1868.7499931823168</v>
      </c>
      <c r="M57" s="33">
        <v>1868.7499931823168</v>
      </c>
      <c r="N57" s="33">
        <v>6003.124977997477</v>
      </c>
      <c r="O57" s="33">
        <v>4646.519514228647</v>
      </c>
      <c r="P57" s="33">
        <v>3527.27576833847</v>
      </c>
      <c r="Q57" s="33">
        <v>3502.9820184271002</v>
      </c>
      <c r="R57" s="33">
        <v>3613.6882680198987</v>
      </c>
      <c r="S57" s="33">
        <v>3587.525768115346</v>
      </c>
      <c r="T57" s="33">
        <v>3561.3632682107936</v>
      </c>
      <c r="U57" s="33">
        <v>3535.200768306241</v>
      </c>
      <c r="V57" s="33">
        <v>3509.0382684016886</v>
      </c>
      <c r="W57" s="33">
        <v>3482.875768497136</v>
      </c>
      <c r="X57" s="33">
        <v>3456.713268592584</v>
      </c>
      <c r="Y57" s="33">
        <v>3565.5507681922</v>
      </c>
      <c r="Z57" s="33">
        <v>3537.5195182944653</v>
      </c>
      <c r="AA57" s="33">
        <v>3509.4882683967303</v>
      </c>
      <c r="AB57" s="33">
        <v>3481.4570184989952</v>
      </c>
      <c r="AC57" s="33">
        <v>3453.4257686012606</v>
      </c>
      <c r="AD57" s="33">
        <v>3425.394518703526</v>
      </c>
      <c r="AE57" s="33">
        <v>3481.7382684958966</v>
      </c>
      <c r="AF57" s="33">
        <v>3452.539049852423</v>
      </c>
      <c r="AG57" s="33">
        <v>3423.3398312089494</v>
      </c>
      <c r="AH57" s="33">
        <v>3394.1406125654757</v>
      </c>
      <c r="AI57" s="33">
        <v>3364.941393922002</v>
      </c>
      <c r="AJ57" s="33">
        <v>3335.742175278528</v>
      </c>
      <c r="AK57" s="33">
        <v>3306.5429566350545</v>
      </c>
      <c r="AL57" s="33">
        <v>3277.343737991581</v>
      </c>
      <c r="AM57" s="33">
        <v>3248.1445193481068</v>
      </c>
      <c r="AN57" s="33">
        <v>3218.945300704633</v>
      </c>
      <c r="AO57" s="33">
        <v>3189.7460820611595</v>
      </c>
      <c r="AP57" s="33">
        <v>3160.546863417686</v>
      </c>
      <c r="AQ57" s="33">
        <v>3131.3476447742123</v>
      </c>
      <c r="AR57" s="33">
        <v>3102.1484261307387</v>
      </c>
      <c r="AS57" s="33">
        <v>3072.949207487265</v>
      </c>
      <c r="AT57" s="33">
        <v>3043.749988843791</v>
      </c>
      <c r="AU57" s="33">
        <v>3014.5507702003174</v>
      </c>
      <c r="AV57" s="33">
        <v>2985.351551556844</v>
      </c>
      <c r="AW57" s="33">
        <v>2956.1523329133697</v>
      </c>
      <c r="AX57" s="33">
        <v>2926.953114269896</v>
      </c>
      <c r="AY57" s="33">
        <v>2897.7538956264225</v>
      </c>
      <c r="AZ57" s="33">
        <v>2868.554676982949</v>
      </c>
      <c r="BA57" s="33">
        <v>2839.3554583394753</v>
      </c>
      <c r="BB57" s="33">
        <v>2810.1562396960016</v>
      </c>
      <c r="BC57" s="33">
        <v>2780.957021052528</v>
      </c>
      <c r="BD57" s="33">
        <v>2751.757802409054</v>
      </c>
      <c r="BE57" s="33">
        <v>2722.5585837655804</v>
      </c>
      <c r="BF57" s="33">
        <v>2693.3593651221067</v>
      </c>
      <c r="BG57" s="33">
        <v>2664.1601464786327</v>
      </c>
      <c r="BH57" s="33">
        <v>2634.960927835159</v>
      </c>
      <c r="BI57" s="33">
        <v>2605.7617091916854</v>
      </c>
      <c r="BJ57" s="33">
        <v>2576.562490548212</v>
      </c>
      <c r="BK57" s="33">
        <v>2547.363271904738</v>
      </c>
      <c r="BL57" s="33">
        <v>2518.1640532612646</v>
      </c>
      <c r="BM57" s="33">
        <v>2488.9648346177905</v>
      </c>
      <c r="BN57" s="33">
        <v>2459.765615974317</v>
      </c>
      <c r="BO57" s="33">
        <v>2430.5663973308433</v>
      </c>
      <c r="BP57" s="33">
        <v>2401.3671786873697</v>
      </c>
      <c r="BQ57" s="33">
        <v>2372.167960043896</v>
      </c>
      <c r="BR57" s="33">
        <v>2342.968741400422</v>
      </c>
      <c r="BS57" s="33">
        <v>2313.7695227569484</v>
      </c>
      <c r="BT57" s="33">
        <v>2284.570304113475</v>
      </c>
      <c r="BU57" s="33">
        <v>2255.371085470001</v>
      </c>
      <c r="BV57" s="33">
        <v>2226.1718668265275</v>
      </c>
      <c r="BW57" s="33">
        <v>2196.9726481830535</v>
      </c>
      <c r="BX57" s="33">
        <v>2167.77342953958</v>
      </c>
      <c r="BY57" s="33">
        <v>2138.5742108961026</v>
      </c>
      <c r="BZ57" s="33">
        <v>0</v>
      </c>
      <c r="CA57" s="33">
        <v>0</v>
      </c>
      <c r="CB57" s="33">
        <v>0</v>
      </c>
      <c r="CC57" s="33">
        <v>0</v>
      </c>
      <c r="CD57" s="33">
        <v>0</v>
      </c>
      <c r="CE57" s="33">
        <v>0</v>
      </c>
      <c r="CF57" s="33">
        <v>0</v>
      </c>
      <c r="CG57" s="33">
        <v>0</v>
      </c>
      <c r="CH57" s="33">
        <v>0</v>
      </c>
      <c r="CI57" s="33">
        <v>0</v>
      </c>
      <c r="CJ57" s="33">
        <v>0</v>
      </c>
      <c r="CK57" s="33">
        <v>0</v>
      </c>
      <c r="CL57" s="33">
        <v>0</v>
      </c>
      <c r="CM57" s="28"/>
    </row>
    <row r="58" spans="2:90" x14ac:dyDescent="0.25">
      <c r="B58" s="29" t="s">
        <v>194</v>
      </c>
      <c r="C58" s="30" t="s">
        <v>190</v>
      </c>
      <c r="E58" s="19">
        <v>19870.322719052638</v>
      </c>
      <c r="F58" s="19">
        <v>31299.0643164504</v>
      </c>
      <c r="G58" s="19">
        <v>53960.67056704234</v>
      </c>
      <c r="H58" s="19">
        <v>76948.39660527279</v>
      </c>
      <c r="I58" s="19">
        <v>101261.08742072845</v>
      </c>
      <c r="J58" s="19">
        <v>134999.9995041685</v>
      </c>
      <c r="K58" s="19">
        <v>134999.9995041685</v>
      </c>
      <c r="L58" s="19">
        <v>134999.9995041685</v>
      </c>
      <c r="M58" s="19">
        <v>134999.9995041685</v>
      </c>
      <c r="N58" s="19">
        <v>130865.62451935333</v>
      </c>
      <c r="O58" s="19">
        <v>128030.6245297658</v>
      </c>
      <c r="P58" s="19">
        <v>126275.6245362116</v>
      </c>
      <c r="Q58" s="19">
        <v>124520.62454265742</v>
      </c>
      <c r="R58" s="19">
        <v>122630.62454959906</v>
      </c>
      <c r="S58" s="19">
        <v>120740.6245565407</v>
      </c>
      <c r="T58" s="19">
        <v>118850.62456348234</v>
      </c>
      <c r="U58" s="19">
        <v>116960.62457042398</v>
      </c>
      <c r="V58" s="19">
        <v>115070.62457736563</v>
      </c>
      <c r="W58" s="19">
        <v>113180.62458430727</v>
      </c>
      <c r="X58" s="19">
        <v>111290.62459124891</v>
      </c>
      <c r="Y58" s="19">
        <v>109265.62459868638</v>
      </c>
      <c r="Z58" s="19">
        <v>107240.62460612386</v>
      </c>
      <c r="AA58" s="19">
        <v>105215.62461356133</v>
      </c>
      <c r="AB58" s="19">
        <v>103190.6246209988</v>
      </c>
      <c r="AC58" s="19">
        <v>101165.62462843627</v>
      </c>
      <c r="AD58" s="19">
        <v>99140.62463587374</v>
      </c>
      <c r="AE58" s="19">
        <v>97031.24964362112</v>
      </c>
      <c r="AF58" s="19">
        <v>94921.87465136847</v>
      </c>
      <c r="AG58" s="19">
        <v>92812.49965911586</v>
      </c>
      <c r="AH58" s="19">
        <v>90703.12466686321</v>
      </c>
      <c r="AI58" s="19">
        <v>88593.74967461059</v>
      </c>
      <c r="AJ58" s="19">
        <v>86484.37468235794</v>
      </c>
      <c r="AK58" s="19">
        <v>84374.99969010532</v>
      </c>
      <c r="AL58" s="19">
        <v>82265.62469785268</v>
      </c>
      <c r="AM58" s="19">
        <v>80156.24970560006</v>
      </c>
      <c r="AN58" s="19">
        <v>78046.87471334741</v>
      </c>
      <c r="AO58" s="19">
        <v>75937.49972109479</v>
      </c>
      <c r="AP58" s="19">
        <v>73828.12472884214</v>
      </c>
      <c r="AQ58" s="19">
        <v>71718.74973658953</v>
      </c>
      <c r="AR58" s="19">
        <v>69609.37474433688</v>
      </c>
      <c r="AS58" s="19">
        <v>67499.99975208426</v>
      </c>
      <c r="AT58" s="19">
        <v>65390.62475983162</v>
      </c>
      <c r="AU58" s="19">
        <v>63281.249767578985</v>
      </c>
      <c r="AV58" s="19">
        <v>61171.87477532635</v>
      </c>
      <c r="AW58" s="19">
        <v>59062.49978307372</v>
      </c>
      <c r="AX58" s="19">
        <v>56953.124790821086</v>
      </c>
      <c r="AY58" s="19">
        <v>54843.74979856845</v>
      </c>
      <c r="AZ58" s="19">
        <v>52734.37480631582</v>
      </c>
      <c r="BA58" s="19">
        <v>50624.99981406319</v>
      </c>
      <c r="BB58" s="19">
        <v>48515.624821810554</v>
      </c>
      <c r="BC58" s="19">
        <v>46406.24982955792</v>
      </c>
      <c r="BD58" s="19">
        <v>44296.87483730529</v>
      </c>
      <c r="BE58" s="19">
        <v>42187.499845052655</v>
      </c>
      <c r="BF58" s="19">
        <v>40078.12485280002</v>
      </c>
      <c r="BG58" s="19">
        <v>37968.74986054739</v>
      </c>
      <c r="BH58" s="19">
        <v>35859.374868294755</v>
      </c>
      <c r="BI58" s="19">
        <v>33749.99987604212</v>
      </c>
      <c r="BJ58" s="19">
        <v>31640.62488378949</v>
      </c>
      <c r="BK58" s="19">
        <v>29531.249891536856</v>
      </c>
      <c r="BL58" s="19">
        <v>27421.874899284223</v>
      </c>
      <c r="BM58" s="19">
        <v>25312.49990703159</v>
      </c>
      <c r="BN58" s="19">
        <v>23203.124914778957</v>
      </c>
      <c r="BO58" s="19">
        <v>21093.749922526324</v>
      </c>
      <c r="BP58" s="19">
        <v>18984.37493027369</v>
      </c>
      <c r="BQ58" s="19">
        <v>16874.999938021057</v>
      </c>
      <c r="BR58" s="19">
        <v>14765.624945768424</v>
      </c>
      <c r="BS58" s="19">
        <v>12656.249953515791</v>
      </c>
      <c r="BT58" s="19">
        <v>10546.87496126316</v>
      </c>
      <c r="BU58" s="19">
        <v>8437.499969010527</v>
      </c>
      <c r="BV58" s="19">
        <v>6328.124976757894</v>
      </c>
      <c r="BW58" s="19">
        <v>4218.749984505262</v>
      </c>
      <c r="BX58" s="19">
        <v>2109.374992252629</v>
      </c>
      <c r="BY58" s="19">
        <v>0</v>
      </c>
      <c r="BZ58" s="19">
        <v>0</v>
      </c>
      <c r="CA58" s="19">
        <v>0</v>
      </c>
      <c r="CB58" s="19">
        <v>0</v>
      </c>
      <c r="CC58" s="19">
        <v>0</v>
      </c>
      <c r="CD58" s="19">
        <v>0</v>
      </c>
      <c r="CE58" s="19">
        <v>0</v>
      </c>
      <c r="CF58" s="19">
        <v>0</v>
      </c>
      <c r="CG58" s="19">
        <v>0</v>
      </c>
      <c r="CH58" s="19">
        <v>0</v>
      </c>
      <c r="CI58" s="19">
        <v>0</v>
      </c>
      <c r="CJ58" s="19">
        <v>0</v>
      </c>
      <c r="CK58" s="19">
        <v>0</v>
      </c>
      <c r="CL58" s="19">
        <v>0</v>
      </c>
    </row>
    <row r="60" spans="2:90" x14ac:dyDescent="0.25">
      <c r="B60" s="29" t="s">
        <v>200</v>
      </c>
      <c r="C60" s="30" t="s">
        <v>190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5000</v>
      </c>
      <c r="K60" s="19">
        <v>3737.4999863646335</v>
      </c>
      <c r="L60" s="19">
        <v>7871.874971179794</v>
      </c>
      <c r="M60" s="19">
        <v>10649.644492226123</v>
      </c>
      <c r="N60" s="19">
        <v>8173.795282567116</v>
      </c>
      <c r="O60" s="19">
        <v>7030.25778676557</v>
      </c>
      <c r="P60" s="19">
        <v>7116.670286446999</v>
      </c>
      <c r="Q60" s="19">
        <v>7201.214036135245</v>
      </c>
      <c r="R60" s="19">
        <v>7148.88903632614</v>
      </c>
      <c r="S60" s="19">
        <v>7096.564036517035</v>
      </c>
      <c r="T60" s="19">
        <v>7044.23903670793</v>
      </c>
      <c r="U60" s="19">
        <v>6991.914036898825</v>
      </c>
      <c r="V60" s="19">
        <v>6939.58903708972</v>
      </c>
      <c r="W60" s="19">
        <v>7022.2640367847835</v>
      </c>
      <c r="X60" s="19">
        <v>7103.070286486665</v>
      </c>
      <c r="Y60" s="19">
        <v>7047.007786691196</v>
      </c>
      <c r="Z60" s="19">
        <v>6990.945286895725</v>
      </c>
      <c r="AA60" s="19">
        <v>6934.882787100256</v>
      </c>
      <c r="AB60" s="19">
        <v>6878.820287304787</v>
      </c>
      <c r="AC60" s="19">
        <v>6907.132787199423</v>
      </c>
      <c r="AD60" s="19">
        <v>6934.27731834832</v>
      </c>
      <c r="AE60" s="19">
        <v>6875.878881061372</v>
      </c>
      <c r="AF60" s="19">
        <v>6817.480443774425</v>
      </c>
      <c r="AG60" s="19">
        <v>6759.082006487478</v>
      </c>
      <c r="AH60" s="19">
        <v>6700.68356920053</v>
      </c>
      <c r="AI60" s="19">
        <v>6642.2851319135825</v>
      </c>
      <c r="AJ60" s="19">
        <v>6583.886694626635</v>
      </c>
      <c r="AK60" s="19">
        <v>6525.488257339688</v>
      </c>
      <c r="AL60" s="19">
        <v>6467.08982005274</v>
      </c>
      <c r="AM60" s="19">
        <v>6408.691382765793</v>
      </c>
      <c r="AN60" s="19">
        <v>6350.2929454788455</v>
      </c>
      <c r="AO60" s="19">
        <v>6291.894508191898</v>
      </c>
      <c r="AP60" s="19">
        <v>6233.496070904951</v>
      </c>
      <c r="AQ60" s="19">
        <v>6175.097633618004</v>
      </c>
      <c r="AR60" s="19">
        <v>6116.699196331056</v>
      </c>
      <c r="AS60" s="19">
        <v>6058.300759044108</v>
      </c>
      <c r="AT60" s="19">
        <v>5999.902321757161</v>
      </c>
      <c r="AU60" s="19">
        <v>5941.503884470214</v>
      </c>
      <c r="AV60" s="19">
        <v>5883.105447183266</v>
      </c>
      <c r="AW60" s="19">
        <v>5824.707009896319</v>
      </c>
      <c r="AX60" s="19">
        <v>5766.308572609371</v>
      </c>
      <c r="AY60" s="19">
        <v>5707.910135322424</v>
      </c>
      <c r="AZ60" s="19">
        <v>5649.511698035477</v>
      </c>
      <c r="BA60" s="19">
        <v>5591.11326074853</v>
      </c>
      <c r="BB60" s="19">
        <v>5532.714823461582</v>
      </c>
      <c r="BC60" s="19">
        <v>5474.316386174634</v>
      </c>
      <c r="BD60" s="19">
        <v>5415.917948887687</v>
      </c>
      <c r="BE60" s="19">
        <v>5357.51951160074</v>
      </c>
      <c r="BF60" s="19">
        <v>5299.121074313792</v>
      </c>
      <c r="BG60" s="19">
        <v>5240.7226370268445</v>
      </c>
      <c r="BH60" s="19">
        <v>5182.324199739897</v>
      </c>
      <c r="BI60" s="19">
        <v>5123.92576245295</v>
      </c>
      <c r="BJ60" s="19">
        <v>5065.527325166003</v>
      </c>
      <c r="BK60" s="19">
        <v>5007.128887879055</v>
      </c>
      <c r="BL60" s="19">
        <v>4948.730450592107</v>
      </c>
      <c r="BM60" s="19">
        <v>4890.33201330516</v>
      </c>
      <c r="BN60" s="19">
        <v>4831.933576018213</v>
      </c>
      <c r="BO60" s="19">
        <v>4773.535138731266</v>
      </c>
      <c r="BP60" s="19">
        <v>4715.1367014443185</v>
      </c>
      <c r="BQ60" s="19">
        <v>4656.73826415737</v>
      </c>
      <c r="BR60" s="19">
        <v>4598.339826870423</v>
      </c>
      <c r="BS60" s="19">
        <v>4539.941389583476</v>
      </c>
      <c r="BT60" s="19">
        <v>4481.542952296529</v>
      </c>
      <c r="BU60" s="19">
        <v>4423.144515009581</v>
      </c>
      <c r="BV60" s="19">
        <v>4364.746077722633</v>
      </c>
      <c r="BW60" s="19">
        <v>4306.3476404356825</v>
      </c>
      <c r="BX60" s="19">
        <v>2138.5742108961026</v>
      </c>
      <c r="BY60" s="19">
        <v>0</v>
      </c>
      <c r="BZ60" s="19">
        <v>0</v>
      </c>
      <c r="CA60" s="19">
        <v>0</v>
      </c>
      <c r="CB60" s="19">
        <v>0</v>
      </c>
      <c r="CC60" s="19">
        <v>0</v>
      </c>
      <c r="CD60" s="19">
        <v>0</v>
      </c>
      <c r="CE60" s="19">
        <v>0</v>
      </c>
      <c r="CF60" s="19">
        <v>0</v>
      </c>
      <c r="CG60" s="19">
        <v>0</v>
      </c>
      <c r="CH60" s="19">
        <v>0</v>
      </c>
      <c r="CI60" s="19">
        <v>0</v>
      </c>
      <c r="CJ60" s="19">
        <v>0</v>
      </c>
      <c r="CK60" s="19">
        <v>0</v>
      </c>
      <c r="CL60" s="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201</v>
      </c>
    </row>
    <row r="4" spans="2:91" x14ac:dyDescent="0.25">
      <c r="B4" s="9" t="s">
        <v>202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2" t="s">
        <v>101</v>
      </c>
      <c r="C6" s="22" t="s">
        <v>102</v>
      </c>
      <c r="D6" s="22" t="s">
        <v>103</v>
      </c>
      <c r="E6" s="26" t="s">
        <v>104</v>
      </c>
      <c r="F6" s="26" t="s">
        <v>105</v>
      </c>
      <c r="G6" s="26" t="s">
        <v>106</v>
      </c>
      <c r="H6" s="26" t="s">
        <v>107</v>
      </c>
      <c r="I6" s="26" t="s">
        <v>108</v>
      </c>
      <c r="J6" s="26" t="s">
        <v>109</v>
      </c>
      <c r="K6" s="26" t="s">
        <v>110</v>
      </c>
      <c r="L6" s="26" t="s">
        <v>111</v>
      </c>
      <c r="M6" s="26" t="s">
        <v>112</v>
      </c>
      <c r="N6" s="26" t="s">
        <v>93</v>
      </c>
      <c r="O6" s="26" t="s">
        <v>113</v>
      </c>
      <c r="P6" s="26" t="s">
        <v>114</v>
      </c>
      <c r="Q6" s="26" t="s">
        <v>115</v>
      </c>
      <c r="R6" s="26" t="s">
        <v>116</v>
      </c>
      <c r="S6" s="26" t="s">
        <v>117</v>
      </c>
      <c r="T6" s="26" t="s">
        <v>118</v>
      </c>
      <c r="U6" s="26" t="s">
        <v>119</v>
      </c>
      <c r="V6" s="26" t="s">
        <v>120</v>
      </c>
      <c r="W6" s="26" t="s">
        <v>121</v>
      </c>
      <c r="X6" s="26" t="s">
        <v>122</v>
      </c>
      <c r="Y6" s="26" t="s">
        <v>123</v>
      </c>
      <c r="Z6" s="26" t="s">
        <v>124</v>
      </c>
      <c r="AA6" s="26" t="s">
        <v>125</v>
      </c>
      <c r="AB6" s="26" t="s">
        <v>126</v>
      </c>
      <c r="AC6" s="26" t="s">
        <v>127</v>
      </c>
      <c r="AD6" s="26" t="s">
        <v>128</v>
      </c>
      <c r="AE6" s="26" t="s">
        <v>129</v>
      </c>
      <c r="AF6" s="26" t="s">
        <v>130</v>
      </c>
      <c r="AG6" s="26" t="s">
        <v>131</v>
      </c>
      <c r="AH6" s="26" t="s">
        <v>132</v>
      </c>
      <c r="AI6" s="26" t="s">
        <v>133</v>
      </c>
      <c r="AJ6" s="26" t="s">
        <v>134</v>
      </c>
      <c r="AK6" s="26" t="s">
        <v>135</v>
      </c>
      <c r="AL6" s="26" t="s">
        <v>136</v>
      </c>
      <c r="AM6" s="26" t="s">
        <v>137</v>
      </c>
      <c r="AN6" s="26" t="s">
        <v>138</v>
      </c>
      <c r="AO6" s="26" t="s">
        <v>139</v>
      </c>
      <c r="AP6" s="26" t="s">
        <v>140</v>
      </c>
      <c r="AQ6" s="26" t="s">
        <v>141</v>
      </c>
      <c r="AR6" s="26" t="s">
        <v>142</v>
      </c>
      <c r="AS6" s="26" t="s">
        <v>143</v>
      </c>
      <c r="AT6" s="26" t="s">
        <v>144</v>
      </c>
      <c r="AU6" s="26" t="s">
        <v>145</v>
      </c>
      <c r="AV6" s="26" t="s">
        <v>146</v>
      </c>
      <c r="AW6" s="26" t="s">
        <v>147</v>
      </c>
      <c r="AX6" s="26" t="s">
        <v>148</v>
      </c>
      <c r="AY6" s="26" t="s">
        <v>149</v>
      </c>
      <c r="AZ6" s="26" t="s">
        <v>150</v>
      </c>
      <c r="BA6" s="26" t="s">
        <v>151</v>
      </c>
      <c r="BB6" s="26" t="s">
        <v>152</v>
      </c>
      <c r="BC6" s="26" t="s">
        <v>153</v>
      </c>
      <c r="BD6" s="26" t="s">
        <v>154</v>
      </c>
      <c r="BE6" s="26" t="s">
        <v>155</v>
      </c>
      <c r="BF6" s="26" t="s">
        <v>156</v>
      </c>
      <c r="BG6" s="26" t="s">
        <v>157</v>
      </c>
      <c r="BH6" s="26" t="s">
        <v>158</v>
      </c>
      <c r="BI6" s="26" t="s">
        <v>159</v>
      </c>
      <c r="BJ6" s="26" t="s">
        <v>160</v>
      </c>
      <c r="BK6" s="26" t="s">
        <v>161</v>
      </c>
      <c r="BL6" s="26" t="s">
        <v>162</v>
      </c>
      <c r="BM6" s="26" t="s">
        <v>163</v>
      </c>
      <c r="BN6" s="26" t="s">
        <v>164</v>
      </c>
      <c r="BO6" s="26" t="s">
        <v>165</v>
      </c>
      <c r="BP6" s="26" t="s">
        <v>166</v>
      </c>
      <c r="BQ6" s="26" t="s">
        <v>167</v>
      </c>
      <c r="BR6" s="26" t="s">
        <v>168</v>
      </c>
      <c r="BS6" s="26" t="s">
        <v>169</v>
      </c>
      <c r="BT6" s="26" t="s">
        <v>170</v>
      </c>
      <c r="BU6" s="26" t="s">
        <v>171</v>
      </c>
      <c r="BV6" s="26" t="s">
        <v>172</v>
      </c>
      <c r="BW6" s="26" t="s">
        <v>173</v>
      </c>
      <c r="BX6" s="26" t="s">
        <v>174</v>
      </c>
      <c r="BY6" s="26" t="s">
        <v>175</v>
      </c>
      <c r="BZ6" s="26" t="s">
        <v>176</v>
      </c>
      <c r="CA6" s="26" t="s">
        <v>177</v>
      </c>
      <c r="CB6" s="26" t="s">
        <v>178</v>
      </c>
      <c r="CC6" s="26" t="s">
        <v>179</v>
      </c>
      <c r="CD6" s="26" t="s">
        <v>180</v>
      </c>
      <c r="CE6" s="26" t="s">
        <v>181</v>
      </c>
      <c r="CF6" s="26" t="s">
        <v>182</v>
      </c>
      <c r="CG6" s="26" t="s">
        <v>183</v>
      </c>
      <c r="CH6" s="26" t="s">
        <v>184</v>
      </c>
      <c r="CI6" s="26" t="s">
        <v>185</v>
      </c>
      <c r="CJ6" s="26" t="s">
        <v>186</v>
      </c>
      <c r="CK6" s="26" t="s">
        <v>187</v>
      </c>
      <c r="CL6" s="26" t="s">
        <v>188</v>
      </c>
    </row>
    <row r="9" spans="2:90" x14ac:dyDescent="0.25">
      <c r="B9" s="29" t="s">
        <v>203</v>
      </c>
      <c r="C9" s="30" t="s">
        <v>204</v>
      </c>
      <c r="D9" s="34">
        <v>2621322.8224949986</v>
      </c>
      <c r="E9" s="35">
        <v>0</v>
      </c>
      <c r="F9" s="35">
        <v>0</v>
      </c>
      <c r="G9" s="35">
        <v>0</v>
      </c>
      <c r="H9" s="35">
        <v>0</v>
      </c>
      <c r="I9" s="35">
        <v>0</v>
      </c>
      <c r="J9" s="35">
        <v>0</v>
      </c>
      <c r="K9" s="35">
        <v>32295.247582129996</v>
      </c>
      <c r="L9" s="35">
        <v>32983.25882163</v>
      </c>
      <c r="M9" s="35">
        <v>42065.00718303</v>
      </c>
      <c r="N9" s="35">
        <v>30258.73431321</v>
      </c>
      <c r="O9" s="35">
        <v>32133.77134421935</v>
      </c>
      <c r="P9" s="35">
        <v>32818.34252752185</v>
      </c>
      <c r="Q9" s="35">
        <v>41854.68214711485</v>
      </c>
      <c r="R9" s="35">
        <v>30107.440641643952</v>
      </c>
      <c r="S9" s="35">
        <v>31972.295106308695</v>
      </c>
      <c r="T9" s="35">
        <v>32653.426233413695</v>
      </c>
      <c r="U9" s="35">
        <v>41644.3571111997</v>
      </c>
      <c r="V9" s="35">
        <v>29956.146970077898</v>
      </c>
      <c r="W9" s="35">
        <v>31810.818868398048</v>
      </c>
      <c r="X9" s="35">
        <v>32488.509939305546</v>
      </c>
      <c r="Y9" s="35">
        <v>41434.03207528455</v>
      </c>
      <c r="Z9" s="35">
        <v>29804.85329851185</v>
      </c>
      <c r="AA9" s="35">
        <v>31649.342630487394</v>
      </c>
      <c r="AB9" s="35">
        <v>32323.593645197394</v>
      </c>
      <c r="AC9" s="35">
        <v>41223.707039369394</v>
      </c>
      <c r="AD9" s="35">
        <v>29653.559626945796</v>
      </c>
      <c r="AE9" s="35">
        <v>31487.866392576747</v>
      </c>
      <c r="AF9" s="35">
        <v>32158.677351089245</v>
      </c>
      <c r="AG9" s="35">
        <v>41013.38200345425</v>
      </c>
      <c r="AH9" s="35">
        <v>29502.26595537975</v>
      </c>
      <c r="AI9" s="35">
        <v>31326.3901546661</v>
      </c>
      <c r="AJ9" s="35">
        <v>31993.7610569811</v>
      </c>
      <c r="AK9" s="35">
        <v>40803.0569675391</v>
      </c>
      <c r="AL9" s="35">
        <v>29350.972283813702</v>
      </c>
      <c r="AM9" s="35">
        <v>31164.913916755446</v>
      </c>
      <c r="AN9" s="35">
        <v>31828.844762872945</v>
      </c>
      <c r="AO9" s="35">
        <v>40592.731931623945</v>
      </c>
      <c r="AP9" s="35">
        <v>29199.678612247648</v>
      </c>
      <c r="AQ9" s="35">
        <v>31003.437678844795</v>
      </c>
      <c r="AR9" s="35">
        <v>31663.928468764796</v>
      </c>
      <c r="AS9" s="35">
        <v>40382.4068957088</v>
      </c>
      <c r="AT9" s="35">
        <v>29048.3849406816</v>
      </c>
      <c r="AU9" s="35">
        <v>30841.96144093414</v>
      </c>
      <c r="AV9" s="35">
        <v>31499.012174656644</v>
      </c>
      <c r="AW9" s="35">
        <v>40172.081859793645</v>
      </c>
      <c r="AX9" s="35">
        <v>28897.091269115546</v>
      </c>
      <c r="AY9" s="35">
        <v>30680.485203023494</v>
      </c>
      <c r="AZ9" s="35">
        <v>31334.095880548495</v>
      </c>
      <c r="BA9" s="35">
        <v>39961.756823878495</v>
      </c>
      <c r="BB9" s="35">
        <v>28745.7975975495</v>
      </c>
      <c r="BC9" s="35">
        <v>30519.008965112844</v>
      </c>
      <c r="BD9" s="35">
        <v>31169.179586440347</v>
      </c>
      <c r="BE9" s="35">
        <v>39751.431787963345</v>
      </c>
      <c r="BF9" s="35">
        <v>28594.50392598345</v>
      </c>
      <c r="BG9" s="35">
        <v>30357.532727202193</v>
      </c>
      <c r="BH9" s="35">
        <v>31004.263292332194</v>
      </c>
      <c r="BI9" s="35">
        <v>39541.106752048196</v>
      </c>
      <c r="BJ9" s="35">
        <v>28443.210254417398</v>
      </c>
      <c r="BK9" s="35">
        <v>30196.056489291546</v>
      </c>
      <c r="BL9" s="35">
        <v>30839.346998224046</v>
      </c>
      <c r="BM9" s="35">
        <v>39330.78171613305</v>
      </c>
      <c r="BN9" s="35">
        <v>28291.91658285135</v>
      </c>
      <c r="BO9" s="35">
        <v>30034.580251380896</v>
      </c>
      <c r="BP9" s="35">
        <v>30674.430704115897</v>
      </c>
      <c r="BQ9" s="35">
        <v>39120.456680217896</v>
      </c>
      <c r="BR9" s="35">
        <v>28140.6229112853</v>
      </c>
      <c r="BS9" s="35">
        <v>29873.10401347025</v>
      </c>
      <c r="BT9" s="35">
        <v>30509.51441000775</v>
      </c>
      <c r="BU9" s="35">
        <v>38910.13164430275</v>
      </c>
      <c r="BV9" s="35">
        <v>27989.32923971925</v>
      </c>
      <c r="BW9" s="35">
        <v>29711.6277755596</v>
      </c>
      <c r="BX9" s="35">
        <v>30344.598115899596</v>
      </c>
      <c r="BY9" s="35">
        <v>38699.806608387604</v>
      </c>
      <c r="BZ9" s="35">
        <v>27838.0355681532</v>
      </c>
      <c r="CA9" s="35">
        <v>29550.151537648948</v>
      </c>
      <c r="CB9" s="35">
        <v>30179.681821791448</v>
      </c>
      <c r="CC9" s="35">
        <v>38489.481572472454</v>
      </c>
      <c r="CD9" s="35">
        <v>27686.741896587147</v>
      </c>
      <c r="CE9" s="35">
        <v>29388.675299738297</v>
      </c>
      <c r="CF9" s="35">
        <v>30014.765527683296</v>
      </c>
      <c r="CG9" s="35">
        <v>38279.1565365573</v>
      </c>
      <c r="CH9" s="35">
        <v>27535.4482250211</v>
      </c>
      <c r="CI9" s="35">
        <v>29227.199061827647</v>
      </c>
      <c r="CJ9" s="35">
        <v>29849.84923357515</v>
      </c>
      <c r="CK9" s="35">
        <v>38068.831500642154</v>
      </c>
      <c r="CL9" s="35">
        <v>27384.15455345505</v>
      </c>
    </row>
    <row r="10" spans="2:90" x14ac:dyDescent="0.25">
      <c r="B10" s="29" t="s">
        <v>205</v>
      </c>
      <c r="C10" s="30" t="s">
        <v>206</v>
      </c>
      <c r="E10" s="20"/>
      <c r="F10" s="20"/>
      <c r="G10" s="20"/>
      <c r="H10" s="20"/>
      <c r="I10" s="20"/>
      <c r="J10" s="20"/>
      <c r="K10" s="20">
        <v>154.8001560031201</v>
      </c>
      <c r="L10" s="20">
        <v>154.8001560031201</v>
      </c>
      <c r="M10" s="20">
        <v>154.80015600312007</v>
      </c>
      <c r="N10" s="20">
        <v>154.80015600312007</v>
      </c>
      <c r="O10" s="20">
        <v>154.80015600312007</v>
      </c>
      <c r="P10" s="20">
        <v>154.80015600312007</v>
      </c>
      <c r="Q10" s="20">
        <v>154.80015600312007</v>
      </c>
      <c r="R10" s="20">
        <v>154.8001560031201</v>
      </c>
      <c r="S10" s="20">
        <v>154.80015600312007</v>
      </c>
      <c r="T10" s="20">
        <v>154.80015600312007</v>
      </c>
      <c r="U10" s="20">
        <v>154.80015600312007</v>
      </c>
      <c r="V10" s="20">
        <v>154.8001560031201</v>
      </c>
      <c r="W10" s="20">
        <v>154.80015600312007</v>
      </c>
      <c r="X10" s="20">
        <v>154.80015600312007</v>
      </c>
      <c r="Y10" s="20">
        <v>154.80015600312007</v>
      </c>
      <c r="Z10" s="20">
        <v>154.80015600312007</v>
      </c>
      <c r="AA10" s="20">
        <v>154.80015600312015</v>
      </c>
      <c r="AB10" s="20">
        <v>154.8001560031201</v>
      </c>
      <c r="AC10" s="20">
        <v>154.8001560031201</v>
      </c>
      <c r="AD10" s="20">
        <v>154.80015600312012</v>
      </c>
      <c r="AE10" s="20">
        <v>154.80015600312012</v>
      </c>
      <c r="AF10" s="20">
        <v>154.8001560031201</v>
      </c>
      <c r="AG10" s="20">
        <v>154.8001560031201</v>
      </c>
      <c r="AH10" s="20">
        <v>154.80015600312012</v>
      </c>
      <c r="AI10" s="20">
        <v>154.8001560031201</v>
      </c>
      <c r="AJ10" s="20">
        <v>154.80015600312007</v>
      </c>
      <c r="AK10" s="20">
        <v>154.80015600312007</v>
      </c>
      <c r="AL10" s="20">
        <v>154.8001560031201</v>
      </c>
      <c r="AM10" s="20">
        <v>154.80015600312007</v>
      </c>
      <c r="AN10" s="20">
        <v>154.80015600312012</v>
      </c>
      <c r="AO10" s="20">
        <v>154.80015600312012</v>
      </c>
      <c r="AP10" s="20">
        <v>154.80015600312012</v>
      </c>
      <c r="AQ10" s="20">
        <v>154.80015600312007</v>
      </c>
      <c r="AR10" s="20">
        <v>154.80015600312007</v>
      </c>
      <c r="AS10" s="20">
        <v>154.80015600312007</v>
      </c>
      <c r="AT10" s="20">
        <v>154.80015600312004</v>
      </c>
      <c r="AU10" s="20">
        <v>154.80015600312012</v>
      </c>
      <c r="AV10" s="20">
        <v>154.80015600312012</v>
      </c>
      <c r="AW10" s="20">
        <v>154.8001560031201</v>
      </c>
      <c r="AX10" s="20">
        <v>154.80015600312012</v>
      </c>
      <c r="AY10" s="20">
        <v>154.8001560031201</v>
      </c>
      <c r="AZ10" s="20">
        <v>154.80015600312007</v>
      </c>
      <c r="BA10" s="20">
        <v>154.8001560031201</v>
      </c>
      <c r="BB10" s="20">
        <v>154.8001560031201</v>
      </c>
      <c r="BC10" s="20">
        <v>154.8001560031201</v>
      </c>
      <c r="BD10" s="20">
        <v>154.80015600312007</v>
      </c>
      <c r="BE10" s="20">
        <v>154.8001560031201</v>
      </c>
      <c r="BF10" s="20">
        <v>154.8001560031201</v>
      </c>
      <c r="BG10" s="20">
        <v>154.80015600312012</v>
      </c>
      <c r="BH10" s="20">
        <v>154.80015600312012</v>
      </c>
      <c r="BI10" s="20">
        <v>154.8001560031201</v>
      </c>
      <c r="BJ10" s="20">
        <v>154.8001560031201</v>
      </c>
      <c r="BK10" s="20">
        <v>154.80015600312012</v>
      </c>
      <c r="BL10" s="20">
        <v>154.8001560031201</v>
      </c>
      <c r="BM10" s="20">
        <v>154.80015600312012</v>
      </c>
      <c r="BN10" s="20">
        <v>154.8001560031201</v>
      </c>
      <c r="BO10" s="20">
        <v>154.80015600312007</v>
      </c>
      <c r="BP10" s="20">
        <v>154.8001560031201</v>
      </c>
      <c r="BQ10" s="20">
        <v>154.8001560031201</v>
      </c>
      <c r="BR10" s="20">
        <v>154.8001560031201</v>
      </c>
      <c r="BS10" s="20">
        <v>154.80015600312007</v>
      </c>
      <c r="BT10" s="20">
        <v>154.8001560031201</v>
      </c>
      <c r="BU10" s="20">
        <v>154.80015600312007</v>
      </c>
      <c r="BV10" s="20">
        <v>154.80015600312007</v>
      </c>
      <c r="BW10" s="20">
        <v>154.80015600312007</v>
      </c>
      <c r="BX10" s="20">
        <v>154.80015600312007</v>
      </c>
      <c r="BY10" s="20">
        <v>154.80015600312007</v>
      </c>
      <c r="BZ10" s="20">
        <v>154.8001560031201</v>
      </c>
      <c r="CA10" s="20">
        <v>154.80015600312007</v>
      </c>
      <c r="CB10" s="20">
        <v>154.8001560031201</v>
      </c>
      <c r="CC10" s="20">
        <v>154.80015600312007</v>
      </c>
      <c r="CD10" s="20">
        <v>154.80015600312007</v>
      </c>
      <c r="CE10" s="20">
        <v>154.8001560031201</v>
      </c>
      <c r="CF10" s="20">
        <v>154.80015600312007</v>
      </c>
      <c r="CG10" s="20">
        <v>154.8001560031201</v>
      </c>
      <c r="CH10" s="20">
        <v>154.80015600312007</v>
      </c>
      <c r="CI10" s="20">
        <v>154.80015600312012</v>
      </c>
      <c r="CJ10" s="20">
        <v>154.80015600312007</v>
      </c>
      <c r="CK10" s="20">
        <v>154.80015600312007</v>
      </c>
      <c r="CL10" s="20">
        <v>154.8001560031201</v>
      </c>
    </row>
    <row r="12" spans="2:91" x14ac:dyDescent="0.25">
      <c r="B12" s="27" t="s">
        <v>207</v>
      </c>
      <c r="C12" s="32" t="s">
        <v>190</v>
      </c>
      <c r="D12" s="33">
        <v>405781.18185676506</v>
      </c>
      <c r="E12" s="33">
        <v>0</v>
      </c>
      <c r="F12" s="33">
        <v>0</v>
      </c>
      <c r="G12" s="33">
        <v>0</v>
      </c>
      <c r="H12" s="33">
        <v>0</v>
      </c>
      <c r="I12" s="33">
        <v>0</v>
      </c>
      <c r="J12" s="33">
        <v>0</v>
      </c>
      <c r="K12" s="33">
        <v>4999.30936387311</v>
      </c>
      <c r="L12" s="33">
        <v>5105.81361107961</v>
      </c>
      <c r="M12" s="33">
        <v>6511.66967420541</v>
      </c>
      <c r="N12" s="33">
        <v>4684.05679214187</v>
      </c>
      <c r="O12" s="33">
        <v>4974.312817053744</v>
      </c>
      <c r="P12" s="33">
        <v>5080.284543024211</v>
      </c>
      <c r="Q12" s="33">
        <v>6479.111325834383</v>
      </c>
      <c r="R12" s="33">
        <v>4660.636508181162</v>
      </c>
      <c r="S12" s="33">
        <v>4949.316270234378</v>
      </c>
      <c r="T12" s="33">
        <v>5054.755474968812</v>
      </c>
      <c r="U12" s="33">
        <v>6446.552977463356</v>
      </c>
      <c r="V12" s="33">
        <v>4637.216224220451</v>
      </c>
      <c r="W12" s="33">
        <v>4924.319723415013</v>
      </c>
      <c r="X12" s="33">
        <v>5029.226406913415</v>
      </c>
      <c r="Y12" s="33">
        <v>6413.994629092329</v>
      </c>
      <c r="Z12" s="33">
        <v>4613.795940259742</v>
      </c>
      <c r="AA12" s="33">
        <v>4899.323176595649</v>
      </c>
      <c r="AB12" s="33">
        <v>5003.697338858017</v>
      </c>
      <c r="AC12" s="33">
        <v>6381.436280721302</v>
      </c>
      <c r="AD12" s="33">
        <v>4590.375656299034</v>
      </c>
      <c r="AE12" s="33">
        <v>4874.326629776283</v>
      </c>
      <c r="AF12" s="33">
        <v>4978.16827080262</v>
      </c>
      <c r="AG12" s="33">
        <v>6348.877932350276</v>
      </c>
      <c r="AH12" s="33">
        <v>4566.955372338324</v>
      </c>
      <c r="AI12" s="33">
        <v>4849.330082956917</v>
      </c>
      <c r="AJ12" s="33">
        <v>4952.639202747221</v>
      </c>
      <c r="AK12" s="33">
        <v>6316.319583979248</v>
      </c>
      <c r="AL12" s="33">
        <v>4543.535088377615</v>
      </c>
      <c r="AM12" s="33">
        <v>4824.33353613755</v>
      </c>
      <c r="AN12" s="33">
        <v>4927.110134691824</v>
      </c>
      <c r="AO12" s="33">
        <v>6283.761235608222</v>
      </c>
      <c r="AP12" s="33">
        <v>4520.114804416906</v>
      </c>
      <c r="AQ12" s="33">
        <v>4799.336989318184</v>
      </c>
      <c r="AR12" s="33">
        <v>4901.581066636425</v>
      </c>
      <c r="AS12" s="33">
        <v>6251.202887237194</v>
      </c>
      <c r="AT12" s="33">
        <v>4496.694520456194</v>
      </c>
      <c r="AU12" s="33">
        <v>4774.34044249882</v>
      </c>
      <c r="AV12" s="33">
        <v>4876.051998581028</v>
      </c>
      <c r="AW12" s="33">
        <v>6218.644538866167</v>
      </c>
      <c r="AX12" s="33">
        <v>4473.274236495487</v>
      </c>
      <c r="AY12" s="33">
        <v>4749.343895679454</v>
      </c>
      <c r="AZ12" s="33">
        <v>4850.522930525629</v>
      </c>
      <c r="BA12" s="33">
        <v>6186.08619049514</v>
      </c>
      <c r="BB12" s="33">
        <v>4449.853952534777</v>
      </c>
      <c r="BC12" s="33">
        <v>4724.3473488600885</v>
      </c>
      <c r="BD12" s="33">
        <v>4824.993862470231</v>
      </c>
      <c r="BE12" s="33">
        <v>6153.527842124113</v>
      </c>
      <c r="BF12" s="33">
        <v>4426.433668574067</v>
      </c>
      <c r="BG12" s="33">
        <v>4699.3508020407235</v>
      </c>
      <c r="BH12" s="33">
        <v>4799.464794414834</v>
      </c>
      <c r="BI12" s="33">
        <v>6120.969493753086</v>
      </c>
      <c r="BJ12" s="33">
        <v>4403.013384613358</v>
      </c>
      <c r="BK12" s="33">
        <v>4674.3542552213585</v>
      </c>
      <c r="BL12" s="33">
        <v>4773.935726359436</v>
      </c>
      <c r="BM12" s="33">
        <v>6088.411145382061</v>
      </c>
      <c r="BN12" s="33">
        <v>4379.593100652649</v>
      </c>
      <c r="BO12" s="33">
        <v>4649.357708401992</v>
      </c>
      <c r="BP12" s="33">
        <v>4748.406658304038</v>
      </c>
      <c r="BQ12" s="33">
        <v>6055.852797011032</v>
      </c>
      <c r="BR12" s="33">
        <v>4356.172816691939</v>
      </c>
      <c r="BS12" s="33">
        <v>4624.361161582627</v>
      </c>
      <c r="BT12" s="33">
        <v>4722.8775902486395</v>
      </c>
      <c r="BU12" s="33">
        <v>6023.294448640005</v>
      </c>
      <c r="BV12" s="33">
        <v>4332.75253273123</v>
      </c>
      <c r="BW12" s="33">
        <v>4599.364614763261</v>
      </c>
      <c r="BX12" s="33">
        <v>4697.348522193241</v>
      </c>
      <c r="BY12" s="33">
        <v>5990.736100268978</v>
      </c>
      <c r="BZ12" s="33">
        <v>4309.332248770521</v>
      </c>
      <c r="CA12" s="33">
        <v>4574.368067943895</v>
      </c>
      <c r="CB12" s="33">
        <v>4671.819454137843</v>
      </c>
      <c r="CC12" s="33">
        <v>5958.177751897951</v>
      </c>
      <c r="CD12" s="33">
        <v>4285.91196480981</v>
      </c>
      <c r="CE12" s="33">
        <v>4549.37152112453</v>
      </c>
      <c r="CF12" s="33">
        <v>4646.2903860824445</v>
      </c>
      <c r="CG12" s="33">
        <v>5925.619403526924</v>
      </c>
      <c r="CH12" s="33">
        <v>4262.491680849102</v>
      </c>
      <c r="CI12" s="33">
        <v>4524.374974305166</v>
      </c>
      <c r="CJ12" s="33">
        <v>4620.761318027047</v>
      </c>
      <c r="CK12" s="33">
        <v>5893.061055155897</v>
      </c>
      <c r="CL12" s="33">
        <v>4239.071396888393</v>
      </c>
      <c r="CM12" s="2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2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208</v>
      </c>
    </row>
    <row r="4" spans="2:91" x14ac:dyDescent="0.25">
      <c r="B4" s="9" t="s">
        <v>209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2" t="s">
        <v>101</v>
      </c>
      <c r="C6" s="22" t="s">
        <v>102</v>
      </c>
      <c r="D6" s="22" t="s">
        <v>103</v>
      </c>
      <c r="E6" s="26" t="s">
        <v>104</v>
      </c>
      <c r="F6" s="26" t="s">
        <v>105</v>
      </c>
      <c r="G6" s="26" t="s">
        <v>106</v>
      </c>
      <c r="H6" s="26" t="s">
        <v>107</v>
      </c>
      <c r="I6" s="26" t="s">
        <v>108</v>
      </c>
      <c r="J6" s="26" t="s">
        <v>109</v>
      </c>
      <c r="K6" s="26" t="s">
        <v>110</v>
      </c>
      <c r="L6" s="26" t="s">
        <v>111</v>
      </c>
      <c r="M6" s="26" t="s">
        <v>112</v>
      </c>
      <c r="N6" s="26" t="s">
        <v>93</v>
      </c>
      <c r="O6" s="26" t="s">
        <v>113</v>
      </c>
      <c r="P6" s="26" t="s">
        <v>114</v>
      </c>
      <c r="Q6" s="26" t="s">
        <v>115</v>
      </c>
      <c r="R6" s="26" t="s">
        <v>116</v>
      </c>
      <c r="S6" s="26" t="s">
        <v>117</v>
      </c>
      <c r="T6" s="26" t="s">
        <v>118</v>
      </c>
      <c r="U6" s="26" t="s">
        <v>119</v>
      </c>
      <c r="V6" s="26" t="s">
        <v>120</v>
      </c>
      <c r="W6" s="26" t="s">
        <v>121</v>
      </c>
      <c r="X6" s="26" t="s">
        <v>122</v>
      </c>
      <c r="Y6" s="26" t="s">
        <v>123</v>
      </c>
      <c r="Z6" s="26" t="s">
        <v>124</v>
      </c>
      <c r="AA6" s="26" t="s">
        <v>125</v>
      </c>
      <c r="AB6" s="26" t="s">
        <v>126</v>
      </c>
      <c r="AC6" s="26" t="s">
        <v>127</v>
      </c>
      <c r="AD6" s="26" t="s">
        <v>128</v>
      </c>
      <c r="AE6" s="26" t="s">
        <v>129</v>
      </c>
      <c r="AF6" s="26" t="s">
        <v>130</v>
      </c>
      <c r="AG6" s="26" t="s">
        <v>131</v>
      </c>
      <c r="AH6" s="26" t="s">
        <v>132</v>
      </c>
      <c r="AI6" s="26" t="s">
        <v>133</v>
      </c>
      <c r="AJ6" s="26" t="s">
        <v>134</v>
      </c>
      <c r="AK6" s="26" t="s">
        <v>135</v>
      </c>
      <c r="AL6" s="26" t="s">
        <v>136</v>
      </c>
      <c r="AM6" s="26" t="s">
        <v>137</v>
      </c>
      <c r="AN6" s="26" t="s">
        <v>138</v>
      </c>
      <c r="AO6" s="26" t="s">
        <v>139</v>
      </c>
      <c r="AP6" s="26" t="s">
        <v>140</v>
      </c>
      <c r="AQ6" s="26" t="s">
        <v>141</v>
      </c>
      <c r="AR6" s="26" t="s">
        <v>142</v>
      </c>
      <c r="AS6" s="26" t="s">
        <v>143</v>
      </c>
      <c r="AT6" s="26" t="s">
        <v>144</v>
      </c>
      <c r="AU6" s="26" t="s">
        <v>145</v>
      </c>
      <c r="AV6" s="26" t="s">
        <v>146</v>
      </c>
      <c r="AW6" s="26" t="s">
        <v>147</v>
      </c>
      <c r="AX6" s="26" t="s">
        <v>148</v>
      </c>
      <c r="AY6" s="26" t="s">
        <v>149</v>
      </c>
      <c r="AZ6" s="26" t="s">
        <v>150</v>
      </c>
      <c r="BA6" s="26" t="s">
        <v>151</v>
      </c>
      <c r="BB6" s="26" t="s">
        <v>152</v>
      </c>
      <c r="BC6" s="26" t="s">
        <v>153</v>
      </c>
      <c r="BD6" s="26" t="s">
        <v>154</v>
      </c>
      <c r="BE6" s="26" t="s">
        <v>155</v>
      </c>
      <c r="BF6" s="26" t="s">
        <v>156</v>
      </c>
      <c r="BG6" s="26" t="s">
        <v>157</v>
      </c>
      <c r="BH6" s="26" t="s">
        <v>158</v>
      </c>
      <c r="BI6" s="26" t="s">
        <v>159</v>
      </c>
      <c r="BJ6" s="26" t="s">
        <v>160</v>
      </c>
      <c r="BK6" s="26" t="s">
        <v>161</v>
      </c>
      <c r="BL6" s="26" t="s">
        <v>162</v>
      </c>
      <c r="BM6" s="26" t="s">
        <v>163</v>
      </c>
      <c r="BN6" s="26" t="s">
        <v>164</v>
      </c>
      <c r="BO6" s="26" t="s">
        <v>165</v>
      </c>
      <c r="BP6" s="26" t="s">
        <v>166</v>
      </c>
      <c r="BQ6" s="26" t="s">
        <v>167</v>
      </c>
      <c r="BR6" s="26" t="s">
        <v>168</v>
      </c>
      <c r="BS6" s="26" t="s">
        <v>169</v>
      </c>
      <c r="BT6" s="26" t="s">
        <v>170</v>
      </c>
      <c r="BU6" s="26" t="s">
        <v>171</v>
      </c>
      <c r="BV6" s="26" t="s">
        <v>172</v>
      </c>
      <c r="BW6" s="26" t="s">
        <v>173</v>
      </c>
      <c r="BX6" s="26" t="s">
        <v>174</v>
      </c>
      <c r="BY6" s="26" t="s">
        <v>175</v>
      </c>
      <c r="BZ6" s="26" t="s">
        <v>176</v>
      </c>
      <c r="CA6" s="26" t="s">
        <v>177</v>
      </c>
      <c r="CB6" s="26" t="s">
        <v>178</v>
      </c>
      <c r="CC6" s="26" t="s">
        <v>179</v>
      </c>
      <c r="CD6" s="26" t="s">
        <v>180</v>
      </c>
      <c r="CE6" s="26" t="s">
        <v>181</v>
      </c>
      <c r="CF6" s="26" t="s">
        <v>182</v>
      </c>
      <c r="CG6" s="26" t="s">
        <v>183</v>
      </c>
      <c r="CH6" s="26" t="s">
        <v>184</v>
      </c>
      <c r="CI6" s="26" t="s">
        <v>185</v>
      </c>
      <c r="CJ6" s="26" t="s">
        <v>186</v>
      </c>
      <c r="CK6" s="26" t="s">
        <v>187</v>
      </c>
      <c r="CL6" s="26" t="s">
        <v>188</v>
      </c>
    </row>
    <row r="8" spans="2:2" x14ac:dyDescent="0.25">
      <c r="B8" s="31" t="s">
        <v>210</v>
      </c>
    </row>
    <row r="9" spans="2:90" x14ac:dyDescent="0.25">
      <c r="B9" s="29" t="s">
        <v>211</v>
      </c>
      <c r="C9" s="30" t="s">
        <v>190</v>
      </c>
      <c r="D9" s="14">
        <v>-19118.401214778885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-194.4027421706478</v>
      </c>
      <c r="L9" s="19">
        <v>-194.42459123494544</v>
      </c>
      <c r="M9" s="19">
        <v>-385.17491260293656</v>
      </c>
      <c r="N9" s="19">
        <v>-194.33806894032676</v>
      </c>
      <c r="O9" s="19">
        <v>-194.69862787396582</v>
      </c>
      <c r="P9" s="19">
        <v>-194.72022056237736</v>
      </c>
      <c r="Q9" s="19">
        <v>-384.1781512260169</v>
      </c>
      <c r="R9" s="19">
        <v>-194.63471351626754</v>
      </c>
      <c r="S9" s="19">
        <v>-194.99544436655435</v>
      </c>
      <c r="T9" s="19">
        <v>-195.01678173891497</v>
      </c>
      <c r="U9" s="19">
        <v>-383.17864749902515</v>
      </c>
      <c r="V9" s="19">
        <v>-194.93228574436688</v>
      </c>
      <c r="W9" s="19">
        <v>-193.86521730431605</v>
      </c>
      <c r="X9" s="19">
        <v>-193.8863004442187</v>
      </c>
      <c r="Y9" s="19">
        <v>-380.7485815048632</v>
      </c>
      <c r="Z9" s="19">
        <v>-193.80281121020423</v>
      </c>
      <c r="AA9" s="19">
        <v>-194.17373381067162</v>
      </c>
      <c r="AB9" s="19">
        <v>-194.1945638253243</v>
      </c>
      <c r="AC9" s="19">
        <v>-379.753896666406</v>
      </c>
      <c r="AD9" s="19">
        <v>-194.11207696729969</v>
      </c>
      <c r="AE9" s="19">
        <v>-193.54441594851062</v>
      </c>
      <c r="AF9" s="19">
        <v>-193.56499396858047</v>
      </c>
      <c r="AG9" s="19">
        <v>-377.8181731485802</v>
      </c>
      <c r="AH9" s="19">
        <v>-193.48350500910394</v>
      </c>
      <c r="AI9" s="19">
        <v>-193.86125093126265</v>
      </c>
      <c r="AJ9" s="19">
        <v>-193.8815781107067</v>
      </c>
      <c r="AK9" s="19">
        <v>-376.8255579976128</v>
      </c>
      <c r="AL9" s="19">
        <v>-193.8010824801083</v>
      </c>
      <c r="AM9" s="19">
        <v>-194.17887083711244</v>
      </c>
      <c r="AN9" s="19">
        <v>-194.1989483529955</v>
      </c>
      <c r="AO9" s="19">
        <v>-375.83084478153717</v>
      </c>
      <c r="AP9" s="19">
        <v>-194.1194413900986</v>
      </c>
      <c r="AQ9" s="19">
        <v>-194.49723578869558</v>
      </c>
      <c r="AR9" s="19">
        <v>-194.51706484099498</v>
      </c>
      <c r="AS9" s="19">
        <v>-374.8341566943589</v>
      </c>
      <c r="AT9" s="19">
        <v>-194.43854179388944</v>
      </c>
      <c r="AU9" s="19">
        <v>-194.81630551960438</v>
      </c>
      <c r="AV9" s="19">
        <v>-194.83588733100154</v>
      </c>
      <c r="AW9" s="19">
        <v>-373.8356180452829</v>
      </c>
      <c r="AX9" s="19">
        <v>-194.75834335786882</v>
      </c>
      <c r="AY9" s="19">
        <v>-195.1360393936048</v>
      </c>
      <c r="AZ9" s="19">
        <v>-195.15537520926418</v>
      </c>
      <c r="BA9" s="19">
        <v>-372.8353541989724</v>
      </c>
      <c r="BB9" s="19">
        <v>-195.078805379253</v>
      </c>
      <c r="BC9" s="19">
        <v>-195.45639642425954</v>
      </c>
      <c r="BD9" s="19">
        <v>-195.47548751159465</v>
      </c>
      <c r="BE9" s="19">
        <v>-371.83349151461766</v>
      </c>
      <c r="BF9" s="19">
        <v>-195.39988680574757</v>
      </c>
      <c r="BG9" s="19">
        <v>-195.7773352949413</v>
      </c>
      <c r="BH9" s="19">
        <v>-195.796182943368</v>
      </c>
      <c r="BI9" s="19">
        <v>-370.8301572838688</v>
      </c>
      <c r="BJ9" s="19">
        <v>-195.72154625559835</v>
      </c>
      <c r="BK9" s="19">
        <v>-196.0988143792132</v>
      </c>
      <c r="BL9" s="19">
        <v>-196.11741989989034</v>
      </c>
      <c r="BM9" s="19">
        <v>-369.82547966770187</v>
      </c>
      <c r="BN9" s="19">
        <v>-196.04374203800896</v>
      </c>
      <c r="BO9" s="19">
        <v>-196.42079176155755</v>
      </c>
      <c r="BP9" s="19">
        <v>-196.43915648711544</v>
      </c>
      <c r="BQ9" s="19">
        <v>-368.81958763227635</v>
      </c>
      <c r="BR9" s="19">
        <v>-196.36643217390628</v>
      </c>
      <c r="BS9" s="19">
        <v>-196.74322525843104</v>
      </c>
      <c r="BT9" s="19">
        <v>-196.76135054268738</v>
      </c>
      <c r="BU9" s="19">
        <v>-367.8126108838537</v>
      </c>
      <c r="BV9" s="19">
        <v>-196.68957441703236</v>
      </c>
      <c r="BW9" s="19">
        <v>-197.06607243962478</v>
      </c>
      <c r="BX9" s="19">
        <v>-197.0839596572887</v>
      </c>
      <c r="BY9" s="19">
        <v>-366.80467980284607</v>
      </c>
      <c r="BZ9" s="19">
        <v>-197.0131262753397</v>
      </c>
      <c r="CA9" s="19">
        <v>-197.389290649906</v>
      </c>
      <c r="CB9" s="19">
        <v>-197.40694119626997</v>
      </c>
      <c r="CC9" s="19">
        <v>-365.7959253770601</v>
      </c>
      <c r="CD9" s="19">
        <v>-197.33704503266867</v>
      </c>
      <c r="CE9" s="19">
        <v>-197.71283703091942</v>
      </c>
      <c r="CF9" s="19">
        <v>-197.73025232153975</v>
      </c>
      <c r="CG9" s="19">
        <v>-364.78647913421355</v>
      </c>
      <c r="CH9" s="19">
        <v>-197.66128777068334</v>
      </c>
      <c r="CI9" s="19">
        <v>-198.03666854332374</v>
      </c>
      <c r="CJ9" s="19">
        <v>-198.05385001368919</v>
      </c>
      <c r="CK9" s="19">
        <v>-281.02855924815253</v>
      </c>
      <c r="CL9" s="19">
        <v>-197.98581139104212</v>
      </c>
    </row>
    <row r="10" spans="2:90" x14ac:dyDescent="0.25">
      <c r="B10" s="29" t="s">
        <v>212</v>
      </c>
      <c r="C10" s="30" t="s">
        <v>190</v>
      </c>
      <c r="D10" s="14">
        <v>-34670.19836654349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-305.1848385724455</v>
      </c>
      <c r="L10" s="19">
        <v>-305.2191385163979</v>
      </c>
      <c r="M10" s="19">
        <v>-604.6701924692882</v>
      </c>
      <c r="N10" s="19">
        <v>-305.08331073834654</v>
      </c>
      <c r="O10" s="19">
        <v>-310.2340773815938</v>
      </c>
      <c r="P10" s="19">
        <v>-310.2684833136782</v>
      </c>
      <c r="Q10" s="19">
        <v>-612.1519992062905</v>
      </c>
      <c r="R10" s="19">
        <v>-310.13223582262407</v>
      </c>
      <c r="S10" s="19">
        <v>-315.36763213898496</v>
      </c>
      <c r="T10" s="19">
        <v>-315.4021412354374</v>
      </c>
      <c r="U10" s="19">
        <v>-619.7177741282309</v>
      </c>
      <c r="V10" s="19">
        <v>-315.2654852134856</v>
      </c>
      <c r="W10" s="19">
        <v>-318.2428028254302</v>
      </c>
      <c r="X10" s="19">
        <v>-318.2774122186379</v>
      </c>
      <c r="Y10" s="19">
        <v>-625.0244238486032</v>
      </c>
      <c r="Z10" s="19">
        <v>-318.1403590215354</v>
      </c>
      <c r="AA10" s="19">
        <v>-323.53049223768915</v>
      </c>
      <c r="AB10" s="19">
        <v>-323.5651990168278</v>
      </c>
      <c r="AC10" s="19">
        <v>-632.7424554623797</v>
      </c>
      <c r="AD10" s="19">
        <v>-323.42776017143865</v>
      </c>
      <c r="AE10" s="19">
        <v>-327.31915752350756</v>
      </c>
      <c r="AF10" s="19">
        <v>-327.35395873520747</v>
      </c>
      <c r="AG10" s="19">
        <v>-638.9599282728137</v>
      </c>
      <c r="AH10" s="19">
        <v>-327.2161459368759</v>
      </c>
      <c r="AI10" s="19">
        <v>-332.7728084305855</v>
      </c>
      <c r="AJ10" s="19">
        <v>-332.80770107962485</v>
      </c>
      <c r="AK10" s="19">
        <v>-646.8404522353475</v>
      </c>
      <c r="AL10" s="19">
        <v>-332.6695261894292</v>
      </c>
      <c r="AM10" s="19">
        <v>-338.3177896257158</v>
      </c>
      <c r="AN10" s="19">
        <v>-338.35277067574174</v>
      </c>
      <c r="AO10" s="19">
        <v>-654.8099704746741</v>
      </c>
      <c r="AP10" s="19">
        <v>-338.2142457176391</v>
      </c>
      <c r="AQ10" s="19">
        <v>-343.95556393915984</v>
      </c>
      <c r="AR10" s="19">
        <v>-343.9906303134369</v>
      </c>
      <c r="AS10" s="19">
        <v>-662.8695427298252</v>
      </c>
      <c r="AT10" s="19">
        <v>-343.8517674712999</v>
      </c>
      <c r="AU10" s="19">
        <v>-349.6876150305437</v>
      </c>
      <c r="AV10" s="19">
        <v>-349.7227636127283</v>
      </c>
      <c r="AW10" s="19">
        <v>-671.020248223367</v>
      </c>
      <c r="AX10" s="19">
        <v>-349.58357522727744</v>
      </c>
      <c r="AY10" s="19">
        <v>-355.51544764520264</v>
      </c>
      <c r="AZ10" s="19">
        <v>-355.55067528014433</v>
      </c>
      <c r="BA10" s="19">
        <v>-679.2631861234208</v>
      </c>
      <c r="BB10" s="19">
        <v>-355.4111738457751</v>
      </c>
      <c r="BC10" s="19">
        <v>-361.4405878745565</v>
      </c>
      <c r="BD10" s="19">
        <v>-361.4758913691252</v>
      </c>
      <c r="BE10" s="19">
        <v>-687.599476011886</v>
      </c>
      <c r="BF10" s="19">
        <v>-361.33608953063333</v>
      </c>
      <c r="BG10" s="19">
        <v>-367.4645834206426</v>
      </c>
      <c r="BH10" s="19">
        <v>-367.49995954458024</v>
      </c>
      <c r="BI10" s="19">
        <v>-696.0302583587634</v>
      </c>
      <c r="BJ10" s="19">
        <v>-367.3598700937874</v>
      </c>
      <c r="BK10" s="19">
        <v>-373.58900386492525</v>
      </c>
      <c r="BL10" s="19">
        <v>-373.6244493517232</v>
      </c>
      <c r="BM10" s="19">
        <v>-704.5566950024884</v>
      </c>
      <c r="BN10" s="19">
        <v>-373.48408522400365</v>
      </c>
      <c r="BO10" s="19">
        <v>-379.81544094151207</v>
      </c>
      <c r="BP10" s="19">
        <v>-379.8509524893119</v>
      </c>
      <c r="BQ10" s="19">
        <v>-713.1799696361679</v>
      </c>
      <c r="BR10" s="19">
        <v>-379.71032676002443</v>
      </c>
      <c r="BS10" s="19">
        <v>-386.1455088149043</v>
      </c>
      <c r="BT10" s="19">
        <v>-386.1810830874232</v>
      </c>
      <c r="BU10" s="19">
        <v>-721.9012882996221</v>
      </c>
      <c r="BV10" s="19">
        <v>-386.04020896824875</v>
      </c>
      <c r="BW10" s="19">
        <v>-392.58084436241154</v>
      </c>
      <c r="BX10" s="19">
        <v>-392.6164779898892</v>
      </c>
      <c r="BY10" s="19">
        <v>-730.7218798771302</v>
      </c>
      <c r="BZ10" s="19">
        <v>-392.47536882507796</v>
      </c>
      <c r="CA10" s="19">
        <v>-399.1231074613631</v>
      </c>
      <c r="CB10" s="19">
        <v>-399.15879704153224</v>
      </c>
      <c r="CC10" s="19">
        <v>-739.6429966007714</v>
      </c>
      <c r="CD10" s="19">
        <v>-399.01746630406245</v>
      </c>
      <c r="CE10" s="19">
        <v>-405.7739812812509</v>
      </c>
      <c r="CF10" s="19">
        <v>-405.80972338032905</v>
      </c>
      <c r="CG10" s="19">
        <v>-748.6659145592629</v>
      </c>
      <c r="CH10" s="19">
        <v>-405.6681846679798</v>
      </c>
      <c r="CI10" s="19">
        <v>-412.5351725809391</v>
      </c>
      <c r="CJ10" s="19">
        <v>-412.57096373464077</v>
      </c>
      <c r="CK10" s="19">
        <v>-585.4176705878425</v>
      </c>
      <c r="CL10" s="19">
        <v>-412.4292307659823</v>
      </c>
    </row>
    <row r="11" spans="2:90" x14ac:dyDescent="0.25">
      <c r="B11" s="29" t="s">
        <v>213</v>
      </c>
      <c r="C11" s="30" t="s">
        <v>190</v>
      </c>
      <c r="D11" s="14">
        <v>-13005.715112094484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-132.24676338139307</v>
      </c>
      <c r="L11" s="19">
        <v>-132.26162669043907</v>
      </c>
      <c r="M11" s="19">
        <v>-262.02375007002485</v>
      </c>
      <c r="N11" s="19">
        <v>-132.20276798661683</v>
      </c>
      <c r="O11" s="19">
        <v>-132.44804617276586</v>
      </c>
      <c r="P11" s="19">
        <v>-132.4627350764472</v>
      </c>
      <c r="Q11" s="19">
        <v>-261.3456811061339</v>
      </c>
      <c r="R11" s="19">
        <v>-132.40456701786906</v>
      </c>
      <c r="S11" s="19">
        <v>-132.6499621541186</v>
      </c>
      <c r="T11" s="19">
        <v>-132.66447737341153</v>
      </c>
      <c r="U11" s="19">
        <v>-260.6657465979763</v>
      </c>
      <c r="V11" s="19">
        <v>-132.6069971050115</v>
      </c>
      <c r="W11" s="19">
        <v>-131.88110020701774</v>
      </c>
      <c r="X11" s="19">
        <v>-131.89544247906034</v>
      </c>
      <c r="Y11" s="19">
        <v>-259.01264047949877</v>
      </c>
      <c r="Z11" s="19">
        <v>-131.83864708177157</v>
      </c>
      <c r="AA11" s="19">
        <v>-132.09097538140927</v>
      </c>
      <c r="AB11" s="19">
        <v>-132.1051454594043</v>
      </c>
      <c r="AC11" s="19">
        <v>-258.33598412680675</v>
      </c>
      <c r="AD11" s="19">
        <v>-132.04903195054402</v>
      </c>
      <c r="AE11" s="19">
        <v>-131.6628679921841</v>
      </c>
      <c r="AF11" s="19">
        <v>-131.67686664529285</v>
      </c>
      <c r="AG11" s="19">
        <v>-257.0191654071974</v>
      </c>
      <c r="AH11" s="19">
        <v>-131.6214319789823</v>
      </c>
      <c r="AI11" s="19">
        <v>-131.87840199405622</v>
      </c>
      <c r="AJ11" s="19">
        <v>-131.89223000728347</v>
      </c>
      <c r="AK11" s="19">
        <v>-256.3439170051788</v>
      </c>
      <c r="AL11" s="19">
        <v>-131.83747107490362</v>
      </c>
      <c r="AM11" s="19">
        <v>-132.09446995721936</v>
      </c>
      <c r="AN11" s="19">
        <v>-132.10812813128948</v>
      </c>
      <c r="AO11" s="19">
        <v>-255.6672413479845</v>
      </c>
      <c r="AP11" s="19">
        <v>-132.05404176197183</v>
      </c>
      <c r="AQ11" s="19">
        <v>-132.3110447542147</v>
      </c>
      <c r="AR11" s="19">
        <v>-132.32453390543876</v>
      </c>
      <c r="AS11" s="19">
        <v>-254.9892222410605</v>
      </c>
      <c r="AT11" s="19">
        <v>-132.27111686659146</v>
      </c>
      <c r="AU11" s="19">
        <v>-132.52809899292816</v>
      </c>
      <c r="AV11" s="19">
        <v>-132.54141995306227</v>
      </c>
      <c r="AW11" s="19">
        <v>-254.30994424849177</v>
      </c>
      <c r="AX11" s="19">
        <v>-132.48866895093119</v>
      </c>
      <c r="AY11" s="19">
        <v>-132.74560502966312</v>
      </c>
      <c r="AZ11" s="19">
        <v>-132.75875864575795</v>
      </c>
      <c r="BA11" s="19">
        <v>-253.6294926523622</v>
      </c>
      <c r="BB11" s="19">
        <v>-132.70667032602245</v>
      </c>
      <c r="BC11" s="19">
        <v>-132.96353498248948</v>
      </c>
      <c r="BD11" s="19">
        <v>-132.97652211673105</v>
      </c>
      <c r="BE11" s="19">
        <v>-252.94795341130452</v>
      </c>
      <c r="BF11" s="19">
        <v>-132.9250930651344</v>
      </c>
      <c r="BG11" s="19">
        <v>-133.18186074485803</v>
      </c>
      <c r="BH11" s="19">
        <v>-133.19468227439998</v>
      </c>
      <c r="BI11" s="19">
        <v>-252.2654131182781</v>
      </c>
      <c r="BJ11" s="19">
        <v>-133.14390901741385</v>
      </c>
      <c r="BK11" s="19">
        <v>-133.40055399946476</v>
      </c>
      <c r="BL11" s="19">
        <v>-133.41321081625193</v>
      </c>
      <c r="BM11" s="19">
        <v>-251.58195895762032</v>
      </c>
      <c r="BN11" s="19">
        <v>-133.3630898217748</v>
      </c>
      <c r="BO11" s="19">
        <v>-133.61958623235208</v>
      </c>
      <c r="BP11" s="19">
        <v>-133.63207924293567</v>
      </c>
      <c r="BQ11" s="19">
        <v>-250.89767866141247</v>
      </c>
      <c r="BR11" s="19">
        <v>-133.58260692102468</v>
      </c>
      <c r="BS11" s="19">
        <v>-133.838928747232</v>
      </c>
      <c r="BT11" s="19">
        <v>-133.85125887257644</v>
      </c>
      <c r="BU11" s="19">
        <v>-250.21266046520662</v>
      </c>
      <c r="BV11" s="19">
        <v>-133.80243157621248</v>
      </c>
      <c r="BW11" s="19">
        <v>-134.05855268001685</v>
      </c>
      <c r="BX11" s="19">
        <v>-134.07072085529842</v>
      </c>
      <c r="BY11" s="19">
        <v>-249.5269930631606</v>
      </c>
      <c r="BZ11" s="19">
        <v>-134.02253488118347</v>
      </c>
      <c r="CA11" s="19">
        <v>-134.27842901354148</v>
      </c>
      <c r="CB11" s="19">
        <v>-134.29043618793875</v>
      </c>
      <c r="CC11" s="19">
        <v>-248.8407655626259</v>
      </c>
      <c r="CD11" s="19">
        <v>-134.24288777732562</v>
      </c>
      <c r="CE11" s="19">
        <v>-134.4985285924622</v>
      </c>
      <c r="CF11" s="19">
        <v>-134.5103757289386</v>
      </c>
      <c r="CG11" s="19">
        <v>-248.1540674382405</v>
      </c>
      <c r="CH11" s="19">
        <v>-134.46346106849208</v>
      </c>
      <c r="CI11" s="19">
        <v>-134.7188221383155</v>
      </c>
      <c r="CJ11" s="19">
        <v>-134.730510213394</v>
      </c>
      <c r="CK11" s="19">
        <v>-191.17589064500172</v>
      </c>
      <c r="CL11" s="19">
        <v>-134.68422543608307</v>
      </c>
    </row>
    <row r="12" spans="2:90" x14ac:dyDescent="0.25">
      <c r="B12" s="29" t="s">
        <v>214</v>
      </c>
      <c r="C12" s="30" t="s">
        <v>190</v>
      </c>
      <c r="D12" s="14">
        <v>-2190.9627765759165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-22.278493215788522</v>
      </c>
      <c r="L12" s="19">
        <v>-22.280997111697044</v>
      </c>
      <c r="M12" s="19">
        <v>-44.140924050258036</v>
      </c>
      <c r="N12" s="19">
        <v>-22.271081683899297</v>
      </c>
      <c r="O12" s="19">
        <v>-22.312401624489016</v>
      </c>
      <c r="P12" s="19">
        <v>-22.314876139801488</v>
      </c>
      <c r="Q12" s="19">
        <v>-44.02669550941795</v>
      </c>
      <c r="R12" s="19">
        <v>-22.3050770591641</v>
      </c>
      <c r="S12" s="19">
        <v>-22.34641670134767</v>
      </c>
      <c r="T12" s="19">
        <v>-22.348861957520867</v>
      </c>
      <c r="U12" s="19">
        <v>-43.91215269612062</v>
      </c>
      <c r="V12" s="19">
        <v>-22.33917874307501</v>
      </c>
      <c r="W12" s="19">
        <v>-22.216893034874523</v>
      </c>
      <c r="X12" s="19">
        <v>-22.21930915608786</v>
      </c>
      <c r="Y12" s="19">
        <v>-43.63366789616172</v>
      </c>
      <c r="Z12" s="19">
        <v>-22.209741316083058</v>
      </c>
      <c r="AA12" s="19">
        <v>-22.252248929637407</v>
      </c>
      <c r="AB12" s="19">
        <v>-22.254636042776568</v>
      </c>
      <c r="AC12" s="19">
        <v>-43.51967732597745</v>
      </c>
      <c r="AD12" s="19">
        <v>-22.24518307474549</v>
      </c>
      <c r="AE12" s="19">
        <v>-22.180129300221783</v>
      </c>
      <c r="AF12" s="19">
        <v>-22.182487534860872</v>
      </c>
      <c r="AG12" s="19">
        <v>-43.297844018597104</v>
      </c>
      <c r="AH12" s="19">
        <v>-22.173148925690093</v>
      </c>
      <c r="AI12" s="19">
        <v>-22.21643848976793</v>
      </c>
      <c r="AJ12" s="19">
        <v>-22.218767978150062</v>
      </c>
      <c r="AK12" s="19">
        <v>-43.18409063394935</v>
      </c>
      <c r="AL12" s="19">
        <v>-22.209543204156837</v>
      </c>
      <c r="AM12" s="19">
        <v>-22.252837631254646</v>
      </c>
      <c r="AN12" s="19">
        <v>-22.25513850827107</v>
      </c>
      <c r="AO12" s="19">
        <v>-43.070096811698924</v>
      </c>
      <c r="AP12" s="19">
        <v>-22.246027035286023</v>
      </c>
      <c r="AQ12" s="19">
        <v>-22.289322154748472</v>
      </c>
      <c r="AR12" s="19">
        <v>-22.29159455791622</v>
      </c>
      <c r="AS12" s="19">
        <v>-42.955876669840194</v>
      </c>
      <c r="AT12" s="19">
        <v>-22.282595841371947</v>
      </c>
      <c r="AU12" s="19">
        <v>-22.325887445731745</v>
      </c>
      <c r="AV12" s="19">
        <v>-22.328131515169723</v>
      </c>
      <c r="AW12" s="19">
        <v>-42.841444454169</v>
      </c>
      <c r="AX12" s="19">
        <v>-22.31924500019533</v>
      </c>
      <c r="AY12" s="19">
        <v>-22.362528847304787</v>
      </c>
      <c r="AZ12" s="19">
        <v>-22.364744725708455</v>
      </c>
      <c r="BA12" s="19">
        <v>-42.7268145314364</v>
      </c>
      <c r="BB12" s="19">
        <v>-22.355969847229936</v>
      </c>
      <c r="BC12" s="19">
        <v>-22.399241662434765</v>
      </c>
      <c r="BD12" s="19">
        <v>-22.401429495049307</v>
      </c>
      <c r="BE12" s="19">
        <v>-42.61200138236592</v>
      </c>
      <c r="BF12" s="19">
        <v>-22.39276567789572</v>
      </c>
      <c r="BG12" s="19">
        <v>-22.43602115624916</v>
      </c>
      <c r="BH12" s="19">
        <v>-22.43818109084123</v>
      </c>
      <c r="BI12" s="19">
        <v>-42.497019594540696</v>
      </c>
      <c r="BJ12" s="19">
        <v>-22.429627749856643</v>
      </c>
      <c r="BK12" s="19">
        <v>-22.47286255837137</v>
      </c>
      <c r="BL12" s="19">
        <v>-22.474994745199364</v>
      </c>
      <c r="BM12" s="19">
        <v>-42.38188385516835</v>
      </c>
      <c r="BN12" s="19">
        <v>-22.466551285360524</v>
      </c>
      <c r="BO12" s="19">
        <v>-22.509761065296235</v>
      </c>
      <c r="BP12" s="19">
        <v>-22.511865657079163</v>
      </c>
      <c r="BQ12" s="19">
        <v>-42.266608943730255</v>
      </c>
      <c r="BR12" s="19">
        <v>-22.503531473618775</v>
      </c>
      <c r="BS12" s="19">
        <v>-22.546711842802928</v>
      </c>
      <c r="BT12" s="19">
        <v>-22.54878899468788</v>
      </c>
      <c r="BU12" s="19">
        <v>-42.15120972452327</v>
      </c>
      <c r="BV12" s="19">
        <v>-22.54056347322349</v>
      </c>
      <c r="BW12" s="19">
        <v>-22.58371002840284</v>
      </c>
      <c r="BX12" s="19">
        <v>-22.585759897931045</v>
      </c>
      <c r="BY12" s="19">
        <v>-42.03570113910167</v>
      </c>
      <c r="BZ12" s="19">
        <v>-22.577642414599367</v>
      </c>
      <c r="CA12" s="19">
        <v>-22.620750733819683</v>
      </c>
      <c r="CB12" s="19">
        <v>-22.622773480891222</v>
      </c>
      <c r="CC12" s="19">
        <v>-41.92009819862698</v>
      </c>
      <c r="CD12" s="19">
        <v>-22.61476340248793</v>
      </c>
      <c r="CE12" s="19">
        <v>-22.6578290474994</v>
      </c>
      <c r="CF12" s="19">
        <v>-22.65982483433658</v>
      </c>
      <c r="CG12" s="19">
        <v>-41.804415976134365</v>
      </c>
      <c r="CH12" s="19">
        <v>-22.651921518461357</v>
      </c>
      <c r="CI12" s="19">
        <v>-22.694940037146992</v>
      </c>
      <c r="CJ12" s="19">
        <v>-22.696909028256375</v>
      </c>
      <c r="CK12" s="19">
        <v>-32.20578465481183</v>
      </c>
      <c r="CL12" s="19">
        <v>-22.689111823463225</v>
      </c>
    </row>
    <row r="13" spans="2:90" x14ac:dyDescent="0.25">
      <c r="B13" s="29" t="s">
        <v>215</v>
      </c>
      <c r="C13" s="30" t="s">
        <v>190</v>
      </c>
      <c r="D13" s="14">
        <v>-4855.876387979805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-40.6913118096594</v>
      </c>
      <c r="L13" s="19">
        <v>-40.69588513551972</v>
      </c>
      <c r="M13" s="19">
        <v>-80.62269232923842</v>
      </c>
      <c r="N13" s="19">
        <v>-40.67777476511287</v>
      </c>
      <c r="O13" s="19">
        <v>-41.56830987576036</v>
      </c>
      <c r="P13" s="19">
        <v>-41.572919931684964</v>
      </c>
      <c r="Q13" s="19">
        <v>-82.02233683946356</v>
      </c>
      <c r="R13" s="19">
        <v>-41.55466411022352</v>
      </c>
      <c r="S13" s="19">
        <v>-42.464314038506146</v>
      </c>
      <c r="T13" s="19">
        <v>-42.46896069516842</v>
      </c>
      <c r="U13" s="19">
        <v>-83.44512084939522</v>
      </c>
      <c r="V13" s="19">
        <v>-42.45055993478583</v>
      </c>
      <c r="W13" s="19">
        <v>-43.062547257996584</v>
      </c>
      <c r="X13" s="19">
        <v>-43.06723037609806</v>
      </c>
      <c r="Y13" s="19">
        <v>-84.57424190091322</v>
      </c>
      <c r="Z13" s="19">
        <v>-43.048685228416204</v>
      </c>
      <c r="AA13" s="19">
        <v>-43.993698399570974</v>
      </c>
      <c r="AB13" s="19">
        <v>-43.99841782976529</v>
      </c>
      <c r="AC13" s="19">
        <v>-86.04036224741698</v>
      </c>
      <c r="AD13" s="19">
        <v>-43.97972888619581</v>
      </c>
      <c r="AE13" s="19">
        <v>-44.728136936746516</v>
      </c>
      <c r="AF13" s="19">
        <v>-44.73289251956745</v>
      </c>
      <c r="AG13" s="19">
        <v>-87.31382356325297</v>
      </c>
      <c r="AH13" s="19">
        <v>-44.71406041159659</v>
      </c>
      <c r="AI13" s="19">
        <v>-45.69738468870667</v>
      </c>
      <c r="AJ13" s="19">
        <v>-45.7021762545004</v>
      </c>
      <c r="AK13" s="19">
        <v>-88.82611868866529</v>
      </c>
      <c r="AL13" s="19">
        <v>-45.683201653957255</v>
      </c>
      <c r="AM13" s="19">
        <v>-46.68769982018039</v>
      </c>
      <c r="AN13" s="19">
        <v>-46.69252718904212</v>
      </c>
      <c r="AO13" s="19">
        <v>-90.36347563811051</v>
      </c>
      <c r="AP13" s="19">
        <v>-46.67341080834969</v>
      </c>
      <c r="AQ13" s="19">
        <v>-47.69953132199577</v>
      </c>
      <c r="AR13" s="19">
        <v>-47.70439430371067</v>
      </c>
      <c r="AS13" s="19">
        <v>-91.92631209021849</v>
      </c>
      <c r="AT13" s="19">
        <v>-47.68513689611966</v>
      </c>
      <c r="AU13" s="19">
        <v>-48.73333730464321</v>
      </c>
      <c r="AV13" s="19">
        <v>-48.73823569863189</v>
      </c>
      <c r="AW13" s="19">
        <v>-93.51505369173131</v>
      </c>
      <c r="AX13" s="19">
        <v>-48.71883805843673</v>
      </c>
      <c r="AY13" s="19">
        <v>-49.789585172303795</v>
      </c>
      <c r="AZ13" s="19">
        <v>-49.79451876757221</v>
      </c>
      <c r="BA13" s="19">
        <v>-95.13013424287102</v>
      </c>
      <c r="BB13" s="19">
        <v>-49.77498173030929</v>
      </c>
      <c r="BC13" s="19">
        <v>-50.868751800172625</v>
      </c>
      <c r="BD13" s="19">
        <v>-50.87372037526667</v>
      </c>
      <c r="BE13" s="19">
        <v>-96.7719958869611</v>
      </c>
      <c r="BF13" s="19">
        <v>-50.85404481789425</v>
      </c>
      <c r="BG13" s="19">
        <v>-51.971323715150085</v>
      </c>
      <c r="BH13" s="19">
        <v>-51.97632703811481</v>
      </c>
      <c r="BI13" s="19">
        <v>-98.4410893043652</v>
      </c>
      <c r="BJ13" s="19">
        <v>-51.95651387917453</v>
      </c>
      <c r="BK13" s="19">
        <v>-53.09779727997457</v>
      </c>
      <c r="BL13" s="19">
        <v>-53.102835108318054</v>
      </c>
      <c r="BM13" s="19">
        <v>-100.13787391081001</v>
      </c>
      <c r="BN13" s="19">
        <v>-53.08288530807788</v>
      </c>
      <c r="BO13" s="19">
        <v>-54.248678880872845</v>
      </c>
      <c r="BP13" s="19">
        <v>-54.25375096153492</v>
      </c>
      <c r="BQ13" s="19">
        <v>-101.86281806015586</v>
      </c>
      <c r="BR13" s="19">
        <v>-54.23366552211309</v>
      </c>
      <c r="BS13" s="19">
        <v>-55.42448511880577</v>
      </c>
      <c r="BT13" s="19">
        <v>-55.42959118813151</v>
      </c>
      <c r="BU13" s="19">
        <v>-103.61639925168225</v>
      </c>
      <c r="BV13" s="19">
        <v>-55.4093711536016</v>
      </c>
      <c r="BW13" s="19">
        <v>-56.62574300438891</v>
      </c>
      <c r="BX13" s="19">
        <v>-56.63088278810693</v>
      </c>
      <c r="BY13" s="19">
        <v>-105.39910434195424</v>
      </c>
      <c r="BZ13" s="19">
        <v>-56.61052924458358</v>
      </c>
      <c r="CA13" s="19">
        <v>-57.85299015656942</v>
      </c>
      <c r="CB13" s="19">
        <v>-57.85816336977512</v>
      </c>
      <c r="CC13" s="19">
        <v>-107.21142976133562</v>
      </c>
      <c r="CD13" s="19">
        <v>-57.837677445480566</v>
      </c>
      <c r="CE13" s="19">
        <v>-59.10677500514284</v>
      </c>
      <c r="CF13" s="19">
        <v>-59.11198135228652</v>
      </c>
      <c r="CG13" s="19">
        <v>-109.05388173521737</v>
      </c>
      <c r="CH13" s="19">
        <v>-59.09136421759757</v>
      </c>
      <c r="CI13" s="19">
        <v>-60.387656997194874</v>
      </c>
      <c r="CJ13" s="19">
        <v>-60.39289617207479</v>
      </c>
      <c r="CK13" s="19">
        <v>-85.69451489525882</v>
      </c>
      <c r="CL13" s="19">
        <v>-60.37214903955033</v>
      </c>
    </row>
    <row r="14" spans="2:90" x14ac:dyDescent="0.25">
      <c r="B14" s="29" t="s">
        <v>216</v>
      </c>
      <c r="C14" s="30" t="s">
        <v>190</v>
      </c>
      <c r="D14" s="14">
        <v>-4855.876387979805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-40.6913118096594</v>
      </c>
      <c r="L14" s="19">
        <v>-40.69588513551972</v>
      </c>
      <c r="M14" s="19">
        <v>-80.62269232923842</v>
      </c>
      <c r="N14" s="19">
        <v>-40.67777476511287</v>
      </c>
      <c r="O14" s="19">
        <v>-41.56830987576036</v>
      </c>
      <c r="P14" s="19">
        <v>-41.572919931684964</v>
      </c>
      <c r="Q14" s="19">
        <v>-82.02233683946356</v>
      </c>
      <c r="R14" s="19">
        <v>-41.55466411022352</v>
      </c>
      <c r="S14" s="19">
        <v>-42.464314038506146</v>
      </c>
      <c r="T14" s="19">
        <v>-42.46896069516842</v>
      </c>
      <c r="U14" s="19">
        <v>-83.44512084939522</v>
      </c>
      <c r="V14" s="19">
        <v>-42.45055993478583</v>
      </c>
      <c r="W14" s="19">
        <v>-43.062547257996584</v>
      </c>
      <c r="X14" s="19">
        <v>-43.06723037609806</v>
      </c>
      <c r="Y14" s="19">
        <v>-84.57424190091322</v>
      </c>
      <c r="Z14" s="19">
        <v>-43.048685228416204</v>
      </c>
      <c r="AA14" s="19">
        <v>-43.993698399570974</v>
      </c>
      <c r="AB14" s="19">
        <v>-43.99841782976529</v>
      </c>
      <c r="AC14" s="19">
        <v>-86.04036224741698</v>
      </c>
      <c r="AD14" s="19">
        <v>-43.97972888619581</v>
      </c>
      <c r="AE14" s="19">
        <v>-44.728136936746516</v>
      </c>
      <c r="AF14" s="19">
        <v>-44.73289251956745</v>
      </c>
      <c r="AG14" s="19">
        <v>-87.31382356325297</v>
      </c>
      <c r="AH14" s="19">
        <v>-44.71406041159659</v>
      </c>
      <c r="AI14" s="19">
        <v>-45.69738468870667</v>
      </c>
      <c r="AJ14" s="19">
        <v>-45.7021762545004</v>
      </c>
      <c r="AK14" s="19">
        <v>-88.82611868866529</v>
      </c>
      <c r="AL14" s="19">
        <v>-45.683201653957255</v>
      </c>
      <c r="AM14" s="19">
        <v>-46.68769982018039</v>
      </c>
      <c r="AN14" s="19">
        <v>-46.69252718904212</v>
      </c>
      <c r="AO14" s="19">
        <v>-90.36347563811051</v>
      </c>
      <c r="AP14" s="19">
        <v>-46.67341080834969</v>
      </c>
      <c r="AQ14" s="19">
        <v>-47.69953132199577</v>
      </c>
      <c r="AR14" s="19">
        <v>-47.70439430371067</v>
      </c>
      <c r="AS14" s="19">
        <v>-91.92631209021849</v>
      </c>
      <c r="AT14" s="19">
        <v>-47.68513689611966</v>
      </c>
      <c r="AU14" s="19">
        <v>-48.73333730464321</v>
      </c>
      <c r="AV14" s="19">
        <v>-48.73823569863189</v>
      </c>
      <c r="AW14" s="19">
        <v>-93.51505369173131</v>
      </c>
      <c r="AX14" s="19">
        <v>-48.71883805843673</v>
      </c>
      <c r="AY14" s="19">
        <v>-49.789585172303795</v>
      </c>
      <c r="AZ14" s="19">
        <v>-49.79451876757221</v>
      </c>
      <c r="BA14" s="19">
        <v>-95.13013424287102</v>
      </c>
      <c r="BB14" s="19">
        <v>-49.77498173030929</v>
      </c>
      <c r="BC14" s="19">
        <v>-50.868751800172625</v>
      </c>
      <c r="BD14" s="19">
        <v>-50.87372037526667</v>
      </c>
      <c r="BE14" s="19">
        <v>-96.7719958869611</v>
      </c>
      <c r="BF14" s="19">
        <v>-50.85404481789425</v>
      </c>
      <c r="BG14" s="19">
        <v>-51.971323715150085</v>
      </c>
      <c r="BH14" s="19">
        <v>-51.97632703811481</v>
      </c>
      <c r="BI14" s="19">
        <v>-98.4410893043652</v>
      </c>
      <c r="BJ14" s="19">
        <v>-51.95651387917453</v>
      </c>
      <c r="BK14" s="19">
        <v>-53.09779727997457</v>
      </c>
      <c r="BL14" s="19">
        <v>-53.102835108318054</v>
      </c>
      <c r="BM14" s="19">
        <v>-100.13787391081001</v>
      </c>
      <c r="BN14" s="19">
        <v>-53.08288530807788</v>
      </c>
      <c r="BO14" s="19">
        <v>-54.248678880872845</v>
      </c>
      <c r="BP14" s="19">
        <v>-54.25375096153492</v>
      </c>
      <c r="BQ14" s="19">
        <v>-101.86281806015586</v>
      </c>
      <c r="BR14" s="19">
        <v>-54.23366552211309</v>
      </c>
      <c r="BS14" s="19">
        <v>-55.42448511880577</v>
      </c>
      <c r="BT14" s="19">
        <v>-55.42959118813151</v>
      </c>
      <c r="BU14" s="19">
        <v>-103.61639925168225</v>
      </c>
      <c r="BV14" s="19">
        <v>-55.4093711536016</v>
      </c>
      <c r="BW14" s="19">
        <v>-56.62574300438891</v>
      </c>
      <c r="BX14" s="19">
        <v>-56.63088278810693</v>
      </c>
      <c r="BY14" s="19">
        <v>-105.39910434195424</v>
      </c>
      <c r="BZ14" s="19">
        <v>-56.61052924458358</v>
      </c>
      <c r="CA14" s="19">
        <v>-57.85299015656942</v>
      </c>
      <c r="CB14" s="19">
        <v>-57.85816336977512</v>
      </c>
      <c r="CC14" s="19">
        <v>-107.21142976133562</v>
      </c>
      <c r="CD14" s="19">
        <v>-57.837677445480566</v>
      </c>
      <c r="CE14" s="19">
        <v>-59.10677500514284</v>
      </c>
      <c r="CF14" s="19">
        <v>-59.11198135228652</v>
      </c>
      <c r="CG14" s="19">
        <v>-109.05388173521737</v>
      </c>
      <c r="CH14" s="19">
        <v>-59.09136421759757</v>
      </c>
      <c r="CI14" s="19">
        <v>-60.387656997194874</v>
      </c>
      <c r="CJ14" s="19">
        <v>-60.39289617207479</v>
      </c>
      <c r="CK14" s="19">
        <v>-85.69451489525882</v>
      </c>
      <c r="CL14" s="19">
        <v>-60.37214903955033</v>
      </c>
    </row>
    <row r="15" spans="2:90" x14ac:dyDescent="0.25">
      <c r="B15" s="29" t="s">
        <v>217</v>
      </c>
      <c r="C15" s="30" t="s">
        <v>190</v>
      </c>
      <c r="D15" s="14">
        <v>-3641.907290984856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-30.51848385724455</v>
      </c>
      <c r="L15" s="19">
        <v>-30.521913851639788</v>
      </c>
      <c r="M15" s="19">
        <v>-60.467019246928814</v>
      </c>
      <c r="N15" s="19">
        <v>-30.508331073834654</v>
      </c>
      <c r="O15" s="19">
        <v>-31.17623240682027</v>
      </c>
      <c r="P15" s="19">
        <v>-31.179689948763723</v>
      </c>
      <c r="Q15" s="19">
        <v>-61.516752629597676</v>
      </c>
      <c r="R15" s="19">
        <v>-31.16599808266764</v>
      </c>
      <c r="S15" s="19">
        <v>-31.848235528879613</v>
      </c>
      <c r="T15" s="19">
        <v>-31.851720521376315</v>
      </c>
      <c r="U15" s="19">
        <v>-62.58384063704643</v>
      </c>
      <c r="V15" s="19">
        <v>-31.837919951089372</v>
      </c>
      <c r="W15" s="19">
        <v>-32.29691044349743</v>
      </c>
      <c r="X15" s="19">
        <v>-32.30042278207355</v>
      </c>
      <c r="Y15" s="19">
        <v>-63.43068142568492</v>
      </c>
      <c r="Z15" s="19">
        <v>-32.28651392131216</v>
      </c>
      <c r="AA15" s="19">
        <v>-32.99527379967823</v>
      </c>
      <c r="AB15" s="19">
        <v>-32.998813372323966</v>
      </c>
      <c r="AC15" s="19">
        <v>-64.53027168556274</v>
      </c>
      <c r="AD15" s="19">
        <v>-32.98479666464685</v>
      </c>
      <c r="AE15" s="19">
        <v>-33.54610270255989</v>
      </c>
      <c r="AF15" s="19">
        <v>-33.549669389675586</v>
      </c>
      <c r="AG15" s="19">
        <v>-65.48536767243974</v>
      </c>
      <c r="AH15" s="19">
        <v>-33.53554530869744</v>
      </c>
      <c r="AI15" s="19">
        <v>-34.27303851653001</v>
      </c>
      <c r="AJ15" s="19">
        <v>-34.276632190875304</v>
      </c>
      <c r="AK15" s="19">
        <v>-66.61958901649898</v>
      </c>
      <c r="AL15" s="19">
        <v>-34.262401240467945</v>
      </c>
      <c r="AM15" s="19">
        <v>-35.01577486513529</v>
      </c>
      <c r="AN15" s="19">
        <v>-35.019395391781586</v>
      </c>
      <c r="AO15" s="19">
        <v>-67.77260672858289</v>
      </c>
      <c r="AP15" s="19">
        <v>-35.005058106262275</v>
      </c>
      <c r="AQ15" s="19">
        <v>-35.77464849149683</v>
      </c>
      <c r="AR15" s="19">
        <v>-35.77829572778301</v>
      </c>
      <c r="AS15" s="19">
        <v>-68.94473406766387</v>
      </c>
      <c r="AT15" s="19">
        <v>-35.76385267208975</v>
      </c>
      <c r="AU15" s="19">
        <v>-36.550002978482404</v>
      </c>
      <c r="AV15" s="19">
        <v>-36.55367677397391</v>
      </c>
      <c r="AW15" s="19">
        <v>-70.13629026879848</v>
      </c>
      <c r="AX15" s="19">
        <v>-36.539128543827545</v>
      </c>
      <c r="AY15" s="19">
        <v>-37.34218887922785</v>
      </c>
      <c r="AZ15" s="19">
        <v>-37.34588907567916</v>
      </c>
      <c r="BA15" s="19">
        <v>-71.34760068215327</v>
      </c>
      <c r="BB15" s="19">
        <v>-37.33123629773198</v>
      </c>
      <c r="BC15" s="19">
        <v>-38.15156385012947</v>
      </c>
      <c r="BD15" s="19">
        <v>-38.15529028145</v>
      </c>
      <c r="BE15" s="19">
        <v>-72.57899691522081</v>
      </c>
      <c r="BF15" s="19">
        <v>-38.140533613420686</v>
      </c>
      <c r="BG15" s="19">
        <v>-38.978492786362565</v>
      </c>
      <c r="BH15" s="19">
        <v>-38.982245278586106</v>
      </c>
      <c r="BI15" s="19">
        <v>-73.8308169782739</v>
      </c>
      <c r="BJ15" s="19">
        <v>-38.967385409380896</v>
      </c>
      <c r="BK15" s="19">
        <v>-39.82334795998093</v>
      </c>
      <c r="BL15" s="19">
        <v>-39.827126331238546</v>
      </c>
      <c r="BM15" s="19">
        <v>-75.10340543310751</v>
      </c>
      <c r="BN15" s="19">
        <v>-39.81216398105841</v>
      </c>
      <c r="BO15" s="19">
        <v>-40.68650916065463</v>
      </c>
      <c r="BP15" s="19">
        <v>-40.69031322115119</v>
      </c>
      <c r="BQ15" s="19">
        <v>-76.3971135451169</v>
      </c>
      <c r="BR15" s="19">
        <v>-40.67524914158482</v>
      </c>
      <c r="BS15" s="19">
        <v>-41.56836383910433</v>
      </c>
      <c r="BT15" s="19">
        <v>-41.57219339109864</v>
      </c>
      <c r="BU15" s="19">
        <v>-77.71229943876169</v>
      </c>
      <c r="BV15" s="19">
        <v>-41.5570283652012</v>
      </c>
      <c r="BW15" s="19">
        <v>-42.46930725329168</v>
      </c>
      <c r="BX15" s="19">
        <v>-42.4731620910802</v>
      </c>
      <c r="BY15" s="19">
        <v>-79.04932825646569</v>
      </c>
      <c r="BZ15" s="19">
        <v>-42.45789693343769</v>
      </c>
      <c r="CA15" s="19">
        <v>-43.38974261742706</v>
      </c>
      <c r="CB15" s="19">
        <v>-43.39362252733134</v>
      </c>
      <c r="CC15" s="19">
        <v>-80.40857232100171</v>
      </c>
      <c r="CD15" s="19">
        <v>-43.37825808411043</v>
      </c>
      <c r="CE15" s="19">
        <v>-44.33008125385714</v>
      </c>
      <c r="CF15" s="19">
        <v>-44.333986014214894</v>
      </c>
      <c r="CG15" s="19">
        <v>-81.79041130141304</v>
      </c>
      <c r="CH15" s="19">
        <v>-44.318523163198186</v>
      </c>
      <c r="CI15" s="19">
        <v>-45.290742747896154</v>
      </c>
      <c r="CJ15" s="19">
        <v>-45.294672129056096</v>
      </c>
      <c r="CK15" s="19">
        <v>-64.27088617144412</v>
      </c>
      <c r="CL15" s="19">
        <v>-45.27911177966275</v>
      </c>
    </row>
    <row r="16" spans="2:90" x14ac:dyDescent="0.25">
      <c r="B16" s="29" t="s">
        <v>218</v>
      </c>
      <c r="C16" s="30" t="s">
        <v>190</v>
      </c>
      <c r="D16" s="14">
        <v>-16007.033984116288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-162.7652472386376</v>
      </c>
      <c r="L16" s="19">
        <v>-162.78354054207887</v>
      </c>
      <c r="M16" s="19">
        <v>-322.4907693169537</v>
      </c>
      <c r="N16" s="19">
        <v>-162.7110990604515</v>
      </c>
      <c r="O16" s="19">
        <v>-163.0129799049426</v>
      </c>
      <c r="P16" s="19">
        <v>-163.0310585556273</v>
      </c>
      <c r="Q16" s="19">
        <v>-321.65622289985714</v>
      </c>
      <c r="R16" s="19">
        <v>-162.95946709891578</v>
      </c>
      <c r="S16" s="19">
        <v>-163.26149188199213</v>
      </c>
      <c r="T16" s="19">
        <v>-163.27935676727574</v>
      </c>
      <c r="U16" s="19">
        <v>-320.81938042827846</v>
      </c>
      <c r="V16" s="19">
        <v>-163.2086118215526</v>
      </c>
      <c r="W16" s="19">
        <v>-162.31520025479105</v>
      </c>
      <c r="X16" s="19">
        <v>-162.33285228192042</v>
      </c>
      <c r="Y16" s="19">
        <v>-318.78478828246</v>
      </c>
      <c r="Z16" s="19">
        <v>-162.2629502544881</v>
      </c>
      <c r="AA16" s="19">
        <v>-162.57350816173448</v>
      </c>
      <c r="AB16" s="19">
        <v>-162.59094825772834</v>
      </c>
      <c r="AC16" s="19">
        <v>-317.9519804637622</v>
      </c>
      <c r="AD16" s="19">
        <v>-162.52188547759263</v>
      </c>
      <c r="AE16" s="19">
        <v>-162.0466067596112</v>
      </c>
      <c r="AF16" s="19">
        <v>-162.06383587112964</v>
      </c>
      <c r="AG16" s="19">
        <v>-316.331280501166</v>
      </c>
      <c r="AH16" s="19">
        <v>-161.99560858951665</v>
      </c>
      <c r="AI16" s="19">
        <v>-162.31187937729996</v>
      </c>
      <c r="AJ16" s="19">
        <v>-162.32889847050274</v>
      </c>
      <c r="AK16" s="19">
        <v>-315.50020554483547</v>
      </c>
      <c r="AL16" s="19">
        <v>-162.2615028614198</v>
      </c>
      <c r="AM16" s="19">
        <v>-162.57780917811613</v>
      </c>
      <c r="AN16" s="19">
        <v>-162.59461923851012</v>
      </c>
      <c r="AO16" s="19">
        <v>-314.6673739667501</v>
      </c>
      <c r="AP16" s="19">
        <v>-162.52805139934995</v>
      </c>
      <c r="AQ16" s="19">
        <v>-162.84436277441807</v>
      </c>
      <c r="AR16" s="19">
        <v>-162.86096480669386</v>
      </c>
      <c r="AS16" s="19">
        <v>-313.83288891207445</v>
      </c>
      <c r="AT16" s="19">
        <v>-162.7952207588818</v>
      </c>
      <c r="AU16" s="19">
        <v>-163.11150645283465</v>
      </c>
      <c r="AV16" s="19">
        <v>-163.12790148069203</v>
      </c>
      <c r="AW16" s="19">
        <v>-312.9968544596822</v>
      </c>
      <c r="AX16" s="19">
        <v>-163.06297717037683</v>
      </c>
      <c r="AY16" s="19">
        <v>-163.3792061903546</v>
      </c>
      <c r="AZ16" s="19">
        <v>-163.39539525631747</v>
      </c>
      <c r="BA16" s="19">
        <v>-312.15937557213806</v>
      </c>
      <c r="BB16" s="19">
        <v>-163.33128655510455</v>
      </c>
      <c r="BC16" s="19">
        <v>-163.6474276707563</v>
      </c>
      <c r="BD16" s="19">
        <v>-163.6634118359767</v>
      </c>
      <c r="BE16" s="19">
        <v>-311.3205580446825</v>
      </c>
      <c r="BF16" s="19">
        <v>-163.6001145417039</v>
      </c>
      <c r="BG16" s="19">
        <v>-163.91613630136374</v>
      </c>
      <c r="BH16" s="19">
        <v>-163.93191664541538</v>
      </c>
      <c r="BI16" s="19">
        <v>-310.4805084532654</v>
      </c>
      <c r="BJ16" s="19">
        <v>-163.86942648297088</v>
      </c>
      <c r="BK16" s="19">
        <v>-164.18529723011048</v>
      </c>
      <c r="BL16" s="19">
        <v>-164.2008748507716</v>
      </c>
      <c r="BM16" s="19">
        <v>-309.63933410168653</v>
      </c>
      <c r="BN16" s="19">
        <v>-164.1391874729536</v>
      </c>
      <c r="BO16" s="19">
        <v>-164.45487536289488</v>
      </c>
      <c r="BP16" s="19">
        <v>-164.4702513759208</v>
      </c>
      <c r="BQ16" s="19">
        <v>-308.7971429678923</v>
      </c>
      <c r="BR16" s="19">
        <v>-164.40936236433808</v>
      </c>
      <c r="BS16" s="19">
        <v>-164.7248353812086</v>
      </c>
      <c r="BT16" s="19">
        <v>-164.7400109200941</v>
      </c>
      <c r="BU16" s="19">
        <v>-307.9540436494851</v>
      </c>
      <c r="BV16" s="19">
        <v>-164.67991578610767</v>
      </c>
      <c r="BW16" s="19">
        <v>-164.99514176002074</v>
      </c>
      <c r="BX16" s="19">
        <v>-165.0101179757519</v>
      </c>
      <c r="BY16" s="19">
        <v>-307.11014530850537</v>
      </c>
      <c r="BZ16" s="19">
        <v>-164.95081216145658</v>
      </c>
      <c r="CA16" s="19">
        <v>-165.26575878589722</v>
      </c>
      <c r="CB16" s="19">
        <v>-165.28053684669385</v>
      </c>
      <c r="CC16" s="19">
        <v>-306.2655576155396</v>
      </c>
      <c r="CD16" s="19">
        <v>-165.22201572593923</v>
      </c>
      <c r="CE16" s="19">
        <v>-165.5366505753381</v>
      </c>
      <c r="CF16" s="19">
        <v>-165.55123166638597</v>
      </c>
      <c r="CG16" s="19">
        <v>-305.4203906932191</v>
      </c>
      <c r="CH16" s="19">
        <v>-165.4934905458364</v>
      </c>
      <c r="CI16" s="19">
        <v>-165.80778109331135</v>
      </c>
      <c r="CJ16" s="19">
        <v>-165.82216641648492</v>
      </c>
      <c r="CK16" s="19">
        <v>-235.29340387077133</v>
      </c>
      <c r="CL16" s="19">
        <v>-165.76520053671763</v>
      </c>
    </row>
    <row r="17" spans="2:90" x14ac:dyDescent="0.25">
      <c r="B17" s="29" t="s">
        <v>219</v>
      </c>
      <c r="C17" s="30" t="s">
        <v>190</v>
      </c>
      <c r="D17" s="14">
        <v>-600.2637744043606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-6.10369677144891</v>
      </c>
      <c r="L17" s="19">
        <v>-6.104382770327957</v>
      </c>
      <c r="M17" s="19">
        <v>-12.093403849385764</v>
      </c>
      <c r="N17" s="19">
        <v>-6.101666214766931</v>
      </c>
      <c r="O17" s="19">
        <v>-6.112986746435347</v>
      </c>
      <c r="P17" s="19">
        <v>-6.113664695836024</v>
      </c>
      <c r="Q17" s="19">
        <v>-12.062108358744643</v>
      </c>
      <c r="R17" s="19">
        <v>-6.110980016209342</v>
      </c>
      <c r="S17" s="19">
        <v>-6.122305945574705</v>
      </c>
      <c r="T17" s="19">
        <v>-6.1229758787728406</v>
      </c>
      <c r="U17" s="19">
        <v>-12.030726766060443</v>
      </c>
      <c r="V17" s="19">
        <v>-6.1203229433082225</v>
      </c>
      <c r="W17" s="19">
        <v>-6.086820009554664</v>
      </c>
      <c r="X17" s="19">
        <v>-6.087481960572016</v>
      </c>
      <c r="Y17" s="19">
        <v>-11.954429560592251</v>
      </c>
      <c r="Z17" s="19">
        <v>-6.084860634543303</v>
      </c>
      <c r="AA17" s="19">
        <v>-6.096506556065043</v>
      </c>
      <c r="AB17" s="19">
        <v>-6.097160559664813</v>
      </c>
      <c r="AC17" s="19">
        <v>-11.923199267391082</v>
      </c>
      <c r="AD17" s="19">
        <v>-6.094570705409724</v>
      </c>
      <c r="AE17" s="19">
        <v>-6.07674775348542</v>
      </c>
      <c r="AF17" s="19">
        <v>-6.077393845167362</v>
      </c>
      <c r="AG17" s="19">
        <v>-11.862423018793727</v>
      </c>
      <c r="AH17" s="19">
        <v>-6.074835322106875</v>
      </c>
      <c r="AI17" s="19">
        <v>-6.086695476648749</v>
      </c>
      <c r="AJ17" s="19">
        <v>-6.087333692643853</v>
      </c>
      <c r="AK17" s="19">
        <v>-11.831257707931329</v>
      </c>
      <c r="AL17" s="19">
        <v>-6.084806357303243</v>
      </c>
      <c r="AM17" s="19">
        <v>-6.096667844179355</v>
      </c>
      <c r="AN17" s="19">
        <v>-6.097298221444129</v>
      </c>
      <c r="AO17" s="19">
        <v>-11.80002652375313</v>
      </c>
      <c r="AP17" s="19">
        <v>-6.094801927475623</v>
      </c>
      <c r="AQ17" s="19">
        <v>-6.106663604040678</v>
      </c>
      <c r="AR17" s="19">
        <v>-6.10728618025102</v>
      </c>
      <c r="AS17" s="19">
        <v>-11.768733334202793</v>
      </c>
      <c r="AT17" s="19">
        <v>-6.104820778458067</v>
      </c>
      <c r="AU17" s="19">
        <v>-6.1166814919813</v>
      </c>
      <c r="AV17" s="19">
        <v>-6.117296305525951</v>
      </c>
      <c r="AW17" s="19">
        <v>-11.737382042238082</v>
      </c>
      <c r="AX17" s="19">
        <v>-6.114861643889132</v>
      </c>
      <c r="AY17" s="19">
        <v>-6.1267202321382985</v>
      </c>
      <c r="AZ17" s="19">
        <v>-6.127327322111905</v>
      </c>
      <c r="BA17" s="19">
        <v>-11.705976583955179</v>
      </c>
      <c r="BB17" s="19">
        <v>-6.124923245816421</v>
      </c>
      <c r="BC17" s="19">
        <v>-6.136778537653361</v>
      </c>
      <c r="BD17" s="19">
        <v>-6.137377943849126</v>
      </c>
      <c r="BE17" s="19">
        <v>-11.674520926675594</v>
      </c>
      <c r="BF17" s="19">
        <v>-6.1350042953138955</v>
      </c>
      <c r="BG17" s="19">
        <v>-6.146855111301139</v>
      </c>
      <c r="BH17" s="19">
        <v>-6.147446874203077</v>
      </c>
      <c r="BI17" s="19">
        <v>-11.64301906699745</v>
      </c>
      <c r="BJ17" s="19">
        <v>-6.145103493111408</v>
      </c>
      <c r="BK17" s="19">
        <v>-6.156948646129143</v>
      </c>
      <c r="BL17" s="19">
        <v>-6.1575328069039355</v>
      </c>
      <c r="BM17" s="19">
        <v>-11.611475028813246</v>
      </c>
      <c r="BN17" s="19">
        <v>-6.15521953023576</v>
      </c>
      <c r="BO17" s="19">
        <v>-6.167057826108557</v>
      </c>
      <c r="BP17" s="19">
        <v>-6.167634426597031</v>
      </c>
      <c r="BQ17" s="19">
        <v>-11.57989286129596</v>
      </c>
      <c r="BR17" s="19">
        <v>-6.1653510886626774</v>
      </c>
      <c r="BS17" s="19">
        <v>-6.177181326795323</v>
      </c>
      <c r="BT17" s="19">
        <v>-6.1777504095035285</v>
      </c>
      <c r="BU17" s="19">
        <v>-11.54827663685569</v>
      </c>
      <c r="BV17" s="19">
        <v>-6.175496841979038</v>
      </c>
      <c r="BW17" s="19">
        <v>-6.187317816000778</v>
      </c>
      <c r="BX17" s="19">
        <v>-6.1878794240906965</v>
      </c>
      <c r="BY17" s="19">
        <v>-11.51663044906895</v>
      </c>
      <c r="BZ17" s="19">
        <v>-6.185655456054621</v>
      </c>
      <c r="CA17" s="19">
        <v>-6.197465954471146</v>
      </c>
      <c r="CB17" s="19">
        <v>-6.1980201317510195</v>
      </c>
      <c r="CC17" s="19">
        <v>-11.484958410582735</v>
      </c>
      <c r="CD17" s="19">
        <v>-6.195825589722721</v>
      </c>
      <c r="CE17" s="19">
        <v>-6.207624396575178</v>
      </c>
      <c r="CF17" s="19">
        <v>-6.208171187489474</v>
      </c>
      <c r="CG17" s="19">
        <v>-11.453264650995717</v>
      </c>
      <c r="CH17" s="19">
        <v>-6.206005895468865</v>
      </c>
      <c r="CI17" s="19">
        <v>-6.217791790999176</v>
      </c>
      <c r="CJ17" s="19">
        <v>-6.218331240618185</v>
      </c>
      <c r="CK17" s="19">
        <v>-8.823502645153924</v>
      </c>
      <c r="CL17" s="19">
        <v>-6.216195020126912</v>
      </c>
    </row>
    <row r="18" spans="2:90" x14ac:dyDescent="0.25">
      <c r="B18" s="29" t="s">
        <v>220</v>
      </c>
      <c r="C18" s="30" t="s">
        <v>190</v>
      </c>
      <c r="D18" s="14">
        <v>-6002.6377440436045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-61.0369677144891</v>
      </c>
      <c r="L18" s="19">
        <v>-61.043827703279575</v>
      </c>
      <c r="M18" s="19">
        <v>-120.93403849385763</v>
      </c>
      <c r="N18" s="19">
        <v>-61.01666214766931</v>
      </c>
      <c r="O18" s="19">
        <v>-61.129867464353474</v>
      </c>
      <c r="P18" s="19">
        <v>-61.136646958360245</v>
      </c>
      <c r="Q18" s="19">
        <v>-120.62108358744642</v>
      </c>
      <c r="R18" s="19">
        <v>-61.109800162093414</v>
      </c>
      <c r="S18" s="19">
        <v>-61.22305945574705</v>
      </c>
      <c r="T18" s="19">
        <v>-61.2297587877284</v>
      </c>
      <c r="U18" s="19">
        <v>-120.30726766060444</v>
      </c>
      <c r="V18" s="19">
        <v>-61.20322943308222</v>
      </c>
      <c r="W18" s="19">
        <v>-60.86820009554664</v>
      </c>
      <c r="X18" s="19">
        <v>-60.87481960572016</v>
      </c>
      <c r="Y18" s="19">
        <v>-119.54429560592251</v>
      </c>
      <c r="Z18" s="19">
        <v>-60.84860634543303</v>
      </c>
      <c r="AA18" s="19">
        <v>-60.96506556065043</v>
      </c>
      <c r="AB18" s="19">
        <v>-60.97160559664813</v>
      </c>
      <c r="AC18" s="19">
        <v>-119.23199267391082</v>
      </c>
      <c r="AD18" s="19">
        <v>-60.945707054097234</v>
      </c>
      <c r="AE18" s="19">
        <v>-60.7674775348542</v>
      </c>
      <c r="AF18" s="19">
        <v>-60.773938451673615</v>
      </c>
      <c r="AG18" s="19">
        <v>-118.62423018793726</v>
      </c>
      <c r="AH18" s="19">
        <v>-60.74835322106874</v>
      </c>
      <c r="AI18" s="19">
        <v>-60.86695476648749</v>
      </c>
      <c r="AJ18" s="19">
        <v>-60.873336926438526</v>
      </c>
      <c r="AK18" s="19">
        <v>-118.31257707931329</v>
      </c>
      <c r="AL18" s="19">
        <v>-60.848063573032434</v>
      </c>
      <c r="AM18" s="19">
        <v>-60.96667844179355</v>
      </c>
      <c r="AN18" s="19">
        <v>-60.97298221444129</v>
      </c>
      <c r="AO18" s="19">
        <v>-118.0002652375313</v>
      </c>
      <c r="AP18" s="19">
        <v>-60.94801927475623</v>
      </c>
      <c r="AQ18" s="19">
        <v>-61.06663604040678</v>
      </c>
      <c r="AR18" s="19">
        <v>-61.0728618025102</v>
      </c>
      <c r="AS18" s="19">
        <v>-117.68733334202793</v>
      </c>
      <c r="AT18" s="19">
        <v>-61.048207784580676</v>
      </c>
      <c r="AU18" s="19">
        <v>-61.16681491981299</v>
      </c>
      <c r="AV18" s="19">
        <v>-61.17296305525951</v>
      </c>
      <c r="AW18" s="19">
        <v>-117.37382042238082</v>
      </c>
      <c r="AX18" s="19">
        <v>-61.14861643889131</v>
      </c>
      <c r="AY18" s="19">
        <v>-61.26720232138298</v>
      </c>
      <c r="AZ18" s="19">
        <v>-61.273273221119055</v>
      </c>
      <c r="BA18" s="19">
        <v>-117.05976583955179</v>
      </c>
      <c r="BB18" s="19">
        <v>-61.24923245816421</v>
      </c>
      <c r="BC18" s="19">
        <v>-61.367785376533604</v>
      </c>
      <c r="BD18" s="19">
        <v>-61.373779438491255</v>
      </c>
      <c r="BE18" s="19">
        <v>-116.74520926675594</v>
      </c>
      <c r="BF18" s="19">
        <v>-61.35004295313896</v>
      </c>
      <c r="BG18" s="19">
        <v>-61.468551113011394</v>
      </c>
      <c r="BH18" s="19">
        <v>-61.474468742030766</v>
      </c>
      <c r="BI18" s="19">
        <v>-116.43019066997451</v>
      </c>
      <c r="BJ18" s="19">
        <v>-61.45103493111409</v>
      </c>
      <c r="BK18" s="19">
        <v>-61.56948646129143</v>
      </c>
      <c r="BL18" s="19">
        <v>-61.57532806903936</v>
      </c>
      <c r="BM18" s="19">
        <v>-116.11475028813246</v>
      </c>
      <c r="BN18" s="19">
        <v>-61.552195302357596</v>
      </c>
      <c r="BO18" s="19">
        <v>-61.67057826108557</v>
      </c>
      <c r="BP18" s="19">
        <v>-61.67634426597031</v>
      </c>
      <c r="BQ18" s="19">
        <v>-115.7989286129596</v>
      </c>
      <c r="BR18" s="19">
        <v>-61.653510886626776</v>
      </c>
      <c r="BS18" s="19">
        <v>-61.77181326795323</v>
      </c>
      <c r="BT18" s="19">
        <v>-61.77750409503528</v>
      </c>
      <c r="BU18" s="19">
        <v>-115.4827663685569</v>
      </c>
      <c r="BV18" s="19">
        <v>-61.75496841979038</v>
      </c>
      <c r="BW18" s="19">
        <v>-61.87317816000778</v>
      </c>
      <c r="BX18" s="19">
        <v>-61.87879424090697</v>
      </c>
      <c r="BY18" s="19">
        <v>-115.16630449068951</v>
      </c>
      <c r="BZ18" s="19">
        <v>-61.856554560546215</v>
      </c>
      <c r="CA18" s="19">
        <v>-61.97465954471146</v>
      </c>
      <c r="CB18" s="19">
        <v>-61.9802013175102</v>
      </c>
      <c r="CC18" s="19">
        <v>-114.84958410582735</v>
      </c>
      <c r="CD18" s="19">
        <v>-61.958255897227204</v>
      </c>
      <c r="CE18" s="19">
        <v>-62.07624396575178</v>
      </c>
      <c r="CF18" s="19">
        <v>-62.08171187489474</v>
      </c>
      <c r="CG18" s="19">
        <v>-114.53264650995716</v>
      </c>
      <c r="CH18" s="19">
        <v>-62.06005895468865</v>
      </c>
      <c r="CI18" s="19">
        <v>-62.177917909991756</v>
      </c>
      <c r="CJ18" s="19">
        <v>-62.18331240618185</v>
      </c>
      <c r="CK18" s="19">
        <v>-88.23502645153926</v>
      </c>
      <c r="CL18" s="19">
        <v>-62.161950201269114</v>
      </c>
    </row>
    <row r="19" spans="2:90" x14ac:dyDescent="0.25">
      <c r="B19" s="29" t="s">
        <v>221</v>
      </c>
      <c r="C19" s="30" t="s">
        <v>190</v>
      </c>
      <c r="D19" s="14">
        <v>-428.50829975479286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-4.357225668578329</v>
      </c>
      <c r="L19" s="19">
        <v>-4.3577153803114514</v>
      </c>
      <c r="M19" s="19">
        <v>-8.63307789461485</v>
      </c>
      <c r="N19" s="19">
        <v>-4.355776121848287</v>
      </c>
      <c r="O19" s="19">
        <v>-4.363857472055313</v>
      </c>
      <c r="P19" s="19">
        <v>-4.364341437534144</v>
      </c>
      <c r="Q19" s="19">
        <v>-8.610737087029175</v>
      </c>
      <c r="R19" s="19">
        <v>-4.362424934237976</v>
      </c>
      <c r="S19" s="19">
        <v>-4.370510137680929</v>
      </c>
      <c r="T19" s="19">
        <v>-4.370988380659972</v>
      </c>
      <c r="U19" s="19">
        <v>-8.588334814065016</v>
      </c>
      <c r="V19" s="19">
        <v>-4.369094538462963</v>
      </c>
      <c r="W19" s="19">
        <v>-4.345177910820756</v>
      </c>
      <c r="X19" s="19">
        <v>-4.34565045558701</v>
      </c>
      <c r="Y19" s="19">
        <v>-8.533868782321456</v>
      </c>
      <c r="Z19" s="19">
        <v>-4.343779178312646</v>
      </c>
      <c r="AA19" s="19">
        <v>-4.352092813489632</v>
      </c>
      <c r="AB19" s="19">
        <v>-4.352559684859388</v>
      </c>
      <c r="AC19" s="19">
        <v>-8.511574517014914</v>
      </c>
      <c r="AD19" s="19">
        <v>-4.350710874235155</v>
      </c>
      <c r="AE19" s="19">
        <v>-4.3379876629547915</v>
      </c>
      <c r="AF19" s="19">
        <v>-4.3384488862701405</v>
      </c>
      <c r="AG19" s="19">
        <v>-8.468188379016215</v>
      </c>
      <c r="AH19" s="19">
        <v>-4.336622441941361</v>
      </c>
      <c r="AI19" s="19">
        <v>-4.34508901093032</v>
      </c>
      <c r="AJ19" s="19">
        <v>-4.345544612055359</v>
      </c>
      <c r="AK19" s="19">
        <v>-8.445940502435246</v>
      </c>
      <c r="AL19" s="19">
        <v>-4.343740431600208</v>
      </c>
      <c r="AM19" s="19">
        <v>-4.352207951698169</v>
      </c>
      <c r="AN19" s="19">
        <v>-4.352657957014916</v>
      </c>
      <c r="AO19" s="19">
        <v>-8.423645601089902</v>
      </c>
      <c r="AP19" s="19">
        <v>-4.350875935960598</v>
      </c>
      <c r="AQ19" s="19">
        <v>-4.359343591471172</v>
      </c>
      <c r="AR19" s="19">
        <v>-4.359788027875195</v>
      </c>
      <c r="AS19" s="19">
        <v>-8.401306436176233</v>
      </c>
      <c r="AT19" s="19">
        <v>-4.358028059715266</v>
      </c>
      <c r="AU19" s="19">
        <v>-4.366495027742384</v>
      </c>
      <c r="AV19" s="19">
        <v>-4.366933922638125</v>
      </c>
      <c r="AW19" s="19">
        <v>-8.378925793885692</v>
      </c>
      <c r="AX19" s="19">
        <v>-4.365195898850988</v>
      </c>
      <c r="AY19" s="19">
        <v>-4.3736613497157935</v>
      </c>
      <c r="AZ19" s="19">
        <v>-4.374094731011619</v>
      </c>
      <c r="BA19" s="19">
        <v>-8.356506484066136</v>
      </c>
      <c r="BB19" s="19">
        <v>-4.372378541080149</v>
      </c>
      <c r="BC19" s="19">
        <v>-4.380841638746146</v>
      </c>
      <c r="BD19" s="19">
        <v>-4.381269534849096</v>
      </c>
      <c r="BE19" s="19">
        <v>-8.33405133885615</v>
      </c>
      <c r="BF19" s="19">
        <v>-4.379575066281413</v>
      </c>
      <c r="BG19" s="19">
        <v>-4.388034968787507</v>
      </c>
      <c r="BH19" s="19">
        <v>-4.38845740859777</v>
      </c>
      <c r="BI19" s="19">
        <v>-8.311563211293914</v>
      </c>
      <c r="BJ19" s="19">
        <v>-4.386784546949131</v>
      </c>
      <c r="BK19" s="19">
        <v>-4.395240406850058</v>
      </c>
      <c r="BL19" s="19">
        <v>-4.395657419755156</v>
      </c>
      <c r="BM19" s="19">
        <v>-8.289044973902149</v>
      </c>
      <c r="BN19" s="19">
        <v>-4.394006048650968</v>
      </c>
      <c r="BO19" s="19">
        <v>-4.402457013464696</v>
      </c>
      <c r="BP19" s="19">
        <v>-4.4028686293334</v>
      </c>
      <c r="BQ19" s="19">
        <v>-8.266499517250477</v>
      </c>
      <c r="BR19" s="19">
        <v>-4.401238630493331</v>
      </c>
      <c r="BS19" s="19">
        <v>-4.409683843154955</v>
      </c>
      <c r="BT19" s="19">
        <v>-4.410090092330919</v>
      </c>
      <c r="BU19" s="19">
        <v>-8.243929748496715</v>
      </c>
      <c r="BV19" s="19">
        <v>-4.408481345594103</v>
      </c>
      <c r="BW19" s="19">
        <v>-4.4169199449157555</v>
      </c>
      <c r="BX19" s="19">
        <v>-4.4173208582108785</v>
      </c>
      <c r="BY19" s="19">
        <v>-8.221338589908688</v>
      </c>
      <c r="BZ19" s="19">
        <v>-4.415733241562193</v>
      </c>
      <c r="CA19" s="19">
        <v>-4.424164362698469</v>
      </c>
      <c r="CB19" s="19">
        <v>-4.424559971385995</v>
      </c>
      <c r="CC19" s="19">
        <v>-8.198728977367994</v>
      </c>
      <c r="CD19" s="19">
        <v>-4.422993360983393</v>
      </c>
      <c r="CE19" s="19">
        <v>-4.4314161359018005</v>
      </c>
      <c r="CF19" s="19">
        <v>-4.4318064717091525</v>
      </c>
      <c r="CG19" s="19">
        <v>-8.176103858857475</v>
      </c>
      <c r="CH19" s="19">
        <v>-4.430260741912041</v>
      </c>
      <c r="CI19" s="19">
        <v>-4.438674299867945</v>
      </c>
      <c r="CJ19" s="19">
        <v>-4.439059394969302</v>
      </c>
      <c r="CK19" s="19">
        <v>-6.298804421620549</v>
      </c>
      <c r="CL19" s="19">
        <v>-4.437534418367931</v>
      </c>
    </row>
    <row r="20" spans="2:90" x14ac:dyDescent="0.25">
      <c r="B20" s="29" t="s">
        <v>222</v>
      </c>
      <c r="C20" s="30" t="s">
        <v>190</v>
      </c>
      <c r="D20" s="14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  <c r="BK20" s="19">
        <v>0</v>
      </c>
      <c r="BL20" s="19">
        <v>0</v>
      </c>
      <c r="BM20" s="19">
        <v>0</v>
      </c>
      <c r="BN20" s="19">
        <v>0</v>
      </c>
      <c r="BO20" s="19">
        <v>0</v>
      </c>
      <c r="BP20" s="19">
        <v>0</v>
      </c>
      <c r="BQ20" s="19">
        <v>0</v>
      </c>
      <c r="BR20" s="19">
        <v>0</v>
      </c>
      <c r="BS20" s="19">
        <v>0</v>
      </c>
      <c r="BT20" s="19">
        <v>0</v>
      </c>
      <c r="BU20" s="19">
        <v>0</v>
      </c>
      <c r="BV20" s="19">
        <v>0</v>
      </c>
      <c r="BW20" s="19">
        <v>0</v>
      </c>
      <c r="BX20" s="19">
        <v>0</v>
      </c>
      <c r="BY20" s="19">
        <v>0</v>
      </c>
      <c r="BZ20" s="19">
        <v>0</v>
      </c>
      <c r="CA20" s="19">
        <v>0</v>
      </c>
      <c r="CB20" s="19">
        <v>0</v>
      </c>
      <c r="CC20" s="19">
        <v>0</v>
      </c>
      <c r="CD20" s="19">
        <v>0</v>
      </c>
      <c r="CE20" s="19">
        <v>0</v>
      </c>
      <c r="CF20" s="19">
        <v>0</v>
      </c>
      <c r="CG20" s="19">
        <v>0</v>
      </c>
      <c r="CH20" s="19">
        <v>0</v>
      </c>
      <c r="CI20" s="19">
        <v>0</v>
      </c>
      <c r="CJ20" s="19">
        <v>0</v>
      </c>
      <c r="CK20" s="19">
        <v>0</v>
      </c>
      <c r="CL20" s="19">
        <v>0</v>
      </c>
    </row>
    <row r="22" spans="2:90" x14ac:dyDescent="0.25">
      <c r="B22" s="29" t="s">
        <v>223</v>
      </c>
      <c r="C22" s="30" t="s">
        <v>190</v>
      </c>
      <c r="D22" s="14">
        <v>70691.88068425072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625.2770822099923</v>
      </c>
      <c r="L22" s="19">
        <v>625.3895040721566</v>
      </c>
      <c r="M22" s="19">
        <v>1606.8734726527252</v>
      </c>
      <c r="N22" s="19">
        <v>624.944313497986</v>
      </c>
      <c r="O22" s="19">
        <v>628.0006967989423</v>
      </c>
      <c r="P22" s="19">
        <v>628.1125565517957</v>
      </c>
      <c r="Q22" s="19">
        <v>1609.5891052894617</v>
      </c>
      <c r="R22" s="19">
        <v>627.669591930496</v>
      </c>
      <c r="S22" s="19">
        <v>630.7793113878922</v>
      </c>
      <c r="T22" s="19">
        <v>630.8906090314349</v>
      </c>
      <c r="U22" s="19">
        <v>1612.359737926198</v>
      </c>
      <c r="V22" s="19">
        <v>630.449870363006</v>
      </c>
      <c r="W22" s="19">
        <v>626.1140259768423</v>
      </c>
      <c r="X22" s="19">
        <v>626.2247615110741</v>
      </c>
      <c r="Y22" s="19">
        <v>1607.6864705629346</v>
      </c>
      <c r="Z22" s="19">
        <v>625.786248795516</v>
      </c>
      <c r="AA22" s="19">
        <v>629.0059625657924</v>
      </c>
      <c r="AB22" s="19">
        <v>629.1161359907135</v>
      </c>
      <c r="AC22" s="19">
        <v>1610.5704251996708</v>
      </c>
      <c r="AD22" s="19">
        <v>628.6798492280262</v>
      </c>
      <c r="AE22" s="19">
        <v>626.9562655947424</v>
      </c>
      <c r="AF22" s="19">
        <v>627.0658769103526</v>
      </c>
      <c r="AG22" s="19">
        <v>1608.5127462764071</v>
      </c>
      <c r="AH22" s="19">
        <v>626.6318161005363</v>
      </c>
      <c r="AI22" s="19">
        <v>629.9661023924924</v>
      </c>
      <c r="AJ22" s="19">
        <v>630.0751515987918</v>
      </c>
      <c r="AK22" s="19">
        <v>1611.5146011219438</v>
      </c>
      <c r="AL22" s="19">
        <v>629.6433167418462</v>
      </c>
      <c r="AM22" s="19">
        <v>633.0366636344186</v>
      </c>
      <c r="AN22" s="19">
        <v>633.1451507314072</v>
      </c>
      <c r="AO22" s="19">
        <v>1614.5771804116557</v>
      </c>
      <c r="AP22" s="19">
        <v>632.7155418273325</v>
      </c>
      <c r="AQ22" s="19">
        <v>636.1691638094042</v>
      </c>
      <c r="AR22" s="19">
        <v>636.2770887970818</v>
      </c>
      <c r="AS22" s="19">
        <v>1617.7016986344277</v>
      </c>
      <c r="AT22" s="19">
        <v>635.849705845878</v>
      </c>
      <c r="AU22" s="19">
        <v>639.3648416961104</v>
      </c>
      <c r="AV22" s="19">
        <v>639.4722045744772</v>
      </c>
      <c r="AW22" s="19">
        <v>1620.8893945689206</v>
      </c>
      <c r="AX22" s="19">
        <v>639.0470475761443</v>
      </c>
      <c r="AY22" s="19">
        <v>642.6249608487717</v>
      </c>
      <c r="AZ22" s="19">
        <v>642.7317616178278</v>
      </c>
      <c r="BA22" s="19">
        <v>1624.141531769368</v>
      </c>
      <c r="BB22" s="19">
        <v>642.3088305723658</v>
      </c>
      <c r="BC22" s="19">
        <v>645.9508100927075</v>
      </c>
      <c r="BD22" s="19">
        <v>646.0570487524527</v>
      </c>
      <c r="BE22" s="19">
        <v>1627.4593990610897</v>
      </c>
      <c r="BF22" s="19">
        <v>645.6363436598614</v>
      </c>
      <c r="BG22" s="19">
        <v>649.3437040297428</v>
      </c>
      <c r="BH22" s="19">
        <v>649.4493805801771</v>
      </c>
      <c r="BI22" s="19">
        <v>1630.8443110459118</v>
      </c>
      <c r="BJ22" s="19">
        <v>649.0309014404568</v>
      </c>
      <c r="BK22" s="19">
        <v>652.8049835537397</v>
      </c>
      <c r="BL22" s="19">
        <v>652.9100979948633</v>
      </c>
      <c r="BM22" s="19">
        <v>1634.2976086176952</v>
      </c>
      <c r="BN22" s="19">
        <v>652.4938448080138</v>
      </c>
      <c r="BO22" s="19">
        <v>656.3360163764378</v>
      </c>
      <c r="BP22" s="19">
        <v>656.4405687082506</v>
      </c>
      <c r="BQ22" s="19">
        <v>1637.8206594881792</v>
      </c>
      <c r="BR22" s="19">
        <v>656.0265414742719</v>
      </c>
      <c r="BS22" s="19">
        <v>659.9381975638107</v>
      </c>
      <c r="BT22" s="19">
        <v>660.0421877863126</v>
      </c>
      <c r="BU22" s="19">
        <v>1641.414858723339</v>
      </c>
      <c r="BV22" s="19">
        <v>659.6303865052049</v>
      </c>
      <c r="BW22" s="19">
        <v>663.612950083152</v>
      </c>
      <c r="BX22" s="19">
        <v>663.7163781963432</v>
      </c>
      <c r="BY22" s="19">
        <v>1645.0816292904665</v>
      </c>
      <c r="BZ22" s="19">
        <v>663.3068028681062</v>
      </c>
      <c r="CA22" s="19">
        <v>667.3617253611014</v>
      </c>
      <c r="CB22" s="19">
        <v>667.4645913649817</v>
      </c>
      <c r="CC22" s="19">
        <v>1648.8224226162022</v>
      </c>
      <c r="CD22" s="19">
        <v>667.0572419896156</v>
      </c>
      <c r="CE22" s="19">
        <v>671.1860038528306</v>
      </c>
      <c r="CF22" s="19">
        <v>671.2883077474002</v>
      </c>
      <c r="CG22" s="19">
        <v>1652.6387191557174</v>
      </c>
      <c r="CH22" s="19">
        <v>670.8831843249048</v>
      </c>
      <c r="CI22" s="19">
        <v>675.0872956226152</v>
      </c>
      <c r="CJ22" s="19">
        <v>675.1890374078739</v>
      </c>
      <c r="CK22" s="19">
        <v>1166.5320289732886</v>
      </c>
      <c r="CL22" s="19">
        <v>674.7861399382496</v>
      </c>
    </row>
    <row r="23" spans="2:90" x14ac:dyDescent="0.25">
      <c r="B23" s="29" t="s">
        <v>224</v>
      </c>
      <c r="C23" s="30" t="s">
        <v>190</v>
      </c>
      <c r="D23" s="14">
        <v>34685.50065500555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375</v>
      </c>
      <c r="L23" s="19">
        <v>375</v>
      </c>
      <c r="M23" s="19">
        <v>375</v>
      </c>
      <c r="N23" s="19">
        <v>375</v>
      </c>
      <c r="O23" s="19">
        <v>380.625</v>
      </c>
      <c r="P23" s="19">
        <v>380.625</v>
      </c>
      <c r="Q23" s="19">
        <v>380.625</v>
      </c>
      <c r="R23" s="19">
        <v>380.625</v>
      </c>
      <c r="S23" s="19">
        <v>386.3343749999999</v>
      </c>
      <c r="T23" s="19">
        <v>386.3343749999999</v>
      </c>
      <c r="U23" s="19">
        <v>386.3343749999999</v>
      </c>
      <c r="V23" s="19">
        <v>386.3343749999999</v>
      </c>
      <c r="W23" s="19">
        <v>392.1293906249998</v>
      </c>
      <c r="X23" s="19">
        <v>392.1293906249998</v>
      </c>
      <c r="Y23" s="19">
        <v>392.1293906249998</v>
      </c>
      <c r="Z23" s="19">
        <v>392.1293906249998</v>
      </c>
      <c r="AA23" s="19">
        <v>398.01133148437486</v>
      </c>
      <c r="AB23" s="19">
        <v>398.01133148437475</v>
      </c>
      <c r="AC23" s="19">
        <v>398.01133148437475</v>
      </c>
      <c r="AD23" s="19">
        <v>398.01133148437486</v>
      </c>
      <c r="AE23" s="19">
        <v>403.98150145664033</v>
      </c>
      <c r="AF23" s="19">
        <v>403.98150145664033</v>
      </c>
      <c r="AG23" s="19">
        <v>403.9815014566402</v>
      </c>
      <c r="AH23" s="19">
        <v>403.9815014566402</v>
      </c>
      <c r="AI23" s="19">
        <v>410.04122397848994</v>
      </c>
      <c r="AJ23" s="19">
        <v>410.04122397849005</v>
      </c>
      <c r="AK23" s="19">
        <v>410.0412239784898</v>
      </c>
      <c r="AL23" s="19">
        <v>410.04122397849017</v>
      </c>
      <c r="AM23" s="19">
        <v>416.1918423381669</v>
      </c>
      <c r="AN23" s="19">
        <v>416.1918423381668</v>
      </c>
      <c r="AO23" s="19">
        <v>416.19184233816713</v>
      </c>
      <c r="AP23" s="19">
        <v>416.191842338167</v>
      </c>
      <c r="AQ23" s="19">
        <v>422.4347199732397</v>
      </c>
      <c r="AR23" s="19">
        <v>422.4347199732398</v>
      </c>
      <c r="AS23" s="19">
        <v>422.4347199732397</v>
      </c>
      <c r="AT23" s="19">
        <v>422.4347199732398</v>
      </c>
      <c r="AU23" s="19">
        <v>428.7712407728378</v>
      </c>
      <c r="AV23" s="19">
        <v>428.7712407728379</v>
      </c>
      <c r="AW23" s="19">
        <v>428.77124077283815</v>
      </c>
      <c r="AX23" s="19">
        <v>428.7712407728378</v>
      </c>
      <c r="AY23" s="19">
        <v>435.2028093844308</v>
      </c>
      <c r="AZ23" s="19">
        <v>435.2028093844307</v>
      </c>
      <c r="BA23" s="19">
        <v>435.20280938443034</v>
      </c>
      <c r="BB23" s="19">
        <v>435.2028093844307</v>
      </c>
      <c r="BC23" s="19">
        <v>441.73085152519695</v>
      </c>
      <c r="BD23" s="19">
        <v>441.73085152519695</v>
      </c>
      <c r="BE23" s="19">
        <v>441.7308515251975</v>
      </c>
      <c r="BF23" s="19">
        <v>441.73085152519695</v>
      </c>
      <c r="BG23" s="19">
        <v>448.35681429807494</v>
      </c>
      <c r="BH23" s="19">
        <v>448.35681429807505</v>
      </c>
      <c r="BI23" s="19">
        <v>448.35681429807505</v>
      </c>
      <c r="BJ23" s="19">
        <v>448.35681429807505</v>
      </c>
      <c r="BK23" s="19">
        <v>455.0821665125461</v>
      </c>
      <c r="BL23" s="19">
        <v>455.0821665125462</v>
      </c>
      <c r="BM23" s="19">
        <v>455.08216651254565</v>
      </c>
      <c r="BN23" s="19">
        <v>455.0821665125461</v>
      </c>
      <c r="BO23" s="19">
        <v>461.90839901023423</v>
      </c>
      <c r="BP23" s="19">
        <v>461.90839901023423</v>
      </c>
      <c r="BQ23" s="19">
        <v>461.9083990102347</v>
      </c>
      <c r="BR23" s="19">
        <v>461.90839901023423</v>
      </c>
      <c r="BS23" s="19">
        <v>468.83702499538776</v>
      </c>
      <c r="BT23" s="19">
        <v>468.8370249953879</v>
      </c>
      <c r="BU23" s="19">
        <v>468.83702499538776</v>
      </c>
      <c r="BV23" s="19">
        <v>468.8370249953879</v>
      </c>
      <c r="BW23" s="19">
        <v>475.86958037031866</v>
      </c>
      <c r="BX23" s="19">
        <v>475.8695803703188</v>
      </c>
      <c r="BY23" s="19">
        <v>475.86958037031854</v>
      </c>
      <c r="BZ23" s="19">
        <v>475.8695803703188</v>
      </c>
      <c r="CA23" s="19">
        <v>483.0076240758731</v>
      </c>
      <c r="CB23" s="19">
        <v>483.0076240758731</v>
      </c>
      <c r="CC23" s="19">
        <v>483.00762407587285</v>
      </c>
      <c r="CD23" s="19">
        <v>483.0076240758732</v>
      </c>
      <c r="CE23" s="19">
        <v>490.2527384370111</v>
      </c>
      <c r="CF23" s="19">
        <v>490.2527384370111</v>
      </c>
      <c r="CG23" s="19">
        <v>490.25273843701143</v>
      </c>
      <c r="CH23" s="19">
        <v>490.2527384370111</v>
      </c>
      <c r="CI23" s="19">
        <v>497.6065295135662</v>
      </c>
      <c r="CJ23" s="19">
        <v>497.60652951356633</v>
      </c>
      <c r="CK23" s="19">
        <v>497.60652951356656</v>
      </c>
      <c r="CL23" s="19">
        <v>497.6065295135661</v>
      </c>
    </row>
    <row r="24" spans="2:91" x14ac:dyDescent="0.25">
      <c r="B24" s="27" t="s">
        <v>225</v>
      </c>
      <c r="C24" s="32" t="s">
        <v>190</v>
      </c>
      <c r="D24" s="33">
        <v>105377.38133925629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1000.2770822099923</v>
      </c>
      <c r="L24" s="33">
        <v>1000.3895040721566</v>
      </c>
      <c r="M24" s="33">
        <v>1981.8734726527252</v>
      </c>
      <c r="N24" s="33">
        <v>999.944313497986</v>
      </c>
      <c r="O24" s="33">
        <v>1008.6256967989423</v>
      </c>
      <c r="P24" s="33">
        <v>1008.7375565517957</v>
      </c>
      <c r="Q24" s="33">
        <v>1990.2141052894617</v>
      </c>
      <c r="R24" s="33">
        <v>1008.294591930496</v>
      </c>
      <c r="S24" s="33">
        <v>1017.1136863878921</v>
      </c>
      <c r="T24" s="33">
        <v>1017.2249840314348</v>
      </c>
      <c r="U24" s="33">
        <v>1998.694112926198</v>
      </c>
      <c r="V24" s="33">
        <v>1016.7842453630059</v>
      </c>
      <c r="W24" s="33">
        <v>1018.2434166018421</v>
      </c>
      <c r="X24" s="33">
        <v>1018.3541521360739</v>
      </c>
      <c r="Y24" s="33">
        <v>1999.8158611879344</v>
      </c>
      <c r="Z24" s="33">
        <v>1017.9156394205158</v>
      </c>
      <c r="AA24" s="33">
        <v>1027.0172940501673</v>
      </c>
      <c r="AB24" s="33">
        <v>1027.1274674750882</v>
      </c>
      <c r="AC24" s="33">
        <v>2008.5817566840456</v>
      </c>
      <c r="AD24" s="33">
        <v>1026.691180712401</v>
      </c>
      <c r="AE24" s="33">
        <v>1030.9377670513827</v>
      </c>
      <c r="AF24" s="33">
        <v>1031.047378366993</v>
      </c>
      <c r="AG24" s="33">
        <v>2012.4942477330474</v>
      </c>
      <c r="AH24" s="33">
        <v>1030.6133175571765</v>
      </c>
      <c r="AI24" s="33">
        <v>1040.0073263709824</v>
      </c>
      <c r="AJ24" s="33">
        <v>1040.1163755772818</v>
      </c>
      <c r="AK24" s="33">
        <v>2021.5558251004336</v>
      </c>
      <c r="AL24" s="33">
        <v>1039.6845407203364</v>
      </c>
      <c r="AM24" s="33">
        <v>1049.2285059725855</v>
      </c>
      <c r="AN24" s="33">
        <v>1049.336993069574</v>
      </c>
      <c r="AO24" s="33">
        <v>2030.7690227498229</v>
      </c>
      <c r="AP24" s="33">
        <v>1048.9073841654995</v>
      </c>
      <c r="AQ24" s="33">
        <v>1058.6038837826438</v>
      </c>
      <c r="AR24" s="33">
        <v>1058.7118087703216</v>
      </c>
      <c r="AS24" s="33">
        <v>2040.1364186076673</v>
      </c>
      <c r="AT24" s="33">
        <v>1058.2844258191178</v>
      </c>
      <c r="AU24" s="33">
        <v>1068.1360824689482</v>
      </c>
      <c r="AV24" s="33">
        <v>1068.2434453473152</v>
      </c>
      <c r="AW24" s="33">
        <v>2049.6606353417587</v>
      </c>
      <c r="AX24" s="33">
        <v>1067.8182883489822</v>
      </c>
      <c r="AY24" s="33">
        <v>1077.8277702332025</v>
      </c>
      <c r="AZ24" s="33">
        <v>1077.9345710022585</v>
      </c>
      <c r="BA24" s="33">
        <v>2059.3443411537983</v>
      </c>
      <c r="BB24" s="33">
        <v>1077.5116399567964</v>
      </c>
      <c r="BC24" s="33">
        <v>1087.6816616179044</v>
      </c>
      <c r="BD24" s="33">
        <v>1087.7879002776497</v>
      </c>
      <c r="BE24" s="33">
        <v>2069.190250586287</v>
      </c>
      <c r="BF24" s="33">
        <v>1087.3671951850583</v>
      </c>
      <c r="BG24" s="33">
        <v>1097.7005183278177</v>
      </c>
      <c r="BH24" s="33">
        <v>1097.8061948782522</v>
      </c>
      <c r="BI24" s="33">
        <v>2079.201125343987</v>
      </c>
      <c r="BJ24" s="33">
        <v>1097.3877157385318</v>
      </c>
      <c r="BK24" s="33">
        <v>1107.8871500662858</v>
      </c>
      <c r="BL24" s="33">
        <v>1107.9922645074096</v>
      </c>
      <c r="BM24" s="33">
        <v>2089.379775130241</v>
      </c>
      <c r="BN24" s="33">
        <v>1107.57601132056</v>
      </c>
      <c r="BO24" s="33">
        <v>1118.244415386672</v>
      </c>
      <c r="BP24" s="33">
        <v>1118.3489677184848</v>
      </c>
      <c r="BQ24" s="33">
        <v>2099.729058498414</v>
      </c>
      <c r="BR24" s="33">
        <v>1117.9349404845061</v>
      </c>
      <c r="BS24" s="33">
        <v>1128.7752225591985</v>
      </c>
      <c r="BT24" s="33">
        <v>1128.8792127817005</v>
      </c>
      <c r="BU24" s="33">
        <v>2110.2518837187267</v>
      </c>
      <c r="BV24" s="33">
        <v>1128.4674115005928</v>
      </c>
      <c r="BW24" s="33">
        <v>1139.4825304534706</v>
      </c>
      <c r="BX24" s="33">
        <v>1139.585958566662</v>
      </c>
      <c r="BY24" s="33">
        <v>2120.951209660785</v>
      </c>
      <c r="BZ24" s="33">
        <v>1139.176383238425</v>
      </c>
      <c r="CA24" s="33">
        <v>1150.3693494369745</v>
      </c>
      <c r="CB24" s="33">
        <v>1150.4722154408548</v>
      </c>
      <c r="CC24" s="33">
        <v>2131.830046692075</v>
      </c>
      <c r="CD24" s="33">
        <v>1150.0648660654888</v>
      </c>
      <c r="CE24" s="33">
        <v>1161.4387422898417</v>
      </c>
      <c r="CF24" s="33">
        <v>1161.5410461844112</v>
      </c>
      <c r="CG24" s="33">
        <v>2142.891457592729</v>
      </c>
      <c r="CH24" s="33">
        <v>1161.135922761916</v>
      </c>
      <c r="CI24" s="33">
        <v>1172.6938251361814</v>
      </c>
      <c r="CJ24" s="33">
        <v>1172.7955669214402</v>
      </c>
      <c r="CK24" s="33">
        <v>1664.1385584868551</v>
      </c>
      <c r="CL24" s="33">
        <v>1172.3926694518157</v>
      </c>
      <c r="CM24" s="28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226</v>
      </c>
    </row>
    <row r="4" spans="2:91" x14ac:dyDescent="0.25">
      <c r="B4" s="9" t="s">
        <v>227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2" t="s">
        <v>101</v>
      </c>
      <c r="C6" s="22" t="s">
        <v>102</v>
      </c>
      <c r="D6" s="22" t="s">
        <v>103</v>
      </c>
      <c r="E6" s="26" t="s">
        <v>104</v>
      </c>
      <c r="F6" s="26" t="s">
        <v>105</v>
      </c>
      <c r="G6" s="26" t="s">
        <v>106</v>
      </c>
      <c r="H6" s="26" t="s">
        <v>107</v>
      </c>
      <c r="I6" s="26" t="s">
        <v>108</v>
      </c>
      <c r="J6" s="26" t="s">
        <v>109</v>
      </c>
      <c r="K6" s="26" t="s">
        <v>110</v>
      </c>
      <c r="L6" s="26" t="s">
        <v>111</v>
      </c>
      <c r="M6" s="26" t="s">
        <v>112</v>
      </c>
      <c r="N6" s="26" t="s">
        <v>93</v>
      </c>
      <c r="O6" s="26" t="s">
        <v>113</v>
      </c>
      <c r="P6" s="26" t="s">
        <v>114</v>
      </c>
      <c r="Q6" s="26" t="s">
        <v>115</v>
      </c>
      <c r="R6" s="26" t="s">
        <v>116</v>
      </c>
      <c r="S6" s="26" t="s">
        <v>117</v>
      </c>
      <c r="T6" s="26" t="s">
        <v>118</v>
      </c>
      <c r="U6" s="26" t="s">
        <v>119</v>
      </c>
      <c r="V6" s="26" t="s">
        <v>120</v>
      </c>
      <c r="W6" s="26" t="s">
        <v>121</v>
      </c>
      <c r="X6" s="26" t="s">
        <v>122</v>
      </c>
      <c r="Y6" s="26" t="s">
        <v>123</v>
      </c>
      <c r="Z6" s="26" t="s">
        <v>124</v>
      </c>
      <c r="AA6" s="26" t="s">
        <v>125</v>
      </c>
      <c r="AB6" s="26" t="s">
        <v>126</v>
      </c>
      <c r="AC6" s="26" t="s">
        <v>127</v>
      </c>
      <c r="AD6" s="26" t="s">
        <v>128</v>
      </c>
      <c r="AE6" s="26" t="s">
        <v>129</v>
      </c>
      <c r="AF6" s="26" t="s">
        <v>130</v>
      </c>
      <c r="AG6" s="26" t="s">
        <v>131</v>
      </c>
      <c r="AH6" s="26" t="s">
        <v>132</v>
      </c>
      <c r="AI6" s="26" t="s">
        <v>133</v>
      </c>
      <c r="AJ6" s="26" t="s">
        <v>134</v>
      </c>
      <c r="AK6" s="26" t="s">
        <v>135</v>
      </c>
      <c r="AL6" s="26" t="s">
        <v>136</v>
      </c>
      <c r="AM6" s="26" t="s">
        <v>137</v>
      </c>
      <c r="AN6" s="26" t="s">
        <v>138</v>
      </c>
      <c r="AO6" s="26" t="s">
        <v>139</v>
      </c>
      <c r="AP6" s="26" t="s">
        <v>140</v>
      </c>
      <c r="AQ6" s="26" t="s">
        <v>141</v>
      </c>
      <c r="AR6" s="26" t="s">
        <v>142</v>
      </c>
      <c r="AS6" s="26" t="s">
        <v>143</v>
      </c>
      <c r="AT6" s="26" t="s">
        <v>144</v>
      </c>
      <c r="AU6" s="26" t="s">
        <v>145</v>
      </c>
      <c r="AV6" s="26" t="s">
        <v>146</v>
      </c>
      <c r="AW6" s="26" t="s">
        <v>147</v>
      </c>
      <c r="AX6" s="26" t="s">
        <v>148</v>
      </c>
      <c r="AY6" s="26" t="s">
        <v>149</v>
      </c>
      <c r="AZ6" s="26" t="s">
        <v>150</v>
      </c>
      <c r="BA6" s="26" t="s">
        <v>151</v>
      </c>
      <c r="BB6" s="26" t="s">
        <v>152</v>
      </c>
      <c r="BC6" s="26" t="s">
        <v>153</v>
      </c>
      <c r="BD6" s="26" t="s">
        <v>154</v>
      </c>
      <c r="BE6" s="26" t="s">
        <v>155</v>
      </c>
      <c r="BF6" s="26" t="s">
        <v>156</v>
      </c>
      <c r="BG6" s="26" t="s">
        <v>157</v>
      </c>
      <c r="BH6" s="26" t="s">
        <v>158</v>
      </c>
      <c r="BI6" s="26" t="s">
        <v>159</v>
      </c>
      <c r="BJ6" s="26" t="s">
        <v>160</v>
      </c>
      <c r="BK6" s="26" t="s">
        <v>161</v>
      </c>
      <c r="BL6" s="26" t="s">
        <v>162</v>
      </c>
      <c r="BM6" s="26" t="s">
        <v>163</v>
      </c>
      <c r="BN6" s="26" t="s">
        <v>164</v>
      </c>
      <c r="BO6" s="26" t="s">
        <v>165</v>
      </c>
      <c r="BP6" s="26" t="s">
        <v>166</v>
      </c>
      <c r="BQ6" s="26" t="s">
        <v>167</v>
      </c>
      <c r="BR6" s="26" t="s">
        <v>168</v>
      </c>
      <c r="BS6" s="26" t="s">
        <v>169</v>
      </c>
      <c r="BT6" s="26" t="s">
        <v>170</v>
      </c>
      <c r="BU6" s="26" t="s">
        <v>171</v>
      </c>
      <c r="BV6" s="26" t="s">
        <v>172</v>
      </c>
      <c r="BW6" s="26" t="s">
        <v>173</v>
      </c>
      <c r="BX6" s="26" t="s">
        <v>174</v>
      </c>
      <c r="BY6" s="26" t="s">
        <v>175</v>
      </c>
      <c r="BZ6" s="26" t="s">
        <v>176</v>
      </c>
      <c r="CA6" s="26" t="s">
        <v>177</v>
      </c>
      <c r="CB6" s="26" t="s">
        <v>178</v>
      </c>
      <c r="CC6" s="26" t="s">
        <v>179</v>
      </c>
      <c r="CD6" s="26" t="s">
        <v>180</v>
      </c>
      <c r="CE6" s="26" t="s">
        <v>181</v>
      </c>
      <c r="CF6" s="26" t="s">
        <v>182</v>
      </c>
      <c r="CG6" s="26" t="s">
        <v>183</v>
      </c>
      <c r="CH6" s="26" t="s">
        <v>184</v>
      </c>
      <c r="CI6" s="26" t="s">
        <v>185</v>
      </c>
      <c r="CJ6" s="26" t="s">
        <v>186</v>
      </c>
      <c r="CK6" s="26" t="s">
        <v>187</v>
      </c>
      <c r="CL6" s="26" t="s">
        <v>188</v>
      </c>
    </row>
    <row r="8" spans="2:90" x14ac:dyDescent="0.25">
      <c r="B8" s="31" t="s">
        <v>207</v>
      </c>
      <c r="C8" s="30" t="s">
        <v>190</v>
      </c>
      <c r="D8" s="14">
        <v>405781.18185676506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4999.30936387311</v>
      </c>
      <c r="L8" s="14">
        <v>5105.81361107961</v>
      </c>
      <c r="M8" s="14">
        <v>6511.66967420541</v>
      </c>
      <c r="N8" s="14">
        <v>4684.05679214187</v>
      </c>
      <c r="O8" s="14">
        <v>4974.312817053744</v>
      </c>
      <c r="P8" s="14">
        <v>5080.284543024211</v>
      </c>
      <c r="Q8" s="14">
        <v>6479.111325834383</v>
      </c>
      <c r="R8" s="14">
        <v>4660.636508181162</v>
      </c>
      <c r="S8" s="14">
        <v>4949.316270234378</v>
      </c>
      <c r="T8" s="14">
        <v>5054.755474968812</v>
      </c>
      <c r="U8" s="14">
        <v>6446.552977463356</v>
      </c>
      <c r="V8" s="14">
        <v>4637.216224220451</v>
      </c>
      <c r="W8" s="14">
        <v>4924.319723415013</v>
      </c>
      <c r="X8" s="14">
        <v>5029.226406913415</v>
      </c>
      <c r="Y8" s="14">
        <v>6413.994629092329</v>
      </c>
      <c r="Z8" s="14">
        <v>4613.795940259742</v>
      </c>
      <c r="AA8" s="14">
        <v>4899.323176595649</v>
      </c>
      <c r="AB8" s="14">
        <v>5003.697338858017</v>
      </c>
      <c r="AC8" s="14">
        <v>6381.436280721302</v>
      </c>
      <c r="AD8" s="14">
        <v>4590.375656299034</v>
      </c>
      <c r="AE8" s="14">
        <v>4874.326629776283</v>
      </c>
      <c r="AF8" s="14">
        <v>4978.16827080262</v>
      </c>
      <c r="AG8" s="14">
        <v>6348.877932350276</v>
      </c>
      <c r="AH8" s="14">
        <v>4566.955372338324</v>
      </c>
      <c r="AI8" s="14">
        <v>4849.330082956917</v>
      </c>
      <c r="AJ8" s="14">
        <v>4952.639202747221</v>
      </c>
      <c r="AK8" s="14">
        <v>6316.319583979248</v>
      </c>
      <c r="AL8" s="14">
        <v>4543.535088377615</v>
      </c>
      <c r="AM8" s="14">
        <v>4824.33353613755</v>
      </c>
      <c r="AN8" s="14">
        <v>4927.110134691824</v>
      </c>
      <c r="AO8" s="14">
        <v>6283.761235608222</v>
      </c>
      <c r="AP8" s="14">
        <v>4520.114804416906</v>
      </c>
      <c r="AQ8" s="14">
        <v>4799.336989318184</v>
      </c>
      <c r="AR8" s="14">
        <v>4901.581066636425</v>
      </c>
      <c r="AS8" s="14">
        <v>6251.202887237194</v>
      </c>
      <c r="AT8" s="14">
        <v>4496.694520456194</v>
      </c>
      <c r="AU8" s="14">
        <v>4774.34044249882</v>
      </c>
      <c r="AV8" s="14">
        <v>4876.051998581028</v>
      </c>
      <c r="AW8" s="14">
        <v>6218.644538866167</v>
      </c>
      <c r="AX8" s="14">
        <v>4473.274236495487</v>
      </c>
      <c r="AY8" s="14">
        <v>4749.343895679454</v>
      </c>
      <c r="AZ8" s="14">
        <v>4850.522930525629</v>
      </c>
      <c r="BA8" s="14">
        <v>6186.08619049514</v>
      </c>
      <c r="BB8" s="14">
        <v>4449.853952534777</v>
      </c>
      <c r="BC8" s="14">
        <v>4724.3473488600885</v>
      </c>
      <c r="BD8" s="14">
        <v>4824.993862470231</v>
      </c>
      <c r="BE8" s="14">
        <v>6153.527842124113</v>
      </c>
      <c r="BF8" s="14">
        <v>4426.433668574067</v>
      </c>
      <c r="BG8" s="14">
        <v>4699.3508020407235</v>
      </c>
      <c r="BH8" s="14">
        <v>4799.464794414834</v>
      </c>
      <c r="BI8" s="14">
        <v>6120.969493753086</v>
      </c>
      <c r="BJ8" s="14">
        <v>4403.013384613358</v>
      </c>
      <c r="BK8" s="14">
        <v>4674.3542552213585</v>
      </c>
      <c r="BL8" s="14">
        <v>4773.935726359436</v>
      </c>
      <c r="BM8" s="14">
        <v>6088.411145382061</v>
      </c>
      <c r="BN8" s="14">
        <v>4379.593100652649</v>
      </c>
      <c r="BO8" s="14">
        <v>4649.357708401992</v>
      </c>
      <c r="BP8" s="14">
        <v>4748.406658304038</v>
      </c>
      <c r="BQ8" s="14">
        <v>6055.852797011032</v>
      </c>
      <c r="BR8" s="14">
        <v>4356.172816691939</v>
      </c>
      <c r="BS8" s="14">
        <v>4624.361161582627</v>
      </c>
      <c r="BT8" s="14">
        <v>4722.8775902486395</v>
      </c>
      <c r="BU8" s="14">
        <v>6023.294448640005</v>
      </c>
      <c r="BV8" s="14">
        <v>4332.75253273123</v>
      </c>
      <c r="BW8" s="14">
        <v>4599.364614763261</v>
      </c>
      <c r="BX8" s="14">
        <v>4697.348522193241</v>
      </c>
      <c r="BY8" s="14">
        <v>5990.736100268978</v>
      </c>
      <c r="BZ8" s="14">
        <v>4309.332248770521</v>
      </c>
      <c r="CA8" s="14">
        <v>4574.368067943895</v>
      </c>
      <c r="CB8" s="14">
        <v>4671.819454137843</v>
      </c>
      <c r="CC8" s="14">
        <v>5958.177751897951</v>
      </c>
      <c r="CD8" s="14">
        <v>4285.91196480981</v>
      </c>
      <c r="CE8" s="14">
        <v>4549.37152112453</v>
      </c>
      <c r="CF8" s="14">
        <v>4646.2903860824445</v>
      </c>
      <c r="CG8" s="14">
        <v>5925.619403526924</v>
      </c>
      <c r="CH8" s="14">
        <v>4262.491680849102</v>
      </c>
      <c r="CI8" s="14">
        <v>4524.374974305166</v>
      </c>
      <c r="CJ8" s="14">
        <v>4620.761318027047</v>
      </c>
      <c r="CK8" s="14">
        <v>5893.061055155897</v>
      </c>
      <c r="CL8" s="14">
        <v>4239.071396888393</v>
      </c>
    </row>
    <row r="10" spans="2:2" x14ac:dyDescent="0.25">
      <c r="B10" s="31" t="s">
        <v>228</v>
      </c>
    </row>
    <row r="11" spans="2:90" x14ac:dyDescent="0.25">
      <c r="B11" s="29" t="s">
        <v>211</v>
      </c>
      <c r="C11" s="30" t="s">
        <v>190</v>
      </c>
      <c r="D11" s="14">
        <v>-19118.401214778885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-194.4027421706478</v>
      </c>
      <c r="L11" s="19">
        <v>-194.42459123494544</v>
      </c>
      <c r="M11" s="19">
        <v>-385.17491260293656</v>
      </c>
      <c r="N11" s="19">
        <v>-194.33806894032676</v>
      </c>
      <c r="O11" s="19">
        <v>-194.69862787396582</v>
      </c>
      <c r="P11" s="19">
        <v>-194.72022056237736</v>
      </c>
      <c r="Q11" s="19">
        <v>-384.1781512260169</v>
      </c>
      <c r="R11" s="19">
        <v>-194.63471351626754</v>
      </c>
      <c r="S11" s="19">
        <v>-194.99544436655435</v>
      </c>
      <c r="T11" s="19">
        <v>-195.01678173891497</v>
      </c>
      <c r="U11" s="19">
        <v>-383.17864749902515</v>
      </c>
      <c r="V11" s="19">
        <v>-194.93228574436688</v>
      </c>
      <c r="W11" s="19">
        <v>-193.86521730431605</v>
      </c>
      <c r="X11" s="19">
        <v>-193.8863004442187</v>
      </c>
      <c r="Y11" s="19">
        <v>-380.7485815048632</v>
      </c>
      <c r="Z11" s="19">
        <v>-193.80281121020423</v>
      </c>
      <c r="AA11" s="19">
        <v>-194.17373381067162</v>
      </c>
      <c r="AB11" s="19">
        <v>-194.1945638253243</v>
      </c>
      <c r="AC11" s="19">
        <v>-379.753896666406</v>
      </c>
      <c r="AD11" s="19">
        <v>-194.11207696729969</v>
      </c>
      <c r="AE11" s="19">
        <v>-193.54441594851062</v>
      </c>
      <c r="AF11" s="19">
        <v>-193.56499396858047</v>
      </c>
      <c r="AG11" s="19">
        <v>-377.8181731485802</v>
      </c>
      <c r="AH11" s="19">
        <v>-193.48350500910394</v>
      </c>
      <c r="AI11" s="19">
        <v>-193.86125093126265</v>
      </c>
      <c r="AJ11" s="19">
        <v>-193.8815781107067</v>
      </c>
      <c r="AK11" s="19">
        <v>-376.8255579976128</v>
      </c>
      <c r="AL11" s="19">
        <v>-193.8010824801083</v>
      </c>
      <c r="AM11" s="19">
        <v>-194.17887083711244</v>
      </c>
      <c r="AN11" s="19">
        <v>-194.1989483529955</v>
      </c>
      <c r="AO11" s="19">
        <v>-375.83084478153717</v>
      </c>
      <c r="AP11" s="19">
        <v>-194.1194413900986</v>
      </c>
      <c r="AQ11" s="19">
        <v>-194.49723578869558</v>
      </c>
      <c r="AR11" s="19">
        <v>-194.51706484099498</v>
      </c>
      <c r="AS11" s="19">
        <v>-374.8341566943589</v>
      </c>
      <c r="AT11" s="19">
        <v>-194.43854179388944</v>
      </c>
      <c r="AU11" s="19">
        <v>-194.81630551960438</v>
      </c>
      <c r="AV11" s="19">
        <v>-194.83588733100154</v>
      </c>
      <c r="AW11" s="19">
        <v>-373.8356180452829</v>
      </c>
      <c r="AX11" s="19">
        <v>-194.75834335786882</v>
      </c>
      <c r="AY11" s="19">
        <v>-195.1360393936048</v>
      </c>
      <c r="AZ11" s="19">
        <v>-195.15537520926418</v>
      </c>
      <c r="BA11" s="19">
        <v>-372.8353541989724</v>
      </c>
      <c r="BB11" s="19">
        <v>-195.078805379253</v>
      </c>
      <c r="BC11" s="19">
        <v>-195.45639642425954</v>
      </c>
      <c r="BD11" s="19">
        <v>-195.47548751159465</v>
      </c>
      <c r="BE11" s="19">
        <v>-371.83349151461766</v>
      </c>
      <c r="BF11" s="19">
        <v>-195.39988680574757</v>
      </c>
      <c r="BG11" s="19">
        <v>-195.7773352949413</v>
      </c>
      <c r="BH11" s="19">
        <v>-195.796182943368</v>
      </c>
      <c r="BI11" s="19">
        <v>-370.8301572838688</v>
      </c>
      <c r="BJ11" s="19">
        <v>-195.72154625559835</v>
      </c>
      <c r="BK11" s="19">
        <v>-196.0988143792132</v>
      </c>
      <c r="BL11" s="19">
        <v>-196.11741989989034</v>
      </c>
      <c r="BM11" s="19">
        <v>-369.82547966770187</v>
      </c>
      <c r="BN11" s="19">
        <v>-196.04374203800896</v>
      </c>
      <c r="BO11" s="19">
        <v>-196.42079176155755</v>
      </c>
      <c r="BP11" s="19">
        <v>-196.43915648711544</v>
      </c>
      <c r="BQ11" s="19">
        <v>-368.81958763227635</v>
      </c>
      <c r="BR11" s="19">
        <v>-196.36643217390628</v>
      </c>
      <c r="BS11" s="19">
        <v>-196.74322525843104</v>
      </c>
      <c r="BT11" s="19">
        <v>-196.76135054268738</v>
      </c>
      <c r="BU11" s="19">
        <v>-367.8126108838537</v>
      </c>
      <c r="BV11" s="19">
        <v>-196.68957441703236</v>
      </c>
      <c r="BW11" s="19">
        <v>-197.06607243962478</v>
      </c>
      <c r="BX11" s="19">
        <v>-197.0839596572887</v>
      </c>
      <c r="BY11" s="19">
        <v>-366.80467980284607</v>
      </c>
      <c r="BZ11" s="19">
        <v>-197.0131262753397</v>
      </c>
      <c r="CA11" s="19">
        <v>-197.389290649906</v>
      </c>
      <c r="CB11" s="19">
        <v>-197.40694119626997</v>
      </c>
      <c r="CC11" s="19">
        <v>-365.7959253770601</v>
      </c>
      <c r="CD11" s="19">
        <v>-197.33704503266867</v>
      </c>
      <c r="CE11" s="19">
        <v>-197.71283703091942</v>
      </c>
      <c r="CF11" s="19">
        <v>-197.73025232153975</v>
      </c>
      <c r="CG11" s="19">
        <v>-364.78647913421355</v>
      </c>
      <c r="CH11" s="19">
        <v>-197.66128777068334</v>
      </c>
      <c r="CI11" s="19">
        <v>-198.03666854332374</v>
      </c>
      <c r="CJ11" s="19">
        <v>-198.05385001368919</v>
      </c>
      <c r="CK11" s="19">
        <v>-281.02855924815253</v>
      </c>
      <c r="CL11" s="19">
        <v>-197.98581139104212</v>
      </c>
    </row>
    <row r="12" spans="2:90" x14ac:dyDescent="0.25">
      <c r="B12" s="29" t="s">
        <v>212</v>
      </c>
      <c r="C12" s="30" t="s">
        <v>190</v>
      </c>
      <c r="D12" s="14">
        <v>-34670.19836654349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0</v>
      </c>
      <c r="K12" s="19">
        <v>-305.1848385724455</v>
      </c>
      <c r="L12" s="19">
        <v>-305.2191385163979</v>
      </c>
      <c r="M12" s="19">
        <v>-604.6701924692882</v>
      </c>
      <c r="N12" s="19">
        <v>-305.08331073834654</v>
      </c>
      <c r="O12" s="19">
        <v>-310.2340773815938</v>
      </c>
      <c r="P12" s="19">
        <v>-310.2684833136782</v>
      </c>
      <c r="Q12" s="19">
        <v>-612.1519992062905</v>
      </c>
      <c r="R12" s="19">
        <v>-310.13223582262407</v>
      </c>
      <c r="S12" s="19">
        <v>-315.36763213898496</v>
      </c>
      <c r="T12" s="19">
        <v>-315.4021412354374</v>
      </c>
      <c r="U12" s="19">
        <v>-619.7177741282309</v>
      </c>
      <c r="V12" s="19">
        <v>-315.2654852134856</v>
      </c>
      <c r="W12" s="19">
        <v>-318.2428028254302</v>
      </c>
      <c r="X12" s="19">
        <v>-318.2774122186379</v>
      </c>
      <c r="Y12" s="19">
        <v>-625.0244238486032</v>
      </c>
      <c r="Z12" s="19">
        <v>-318.1403590215354</v>
      </c>
      <c r="AA12" s="19">
        <v>-323.53049223768915</v>
      </c>
      <c r="AB12" s="19">
        <v>-323.5651990168278</v>
      </c>
      <c r="AC12" s="19">
        <v>-632.7424554623797</v>
      </c>
      <c r="AD12" s="19">
        <v>-323.42776017143865</v>
      </c>
      <c r="AE12" s="19">
        <v>-327.31915752350756</v>
      </c>
      <c r="AF12" s="19">
        <v>-327.35395873520747</v>
      </c>
      <c r="AG12" s="19">
        <v>-638.9599282728137</v>
      </c>
      <c r="AH12" s="19">
        <v>-327.2161459368759</v>
      </c>
      <c r="AI12" s="19">
        <v>-332.7728084305855</v>
      </c>
      <c r="AJ12" s="19">
        <v>-332.80770107962485</v>
      </c>
      <c r="AK12" s="19">
        <v>-646.8404522353475</v>
      </c>
      <c r="AL12" s="19">
        <v>-332.6695261894292</v>
      </c>
      <c r="AM12" s="19">
        <v>-338.3177896257158</v>
      </c>
      <c r="AN12" s="19">
        <v>-338.35277067574174</v>
      </c>
      <c r="AO12" s="19">
        <v>-654.8099704746741</v>
      </c>
      <c r="AP12" s="19">
        <v>-338.2142457176391</v>
      </c>
      <c r="AQ12" s="19">
        <v>-343.95556393915984</v>
      </c>
      <c r="AR12" s="19">
        <v>-343.9906303134369</v>
      </c>
      <c r="AS12" s="19">
        <v>-662.8695427298252</v>
      </c>
      <c r="AT12" s="19">
        <v>-343.8517674712999</v>
      </c>
      <c r="AU12" s="19">
        <v>-349.6876150305437</v>
      </c>
      <c r="AV12" s="19">
        <v>-349.7227636127283</v>
      </c>
      <c r="AW12" s="19">
        <v>-671.020248223367</v>
      </c>
      <c r="AX12" s="19">
        <v>-349.58357522727744</v>
      </c>
      <c r="AY12" s="19">
        <v>-355.51544764520264</v>
      </c>
      <c r="AZ12" s="19">
        <v>-355.55067528014433</v>
      </c>
      <c r="BA12" s="19">
        <v>-679.2631861234208</v>
      </c>
      <c r="BB12" s="19">
        <v>-355.4111738457751</v>
      </c>
      <c r="BC12" s="19">
        <v>-361.4405878745565</v>
      </c>
      <c r="BD12" s="19">
        <v>-361.4758913691252</v>
      </c>
      <c r="BE12" s="19">
        <v>-687.599476011886</v>
      </c>
      <c r="BF12" s="19">
        <v>-361.33608953063333</v>
      </c>
      <c r="BG12" s="19">
        <v>-367.4645834206426</v>
      </c>
      <c r="BH12" s="19">
        <v>-367.49995954458024</v>
      </c>
      <c r="BI12" s="19">
        <v>-696.0302583587634</v>
      </c>
      <c r="BJ12" s="19">
        <v>-367.3598700937874</v>
      </c>
      <c r="BK12" s="19">
        <v>-373.58900386492525</v>
      </c>
      <c r="BL12" s="19">
        <v>-373.6244493517232</v>
      </c>
      <c r="BM12" s="19">
        <v>-704.5566950024884</v>
      </c>
      <c r="BN12" s="19">
        <v>-373.48408522400365</v>
      </c>
      <c r="BO12" s="19">
        <v>-379.81544094151207</v>
      </c>
      <c r="BP12" s="19">
        <v>-379.8509524893119</v>
      </c>
      <c r="BQ12" s="19">
        <v>-713.1799696361679</v>
      </c>
      <c r="BR12" s="19">
        <v>-379.71032676002443</v>
      </c>
      <c r="BS12" s="19">
        <v>-386.1455088149043</v>
      </c>
      <c r="BT12" s="19">
        <v>-386.1810830874232</v>
      </c>
      <c r="BU12" s="19">
        <v>-721.9012882996221</v>
      </c>
      <c r="BV12" s="19">
        <v>-386.04020896824875</v>
      </c>
      <c r="BW12" s="19">
        <v>-392.58084436241154</v>
      </c>
      <c r="BX12" s="19">
        <v>-392.6164779898892</v>
      </c>
      <c r="BY12" s="19">
        <v>-730.7218798771302</v>
      </c>
      <c r="BZ12" s="19">
        <v>-392.47536882507796</v>
      </c>
      <c r="CA12" s="19">
        <v>-399.1231074613631</v>
      </c>
      <c r="CB12" s="19">
        <v>-399.15879704153224</v>
      </c>
      <c r="CC12" s="19">
        <v>-739.6429966007714</v>
      </c>
      <c r="CD12" s="19">
        <v>-399.01746630406245</v>
      </c>
      <c r="CE12" s="19">
        <v>-405.7739812812509</v>
      </c>
      <c r="CF12" s="19">
        <v>-405.80972338032905</v>
      </c>
      <c r="CG12" s="19">
        <v>-748.6659145592629</v>
      </c>
      <c r="CH12" s="19">
        <v>-405.6681846679798</v>
      </c>
      <c r="CI12" s="19">
        <v>-412.5351725809391</v>
      </c>
      <c r="CJ12" s="19">
        <v>-412.57096373464077</v>
      </c>
      <c r="CK12" s="19">
        <v>-585.4176705878425</v>
      </c>
      <c r="CL12" s="19">
        <v>-412.4292307659823</v>
      </c>
    </row>
    <row r="13" spans="2:90" x14ac:dyDescent="0.25">
      <c r="B13" s="29" t="s">
        <v>213</v>
      </c>
      <c r="C13" s="30" t="s">
        <v>190</v>
      </c>
      <c r="D13" s="14">
        <v>-13005.715112094484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-132.24676338139307</v>
      </c>
      <c r="L13" s="19">
        <v>-132.26162669043907</v>
      </c>
      <c r="M13" s="19">
        <v>-262.02375007002485</v>
      </c>
      <c r="N13" s="19">
        <v>-132.20276798661683</v>
      </c>
      <c r="O13" s="19">
        <v>-132.44804617276586</v>
      </c>
      <c r="P13" s="19">
        <v>-132.4627350764472</v>
      </c>
      <c r="Q13" s="19">
        <v>-261.3456811061339</v>
      </c>
      <c r="R13" s="19">
        <v>-132.40456701786906</v>
      </c>
      <c r="S13" s="19">
        <v>-132.6499621541186</v>
      </c>
      <c r="T13" s="19">
        <v>-132.66447737341153</v>
      </c>
      <c r="U13" s="19">
        <v>-260.6657465979763</v>
      </c>
      <c r="V13" s="19">
        <v>-132.6069971050115</v>
      </c>
      <c r="W13" s="19">
        <v>-131.88110020701774</v>
      </c>
      <c r="X13" s="19">
        <v>-131.89544247906034</v>
      </c>
      <c r="Y13" s="19">
        <v>-259.01264047949877</v>
      </c>
      <c r="Z13" s="19">
        <v>-131.83864708177157</v>
      </c>
      <c r="AA13" s="19">
        <v>-132.09097538140927</v>
      </c>
      <c r="AB13" s="19">
        <v>-132.1051454594043</v>
      </c>
      <c r="AC13" s="19">
        <v>-258.33598412680675</v>
      </c>
      <c r="AD13" s="19">
        <v>-132.04903195054402</v>
      </c>
      <c r="AE13" s="19">
        <v>-131.6628679921841</v>
      </c>
      <c r="AF13" s="19">
        <v>-131.67686664529285</v>
      </c>
      <c r="AG13" s="19">
        <v>-257.0191654071974</v>
      </c>
      <c r="AH13" s="19">
        <v>-131.6214319789823</v>
      </c>
      <c r="AI13" s="19">
        <v>-131.87840199405622</v>
      </c>
      <c r="AJ13" s="19">
        <v>-131.89223000728347</v>
      </c>
      <c r="AK13" s="19">
        <v>-256.3439170051788</v>
      </c>
      <c r="AL13" s="19">
        <v>-131.83747107490362</v>
      </c>
      <c r="AM13" s="19">
        <v>-132.09446995721936</v>
      </c>
      <c r="AN13" s="19">
        <v>-132.10812813128948</v>
      </c>
      <c r="AO13" s="19">
        <v>-255.6672413479845</v>
      </c>
      <c r="AP13" s="19">
        <v>-132.05404176197183</v>
      </c>
      <c r="AQ13" s="19">
        <v>-132.3110447542147</v>
      </c>
      <c r="AR13" s="19">
        <v>-132.32453390543876</v>
      </c>
      <c r="AS13" s="19">
        <v>-254.9892222410605</v>
      </c>
      <c r="AT13" s="19">
        <v>-132.27111686659146</v>
      </c>
      <c r="AU13" s="19">
        <v>-132.52809899292816</v>
      </c>
      <c r="AV13" s="19">
        <v>-132.54141995306227</v>
      </c>
      <c r="AW13" s="19">
        <v>-254.30994424849177</v>
      </c>
      <c r="AX13" s="19">
        <v>-132.48866895093119</v>
      </c>
      <c r="AY13" s="19">
        <v>-132.74560502966312</v>
      </c>
      <c r="AZ13" s="19">
        <v>-132.75875864575795</v>
      </c>
      <c r="BA13" s="19">
        <v>-253.6294926523622</v>
      </c>
      <c r="BB13" s="19">
        <v>-132.70667032602245</v>
      </c>
      <c r="BC13" s="19">
        <v>-132.96353498248948</v>
      </c>
      <c r="BD13" s="19">
        <v>-132.97652211673105</v>
      </c>
      <c r="BE13" s="19">
        <v>-252.94795341130452</v>
      </c>
      <c r="BF13" s="19">
        <v>-132.9250930651344</v>
      </c>
      <c r="BG13" s="19">
        <v>-133.18186074485803</v>
      </c>
      <c r="BH13" s="19">
        <v>-133.19468227439998</v>
      </c>
      <c r="BI13" s="19">
        <v>-252.2654131182781</v>
      </c>
      <c r="BJ13" s="19">
        <v>-133.14390901741385</v>
      </c>
      <c r="BK13" s="19">
        <v>-133.40055399946476</v>
      </c>
      <c r="BL13" s="19">
        <v>-133.41321081625193</v>
      </c>
      <c r="BM13" s="19">
        <v>-251.58195895762032</v>
      </c>
      <c r="BN13" s="19">
        <v>-133.3630898217748</v>
      </c>
      <c r="BO13" s="19">
        <v>-133.61958623235208</v>
      </c>
      <c r="BP13" s="19">
        <v>-133.63207924293567</v>
      </c>
      <c r="BQ13" s="19">
        <v>-250.89767866141247</v>
      </c>
      <c r="BR13" s="19">
        <v>-133.58260692102468</v>
      </c>
      <c r="BS13" s="19">
        <v>-133.838928747232</v>
      </c>
      <c r="BT13" s="19">
        <v>-133.85125887257644</v>
      </c>
      <c r="BU13" s="19">
        <v>-250.21266046520662</v>
      </c>
      <c r="BV13" s="19">
        <v>-133.80243157621248</v>
      </c>
      <c r="BW13" s="19">
        <v>-134.05855268001685</v>
      </c>
      <c r="BX13" s="19">
        <v>-134.07072085529842</v>
      </c>
      <c r="BY13" s="19">
        <v>-249.5269930631606</v>
      </c>
      <c r="BZ13" s="19">
        <v>-134.02253488118347</v>
      </c>
      <c r="CA13" s="19">
        <v>-134.27842901354148</v>
      </c>
      <c r="CB13" s="19">
        <v>-134.29043618793875</v>
      </c>
      <c r="CC13" s="19">
        <v>-248.8407655626259</v>
      </c>
      <c r="CD13" s="19">
        <v>-134.24288777732562</v>
      </c>
      <c r="CE13" s="19">
        <v>-134.4985285924622</v>
      </c>
      <c r="CF13" s="19">
        <v>-134.5103757289386</v>
      </c>
      <c r="CG13" s="19">
        <v>-248.1540674382405</v>
      </c>
      <c r="CH13" s="19">
        <v>-134.46346106849208</v>
      </c>
      <c r="CI13" s="19">
        <v>-134.7188221383155</v>
      </c>
      <c r="CJ13" s="19">
        <v>-134.730510213394</v>
      </c>
      <c r="CK13" s="19">
        <v>-191.17589064500172</v>
      </c>
      <c r="CL13" s="19">
        <v>-134.68422543608307</v>
      </c>
    </row>
    <row r="14" spans="2:90" x14ac:dyDescent="0.25">
      <c r="B14" s="29" t="s">
        <v>214</v>
      </c>
      <c r="C14" s="30" t="s">
        <v>190</v>
      </c>
      <c r="D14" s="14">
        <v>-2190.9627765759165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-22.278493215788522</v>
      </c>
      <c r="L14" s="19">
        <v>-22.280997111697044</v>
      </c>
      <c r="M14" s="19">
        <v>-44.140924050258036</v>
      </c>
      <c r="N14" s="19">
        <v>-22.271081683899297</v>
      </c>
      <c r="O14" s="19">
        <v>-22.312401624489016</v>
      </c>
      <c r="P14" s="19">
        <v>-22.314876139801488</v>
      </c>
      <c r="Q14" s="19">
        <v>-44.02669550941795</v>
      </c>
      <c r="R14" s="19">
        <v>-22.3050770591641</v>
      </c>
      <c r="S14" s="19">
        <v>-22.34641670134767</v>
      </c>
      <c r="T14" s="19">
        <v>-22.348861957520867</v>
      </c>
      <c r="U14" s="19">
        <v>-43.91215269612062</v>
      </c>
      <c r="V14" s="19">
        <v>-22.33917874307501</v>
      </c>
      <c r="W14" s="19">
        <v>-22.216893034874523</v>
      </c>
      <c r="X14" s="19">
        <v>-22.21930915608786</v>
      </c>
      <c r="Y14" s="19">
        <v>-43.63366789616172</v>
      </c>
      <c r="Z14" s="19">
        <v>-22.209741316083058</v>
      </c>
      <c r="AA14" s="19">
        <v>-22.252248929637407</v>
      </c>
      <c r="AB14" s="19">
        <v>-22.254636042776568</v>
      </c>
      <c r="AC14" s="19">
        <v>-43.51967732597745</v>
      </c>
      <c r="AD14" s="19">
        <v>-22.24518307474549</v>
      </c>
      <c r="AE14" s="19">
        <v>-22.180129300221783</v>
      </c>
      <c r="AF14" s="19">
        <v>-22.182487534860872</v>
      </c>
      <c r="AG14" s="19">
        <v>-43.297844018597104</v>
      </c>
      <c r="AH14" s="19">
        <v>-22.173148925690093</v>
      </c>
      <c r="AI14" s="19">
        <v>-22.21643848976793</v>
      </c>
      <c r="AJ14" s="19">
        <v>-22.218767978150062</v>
      </c>
      <c r="AK14" s="19">
        <v>-43.18409063394935</v>
      </c>
      <c r="AL14" s="19">
        <v>-22.209543204156837</v>
      </c>
      <c r="AM14" s="19">
        <v>-22.252837631254646</v>
      </c>
      <c r="AN14" s="19">
        <v>-22.25513850827107</v>
      </c>
      <c r="AO14" s="19">
        <v>-43.070096811698924</v>
      </c>
      <c r="AP14" s="19">
        <v>-22.246027035286023</v>
      </c>
      <c r="AQ14" s="19">
        <v>-22.289322154748472</v>
      </c>
      <c r="AR14" s="19">
        <v>-22.29159455791622</v>
      </c>
      <c r="AS14" s="19">
        <v>-42.955876669840194</v>
      </c>
      <c r="AT14" s="19">
        <v>-22.282595841371947</v>
      </c>
      <c r="AU14" s="19">
        <v>-22.325887445731745</v>
      </c>
      <c r="AV14" s="19">
        <v>-22.328131515169723</v>
      </c>
      <c r="AW14" s="19">
        <v>-42.841444454169</v>
      </c>
      <c r="AX14" s="19">
        <v>-22.31924500019533</v>
      </c>
      <c r="AY14" s="19">
        <v>-22.362528847304787</v>
      </c>
      <c r="AZ14" s="19">
        <v>-22.364744725708455</v>
      </c>
      <c r="BA14" s="19">
        <v>-42.7268145314364</v>
      </c>
      <c r="BB14" s="19">
        <v>-22.355969847229936</v>
      </c>
      <c r="BC14" s="19">
        <v>-22.399241662434765</v>
      </c>
      <c r="BD14" s="19">
        <v>-22.401429495049307</v>
      </c>
      <c r="BE14" s="19">
        <v>-42.61200138236592</v>
      </c>
      <c r="BF14" s="19">
        <v>-22.39276567789572</v>
      </c>
      <c r="BG14" s="19">
        <v>-22.43602115624916</v>
      </c>
      <c r="BH14" s="19">
        <v>-22.43818109084123</v>
      </c>
      <c r="BI14" s="19">
        <v>-42.497019594540696</v>
      </c>
      <c r="BJ14" s="19">
        <v>-22.429627749856643</v>
      </c>
      <c r="BK14" s="19">
        <v>-22.47286255837137</v>
      </c>
      <c r="BL14" s="19">
        <v>-22.474994745199364</v>
      </c>
      <c r="BM14" s="19">
        <v>-42.38188385516835</v>
      </c>
      <c r="BN14" s="19">
        <v>-22.466551285360524</v>
      </c>
      <c r="BO14" s="19">
        <v>-22.509761065296235</v>
      </c>
      <c r="BP14" s="19">
        <v>-22.511865657079163</v>
      </c>
      <c r="BQ14" s="19">
        <v>-42.266608943730255</v>
      </c>
      <c r="BR14" s="19">
        <v>-22.503531473618775</v>
      </c>
      <c r="BS14" s="19">
        <v>-22.546711842802928</v>
      </c>
      <c r="BT14" s="19">
        <v>-22.54878899468788</v>
      </c>
      <c r="BU14" s="19">
        <v>-42.15120972452327</v>
      </c>
      <c r="BV14" s="19">
        <v>-22.54056347322349</v>
      </c>
      <c r="BW14" s="19">
        <v>-22.58371002840284</v>
      </c>
      <c r="BX14" s="19">
        <v>-22.585759897931045</v>
      </c>
      <c r="BY14" s="19">
        <v>-42.03570113910167</v>
      </c>
      <c r="BZ14" s="19">
        <v>-22.577642414599367</v>
      </c>
      <c r="CA14" s="19">
        <v>-22.620750733819683</v>
      </c>
      <c r="CB14" s="19">
        <v>-22.622773480891222</v>
      </c>
      <c r="CC14" s="19">
        <v>-41.92009819862698</v>
      </c>
      <c r="CD14" s="19">
        <v>-22.61476340248793</v>
      </c>
      <c r="CE14" s="19">
        <v>-22.6578290474994</v>
      </c>
      <c r="CF14" s="19">
        <v>-22.65982483433658</v>
      </c>
      <c r="CG14" s="19">
        <v>-41.804415976134365</v>
      </c>
      <c r="CH14" s="19">
        <v>-22.651921518461357</v>
      </c>
      <c r="CI14" s="19">
        <v>-22.694940037146992</v>
      </c>
      <c r="CJ14" s="19">
        <v>-22.696909028256375</v>
      </c>
      <c r="CK14" s="19">
        <v>-32.20578465481183</v>
      </c>
      <c r="CL14" s="19">
        <v>-22.689111823463225</v>
      </c>
    </row>
    <row r="15" spans="2:90" x14ac:dyDescent="0.25">
      <c r="B15" s="29" t="s">
        <v>215</v>
      </c>
      <c r="C15" s="30" t="s">
        <v>190</v>
      </c>
      <c r="D15" s="14">
        <v>-4855.876387979805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-40.6913118096594</v>
      </c>
      <c r="L15" s="19">
        <v>-40.69588513551972</v>
      </c>
      <c r="M15" s="19">
        <v>-80.62269232923842</v>
      </c>
      <c r="N15" s="19">
        <v>-40.67777476511287</v>
      </c>
      <c r="O15" s="19">
        <v>-41.56830987576036</v>
      </c>
      <c r="P15" s="19">
        <v>-41.572919931684964</v>
      </c>
      <c r="Q15" s="19">
        <v>-82.02233683946356</v>
      </c>
      <c r="R15" s="19">
        <v>-41.55466411022352</v>
      </c>
      <c r="S15" s="19">
        <v>-42.464314038506146</v>
      </c>
      <c r="T15" s="19">
        <v>-42.46896069516842</v>
      </c>
      <c r="U15" s="19">
        <v>-83.44512084939522</v>
      </c>
      <c r="V15" s="19">
        <v>-42.45055993478583</v>
      </c>
      <c r="W15" s="19">
        <v>-43.062547257996584</v>
      </c>
      <c r="X15" s="19">
        <v>-43.06723037609806</v>
      </c>
      <c r="Y15" s="19">
        <v>-84.57424190091322</v>
      </c>
      <c r="Z15" s="19">
        <v>-43.048685228416204</v>
      </c>
      <c r="AA15" s="19">
        <v>-43.993698399570974</v>
      </c>
      <c r="AB15" s="19">
        <v>-43.99841782976529</v>
      </c>
      <c r="AC15" s="19">
        <v>-86.04036224741698</v>
      </c>
      <c r="AD15" s="19">
        <v>-43.97972888619581</v>
      </c>
      <c r="AE15" s="19">
        <v>-44.728136936746516</v>
      </c>
      <c r="AF15" s="19">
        <v>-44.73289251956745</v>
      </c>
      <c r="AG15" s="19">
        <v>-87.31382356325297</v>
      </c>
      <c r="AH15" s="19">
        <v>-44.71406041159659</v>
      </c>
      <c r="AI15" s="19">
        <v>-45.69738468870667</v>
      </c>
      <c r="AJ15" s="19">
        <v>-45.7021762545004</v>
      </c>
      <c r="AK15" s="19">
        <v>-88.82611868866529</v>
      </c>
      <c r="AL15" s="19">
        <v>-45.683201653957255</v>
      </c>
      <c r="AM15" s="19">
        <v>-46.68769982018039</v>
      </c>
      <c r="AN15" s="19">
        <v>-46.69252718904212</v>
      </c>
      <c r="AO15" s="19">
        <v>-90.36347563811051</v>
      </c>
      <c r="AP15" s="19">
        <v>-46.67341080834969</v>
      </c>
      <c r="AQ15" s="19">
        <v>-47.69953132199577</v>
      </c>
      <c r="AR15" s="19">
        <v>-47.70439430371067</v>
      </c>
      <c r="AS15" s="19">
        <v>-91.92631209021849</v>
      </c>
      <c r="AT15" s="19">
        <v>-47.68513689611966</v>
      </c>
      <c r="AU15" s="19">
        <v>-48.73333730464321</v>
      </c>
      <c r="AV15" s="19">
        <v>-48.73823569863189</v>
      </c>
      <c r="AW15" s="19">
        <v>-93.51505369173131</v>
      </c>
      <c r="AX15" s="19">
        <v>-48.71883805843673</v>
      </c>
      <c r="AY15" s="19">
        <v>-49.789585172303795</v>
      </c>
      <c r="AZ15" s="19">
        <v>-49.79451876757221</v>
      </c>
      <c r="BA15" s="19">
        <v>-95.13013424287102</v>
      </c>
      <c r="BB15" s="19">
        <v>-49.77498173030929</v>
      </c>
      <c r="BC15" s="19">
        <v>-50.868751800172625</v>
      </c>
      <c r="BD15" s="19">
        <v>-50.87372037526667</v>
      </c>
      <c r="BE15" s="19">
        <v>-96.7719958869611</v>
      </c>
      <c r="BF15" s="19">
        <v>-50.85404481789425</v>
      </c>
      <c r="BG15" s="19">
        <v>-51.971323715150085</v>
      </c>
      <c r="BH15" s="19">
        <v>-51.97632703811481</v>
      </c>
      <c r="BI15" s="19">
        <v>-98.4410893043652</v>
      </c>
      <c r="BJ15" s="19">
        <v>-51.95651387917453</v>
      </c>
      <c r="BK15" s="19">
        <v>-53.09779727997457</v>
      </c>
      <c r="BL15" s="19">
        <v>-53.102835108318054</v>
      </c>
      <c r="BM15" s="19">
        <v>-100.13787391081001</v>
      </c>
      <c r="BN15" s="19">
        <v>-53.08288530807788</v>
      </c>
      <c r="BO15" s="19">
        <v>-54.248678880872845</v>
      </c>
      <c r="BP15" s="19">
        <v>-54.25375096153492</v>
      </c>
      <c r="BQ15" s="19">
        <v>-101.86281806015586</v>
      </c>
      <c r="BR15" s="19">
        <v>-54.23366552211309</v>
      </c>
      <c r="BS15" s="19">
        <v>-55.42448511880577</v>
      </c>
      <c r="BT15" s="19">
        <v>-55.42959118813151</v>
      </c>
      <c r="BU15" s="19">
        <v>-103.61639925168225</v>
      </c>
      <c r="BV15" s="19">
        <v>-55.4093711536016</v>
      </c>
      <c r="BW15" s="19">
        <v>-56.62574300438891</v>
      </c>
      <c r="BX15" s="19">
        <v>-56.63088278810693</v>
      </c>
      <c r="BY15" s="19">
        <v>-105.39910434195424</v>
      </c>
      <c r="BZ15" s="19">
        <v>-56.61052924458358</v>
      </c>
      <c r="CA15" s="19">
        <v>-57.85299015656942</v>
      </c>
      <c r="CB15" s="19">
        <v>-57.85816336977512</v>
      </c>
      <c r="CC15" s="19">
        <v>-107.21142976133562</v>
      </c>
      <c r="CD15" s="19">
        <v>-57.837677445480566</v>
      </c>
      <c r="CE15" s="19">
        <v>-59.10677500514284</v>
      </c>
      <c r="CF15" s="19">
        <v>-59.11198135228652</v>
      </c>
      <c r="CG15" s="19">
        <v>-109.05388173521737</v>
      </c>
      <c r="CH15" s="19">
        <v>-59.09136421759757</v>
      </c>
      <c r="CI15" s="19">
        <v>-60.387656997194874</v>
      </c>
      <c r="CJ15" s="19">
        <v>-60.39289617207479</v>
      </c>
      <c r="CK15" s="19">
        <v>-85.69451489525882</v>
      </c>
      <c r="CL15" s="19">
        <v>-60.37214903955033</v>
      </c>
    </row>
    <row r="16" spans="2:90" x14ac:dyDescent="0.25">
      <c r="B16" s="29" t="s">
        <v>216</v>
      </c>
      <c r="C16" s="30" t="s">
        <v>190</v>
      </c>
      <c r="D16" s="14">
        <v>-4855.876387979805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0</v>
      </c>
      <c r="K16" s="19">
        <v>-40.6913118096594</v>
      </c>
      <c r="L16" s="19">
        <v>-40.69588513551972</v>
      </c>
      <c r="M16" s="19">
        <v>-80.62269232923842</v>
      </c>
      <c r="N16" s="19">
        <v>-40.67777476511287</v>
      </c>
      <c r="O16" s="19">
        <v>-41.56830987576036</v>
      </c>
      <c r="P16" s="19">
        <v>-41.572919931684964</v>
      </c>
      <c r="Q16" s="19">
        <v>-82.02233683946356</v>
      </c>
      <c r="R16" s="19">
        <v>-41.55466411022352</v>
      </c>
      <c r="S16" s="19">
        <v>-42.464314038506146</v>
      </c>
      <c r="T16" s="19">
        <v>-42.46896069516842</v>
      </c>
      <c r="U16" s="19">
        <v>-83.44512084939522</v>
      </c>
      <c r="V16" s="19">
        <v>-42.45055993478583</v>
      </c>
      <c r="W16" s="19">
        <v>-43.062547257996584</v>
      </c>
      <c r="X16" s="19">
        <v>-43.06723037609806</v>
      </c>
      <c r="Y16" s="19">
        <v>-84.57424190091322</v>
      </c>
      <c r="Z16" s="19">
        <v>-43.048685228416204</v>
      </c>
      <c r="AA16" s="19">
        <v>-43.993698399570974</v>
      </c>
      <c r="AB16" s="19">
        <v>-43.99841782976529</v>
      </c>
      <c r="AC16" s="19">
        <v>-86.04036224741698</v>
      </c>
      <c r="AD16" s="19">
        <v>-43.97972888619581</v>
      </c>
      <c r="AE16" s="19">
        <v>-44.728136936746516</v>
      </c>
      <c r="AF16" s="19">
        <v>-44.73289251956745</v>
      </c>
      <c r="AG16" s="19">
        <v>-87.31382356325297</v>
      </c>
      <c r="AH16" s="19">
        <v>-44.71406041159659</v>
      </c>
      <c r="AI16" s="19">
        <v>-45.69738468870667</v>
      </c>
      <c r="AJ16" s="19">
        <v>-45.7021762545004</v>
      </c>
      <c r="AK16" s="19">
        <v>-88.82611868866529</v>
      </c>
      <c r="AL16" s="19">
        <v>-45.683201653957255</v>
      </c>
      <c r="AM16" s="19">
        <v>-46.68769982018039</v>
      </c>
      <c r="AN16" s="19">
        <v>-46.69252718904212</v>
      </c>
      <c r="AO16" s="19">
        <v>-90.36347563811051</v>
      </c>
      <c r="AP16" s="19">
        <v>-46.67341080834969</v>
      </c>
      <c r="AQ16" s="19">
        <v>-47.69953132199577</v>
      </c>
      <c r="AR16" s="19">
        <v>-47.70439430371067</v>
      </c>
      <c r="AS16" s="19">
        <v>-91.92631209021849</v>
      </c>
      <c r="AT16" s="19">
        <v>-47.68513689611966</v>
      </c>
      <c r="AU16" s="19">
        <v>-48.73333730464321</v>
      </c>
      <c r="AV16" s="19">
        <v>-48.73823569863189</v>
      </c>
      <c r="AW16" s="19">
        <v>-93.51505369173131</v>
      </c>
      <c r="AX16" s="19">
        <v>-48.71883805843673</v>
      </c>
      <c r="AY16" s="19">
        <v>-49.789585172303795</v>
      </c>
      <c r="AZ16" s="19">
        <v>-49.79451876757221</v>
      </c>
      <c r="BA16" s="19">
        <v>-95.13013424287102</v>
      </c>
      <c r="BB16" s="19">
        <v>-49.77498173030929</v>
      </c>
      <c r="BC16" s="19">
        <v>-50.868751800172625</v>
      </c>
      <c r="BD16" s="19">
        <v>-50.87372037526667</v>
      </c>
      <c r="BE16" s="19">
        <v>-96.7719958869611</v>
      </c>
      <c r="BF16" s="19">
        <v>-50.85404481789425</v>
      </c>
      <c r="BG16" s="19">
        <v>-51.971323715150085</v>
      </c>
      <c r="BH16" s="19">
        <v>-51.97632703811481</v>
      </c>
      <c r="BI16" s="19">
        <v>-98.4410893043652</v>
      </c>
      <c r="BJ16" s="19">
        <v>-51.95651387917453</v>
      </c>
      <c r="BK16" s="19">
        <v>-53.09779727997457</v>
      </c>
      <c r="BL16" s="19">
        <v>-53.102835108318054</v>
      </c>
      <c r="BM16" s="19">
        <v>-100.13787391081001</v>
      </c>
      <c r="BN16" s="19">
        <v>-53.08288530807788</v>
      </c>
      <c r="BO16" s="19">
        <v>-54.248678880872845</v>
      </c>
      <c r="BP16" s="19">
        <v>-54.25375096153492</v>
      </c>
      <c r="BQ16" s="19">
        <v>-101.86281806015586</v>
      </c>
      <c r="BR16" s="19">
        <v>-54.23366552211309</v>
      </c>
      <c r="BS16" s="19">
        <v>-55.42448511880577</v>
      </c>
      <c r="BT16" s="19">
        <v>-55.42959118813151</v>
      </c>
      <c r="BU16" s="19">
        <v>-103.61639925168225</v>
      </c>
      <c r="BV16" s="19">
        <v>-55.4093711536016</v>
      </c>
      <c r="BW16" s="19">
        <v>-56.62574300438891</v>
      </c>
      <c r="BX16" s="19">
        <v>-56.63088278810693</v>
      </c>
      <c r="BY16" s="19">
        <v>-105.39910434195424</v>
      </c>
      <c r="BZ16" s="19">
        <v>-56.61052924458358</v>
      </c>
      <c r="CA16" s="19">
        <v>-57.85299015656942</v>
      </c>
      <c r="CB16" s="19">
        <v>-57.85816336977512</v>
      </c>
      <c r="CC16" s="19">
        <v>-107.21142976133562</v>
      </c>
      <c r="CD16" s="19">
        <v>-57.837677445480566</v>
      </c>
      <c r="CE16" s="19">
        <v>-59.10677500514284</v>
      </c>
      <c r="CF16" s="19">
        <v>-59.11198135228652</v>
      </c>
      <c r="CG16" s="19">
        <v>-109.05388173521737</v>
      </c>
      <c r="CH16" s="19">
        <v>-59.09136421759757</v>
      </c>
      <c r="CI16" s="19">
        <v>-60.387656997194874</v>
      </c>
      <c r="CJ16" s="19">
        <v>-60.39289617207479</v>
      </c>
      <c r="CK16" s="19">
        <v>-85.69451489525882</v>
      </c>
      <c r="CL16" s="19">
        <v>-60.37214903955033</v>
      </c>
    </row>
    <row r="17" spans="2:90" x14ac:dyDescent="0.25">
      <c r="B17" s="29" t="s">
        <v>217</v>
      </c>
      <c r="C17" s="30" t="s">
        <v>190</v>
      </c>
      <c r="D17" s="14">
        <v>-3641.907290984856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-30.51848385724455</v>
      </c>
      <c r="L17" s="19">
        <v>-30.521913851639788</v>
      </c>
      <c r="M17" s="19">
        <v>-60.467019246928814</v>
      </c>
      <c r="N17" s="19">
        <v>-30.508331073834654</v>
      </c>
      <c r="O17" s="19">
        <v>-31.17623240682027</v>
      </c>
      <c r="P17" s="19">
        <v>-31.179689948763723</v>
      </c>
      <c r="Q17" s="19">
        <v>-61.516752629597676</v>
      </c>
      <c r="R17" s="19">
        <v>-31.16599808266764</v>
      </c>
      <c r="S17" s="19">
        <v>-31.848235528879613</v>
      </c>
      <c r="T17" s="19">
        <v>-31.851720521376315</v>
      </c>
      <c r="U17" s="19">
        <v>-62.58384063704643</v>
      </c>
      <c r="V17" s="19">
        <v>-31.837919951089372</v>
      </c>
      <c r="W17" s="19">
        <v>-32.29691044349743</v>
      </c>
      <c r="X17" s="19">
        <v>-32.30042278207355</v>
      </c>
      <c r="Y17" s="19">
        <v>-63.43068142568492</v>
      </c>
      <c r="Z17" s="19">
        <v>-32.28651392131216</v>
      </c>
      <c r="AA17" s="19">
        <v>-32.99527379967823</v>
      </c>
      <c r="AB17" s="19">
        <v>-32.998813372323966</v>
      </c>
      <c r="AC17" s="19">
        <v>-64.53027168556274</v>
      </c>
      <c r="AD17" s="19">
        <v>-32.98479666464685</v>
      </c>
      <c r="AE17" s="19">
        <v>-33.54610270255989</v>
      </c>
      <c r="AF17" s="19">
        <v>-33.549669389675586</v>
      </c>
      <c r="AG17" s="19">
        <v>-65.48536767243974</v>
      </c>
      <c r="AH17" s="19">
        <v>-33.53554530869744</v>
      </c>
      <c r="AI17" s="19">
        <v>-34.27303851653001</v>
      </c>
      <c r="AJ17" s="19">
        <v>-34.276632190875304</v>
      </c>
      <c r="AK17" s="19">
        <v>-66.61958901649898</v>
      </c>
      <c r="AL17" s="19">
        <v>-34.262401240467945</v>
      </c>
      <c r="AM17" s="19">
        <v>-35.01577486513529</v>
      </c>
      <c r="AN17" s="19">
        <v>-35.019395391781586</v>
      </c>
      <c r="AO17" s="19">
        <v>-67.77260672858289</v>
      </c>
      <c r="AP17" s="19">
        <v>-35.005058106262275</v>
      </c>
      <c r="AQ17" s="19">
        <v>-35.77464849149683</v>
      </c>
      <c r="AR17" s="19">
        <v>-35.77829572778301</v>
      </c>
      <c r="AS17" s="19">
        <v>-68.94473406766387</v>
      </c>
      <c r="AT17" s="19">
        <v>-35.76385267208975</v>
      </c>
      <c r="AU17" s="19">
        <v>-36.550002978482404</v>
      </c>
      <c r="AV17" s="19">
        <v>-36.55367677397391</v>
      </c>
      <c r="AW17" s="19">
        <v>-70.13629026879848</v>
      </c>
      <c r="AX17" s="19">
        <v>-36.539128543827545</v>
      </c>
      <c r="AY17" s="19">
        <v>-37.34218887922785</v>
      </c>
      <c r="AZ17" s="19">
        <v>-37.34588907567916</v>
      </c>
      <c r="BA17" s="19">
        <v>-71.34760068215327</v>
      </c>
      <c r="BB17" s="19">
        <v>-37.33123629773198</v>
      </c>
      <c r="BC17" s="19">
        <v>-38.15156385012947</v>
      </c>
      <c r="BD17" s="19">
        <v>-38.15529028145</v>
      </c>
      <c r="BE17" s="19">
        <v>-72.57899691522081</v>
      </c>
      <c r="BF17" s="19">
        <v>-38.140533613420686</v>
      </c>
      <c r="BG17" s="19">
        <v>-38.978492786362565</v>
      </c>
      <c r="BH17" s="19">
        <v>-38.982245278586106</v>
      </c>
      <c r="BI17" s="19">
        <v>-73.8308169782739</v>
      </c>
      <c r="BJ17" s="19">
        <v>-38.967385409380896</v>
      </c>
      <c r="BK17" s="19">
        <v>-39.82334795998093</v>
      </c>
      <c r="BL17" s="19">
        <v>-39.827126331238546</v>
      </c>
      <c r="BM17" s="19">
        <v>-75.10340543310751</v>
      </c>
      <c r="BN17" s="19">
        <v>-39.81216398105841</v>
      </c>
      <c r="BO17" s="19">
        <v>-40.68650916065463</v>
      </c>
      <c r="BP17" s="19">
        <v>-40.69031322115119</v>
      </c>
      <c r="BQ17" s="19">
        <v>-76.3971135451169</v>
      </c>
      <c r="BR17" s="19">
        <v>-40.67524914158482</v>
      </c>
      <c r="BS17" s="19">
        <v>-41.56836383910433</v>
      </c>
      <c r="BT17" s="19">
        <v>-41.57219339109864</v>
      </c>
      <c r="BU17" s="19">
        <v>-77.71229943876169</v>
      </c>
      <c r="BV17" s="19">
        <v>-41.5570283652012</v>
      </c>
      <c r="BW17" s="19">
        <v>-42.46930725329168</v>
      </c>
      <c r="BX17" s="19">
        <v>-42.4731620910802</v>
      </c>
      <c r="BY17" s="19">
        <v>-79.04932825646569</v>
      </c>
      <c r="BZ17" s="19">
        <v>-42.45789693343769</v>
      </c>
      <c r="CA17" s="19">
        <v>-43.38974261742706</v>
      </c>
      <c r="CB17" s="19">
        <v>-43.39362252733134</v>
      </c>
      <c r="CC17" s="19">
        <v>-80.40857232100171</v>
      </c>
      <c r="CD17" s="19">
        <v>-43.37825808411043</v>
      </c>
      <c r="CE17" s="19">
        <v>-44.33008125385714</v>
      </c>
      <c r="CF17" s="19">
        <v>-44.333986014214894</v>
      </c>
      <c r="CG17" s="19">
        <v>-81.79041130141304</v>
      </c>
      <c r="CH17" s="19">
        <v>-44.318523163198186</v>
      </c>
      <c r="CI17" s="19">
        <v>-45.290742747896154</v>
      </c>
      <c r="CJ17" s="19">
        <v>-45.294672129056096</v>
      </c>
      <c r="CK17" s="19">
        <v>-64.27088617144412</v>
      </c>
      <c r="CL17" s="19">
        <v>-45.27911177966275</v>
      </c>
    </row>
    <row r="18" spans="2:90" x14ac:dyDescent="0.25">
      <c r="B18" s="29" t="s">
        <v>218</v>
      </c>
      <c r="C18" s="30" t="s">
        <v>190</v>
      </c>
      <c r="D18" s="14">
        <v>-16007.033984116288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-162.7652472386376</v>
      </c>
      <c r="L18" s="19">
        <v>-162.78354054207887</v>
      </c>
      <c r="M18" s="19">
        <v>-322.4907693169537</v>
      </c>
      <c r="N18" s="19">
        <v>-162.7110990604515</v>
      </c>
      <c r="O18" s="19">
        <v>-163.0129799049426</v>
      </c>
      <c r="P18" s="19">
        <v>-163.0310585556273</v>
      </c>
      <c r="Q18" s="19">
        <v>-321.65622289985714</v>
      </c>
      <c r="R18" s="19">
        <v>-162.95946709891578</v>
      </c>
      <c r="S18" s="19">
        <v>-163.26149188199213</v>
      </c>
      <c r="T18" s="19">
        <v>-163.27935676727574</v>
      </c>
      <c r="U18" s="19">
        <v>-320.81938042827846</v>
      </c>
      <c r="V18" s="19">
        <v>-163.2086118215526</v>
      </c>
      <c r="W18" s="19">
        <v>-162.31520025479105</v>
      </c>
      <c r="X18" s="19">
        <v>-162.33285228192042</v>
      </c>
      <c r="Y18" s="19">
        <v>-318.78478828246</v>
      </c>
      <c r="Z18" s="19">
        <v>-162.2629502544881</v>
      </c>
      <c r="AA18" s="19">
        <v>-162.57350816173448</v>
      </c>
      <c r="AB18" s="19">
        <v>-162.59094825772834</v>
      </c>
      <c r="AC18" s="19">
        <v>-317.9519804637622</v>
      </c>
      <c r="AD18" s="19">
        <v>-162.52188547759263</v>
      </c>
      <c r="AE18" s="19">
        <v>-162.0466067596112</v>
      </c>
      <c r="AF18" s="19">
        <v>-162.06383587112964</v>
      </c>
      <c r="AG18" s="19">
        <v>-316.331280501166</v>
      </c>
      <c r="AH18" s="19">
        <v>-161.99560858951665</v>
      </c>
      <c r="AI18" s="19">
        <v>-162.31187937729996</v>
      </c>
      <c r="AJ18" s="19">
        <v>-162.32889847050274</v>
      </c>
      <c r="AK18" s="19">
        <v>-315.50020554483547</v>
      </c>
      <c r="AL18" s="19">
        <v>-162.2615028614198</v>
      </c>
      <c r="AM18" s="19">
        <v>-162.57780917811613</v>
      </c>
      <c r="AN18" s="19">
        <v>-162.59461923851012</v>
      </c>
      <c r="AO18" s="19">
        <v>-314.6673739667501</v>
      </c>
      <c r="AP18" s="19">
        <v>-162.52805139934995</v>
      </c>
      <c r="AQ18" s="19">
        <v>-162.84436277441807</v>
      </c>
      <c r="AR18" s="19">
        <v>-162.86096480669386</v>
      </c>
      <c r="AS18" s="19">
        <v>-313.83288891207445</v>
      </c>
      <c r="AT18" s="19">
        <v>-162.7952207588818</v>
      </c>
      <c r="AU18" s="19">
        <v>-163.11150645283465</v>
      </c>
      <c r="AV18" s="19">
        <v>-163.12790148069203</v>
      </c>
      <c r="AW18" s="19">
        <v>-312.9968544596822</v>
      </c>
      <c r="AX18" s="19">
        <v>-163.06297717037683</v>
      </c>
      <c r="AY18" s="19">
        <v>-163.3792061903546</v>
      </c>
      <c r="AZ18" s="19">
        <v>-163.39539525631747</v>
      </c>
      <c r="BA18" s="19">
        <v>-312.15937557213806</v>
      </c>
      <c r="BB18" s="19">
        <v>-163.33128655510455</v>
      </c>
      <c r="BC18" s="19">
        <v>-163.6474276707563</v>
      </c>
      <c r="BD18" s="19">
        <v>-163.6634118359767</v>
      </c>
      <c r="BE18" s="19">
        <v>-311.3205580446825</v>
      </c>
      <c r="BF18" s="19">
        <v>-163.6001145417039</v>
      </c>
      <c r="BG18" s="19">
        <v>-163.91613630136374</v>
      </c>
      <c r="BH18" s="19">
        <v>-163.93191664541538</v>
      </c>
      <c r="BI18" s="19">
        <v>-310.4805084532654</v>
      </c>
      <c r="BJ18" s="19">
        <v>-163.86942648297088</v>
      </c>
      <c r="BK18" s="19">
        <v>-164.18529723011048</v>
      </c>
      <c r="BL18" s="19">
        <v>-164.2008748507716</v>
      </c>
      <c r="BM18" s="19">
        <v>-309.63933410168653</v>
      </c>
      <c r="BN18" s="19">
        <v>-164.1391874729536</v>
      </c>
      <c r="BO18" s="19">
        <v>-164.45487536289488</v>
      </c>
      <c r="BP18" s="19">
        <v>-164.4702513759208</v>
      </c>
      <c r="BQ18" s="19">
        <v>-308.7971429678923</v>
      </c>
      <c r="BR18" s="19">
        <v>-164.40936236433808</v>
      </c>
      <c r="BS18" s="19">
        <v>-164.7248353812086</v>
      </c>
      <c r="BT18" s="19">
        <v>-164.7400109200941</v>
      </c>
      <c r="BU18" s="19">
        <v>-307.9540436494851</v>
      </c>
      <c r="BV18" s="19">
        <v>-164.67991578610767</v>
      </c>
      <c r="BW18" s="19">
        <v>-164.99514176002074</v>
      </c>
      <c r="BX18" s="19">
        <v>-165.0101179757519</v>
      </c>
      <c r="BY18" s="19">
        <v>-307.11014530850537</v>
      </c>
      <c r="BZ18" s="19">
        <v>-164.95081216145658</v>
      </c>
      <c r="CA18" s="19">
        <v>-165.26575878589722</v>
      </c>
      <c r="CB18" s="19">
        <v>-165.28053684669385</v>
      </c>
      <c r="CC18" s="19">
        <v>-306.2655576155396</v>
      </c>
      <c r="CD18" s="19">
        <v>-165.22201572593923</v>
      </c>
      <c r="CE18" s="19">
        <v>-165.5366505753381</v>
      </c>
      <c r="CF18" s="19">
        <v>-165.55123166638597</v>
      </c>
      <c r="CG18" s="19">
        <v>-305.4203906932191</v>
      </c>
      <c r="CH18" s="19">
        <v>-165.4934905458364</v>
      </c>
      <c r="CI18" s="19">
        <v>-165.80778109331135</v>
      </c>
      <c r="CJ18" s="19">
        <v>-165.82216641648492</v>
      </c>
      <c r="CK18" s="19">
        <v>-235.29340387077133</v>
      </c>
      <c r="CL18" s="19">
        <v>-165.76520053671763</v>
      </c>
    </row>
    <row r="19" spans="2:90" x14ac:dyDescent="0.25">
      <c r="B19" s="29" t="s">
        <v>219</v>
      </c>
      <c r="C19" s="30" t="s">
        <v>190</v>
      </c>
      <c r="D19" s="14">
        <v>-600.2637744043606</v>
      </c>
      <c r="E19" s="19">
        <v>0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-6.10369677144891</v>
      </c>
      <c r="L19" s="19">
        <v>-6.104382770327957</v>
      </c>
      <c r="M19" s="19">
        <v>-12.093403849385764</v>
      </c>
      <c r="N19" s="19">
        <v>-6.101666214766931</v>
      </c>
      <c r="O19" s="19">
        <v>-6.112986746435347</v>
      </c>
      <c r="P19" s="19">
        <v>-6.113664695836024</v>
      </c>
      <c r="Q19" s="19">
        <v>-12.062108358744643</v>
      </c>
      <c r="R19" s="19">
        <v>-6.110980016209342</v>
      </c>
      <c r="S19" s="19">
        <v>-6.122305945574705</v>
      </c>
      <c r="T19" s="19">
        <v>-6.1229758787728406</v>
      </c>
      <c r="U19" s="19">
        <v>-12.030726766060443</v>
      </c>
      <c r="V19" s="19">
        <v>-6.1203229433082225</v>
      </c>
      <c r="W19" s="19">
        <v>-6.086820009554664</v>
      </c>
      <c r="X19" s="19">
        <v>-6.087481960572016</v>
      </c>
      <c r="Y19" s="19">
        <v>-11.954429560592251</v>
      </c>
      <c r="Z19" s="19">
        <v>-6.084860634543303</v>
      </c>
      <c r="AA19" s="19">
        <v>-6.096506556065043</v>
      </c>
      <c r="AB19" s="19">
        <v>-6.097160559664813</v>
      </c>
      <c r="AC19" s="19">
        <v>-11.923199267391082</v>
      </c>
      <c r="AD19" s="19">
        <v>-6.094570705409724</v>
      </c>
      <c r="AE19" s="19">
        <v>-6.07674775348542</v>
      </c>
      <c r="AF19" s="19">
        <v>-6.077393845167362</v>
      </c>
      <c r="AG19" s="19">
        <v>-11.862423018793727</v>
      </c>
      <c r="AH19" s="19">
        <v>-6.074835322106875</v>
      </c>
      <c r="AI19" s="19">
        <v>-6.086695476648749</v>
      </c>
      <c r="AJ19" s="19">
        <v>-6.087333692643853</v>
      </c>
      <c r="AK19" s="19">
        <v>-11.831257707931329</v>
      </c>
      <c r="AL19" s="19">
        <v>-6.084806357303243</v>
      </c>
      <c r="AM19" s="19">
        <v>-6.096667844179355</v>
      </c>
      <c r="AN19" s="19">
        <v>-6.097298221444129</v>
      </c>
      <c r="AO19" s="19">
        <v>-11.80002652375313</v>
      </c>
      <c r="AP19" s="19">
        <v>-6.094801927475623</v>
      </c>
      <c r="AQ19" s="19">
        <v>-6.106663604040678</v>
      </c>
      <c r="AR19" s="19">
        <v>-6.10728618025102</v>
      </c>
      <c r="AS19" s="19">
        <v>-11.768733334202793</v>
      </c>
      <c r="AT19" s="19">
        <v>-6.104820778458067</v>
      </c>
      <c r="AU19" s="19">
        <v>-6.1166814919813</v>
      </c>
      <c r="AV19" s="19">
        <v>-6.117296305525951</v>
      </c>
      <c r="AW19" s="19">
        <v>-11.737382042238082</v>
      </c>
      <c r="AX19" s="19">
        <v>-6.114861643889132</v>
      </c>
      <c r="AY19" s="19">
        <v>-6.1267202321382985</v>
      </c>
      <c r="AZ19" s="19">
        <v>-6.127327322111905</v>
      </c>
      <c r="BA19" s="19">
        <v>-11.705976583955179</v>
      </c>
      <c r="BB19" s="19">
        <v>-6.124923245816421</v>
      </c>
      <c r="BC19" s="19">
        <v>-6.136778537653361</v>
      </c>
      <c r="BD19" s="19">
        <v>-6.137377943849126</v>
      </c>
      <c r="BE19" s="19">
        <v>-11.674520926675594</v>
      </c>
      <c r="BF19" s="19">
        <v>-6.1350042953138955</v>
      </c>
      <c r="BG19" s="19">
        <v>-6.146855111301139</v>
      </c>
      <c r="BH19" s="19">
        <v>-6.147446874203077</v>
      </c>
      <c r="BI19" s="19">
        <v>-11.64301906699745</v>
      </c>
      <c r="BJ19" s="19">
        <v>-6.145103493111408</v>
      </c>
      <c r="BK19" s="19">
        <v>-6.156948646129143</v>
      </c>
      <c r="BL19" s="19">
        <v>-6.1575328069039355</v>
      </c>
      <c r="BM19" s="19">
        <v>-11.611475028813246</v>
      </c>
      <c r="BN19" s="19">
        <v>-6.15521953023576</v>
      </c>
      <c r="BO19" s="19">
        <v>-6.167057826108557</v>
      </c>
      <c r="BP19" s="19">
        <v>-6.167634426597031</v>
      </c>
      <c r="BQ19" s="19">
        <v>-11.57989286129596</v>
      </c>
      <c r="BR19" s="19">
        <v>-6.1653510886626774</v>
      </c>
      <c r="BS19" s="19">
        <v>-6.177181326795323</v>
      </c>
      <c r="BT19" s="19">
        <v>-6.1777504095035285</v>
      </c>
      <c r="BU19" s="19">
        <v>-11.54827663685569</v>
      </c>
      <c r="BV19" s="19">
        <v>-6.175496841979038</v>
      </c>
      <c r="BW19" s="19">
        <v>-6.187317816000778</v>
      </c>
      <c r="BX19" s="19">
        <v>-6.1878794240906965</v>
      </c>
      <c r="BY19" s="19">
        <v>-11.51663044906895</v>
      </c>
      <c r="BZ19" s="19">
        <v>-6.185655456054621</v>
      </c>
      <c r="CA19" s="19">
        <v>-6.197465954471146</v>
      </c>
      <c r="CB19" s="19">
        <v>-6.1980201317510195</v>
      </c>
      <c r="CC19" s="19">
        <v>-11.484958410582735</v>
      </c>
      <c r="CD19" s="19">
        <v>-6.195825589722721</v>
      </c>
      <c r="CE19" s="19">
        <v>-6.207624396575178</v>
      </c>
      <c r="CF19" s="19">
        <v>-6.208171187489474</v>
      </c>
      <c r="CG19" s="19">
        <v>-11.453264650995717</v>
      </c>
      <c r="CH19" s="19">
        <v>-6.206005895468865</v>
      </c>
      <c r="CI19" s="19">
        <v>-6.217791790999176</v>
      </c>
      <c r="CJ19" s="19">
        <v>-6.218331240618185</v>
      </c>
      <c r="CK19" s="19">
        <v>-8.823502645153924</v>
      </c>
      <c r="CL19" s="19">
        <v>-6.216195020126912</v>
      </c>
    </row>
    <row r="20" spans="2:90" x14ac:dyDescent="0.25">
      <c r="B20" s="29" t="s">
        <v>220</v>
      </c>
      <c r="C20" s="30" t="s">
        <v>190</v>
      </c>
      <c r="D20" s="14">
        <v>-6002.6377440436045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-61.0369677144891</v>
      </c>
      <c r="L20" s="19">
        <v>-61.043827703279575</v>
      </c>
      <c r="M20" s="19">
        <v>-120.93403849385763</v>
      </c>
      <c r="N20" s="19">
        <v>-61.01666214766931</v>
      </c>
      <c r="O20" s="19">
        <v>-61.129867464353474</v>
      </c>
      <c r="P20" s="19">
        <v>-61.136646958360245</v>
      </c>
      <c r="Q20" s="19">
        <v>-120.62108358744642</v>
      </c>
      <c r="R20" s="19">
        <v>-61.109800162093414</v>
      </c>
      <c r="S20" s="19">
        <v>-61.22305945574705</v>
      </c>
      <c r="T20" s="19">
        <v>-61.2297587877284</v>
      </c>
      <c r="U20" s="19">
        <v>-120.30726766060444</v>
      </c>
      <c r="V20" s="19">
        <v>-61.20322943308222</v>
      </c>
      <c r="W20" s="19">
        <v>-60.86820009554664</v>
      </c>
      <c r="X20" s="19">
        <v>-60.87481960572016</v>
      </c>
      <c r="Y20" s="19">
        <v>-119.54429560592251</v>
      </c>
      <c r="Z20" s="19">
        <v>-60.84860634543303</v>
      </c>
      <c r="AA20" s="19">
        <v>-60.96506556065043</v>
      </c>
      <c r="AB20" s="19">
        <v>-60.97160559664813</v>
      </c>
      <c r="AC20" s="19">
        <v>-119.23199267391082</v>
      </c>
      <c r="AD20" s="19">
        <v>-60.945707054097234</v>
      </c>
      <c r="AE20" s="19">
        <v>-60.7674775348542</v>
      </c>
      <c r="AF20" s="19">
        <v>-60.773938451673615</v>
      </c>
      <c r="AG20" s="19">
        <v>-118.62423018793726</v>
      </c>
      <c r="AH20" s="19">
        <v>-60.74835322106874</v>
      </c>
      <c r="AI20" s="19">
        <v>-60.86695476648749</v>
      </c>
      <c r="AJ20" s="19">
        <v>-60.873336926438526</v>
      </c>
      <c r="AK20" s="19">
        <v>-118.31257707931329</v>
      </c>
      <c r="AL20" s="19">
        <v>-60.848063573032434</v>
      </c>
      <c r="AM20" s="19">
        <v>-60.96667844179355</v>
      </c>
      <c r="AN20" s="19">
        <v>-60.97298221444129</v>
      </c>
      <c r="AO20" s="19">
        <v>-118.0002652375313</v>
      </c>
      <c r="AP20" s="19">
        <v>-60.94801927475623</v>
      </c>
      <c r="AQ20" s="19">
        <v>-61.06663604040678</v>
      </c>
      <c r="AR20" s="19">
        <v>-61.0728618025102</v>
      </c>
      <c r="AS20" s="19">
        <v>-117.68733334202793</v>
      </c>
      <c r="AT20" s="19">
        <v>-61.048207784580676</v>
      </c>
      <c r="AU20" s="19">
        <v>-61.16681491981299</v>
      </c>
      <c r="AV20" s="19">
        <v>-61.17296305525951</v>
      </c>
      <c r="AW20" s="19">
        <v>-117.37382042238082</v>
      </c>
      <c r="AX20" s="19">
        <v>-61.14861643889131</v>
      </c>
      <c r="AY20" s="19">
        <v>-61.26720232138298</v>
      </c>
      <c r="AZ20" s="19">
        <v>-61.273273221119055</v>
      </c>
      <c r="BA20" s="19">
        <v>-117.05976583955179</v>
      </c>
      <c r="BB20" s="19">
        <v>-61.24923245816421</v>
      </c>
      <c r="BC20" s="19">
        <v>-61.367785376533604</v>
      </c>
      <c r="BD20" s="19">
        <v>-61.373779438491255</v>
      </c>
      <c r="BE20" s="19">
        <v>-116.74520926675594</v>
      </c>
      <c r="BF20" s="19">
        <v>-61.35004295313896</v>
      </c>
      <c r="BG20" s="19">
        <v>-61.468551113011394</v>
      </c>
      <c r="BH20" s="19">
        <v>-61.474468742030766</v>
      </c>
      <c r="BI20" s="19">
        <v>-116.43019066997451</v>
      </c>
      <c r="BJ20" s="19">
        <v>-61.45103493111409</v>
      </c>
      <c r="BK20" s="19">
        <v>-61.56948646129143</v>
      </c>
      <c r="BL20" s="19">
        <v>-61.57532806903936</v>
      </c>
      <c r="BM20" s="19">
        <v>-116.11475028813246</v>
      </c>
      <c r="BN20" s="19">
        <v>-61.552195302357596</v>
      </c>
      <c r="BO20" s="19">
        <v>-61.67057826108557</v>
      </c>
      <c r="BP20" s="19">
        <v>-61.67634426597031</v>
      </c>
      <c r="BQ20" s="19">
        <v>-115.7989286129596</v>
      </c>
      <c r="BR20" s="19">
        <v>-61.653510886626776</v>
      </c>
      <c r="BS20" s="19">
        <v>-61.77181326795323</v>
      </c>
      <c r="BT20" s="19">
        <v>-61.77750409503528</v>
      </c>
      <c r="BU20" s="19">
        <v>-115.4827663685569</v>
      </c>
      <c r="BV20" s="19">
        <v>-61.75496841979038</v>
      </c>
      <c r="BW20" s="19">
        <v>-61.87317816000778</v>
      </c>
      <c r="BX20" s="19">
        <v>-61.87879424090697</v>
      </c>
      <c r="BY20" s="19">
        <v>-115.16630449068951</v>
      </c>
      <c r="BZ20" s="19">
        <v>-61.856554560546215</v>
      </c>
      <c r="CA20" s="19">
        <v>-61.97465954471146</v>
      </c>
      <c r="CB20" s="19">
        <v>-61.9802013175102</v>
      </c>
      <c r="CC20" s="19">
        <v>-114.84958410582735</v>
      </c>
      <c r="CD20" s="19">
        <v>-61.958255897227204</v>
      </c>
      <c r="CE20" s="19">
        <v>-62.07624396575178</v>
      </c>
      <c r="CF20" s="19">
        <v>-62.08171187489474</v>
      </c>
      <c r="CG20" s="19">
        <v>-114.53264650995716</v>
      </c>
      <c r="CH20" s="19">
        <v>-62.06005895468865</v>
      </c>
      <c r="CI20" s="19">
        <v>-62.177917909991756</v>
      </c>
      <c r="CJ20" s="19">
        <v>-62.18331240618185</v>
      </c>
      <c r="CK20" s="19">
        <v>-88.23502645153926</v>
      </c>
      <c r="CL20" s="19">
        <v>-62.161950201269114</v>
      </c>
    </row>
    <row r="21" spans="2:90" x14ac:dyDescent="0.25">
      <c r="B21" s="29" t="s">
        <v>221</v>
      </c>
      <c r="C21" s="30" t="s">
        <v>190</v>
      </c>
      <c r="D21" s="14">
        <v>-428.50829975479286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-4.357225668578329</v>
      </c>
      <c r="L21" s="19">
        <v>-4.3577153803114514</v>
      </c>
      <c r="M21" s="19">
        <v>-8.63307789461485</v>
      </c>
      <c r="N21" s="19">
        <v>-4.355776121848287</v>
      </c>
      <c r="O21" s="19">
        <v>-4.363857472055313</v>
      </c>
      <c r="P21" s="19">
        <v>-4.364341437534144</v>
      </c>
      <c r="Q21" s="19">
        <v>-8.610737087029175</v>
      </c>
      <c r="R21" s="19">
        <v>-4.362424934237976</v>
      </c>
      <c r="S21" s="19">
        <v>-4.370510137680929</v>
      </c>
      <c r="T21" s="19">
        <v>-4.370988380659972</v>
      </c>
      <c r="U21" s="19">
        <v>-8.588334814065016</v>
      </c>
      <c r="V21" s="19">
        <v>-4.369094538462963</v>
      </c>
      <c r="W21" s="19">
        <v>-4.345177910820756</v>
      </c>
      <c r="X21" s="19">
        <v>-4.34565045558701</v>
      </c>
      <c r="Y21" s="19">
        <v>-8.533868782321456</v>
      </c>
      <c r="Z21" s="19">
        <v>-4.343779178312646</v>
      </c>
      <c r="AA21" s="19">
        <v>-4.352092813489632</v>
      </c>
      <c r="AB21" s="19">
        <v>-4.352559684859388</v>
      </c>
      <c r="AC21" s="19">
        <v>-8.511574517014914</v>
      </c>
      <c r="AD21" s="19">
        <v>-4.350710874235155</v>
      </c>
      <c r="AE21" s="19">
        <v>-4.3379876629547915</v>
      </c>
      <c r="AF21" s="19">
        <v>-4.3384488862701405</v>
      </c>
      <c r="AG21" s="19">
        <v>-8.468188379016215</v>
      </c>
      <c r="AH21" s="19">
        <v>-4.336622441941361</v>
      </c>
      <c r="AI21" s="19">
        <v>-4.34508901093032</v>
      </c>
      <c r="AJ21" s="19">
        <v>-4.345544612055359</v>
      </c>
      <c r="AK21" s="19">
        <v>-8.445940502435246</v>
      </c>
      <c r="AL21" s="19">
        <v>-4.343740431600208</v>
      </c>
      <c r="AM21" s="19">
        <v>-4.352207951698169</v>
      </c>
      <c r="AN21" s="19">
        <v>-4.352657957014916</v>
      </c>
      <c r="AO21" s="19">
        <v>-8.423645601089902</v>
      </c>
      <c r="AP21" s="19">
        <v>-4.350875935960598</v>
      </c>
      <c r="AQ21" s="19">
        <v>-4.359343591471172</v>
      </c>
      <c r="AR21" s="19">
        <v>-4.359788027875195</v>
      </c>
      <c r="AS21" s="19">
        <v>-8.401306436176233</v>
      </c>
      <c r="AT21" s="19">
        <v>-4.358028059715266</v>
      </c>
      <c r="AU21" s="19">
        <v>-4.366495027742384</v>
      </c>
      <c r="AV21" s="19">
        <v>-4.366933922638125</v>
      </c>
      <c r="AW21" s="19">
        <v>-8.378925793885692</v>
      </c>
      <c r="AX21" s="19">
        <v>-4.365195898850988</v>
      </c>
      <c r="AY21" s="19">
        <v>-4.3736613497157935</v>
      </c>
      <c r="AZ21" s="19">
        <v>-4.374094731011619</v>
      </c>
      <c r="BA21" s="19">
        <v>-8.356506484066136</v>
      </c>
      <c r="BB21" s="19">
        <v>-4.372378541080149</v>
      </c>
      <c r="BC21" s="19">
        <v>-4.380841638746146</v>
      </c>
      <c r="BD21" s="19">
        <v>-4.381269534849096</v>
      </c>
      <c r="BE21" s="19">
        <v>-8.33405133885615</v>
      </c>
      <c r="BF21" s="19">
        <v>-4.379575066281413</v>
      </c>
      <c r="BG21" s="19">
        <v>-4.388034968787507</v>
      </c>
      <c r="BH21" s="19">
        <v>-4.38845740859777</v>
      </c>
      <c r="BI21" s="19">
        <v>-8.311563211293914</v>
      </c>
      <c r="BJ21" s="19">
        <v>-4.386784546949131</v>
      </c>
      <c r="BK21" s="19">
        <v>-4.395240406850058</v>
      </c>
      <c r="BL21" s="19">
        <v>-4.395657419755156</v>
      </c>
      <c r="BM21" s="19">
        <v>-8.289044973902149</v>
      </c>
      <c r="BN21" s="19">
        <v>-4.394006048650968</v>
      </c>
      <c r="BO21" s="19">
        <v>-4.402457013464696</v>
      </c>
      <c r="BP21" s="19">
        <v>-4.4028686293334</v>
      </c>
      <c r="BQ21" s="19">
        <v>-8.266499517250477</v>
      </c>
      <c r="BR21" s="19">
        <v>-4.401238630493331</v>
      </c>
      <c r="BS21" s="19">
        <v>-4.409683843154955</v>
      </c>
      <c r="BT21" s="19">
        <v>-4.410090092330919</v>
      </c>
      <c r="BU21" s="19">
        <v>-8.243929748496715</v>
      </c>
      <c r="BV21" s="19">
        <v>-4.408481345594103</v>
      </c>
      <c r="BW21" s="19">
        <v>-4.4169199449157555</v>
      </c>
      <c r="BX21" s="19">
        <v>-4.4173208582108785</v>
      </c>
      <c r="BY21" s="19">
        <v>-8.221338589908688</v>
      </c>
      <c r="BZ21" s="19">
        <v>-4.415733241562193</v>
      </c>
      <c r="CA21" s="19">
        <v>-4.424164362698469</v>
      </c>
      <c r="CB21" s="19">
        <v>-4.424559971385995</v>
      </c>
      <c r="CC21" s="19">
        <v>-8.198728977367994</v>
      </c>
      <c r="CD21" s="19">
        <v>-4.422993360983393</v>
      </c>
      <c r="CE21" s="19">
        <v>-4.4314161359018005</v>
      </c>
      <c r="CF21" s="19">
        <v>-4.4318064717091525</v>
      </c>
      <c r="CG21" s="19">
        <v>-8.176103858857475</v>
      </c>
      <c r="CH21" s="19">
        <v>-4.430260741912041</v>
      </c>
      <c r="CI21" s="19">
        <v>-4.438674299867945</v>
      </c>
      <c r="CJ21" s="19">
        <v>-4.439059394969302</v>
      </c>
      <c r="CK21" s="19">
        <v>-6.298804421620549</v>
      </c>
      <c r="CL21" s="19">
        <v>-4.437534418367931</v>
      </c>
    </row>
    <row r="22" spans="2:90" x14ac:dyDescent="0.25">
      <c r="B22" s="29" t="s">
        <v>222</v>
      </c>
      <c r="C22" s="30" t="s">
        <v>190</v>
      </c>
      <c r="D22" s="14">
        <v>0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  <c r="BK22" s="19">
        <v>0</v>
      </c>
      <c r="BL22" s="19">
        <v>0</v>
      </c>
      <c r="BM22" s="19">
        <v>0</v>
      </c>
      <c r="BN22" s="19">
        <v>0</v>
      </c>
      <c r="BO22" s="19">
        <v>0</v>
      </c>
      <c r="BP22" s="19">
        <v>0</v>
      </c>
      <c r="BQ22" s="19">
        <v>0</v>
      </c>
      <c r="BR22" s="19">
        <v>0</v>
      </c>
      <c r="BS22" s="19">
        <v>0</v>
      </c>
      <c r="BT22" s="19">
        <v>0</v>
      </c>
      <c r="BU22" s="19">
        <v>0</v>
      </c>
      <c r="BV22" s="19">
        <v>0</v>
      </c>
      <c r="BW22" s="19">
        <v>0</v>
      </c>
      <c r="BX22" s="19">
        <v>0</v>
      </c>
      <c r="BY22" s="19">
        <v>0</v>
      </c>
      <c r="BZ22" s="19">
        <v>0</v>
      </c>
      <c r="CA22" s="19">
        <v>0</v>
      </c>
      <c r="CB22" s="19">
        <v>0</v>
      </c>
      <c r="CC22" s="19">
        <v>0</v>
      </c>
      <c r="CD22" s="19">
        <v>0</v>
      </c>
      <c r="CE22" s="19">
        <v>0</v>
      </c>
      <c r="CF22" s="19">
        <v>0</v>
      </c>
      <c r="CG22" s="19">
        <v>0</v>
      </c>
      <c r="CH22" s="19">
        <v>0</v>
      </c>
      <c r="CI22" s="19">
        <v>0</v>
      </c>
      <c r="CJ22" s="19">
        <v>0</v>
      </c>
      <c r="CK22" s="19">
        <v>0</v>
      </c>
      <c r="CL22" s="19">
        <v>0</v>
      </c>
    </row>
    <row r="23" spans="2:90" x14ac:dyDescent="0.25">
      <c r="B23" s="31" t="s">
        <v>225</v>
      </c>
      <c r="C23" s="30" t="s">
        <v>190</v>
      </c>
      <c r="D23" s="14">
        <v>-105377.38133925629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-1000.2770822099923</v>
      </c>
      <c r="L23" s="14">
        <v>-1000.3895040721566</v>
      </c>
      <c r="M23" s="14">
        <v>-1981.8734726527252</v>
      </c>
      <c r="N23" s="14">
        <v>-999.944313497986</v>
      </c>
      <c r="O23" s="14">
        <v>-1008.6256967989423</v>
      </c>
      <c r="P23" s="14">
        <v>-1008.7375565517957</v>
      </c>
      <c r="Q23" s="14">
        <v>-1990.2141052894617</v>
      </c>
      <c r="R23" s="14">
        <v>-1008.294591930496</v>
      </c>
      <c r="S23" s="14">
        <v>-1017.1136863878921</v>
      </c>
      <c r="T23" s="14">
        <v>-1017.2249840314348</v>
      </c>
      <c r="U23" s="14">
        <v>-1998.694112926198</v>
      </c>
      <c r="V23" s="14">
        <v>-1016.7842453630059</v>
      </c>
      <c r="W23" s="14">
        <v>-1018.2434166018421</v>
      </c>
      <c r="X23" s="14">
        <v>-1018.3541521360739</v>
      </c>
      <c r="Y23" s="14">
        <v>-1999.8158611879344</v>
      </c>
      <c r="Z23" s="14">
        <v>-1017.9156394205158</v>
      </c>
      <c r="AA23" s="14">
        <v>-1027.0172940501673</v>
      </c>
      <c r="AB23" s="14">
        <v>-1027.1274674750882</v>
      </c>
      <c r="AC23" s="14">
        <v>-2008.5817566840456</v>
      </c>
      <c r="AD23" s="14">
        <v>-1026.691180712401</v>
      </c>
      <c r="AE23" s="14">
        <v>-1030.9377670513827</v>
      </c>
      <c r="AF23" s="14">
        <v>-1031.047378366993</v>
      </c>
      <c r="AG23" s="14">
        <v>-2012.4942477330474</v>
      </c>
      <c r="AH23" s="14">
        <v>-1030.6133175571765</v>
      </c>
      <c r="AI23" s="14">
        <v>-1040.0073263709824</v>
      </c>
      <c r="AJ23" s="14">
        <v>-1040.1163755772818</v>
      </c>
      <c r="AK23" s="14">
        <v>-2021.5558251004336</v>
      </c>
      <c r="AL23" s="14">
        <v>-1039.6845407203364</v>
      </c>
      <c r="AM23" s="14">
        <v>-1049.2285059725855</v>
      </c>
      <c r="AN23" s="14">
        <v>-1049.336993069574</v>
      </c>
      <c r="AO23" s="14">
        <v>-2030.7690227498229</v>
      </c>
      <c r="AP23" s="14">
        <v>-1048.9073841654995</v>
      </c>
      <c r="AQ23" s="14">
        <v>-1058.6038837826438</v>
      </c>
      <c r="AR23" s="14">
        <v>-1058.7118087703216</v>
      </c>
      <c r="AS23" s="14">
        <v>-2040.1364186076673</v>
      </c>
      <c r="AT23" s="14">
        <v>-1058.2844258191178</v>
      </c>
      <c r="AU23" s="14">
        <v>-1068.1360824689482</v>
      </c>
      <c r="AV23" s="14">
        <v>-1068.2434453473152</v>
      </c>
      <c r="AW23" s="14">
        <v>-2049.6606353417587</v>
      </c>
      <c r="AX23" s="14">
        <v>-1067.8182883489822</v>
      </c>
      <c r="AY23" s="14">
        <v>-1077.8277702332025</v>
      </c>
      <c r="AZ23" s="14">
        <v>-1077.9345710022585</v>
      </c>
      <c r="BA23" s="14">
        <v>-2059.3443411537983</v>
      </c>
      <c r="BB23" s="14">
        <v>-1077.5116399567964</v>
      </c>
      <c r="BC23" s="14">
        <v>-1087.6816616179044</v>
      </c>
      <c r="BD23" s="14">
        <v>-1087.7879002776497</v>
      </c>
      <c r="BE23" s="14">
        <v>-2069.190250586287</v>
      </c>
      <c r="BF23" s="14">
        <v>-1087.3671951850583</v>
      </c>
      <c r="BG23" s="14">
        <v>-1097.7005183278177</v>
      </c>
      <c r="BH23" s="14">
        <v>-1097.8061948782522</v>
      </c>
      <c r="BI23" s="14">
        <v>-2079.201125343987</v>
      </c>
      <c r="BJ23" s="14">
        <v>-1097.3877157385318</v>
      </c>
      <c r="BK23" s="14">
        <v>-1107.8871500662858</v>
      </c>
      <c r="BL23" s="14">
        <v>-1107.9922645074096</v>
      </c>
      <c r="BM23" s="14">
        <v>-2089.379775130241</v>
      </c>
      <c r="BN23" s="14">
        <v>-1107.57601132056</v>
      </c>
      <c r="BO23" s="14">
        <v>-1118.244415386672</v>
      </c>
      <c r="BP23" s="14">
        <v>-1118.3489677184848</v>
      </c>
      <c r="BQ23" s="14">
        <v>-2099.729058498414</v>
      </c>
      <c r="BR23" s="14">
        <v>-1117.9349404845061</v>
      </c>
      <c r="BS23" s="14">
        <v>-1128.7752225591985</v>
      </c>
      <c r="BT23" s="14">
        <v>-1128.8792127817005</v>
      </c>
      <c r="BU23" s="14">
        <v>-2110.2518837187267</v>
      </c>
      <c r="BV23" s="14">
        <v>-1128.4674115005928</v>
      </c>
      <c r="BW23" s="14">
        <v>-1139.4825304534706</v>
      </c>
      <c r="BX23" s="14">
        <v>-1139.585958566662</v>
      </c>
      <c r="BY23" s="14">
        <v>-2120.951209660785</v>
      </c>
      <c r="BZ23" s="14">
        <v>-1139.176383238425</v>
      </c>
      <c r="CA23" s="14">
        <v>-1150.3693494369745</v>
      </c>
      <c r="CB23" s="14">
        <v>-1150.4722154408548</v>
      </c>
      <c r="CC23" s="14">
        <v>-2131.830046692075</v>
      </c>
      <c r="CD23" s="14">
        <v>-1150.0648660654888</v>
      </c>
      <c r="CE23" s="14">
        <v>-1161.4387422898417</v>
      </c>
      <c r="CF23" s="14">
        <v>-1161.5410461844112</v>
      </c>
      <c r="CG23" s="14">
        <v>-2142.891457592729</v>
      </c>
      <c r="CH23" s="14">
        <v>-1161.135922761916</v>
      </c>
      <c r="CI23" s="14">
        <v>-1172.6938251361814</v>
      </c>
      <c r="CJ23" s="14">
        <v>-1172.7955669214402</v>
      </c>
      <c r="CK23" s="14">
        <v>-1664.1385584868551</v>
      </c>
      <c r="CL23" s="14">
        <v>-1172.3926694518157</v>
      </c>
    </row>
    <row r="25" spans="2:91" x14ac:dyDescent="0.25">
      <c r="B25" s="27" t="s">
        <v>229</v>
      </c>
      <c r="C25" s="32" t="s">
        <v>190</v>
      </c>
      <c r="D25" s="33">
        <v>300403.80051750876</v>
      </c>
      <c r="E25" s="33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3999.0322816631174</v>
      </c>
      <c r="L25" s="33">
        <v>4105.424107007454</v>
      </c>
      <c r="M25" s="33">
        <v>4529.796201552685</v>
      </c>
      <c r="N25" s="33">
        <v>3684.1124786438836</v>
      </c>
      <c r="O25" s="33">
        <v>3965.687120254802</v>
      </c>
      <c r="P25" s="33">
        <v>4071.5469864724155</v>
      </c>
      <c r="Q25" s="33">
        <v>4488.897220544921</v>
      </c>
      <c r="R25" s="33">
        <v>3652.3419162506657</v>
      </c>
      <c r="S25" s="33">
        <v>3932.202583846486</v>
      </c>
      <c r="T25" s="33">
        <v>4037.5304909373776</v>
      </c>
      <c r="U25" s="33">
        <v>4447.858864537158</v>
      </c>
      <c r="V25" s="33">
        <v>3620.4319788574453</v>
      </c>
      <c r="W25" s="33">
        <v>3906.076306813171</v>
      </c>
      <c r="X25" s="33">
        <v>4010.8722547773414</v>
      </c>
      <c r="Y25" s="33">
        <v>4414.178767904395</v>
      </c>
      <c r="Z25" s="33">
        <v>3595.880300839226</v>
      </c>
      <c r="AA25" s="33">
        <v>3872.305882545482</v>
      </c>
      <c r="AB25" s="33">
        <v>3976.569871382929</v>
      </c>
      <c r="AC25" s="33">
        <v>4372.854524037257</v>
      </c>
      <c r="AD25" s="33">
        <v>3563.6844755866327</v>
      </c>
      <c r="AE25" s="33">
        <v>3843.3888627249003</v>
      </c>
      <c r="AF25" s="33">
        <v>3947.120892435627</v>
      </c>
      <c r="AG25" s="33">
        <v>4336.383684617229</v>
      </c>
      <c r="AH25" s="33">
        <v>3536.3420547811475</v>
      </c>
      <c r="AI25" s="33">
        <v>3809.3227565859347</v>
      </c>
      <c r="AJ25" s="33">
        <v>3912.5228271699393</v>
      </c>
      <c r="AK25" s="33">
        <v>4294.763758878815</v>
      </c>
      <c r="AL25" s="33">
        <v>3503.850547657278</v>
      </c>
      <c r="AM25" s="33">
        <v>3775.105030164965</v>
      </c>
      <c r="AN25" s="33">
        <v>3877.77314162225</v>
      </c>
      <c r="AO25" s="33">
        <v>4252.9922128583985</v>
      </c>
      <c r="AP25" s="33">
        <v>3471.2074202514063</v>
      </c>
      <c r="AQ25" s="33">
        <v>3740.7331055355407</v>
      </c>
      <c r="AR25" s="33">
        <v>3842.8692578661035</v>
      </c>
      <c r="AS25" s="33">
        <v>4211.066468629527</v>
      </c>
      <c r="AT25" s="33">
        <v>3438.4100946370763</v>
      </c>
      <c r="AU25" s="33">
        <v>3706.204360029872</v>
      </c>
      <c r="AV25" s="33">
        <v>3807.8085532337127</v>
      </c>
      <c r="AW25" s="33">
        <v>4168.983903524408</v>
      </c>
      <c r="AX25" s="33">
        <v>3405.4559481465044</v>
      </c>
      <c r="AY25" s="33">
        <v>3671.516125446252</v>
      </c>
      <c r="AZ25" s="33">
        <v>3772.5883595233704</v>
      </c>
      <c r="BA25" s="33">
        <v>4126.741849341342</v>
      </c>
      <c r="BB25" s="33">
        <v>3372.3423125779805</v>
      </c>
      <c r="BC25" s="33">
        <v>3636.665687242184</v>
      </c>
      <c r="BD25" s="33">
        <v>3737.205962192581</v>
      </c>
      <c r="BE25" s="33">
        <v>4084.3375915378256</v>
      </c>
      <c r="BF25" s="33">
        <v>3339.066473389009</v>
      </c>
      <c r="BG25" s="33">
        <v>3601.6502837129055</v>
      </c>
      <c r="BH25" s="33">
        <v>3701.6585995365813</v>
      </c>
      <c r="BI25" s="33">
        <v>4041.768368409099</v>
      </c>
      <c r="BJ25" s="33">
        <v>3305.625668874826</v>
      </c>
      <c r="BK25" s="33">
        <v>3566.4671051550727</v>
      </c>
      <c r="BL25" s="33">
        <v>3665.9434618520263</v>
      </c>
      <c r="BM25" s="33">
        <v>3999.0313702518197</v>
      </c>
      <c r="BN25" s="33">
        <v>3272.017089332089</v>
      </c>
      <c r="BO25" s="33">
        <v>3531.11329301532</v>
      </c>
      <c r="BP25" s="33">
        <v>3630.057690585553</v>
      </c>
      <c r="BQ25" s="33">
        <v>3956.123738512618</v>
      </c>
      <c r="BR25" s="33">
        <v>3238.237876207433</v>
      </c>
      <c r="BS25" s="33">
        <v>3495.585939023428</v>
      </c>
      <c r="BT25" s="33">
        <v>3593.998377466939</v>
      </c>
      <c r="BU25" s="33">
        <v>3913.042564921278</v>
      </c>
      <c r="BV25" s="33">
        <v>3204.285121230637</v>
      </c>
      <c r="BW25" s="33">
        <v>3459.88208430979</v>
      </c>
      <c r="BX25" s="33">
        <v>3557.7625636265784</v>
      </c>
      <c r="BY25" s="33">
        <v>3869.7848906081927</v>
      </c>
      <c r="BZ25" s="33">
        <v>3170.155865532096</v>
      </c>
      <c r="CA25" s="33">
        <v>3423.9987185069203</v>
      </c>
      <c r="CB25" s="33">
        <v>3521.347238696989</v>
      </c>
      <c r="CC25" s="33">
        <v>3826.3477052058756</v>
      </c>
      <c r="CD25" s="33">
        <v>3135.8470987443216</v>
      </c>
      <c r="CE25" s="33">
        <v>3387.932778834688</v>
      </c>
      <c r="CF25" s="33">
        <v>3484.749339898033</v>
      </c>
      <c r="CG25" s="33">
        <v>3782.727945934195</v>
      </c>
      <c r="CH25" s="33">
        <v>3101.3557580871857</v>
      </c>
      <c r="CI25" s="33">
        <v>3351.681149168984</v>
      </c>
      <c r="CJ25" s="33">
        <v>3447.965751105607</v>
      </c>
      <c r="CK25" s="33">
        <v>4228.922496669042</v>
      </c>
      <c r="CL25" s="33">
        <v>3066.678727436577</v>
      </c>
      <c r="CM25" s="28"/>
    </row>
    <row r="26" spans="2:90" x14ac:dyDescent="0.25">
      <c r="B26" s="29" t="s">
        <v>230</v>
      </c>
      <c r="C26" s="30" t="s">
        <v>231</v>
      </c>
      <c r="E26" s="23"/>
      <c r="F26" s="23"/>
      <c r="G26" s="23"/>
      <c r="H26" s="23"/>
      <c r="I26" s="23"/>
      <c r="J26" s="23"/>
      <c r="K26" s="23">
        <v>0.7999169466409959</v>
      </c>
      <c r="L26" s="23">
        <v>0.8040685422003435</v>
      </c>
      <c r="M26" s="23">
        <v>0.6956428117809025</v>
      </c>
      <c r="N26" s="23">
        <v>0.7865217357792232</v>
      </c>
      <c r="O26" s="23">
        <v>0.7972331588514079</v>
      </c>
      <c r="P26" s="23">
        <v>0.801440736634151</v>
      </c>
      <c r="Q26" s="23">
        <v>0.6928260674648677</v>
      </c>
      <c r="R26" s="23">
        <v>0.7836573201620505</v>
      </c>
      <c r="S26" s="23">
        <v>0.7944941016388662</v>
      </c>
      <c r="T26" s="23">
        <v>0.7987588145324258</v>
      </c>
      <c r="U26" s="23">
        <v>0.6899592511046639</v>
      </c>
      <c r="V26" s="23">
        <v>0.7807339153062817</v>
      </c>
      <c r="W26" s="23">
        <v>0.7932215059554072</v>
      </c>
      <c r="X26" s="23">
        <v>0.797512764441029</v>
      </c>
      <c r="Y26" s="23">
        <v>0.6882105494573922</v>
      </c>
      <c r="Z26" s="23">
        <v>0.7793756697087019</v>
      </c>
      <c r="AA26" s="23">
        <v>0.7903756790414872</v>
      </c>
      <c r="AB26" s="23">
        <v>0.7947262997906449</v>
      </c>
      <c r="AC26" s="23">
        <v>0.685246131383919</v>
      </c>
      <c r="AD26" s="23">
        <v>0.7763383091962096</v>
      </c>
      <c r="AE26" s="23">
        <v>0.7884963718365546</v>
      </c>
      <c r="AF26" s="23">
        <v>0.7928861938206924</v>
      </c>
      <c r="AG26" s="23">
        <v>0.6830157597646477</v>
      </c>
      <c r="AH26" s="23">
        <v>0.7743325183776664</v>
      </c>
      <c r="AI26" s="23">
        <v>0.7855358763829849</v>
      </c>
      <c r="AJ26" s="23">
        <v>0.7899874525484653</v>
      </c>
      <c r="AK26" s="23">
        <v>0.6799471910465202</v>
      </c>
      <c r="AL26" s="23">
        <v>0.7711727717521419</v>
      </c>
      <c r="AM26" s="23">
        <v>0.7825132739863138</v>
      </c>
      <c r="AN26" s="23">
        <v>0.7870278998471775</v>
      </c>
      <c r="AO26" s="23">
        <v>0.6768226947831731</v>
      </c>
      <c r="AP26" s="23">
        <v>0.7679467381800696</v>
      </c>
      <c r="AQ26" s="23">
        <v>0.7794270570833507</v>
      </c>
      <c r="AR26" s="23">
        <v>0.7840060596005131</v>
      </c>
      <c r="AS26" s="23">
        <v>0.6736409847178494</v>
      </c>
      <c r="AT26" s="23">
        <v>0.7646528086342512</v>
      </c>
      <c r="AU26" s="23">
        <v>0.7762756771676924</v>
      </c>
      <c r="AV26" s="23">
        <v>0.7809204156029954</v>
      </c>
      <c r="AW26" s="23">
        <v>0.6704007404617679</v>
      </c>
      <c r="AX26" s="23">
        <v>0.7612893303886625</v>
      </c>
      <c r="AY26" s="23">
        <v>0.77305754354539</v>
      </c>
      <c r="AZ26" s="23">
        <v>0.7777694103416087</v>
      </c>
      <c r="BA26" s="23">
        <v>0.6671006064677921</v>
      </c>
      <c r="BB26" s="23">
        <v>0.7578546056903706</v>
      </c>
      <c r="BC26" s="23">
        <v>0.7697710220480836</v>
      </c>
      <c r="BD26" s="23">
        <v>0.7745514437357771</v>
      </c>
      <c r="BE26" s="23">
        <v>0.663739190969187</v>
      </c>
      <c r="BF26" s="23">
        <v>0.7543468903860604</v>
      </c>
      <c r="BG26" s="23">
        <v>0.7664144337019627</v>
      </c>
      <c r="BH26" s="23">
        <v>0.7712648718340894</v>
      </c>
      <c r="BI26" s="23">
        <v>0.6603150648821287</v>
      </c>
      <c r="BJ26" s="23">
        <v>0.7507643925014102</v>
      </c>
      <c r="BK26" s="23">
        <v>0.762986053350845</v>
      </c>
      <c r="BL26" s="23">
        <v>0.7679080054660989</v>
      </c>
      <c r="BM26" s="23">
        <v>0.6568267606705579</v>
      </c>
      <c r="BN26" s="23">
        <v>0.7471052707714997</v>
      </c>
      <c r="BO26" s="23">
        <v>0.7594841082315823</v>
      </c>
      <c r="BP26" s="23">
        <v>0.7644791088474466</v>
      </c>
      <c r="BQ26" s="23">
        <v>0.6532727711719197</v>
      </c>
      <c r="BR26" s="23">
        <v>0.7433676331203357</v>
      </c>
      <c r="BS26" s="23">
        <v>0.7559067764999371</v>
      </c>
      <c r="BT26" s="23">
        <v>0.7609763981364865</v>
      </c>
      <c r="BU26" s="23">
        <v>0.6496515483822646</v>
      </c>
      <c r="BV26" s="23">
        <v>0.7395495350875156</v>
      </c>
      <c r="BW26" s="23">
        <v>0.7522521857049765</v>
      </c>
      <c r="BX26" s="23">
        <v>0.7573980399405029</v>
      </c>
      <c r="BY26" s="23">
        <v>0.645961502199111</v>
      </c>
      <c r="BZ26" s="23">
        <v>0.7356489781999429</v>
      </c>
      <c r="CA26" s="23">
        <v>0.748518411209956</v>
      </c>
      <c r="CB26" s="23">
        <v>0.753742149769534</v>
      </c>
      <c r="CC26" s="23">
        <v>0.6422009991204123</v>
      </c>
      <c r="CD26" s="23">
        <v>0.7316639082864308</v>
      </c>
      <c r="CE26" s="23">
        <v>0.7447034745575686</v>
      </c>
      <c r="CF26" s="23">
        <v>0.7500067904357193</v>
      </c>
      <c r="CG26" s="23">
        <v>0.6383683608978866</v>
      </c>
      <c r="CH26" s="23">
        <v>0.7275922137329277</v>
      </c>
      <c r="CI26" s="23">
        <v>0.7408053417773405</v>
      </c>
      <c r="CJ26" s="23">
        <v>0.7461899703960049</v>
      </c>
      <c r="CK26" s="23">
        <v>0.7176105010772146</v>
      </c>
      <c r="CL26" s="23">
        <v>0.7234317236759947</v>
      </c>
    </row>
    <row r="28" spans="2:90" x14ac:dyDescent="0.25">
      <c r="B28" s="29" t="s">
        <v>232</v>
      </c>
      <c r="C28" s="30" t="s">
        <v>190</v>
      </c>
      <c r="D28" s="14">
        <v>-137976.35327458257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0</v>
      </c>
      <c r="K28" s="19">
        <v>-1724.7044159322825</v>
      </c>
      <c r="L28" s="19">
        <v>-1724.7044159322825</v>
      </c>
      <c r="M28" s="19">
        <v>-1724.7044159322825</v>
      </c>
      <c r="N28" s="19">
        <v>-1724.7044159322825</v>
      </c>
      <c r="O28" s="19">
        <v>-1724.7044159322825</v>
      </c>
      <c r="P28" s="19">
        <v>-1724.7044159322825</v>
      </c>
      <c r="Q28" s="19">
        <v>-1724.7044159322825</v>
      </c>
      <c r="R28" s="19">
        <v>-1724.7044159322825</v>
      </c>
      <c r="S28" s="19">
        <v>-1724.7044159322825</v>
      </c>
      <c r="T28" s="19">
        <v>-1724.7044159322825</v>
      </c>
      <c r="U28" s="19">
        <v>-1724.7044159322825</v>
      </c>
      <c r="V28" s="19">
        <v>-1724.7044159322825</v>
      </c>
      <c r="W28" s="19">
        <v>-1724.7044159322825</v>
      </c>
      <c r="X28" s="19">
        <v>-1724.7044159322825</v>
      </c>
      <c r="Y28" s="19">
        <v>-1724.7044159322825</v>
      </c>
      <c r="Z28" s="19">
        <v>-1724.7044159322825</v>
      </c>
      <c r="AA28" s="19">
        <v>-1724.7044159322825</v>
      </c>
      <c r="AB28" s="19">
        <v>-1724.7044159322825</v>
      </c>
      <c r="AC28" s="19">
        <v>-1724.7044159322825</v>
      </c>
      <c r="AD28" s="19">
        <v>-1724.7044159322825</v>
      </c>
      <c r="AE28" s="19">
        <v>-1724.7044159322825</v>
      </c>
      <c r="AF28" s="19">
        <v>-1724.7044159322825</v>
      </c>
      <c r="AG28" s="19">
        <v>-1724.7044159322825</v>
      </c>
      <c r="AH28" s="19">
        <v>-1724.7044159322825</v>
      </c>
      <c r="AI28" s="19">
        <v>-1724.7044159322825</v>
      </c>
      <c r="AJ28" s="19">
        <v>-1724.7044159322825</v>
      </c>
      <c r="AK28" s="19">
        <v>-1724.7044159322825</v>
      </c>
      <c r="AL28" s="19">
        <v>-1724.7044159322825</v>
      </c>
      <c r="AM28" s="19">
        <v>-1724.7044159322825</v>
      </c>
      <c r="AN28" s="19">
        <v>-1724.7044159322825</v>
      </c>
      <c r="AO28" s="19">
        <v>-1724.7044159322825</v>
      </c>
      <c r="AP28" s="19">
        <v>-1724.7044159322825</v>
      </c>
      <c r="AQ28" s="19">
        <v>-1724.7044159322825</v>
      </c>
      <c r="AR28" s="19">
        <v>-1724.7044159322825</v>
      </c>
      <c r="AS28" s="19">
        <v>-1724.7044159322825</v>
      </c>
      <c r="AT28" s="19">
        <v>-1724.7044159322825</v>
      </c>
      <c r="AU28" s="19">
        <v>-1724.7044159322825</v>
      </c>
      <c r="AV28" s="19">
        <v>-1724.7044159322825</v>
      </c>
      <c r="AW28" s="19">
        <v>-1724.7044159322825</v>
      </c>
      <c r="AX28" s="19">
        <v>-1724.7044159322825</v>
      </c>
      <c r="AY28" s="19">
        <v>-1724.7044159322825</v>
      </c>
      <c r="AZ28" s="19">
        <v>-1724.7044159322825</v>
      </c>
      <c r="BA28" s="19">
        <v>-1724.7044159322825</v>
      </c>
      <c r="BB28" s="19">
        <v>-1724.7044159322825</v>
      </c>
      <c r="BC28" s="19">
        <v>-1724.7044159322825</v>
      </c>
      <c r="BD28" s="19">
        <v>-1724.7044159322825</v>
      </c>
      <c r="BE28" s="19">
        <v>-1724.7044159322825</v>
      </c>
      <c r="BF28" s="19">
        <v>-1724.7044159322825</v>
      </c>
      <c r="BG28" s="19">
        <v>-1724.7044159322825</v>
      </c>
      <c r="BH28" s="19">
        <v>-1724.7044159322825</v>
      </c>
      <c r="BI28" s="19">
        <v>-1724.7044159322825</v>
      </c>
      <c r="BJ28" s="19">
        <v>-1724.7044159322825</v>
      </c>
      <c r="BK28" s="19">
        <v>-1724.7044159322825</v>
      </c>
      <c r="BL28" s="19">
        <v>-1724.7044159322825</v>
      </c>
      <c r="BM28" s="19">
        <v>-1724.7044159322825</v>
      </c>
      <c r="BN28" s="19">
        <v>-1724.7044159322825</v>
      </c>
      <c r="BO28" s="19">
        <v>-1724.7044159322825</v>
      </c>
      <c r="BP28" s="19">
        <v>-1724.7044159322825</v>
      </c>
      <c r="BQ28" s="19">
        <v>-1724.7044159322825</v>
      </c>
      <c r="BR28" s="19">
        <v>-1724.7044159322825</v>
      </c>
      <c r="BS28" s="19">
        <v>-1724.7044159322825</v>
      </c>
      <c r="BT28" s="19">
        <v>-1724.7044159322825</v>
      </c>
      <c r="BU28" s="19">
        <v>-1724.7044159322825</v>
      </c>
      <c r="BV28" s="19">
        <v>-1724.7044159322825</v>
      </c>
      <c r="BW28" s="19">
        <v>-1724.7044159322825</v>
      </c>
      <c r="BX28" s="19">
        <v>-1724.7044159322825</v>
      </c>
      <c r="BY28" s="19">
        <v>-1724.7044159322825</v>
      </c>
      <c r="BZ28" s="19">
        <v>-1724.7044159322825</v>
      </c>
      <c r="CA28" s="19">
        <v>-1724.7044159322825</v>
      </c>
      <c r="CB28" s="19">
        <v>-1724.7044159322825</v>
      </c>
      <c r="CC28" s="19">
        <v>-1724.7044159322825</v>
      </c>
      <c r="CD28" s="19">
        <v>-1724.7044159322825</v>
      </c>
      <c r="CE28" s="19">
        <v>-1724.7044159322825</v>
      </c>
      <c r="CF28" s="19">
        <v>-1724.7044159322825</v>
      </c>
      <c r="CG28" s="19">
        <v>-1724.7044159322825</v>
      </c>
      <c r="CH28" s="19">
        <v>-1724.7044159322825</v>
      </c>
      <c r="CI28" s="19">
        <v>-1724.7044159322825</v>
      </c>
      <c r="CJ28" s="19">
        <v>-1724.7044159322825</v>
      </c>
      <c r="CK28" s="19">
        <v>-1724.7044159322825</v>
      </c>
      <c r="CL28" s="19">
        <v>-1724.7044159322825</v>
      </c>
    </row>
    <row r="29" spans="2:90" x14ac:dyDescent="0.25">
      <c r="B29" s="29" t="s">
        <v>233</v>
      </c>
      <c r="C29" s="30" t="s">
        <v>190</v>
      </c>
      <c r="D29" s="14">
        <v>-2000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-25</v>
      </c>
      <c r="L29" s="19">
        <v>-25</v>
      </c>
      <c r="M29" s="19">
        <v>-25</v>
      </c>
      <c r="N29" s="19">
        <v>-25</v>
      </c>
      <c r="O29" s="19">
        <v>-25</v>
      </c>
      <c r="P29" s="19">
        <v>-25</v>
      </c>
      <c r="Q29" s="19">
        <v>-25</v>
      </c>
      <c r="R29" s="19">
        <v>-25</v>
      </c>
      <c r="S29" s="19">
        <v>-25</v>
      </c>
      <c r="T29" s="19">
        <v>-25</v>
      </c>
      <c r="U29" s="19">
        <v>-25</v>
      </c>
      <c r="V29" s="19">
        <v>-25</v>
      </c>
      <c r="W29" s="19">
        <v>-25</v>
      </c>
      <c r="X29" s="19">
        <v>-25</v>
      </c>
      <c r="Y29" s="19">
        <v>-25</v>
      </c>
      <c r="Z29" s="19">
        <v>-25</v>
      </c>
      <c r="AA29" s="19">
        <v>-25</v>
      </c>
      <c r="AB29" s="19">
        <v>-25</v>
      </c>
      <c r="AC29" s="19">
        <v>-25</v>
      </c>
      <c r="AD29" s="19">
        <v>-25</v>
      </c>
      <c r="AE29" s="19">
        <v>-25</v>
      </c>
      <c r="AF29" s="19">
        <v>-25</v>
      </c>
      <c r="AG29" s="19">
        <v>-25</v>
      </c>
      <c r="AH29" s="19">
        <v>-25</v>
      </c>
      <c r="AI29" s="19">
        <v>-25</v>
      </c>
      <c r="AJ29" s="19">
        <v>-25</v>
      </c>
      <c r="AK29" s="19">
        <v>-25</v>
      </c>
      <c r="AL29" s="19">
        <v>-25</v>
      </c>
      <c r="AM29" s="19">
        <v>-25</v>
      </c>
      <c r="AN29" s="19">
        <v>-25</v>
      </c>
      <c r="AO29" s="19">
        <v>-25</v>
      </c>
      <c r="AP29" s="19">
        <v>-25</v>
      </c>
      <c r="AQ29" s="19">
        <v>-25</v>
      </c>
      <c r="AR29" s="19">
        <v>-25</v>
      </c>
      <c r="AS29" s="19">
        <v>-25</v>
      </c>
      <c r="AT29" s="19">
        <v>-25</v>
      </c>
      <c r="AU29" s="19">
        <v>-25</v>
      </c>
      <c r="AV29" s="19">
        <v>-25</v>
      </c>
      <c r="AW29" s="19">
        <v>-25</v>
      </c>
      <c r="AX29" s="19">
        <v>-25</v>
      </c>
      <c r="AY29" s="19">
        <v>-25</v>
      </c>
      <c r="AZ29" s="19">
        <v>-25</v>
      </c>
      <c r="BA29" s="19">
        <v>-25</v>
      </c>
      <c r="BB29" s="19">
        <v>-25</v>
      </c>
      <c r="BC29" s="19">
        <v>-25</v>
      </c>
      <c r="BD29" s="19">
        <v>-25</v>
      </c>
      <c r="BE29" s="19">
        <v>-25</v>
      </c>
      <c r="BF29" s="19">
        <v>-25</v>
      </c>
      <c r="BG29" s="19">
        <v>-25</v>
      </c>
      <c r="BH29" s="19">
        <v>-25</v>
      </c>
      <c r="BI29" s="19">
        <v>-25</v>
      </c>
      <c r="BJ29" s="19">
        <v>-25</v>
      </c>
      <c r="BK29" s="19">
        <v>-25</v>
      </c>
      <c r="BL29" s="19">
        <v>-25</v>
      </c>
      <c r="BM29" s="19">
        <v>-25</v>
      </c>
      <c r="BN29" s="19">
        <v>-25</v>
      </c>
      <c r="BO29" s="19">
        <v>-25</v>
      </c>
      <c r="BP29" s="19">
        <v>-25</v>
      </c>
      <c r="BQ29" s="19">
        <v>-25</v>
      </c>
      <c r="BR29" s="19">
        <v>-25</v>
      </c>
      <c r="BS29" s="19">
        <v>-25</v>
      </c>
      <c r="BT29" s="19">
        <v>-25</v>
      </c>
      <c r="BU29" s="19">
        <v>-25</v>
      </c>
      <c r="BV29" s="19">
        <v>-25</v>
      </c>
      <c r="BW29" s="19">
        <v>-25</v>
      </c>
      <c r="BX29" s="19">
        <v>-25</v>
      </c>
      <c r="BY29" s="19">
        <v>-25</v>
      </c>
      <c r="BZ29" s="19">
        <v>-25</v>
      </c>
      <c r="CA29" s="19">
        <v>-25</v>
      </c>
      <c r="CB29" s="19">
        <v>-25</v>
      </c>
      <c r="CC29" s="19">
        <v>-25</v>
      </c>
      <c r="CD29" s="19">
        <v>-25</v>
      </c>
      <c r="CE29" s="19">
        <v>-25</v>
      </c>
      <c r="CF29" s="19">
        <v>-25</v>
      </c>
      <c r="CG29" s="19">
        <v>-25</v>
      </c>
      <c r="CH29" s="19">
        <v>-25</v>
      </c>
      <c r="CI29" s="19">
        <v>-25</v>
      </c>
      <c r="CJ29" s="19">
        <v>-25</v>
      </c>
      <c r="CK29" s="19">
        <v>-25</v>
      </c>
      <c r="CL29" s="19">
        <v>-25</v>
      </c>
    </row>
    <row r="30" spans="2:90" x14ac:dyDescent="0.25">
      <c r="B30" s="31" t="s">
        <v>234</v>
      </c>
      <c r="C30" s="30" t="s">
        <v>190</v>
      </c>
      <c r="D30" s="14">
        <v>153363.80051750867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1920.5736685154225</v>
      </c>
      <c r="L30" s="14">
        <v>2026.9654938597596</v>
      </c>
      <c r="M30" s="14">
        <v>3411.33758840499</v>
      </c>
      <c r="N30" s="14">
        <v>1605.6538654961892</v>
      </c>
      <c r="O30" s="14">
        <v>1887.2285071071076</v>
      </c>
      <c r="P30" s="14">
        <v>1993.0883733247213</v>
      </c>
      <c r="Q30" s="14">
        <v>3370.4386073972264</v>
      </c>
      <c r="R30" s="14">
        <v>1573.8833031029712</v>
      </c>
      <c r="S30" s="14">
        <v>1853.7439706987916</v>
      </c>
      <c r="T30" s="14">
        <v>1959.0718777896827</v>
      </c>
      <c r="U30" s="14">
        <v>3329.400251389464</v>
      </c>
      <c r="V30" s="14">
        <v>1541.9733657097509</v>
      </c>
      <c r="W30" s="14">
        <v>1827.6176936654765</v>
      </c>
      <c r="X30" s="14">
        <v>1932.413641629647</v>
      </c>
      <c r="Y30" s="14">
        <v>3295.7201547567</v>
      </c>
      <c r="Z30" s="14">
        <v>1517.4216876915314</v>
      </c>
      <c r="AA30" s="14">
        <v>1793.8472693977874</v>
      </c>
      <c r="AB30" s="14">
        <v>1898.1112582352343</v>
      </c>
      <c r="AC30" s="14">
        <v>3254.3959108895624</v>
      </c>
      <c r="AD30" s="14">
        <v>1485.225862438938</v>
      </c>
      <c r="AE30" s="14">
        <v>1764.9302495772054</v>
      </c>
      <c r="AF30" s="14">
        <v>1868.6622792879325</v>
      </c>
      <c r="AG30" s="14">
        <v>3217.9250714695345</v>
      </c>
      <c r="AH30" s="14">
        <v>1457.8834416334528</v>
      </c>
      <c r="AI30" s="14">
        <v>1730.8641434382398</v>
      </c>
      <c r="AJ30" s="14">
        <v>1834.0642140222444</v>
      </c>
      <c r="AK30" s="14">
        <v>3176.3051457311203</v>
      </c>
      <c r="AL30" s="14">
        <v>1425.3919345095835</v>
      </c>
      <c r="AM30" s="14">
        <v>1696.6464170172703</v>
      </c>
      <c r="AN30" s="14">
        <v>1799.3145284745551</v>
      </c>
      <c r="AO30" s="14">
        <v>3134.533599710704</v>
      </c>
      <c r="AP30" s="14">
        <v>1392.7488071037117</v>
      </c>
      <c r="AQ30" s="14">
        <v>1662.2744923878463</v>
      </c>
      <c r="AR30" s="14">
        <v>1764.4106447184088</v>
      </c>
      <c r="AS30" s="14">
        <v>3092.6078554818323</v>
      </c>
      <c r="AT30" s="14">
        <v>1359.9514814893819</v>
      </c>
      <c r="AU30" s="14">
        <v>1627.7457468821772</v>
      </c>
      <c r="AV30" s="14">
        <v>1729.349940086018</v>
      </c>
      <c r="AW30" s="14">
        <v>3050.525290376713</v>
      </c>
      <c r="AX30" s="14">
        <v>1326.9973349988095</v>
      </c>
      <c r="AY30" s="14">
        <v>1593.0575122985572</v>
      </c>
      <c r="AZ30" s="14">
        <v>1694.1297463756757</v>
      </c>
      <c r="BA30" s="14">
        <v>3008.283236193646</v>
      </c>
      <c r="BB30" s="14">
        <v>1293.8836994302858</v>
      </c>
      <c r="BC30" s="14">
        <v>1558.2070740944894</v>
      </c>
      <c r="BD30" s="14">
        <v>1658.7473490448863</v>
      </c>
      <c r="BE30" s="14">
        <v>2965.878978390131</v>
      </c>
      <c r="BF30" s="14">
        <v>1260.6078602413143</v>
      </c>
      <c r="BG30" s="14">
        <v>1523.191670565211</v>
      </c>
      <c r="BH30" s="14">
        <v>1623.1999863888868</v>
      </c>
      <c r="BI30" s="14">
        <v>2923.3097552614045</v>
      </c>
      <c r="BJ30" s="14">
        <v>1227.1670557271314</v>
      </c>
      <c r="BK30" s="14">
        <v>1488.008492007378</v>
      </c>
      <c r="BL30" s="14">
        <v>1587.4848487043316</v>
      </c>
      <c r="BM30" s="14">
        <v>2880.572757104125</v>
      </c>
      <c r="BN30" s="14">
        <v>1193.5584761843945</v>
      </c>
      <c r="BO30" s="14">
        <v>1452.6546798676254</v>
      </c>
      <c r="BP30" s="14">
        <v>1551.5990774378583</v>
      </c>
      <c r="BQ30" s="14">
        <v>2837.665125364924</v>
      </c>
      <c r="BR30" s="14">
        <v>1159.7792630597387</v>
      </c>
      <c r="BS30" s="14">
        <v>1417.1273258757337</v>
      </c>
      <c r="BT30" s="14">
        <v>1515.5397643192446</v>
      </c>
      <c r="BU30" s="14">
        <v>2794.583951773583</v>
      </c>
      <c r="BV30" s="14">
        <v>1125.8265080829424</v>
      </c>
      <c r="BW30" s="14">
        <v>1381.4234711620957</v>
      </c>
      <c r="BX30" s="14">
        <v>1479.303950478884</v>
      </c>
      <c r="BY30" s="14">
        <v>2771.326277460498</v>
      </c>
      <c r="BZ30" s="14">
        <v>1091.6972523844015</v>
      </c>
      <c r="CA30" s="14">
        <v>1345.5401053592257</v>
      </c>
      <c r="CB30" s="14">
        <v>1442.8886255492941</v>
      </c>
      <c r="CC30" s="14">
        <v>2727.8890920581807</v>
      </c>
      <c r="CD30" s="14">
        <v>1057.3884855966269</v>
      </c>
      <c r="CE30" s="14">
        <v>1309.4741656869937</v>
      </c>
      <c r="CF30" s="14">
        <v>1406.2907267503388</v>
      </c>
      <c r="CG30" s="14">
        <v>2712.187398524971</v>
      </c>
      <c r="CH30" s="14">
        <v>1106.6513421549032</v>
      </c>
      <c r="CI30" s="14">
        <v>1356.9767332367016</v>
      </c>
      <c r="CJ30" s="14">
        <v>1453.2613351733246</v>
      </c>
      <c r="CK30" s="14">
        <v>2724.2180807367595</v>
      </c>
      <c r="CL30" s="14">
        <v>1071.9743115042945</v>
      </c>
    </row>
    <row r="31" spans="2:90" x14ac:dyDescent="0.25">
      <c r="B31" s="29" t="s">
        <v>235</v>
      </c>
      <c r="C31" s="30" t="s">
        <v>231</v>
      </c>
      <c r="E31" s="23"/>
      <c r="F31" s="23"/>
      <c r="G31" s="23"/>
      <c r="H31" s="23"/>
      <c r="I31" s="23"/>
      <c r="J31" s="23"/>
      <c r="K31" s="23">
        <v>0.3841677977350652</v>
      </c>
      <c r="L31" s="23">
        <v>0.3969916742478117</v>
      </c>
      <c r="M31" s="23">
        <v>0.5238806264879</v>
      </c>
      <c r="N31" s="23">
        <v>0.3427912889933119</v>
      </c>
      <c r="O31" s="23">
        <v>0.3793948182424325</v>
      </c>
      <c r="P31" s="23">
        <v>0.3923182562798476</v>
      </c>
      <c r="Q31" s="23">
        <v>0.5202007556126039</v>
      </c>
      <c r="R31" s="23">
        <v>0.3376970721360091</v>
      </c>
      <c r="S31" s="23">
        <v>0.3745454663803504</v>
      </c>
      <c r="T31" s="23">
        <v>0.3875700590248176</v>
      </c>
      <c r="U31" s="23">
        <v>0.5164620942430452</v>
      </c>
      <c r="V31" s="23">
        <v>0.3325213427952602</v>
      </c>
      <c r="W31" s="23">
        <v>0.3711411517361884</v>
      </c>
      <c r="X31" s="23">
        <v>0.3842367563673925</v>
      </c>
      <c r="Y31" s="23">
        <v>0.5138326963680497</v>
      </c>
      <c r="Z31" s="23">
        <v>0.32888790647427407</v>
      </c>
      <c r="AA31" s="23">
        <v>0.3661418536272724</v>
      </c>
      <c r="AB31" s="23">
        <v>0.37934174065540827</v>
      </c>
      <c r="AC31" s="23">
        <v>0.5099785953706513</v>
      </c>
      <c r="AD31" s="23">
        <v>0.3235521390065042</v>
      </c>
      <c r="AE31" s="23">
        <v>0.36208698834329256</v>
      </c>
      <c r="AF31" s="23">
        <v>0.37537145745912115</v>
      </c>
      <c r="AG31" s="23">
        <v>0.5068494158743888</v>
      </c>
      <c r="AH31" s="23">
        <v>0.3192243678280138</v>
      </c>
      <c r="AI31" s="23">
        <v>0.3569285063768709</v>
      </c>
      <c r="AJ31" s="23">
        <v>0.37032057837059723</v>
      </c>
      <c r="AK31" s="23">
        <v>0.5028727732186826</v>
      </c>
      <c r="AL31" s="23">
        <v>0.313718702900687</v>
      </c>
      <c r="AM31" s="23">
        <v>0.3516851404050385</v>
      </c>
      <c r="AN31" s="23">
        <v>0.36518658590672987</v>
      </c>
      <c r="AO31" s="23">
        <v>0.49883079292513954</v>
      </c>
      <c r="AP31" s="23">
        <v>0.3081224409925969</v>
      </c>
      <c r="AQ31" s="23">
        <v>0.34635502697300624</v>
      </c>
      <c r="AR31" s="23">
        <v>0.35996765548329224</v>
      </c>
      <c r="AS31" s="23">
        <v>0.4947220417043052</v>
      </c>
      <c r="AT31" s="23">
        <v>0.30243359323226016</v>
      </c>
      <c r="AU31" s="23">
        <v>0.3409362542295452</v>
      </c>
      <c r="AV31" s="23">
        <v>0.35466191512914</v>
      </c>
      <c r="AW31" s="23">
        <v>0.4905450490554827</v>
      </c>
      <c r="AX31" s="23">
        <v>0.2966501190945145</v>
      </c>
      <c r="AY31" s="23">
        <v>0.33542686048651565</v>
      </c>
      <c r="AZ31" s="23">
        <v>0.3492674440757856</v>
      </c>
      <c r="BA31" s="23">
        <v>0.48629830615936837</v>
      </c>
      <c r="BB31" s="23">
        <v>0.29076992486309555</v>
      </c>
      <c r="BC31" s="23">
        <v>0.3298248327296384</v>
      </c>
      <c r="BD31" s="23">
        <v>0.34378227129923533</v>
      </c>
      <c r="BE31" s="23">
        <v>0.4819802647332056</v>
      </c>
      <c r="BF31" s="23">
        <v>0.28479086204118065</v>
      </c>
      <c r="BG31" s="23">
        <v>0.32412810507863243</v>
      </c>
      <c r="BH31" s="23">
        <v>0.33820437401224707</v>
      </c>
      <c r="BI31" s="23">
        <v>0.4775893358470197</v>
      </c>
      <c r="BJ31" s="23">
        <v>0.27871072570788763</v>
      </c>
      <c r="BK31" s="23">
        <v>0.31833455719476955</v>
      </c>
      <c r="BL31" s="23">
        <v>0.3325316761051022</v>
      </c>
      <c r="BM31" s="23">
        <v>0.4731238886994322</v>
      </c>
      <c r="BN31" s="23">
        <v>0.27252725281865336</v>
      </c>
      <c r="BO31" s="23">
        <v>0.3124420126338075</v>
      </c>
      <c r="BP31" s="23">
        <v>0.32676204653289626</v>
      </c>
      <c r="BQ31" s="23">
        <v>0.46858224935148707</v>
      </c>
      <c r="BR31" s="23">
        <v>0.2662381204473129</v>
      </c>
      <c r="BS31" s="23">
        <v>0.3064482371421744</v>
      </c>
      <c r="BT31" s="23">
        <v>0.32089329764726293</v>
      </c>
      <c r="BU31" s="23">
        <v>0.4639626994168565</v>
      </c>
      <c r="BV31" s="23">
        <v>0.25984094396761154</v>
      </c>
      <c r="BW31" s="23">
        <v>0.3003509368941824</v>
      </c>
      <c r="BX31" s="23">
        <v>0.3149231834703595</v>
      </c>
      <c r="BY31" s="23">
        <v>0.46260196260958125</v>
      </c>
      <c r="BZ31" s="23">
        <v>0.2533332751717785</v>
      </c>
      <c r="CA31" s="23">
        <v>0.29414775666795534</v>
      </c>
      <c r="CB31" s="23">
        <v>0.30884939790884336</v>
      </c>
      <c r="CC31" s="23">
        <v>0.4578394948336719</v>
      </c>
      <c r="CD31" s="23">
        <v>0.24671260032368608</v>
      </c>
      <c r="CE31" s="23">
        <v>0.2878362779576448</v>
      </c>
      <c r="CF31" s="23">
        <v>0.3026695729054644</v>
      </c>
      <c r="CG31" s="23">
        <v>0.4577052986073792</v>
      </c>
      <c r="CH31" s="23">
        <v>0.2596254550189421</v>
      </c>
      <c r="CI31" s="23">
        <v>0.2999257888533212</v>
      </c>
      <c r="CJ31" s="23">
        <v>0.3145069037657699</v>
      </c>
      <c r="CK31" s="23">
        <v>0.4622755568353249</v>
      </c>
      <c r="CL31" s="23">
        <v>0.2528795132564071</v>
      </c>
    </row>
    <row r="33" spans="2:2" x14ac:dyDescent="0.25">
      <c r="B33" s="31" t="s">
        <v>236</v>
      </c>
    </row>
    <row r="34" spans="2:90" x14ac:dyDescent="0.25">
      <c r="B34" s="29" t="s">
        <v>237</v>
      </c>
      <c r="C34" s="30" t="s">
        <v>190</v>
      </c>
      <c r="D34" s="14">
        <v>-24753.4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  <c r="K34" s="19">
        <v>-700.0000000000001</v>
      </c>
      <c r="L34" s="19">
        <v>-700.0000000000001</v>
      </c>
      <c r="M34" s="19">
        <v>-700.0000000000001</v>
      </c>
      <c r="N34" s="19">
        <v>-700.0000000000001</v>
      </c>
      <c r="O34" s="19">
        <v>-678.5625000000001</v>
      </c>
      <c r="P34" s="19">
        <v>-663.8625000000001</v>
      </c>
      <c r="Q34" s="19">
        <v>-654.7625</v>
      </c>
      <c r="R34" s="19">
        <v>-645.6625000000001</v>
      </c>
      <c r="S34" s="19">
        <v>-635.8625000000001</v>
      </c>
      <c r="T34" s="19">
        <v>-626.0625000000001</v>
      </c>
      <c r="U34" s="19">
        <v>-616.2625</v>
      </c>
      <c r="V34" s="19">
        <v>-606.4625000000001</v>
      </c>
      <c r="W34" s="19">
        <v>-596.6625000000001</v>
      </c>
      <c r="X34" s="19">
        <v>-586.8625000000001</v>
      </c>
      <c r="Y34" s="19">
        <v>-577.0625000000001</v>
      </c>
      <c r="Z34" s="19">
        <v>-566.5625000000001</v>
      </c>
      <c r="AA34" s="19">
        <v>-556.0625000000001</v>
      </c>
      <c r="AB34" s="19">
        <v>-545.5625000000001</v>
      </c>
      <c r="AC34" s="19">
        <v>-535.0625000000001</v>
      </c>
      <c r="AD34" s="19">
        <v>-524.5625000000001</v>
      </c>
      <c r="AE34" s="19">
        <v>-514.0625000000001</v>
      </c>
      <c r="AF34" s="19">
        <v>-503.12500000000006</v>
      </c>
      <c r="AG34" s="19">
        <v>-492.18750000000006</v>
      </c>
      <c r="AH34" s="19">
        <v>-481.25000000000006</v>
      </c>
      <c r="AI34" s="19">
        <v>-470.31250000000006</v>
      </c>
      <c r="AJ34" s="19">
        <v>-459.37500000000006</v>
      </c>
      <c r="AK34" s="19">
        <v>-448.43750000000006</v>
      </c>
      <c r="AL34" s="19">
        <v>-437.50000000000006</v>
      </c>
      <c r="AM34" s="19">
        <v>-426.56250000000006</v>
      </c>
      <c r="AN34" s="19">
        <v>-415.62500000000006</v>
      </c>
      <c r="AO34" s="19">
        <v>-404.68750000000006</v>
      </c>
      <c r="AP34" s="19">
        <v>-393.75000000000006</v>
      </c>
      <c r="AQ34" s="19">
        <v>-382.81250000000006</v>
      </c>
      <c r="AR34" s="19">
        <v>-371.87500000000006</v>
      </c>
      <c r="AS34" s="19">
        <v>-360.93750000000006</v>
      </c>
      <c r="AT34" s="19">
        <v>-350.00000000000006</v>
      </c>
      <c r="AU34" s="19">
        <v>-339.06250000000006</v>
      </c>
      <c r="AV34" s="19">
        <v>-328.12500000000006</v>
      </c>
      <c r="AW34" s="19">
        <v>-317.18750000000006</v>
      </c>
      <c r="AX34" s="19">
        <v>-306.25000000000006</v>
      </c>
      <c r="AY34" s="19">
        <v>-295.31250000000006</v>
      </c>
      <c r="AZ34" s="19">
        <v>-284.37500000000006</v>
      </c>
      <c r="BA34" s="19">
        <v>-273.43750000000006</v>
      </c>
      <c r="BB34" s="19">
        <v>-262.50000000000006</v>
      </c>
      <c r="BC34" s="19">
        <v>-251.56250000000003</v>
      </c>
      <c r="BD34" s="19">
        <v>-240.62500000000003</v>
      </c>
      <c r="BE34" s="19">
        <v>-229.68750000000003</v>
      </c>
      <c r="BF34" s="19">
        <v>-218.75000000000003</v>
      </c>
      <c r="BG34" s="19">
        <v>-207.81250000000003</v>
      </c>
      <c r="BH34" s="19">
        <v>-196.87500000000003</v>
      </c>
      <c r="BI34" s="19">
        <v>-185.93750000000003</v>
      </c>
      <c r="BJ34" s="19">
        <v>-175.00000000000003</v>
      </c>
      <c r="BK34" s="19">
        <v>-164.06250000000003</v>
      </c>
      <c r="BL34" s="19">
        <v>-153.12500000000003</v>
      </c>
      <c r="BM34" s="19">
        <v>-142.18750000000003</v>
      </c>
      <c r="BN34" s="19">
        <v>-131.25000000000003</v>
      </c>
      <c r="BO34" s="19">
        <v>-120.31250000000001</v>
      </c>
      <c r="BP34" s="19">
        <v>-109.37500000000001</v>
      </c>
      <c r="BQ34" s="19">
        <v>-98.43750000000001</v>
      </c>
      <c r="BR34" s="19">
        <v>-87.50000000000001</v>
      </c>
      <c r="BS34" s="19">
        <v>-76.56250000000001</v>
      </c>
      <c r="BT34" s="19">
        <v>-65.62500000000001</v>
      </c>
      <c r="BU34" s="19">
        <v>-54.68750000000001</v>
      </c>
      <c r="BV34" s="19">
        <v>-43.75000000000001</v>
      </c>
      <c r="BW34" s="19">
        <v>-32.81250000000001</v>
      </c>
      <c r="BX34" s="19">
        <v>-21.875000000000004</v>
      </c>
      <c r="BY34" s="19">
        <v>-10.937500000000002</v>
      </c>
      <c r="BZ34" s="19">
        <v>0</v>
      </c>
      <c r="CA34" s="19">
        <v>0</v>
      </c>
      <c r="CB34" s="19">
        <v>0</v>
      </c>
      <c r="CC34" s="19">
        <v>0</v>
      </c>
      <c r="CD34" s="19">
        <v>0</v>
      </c>
      <c r="CE34" s="19">
        <v>0</v>
      </c>
      <c r="CF34" s="19">
        <v>0</v>
      </c>
      <c r="CG34" s="19">
        <v>0</v>
      </c>
      <c r="CH34" s="19">
        <v>0</v>
      </c>
      <c r="CI34" s="19">
        <v>0</v>
      </c>
      <c r="CJ34" s="19">
        <v>0</v>
      </c>
      <c r="CK34" s="19">
        <v>0</v>
      </c>
      <c r="CL34" s="19">
        <v>0</v>
      </c>
    </row>
    <row r="35" spans="2:90" x14ac:dyDescent="0.25">
      <c r="B35" s="29" t="s">
        <v>238</v>
      </c>
      <c r="C35" s="30" t="s">
        <v>190</v>
      </c>
      <c r="D35" s="14">
        <v>-24311.375</v>
      </c>
      <c r="E35" s="19">
        <v>0</v>
      </c>
      <c r="F35" s="19">
        <v>0</v>
      </c>
      <c r="G35" s="19">
        <v>0</v>
      </c>
      <c r="H35" s="19">
        <v>0</v>
      </c>
      <c r="I35" s="19">
        <v>0</v>
      </c>
      <c r="J35" s="19">
        <v>0</v>
      </c>
      <c r="K35" s="19">
        <v>-687.5</v>
      </c>
      <c r="L35" s="19">
        <v>-687.5</v>
      </c>
      <c r="M35" s="19">
        <v>-687.5</v>
      </c>
      <c r="N35" s="19">
        <v>-687.5</v>
      </c>
      <c r="O35" s="19">
        <v>-666.4453125</v>
      </c>
      <c r="P35" s="19">
        <v>-652.0078125</v>
      </c>
      <c r="Q35" s="19">
        <v>-643.0703125</v>
      </c>
      <c r="R35" s="19">
        <v>-634.1328125</v>
      </c>
      <c r="S35" s="19">
        <v>-624.5078125</v>
      </c>
      <c r="T35" s="19">
        <v>-614.8828125</v>
      </c>
      <c r="U35" s="19">
        <v>-605.2578125</v>
      </c>
      <c r="V35" s="19">
        <v>-595.6328125</v>
      </c>
      <c r="W35" s="19">
        <v>-586.0078125</v>
      </c>
      <c r="X35" s="19">
        <v>-576.3828125</v>
      </c>
      <c r="Y35" s="19">
        <v>-566.7578125</v>
      </c>
      <c r="Z35" s="19">
        <v>-556.4453125</v>
      </c>
      <c r="AA35" s="19">
        <v>-546.1328125</v>
      </c>
      <c r="AB35" s="19">
        <v>-535.8203125</v>
      </c>
      <c r="AC35" s="19">
        <v>-525.5078125</v>
      </c>
      <c r="AD35" s="19">
        <v>-515.1953125</v>
      </c>
      <c r="AE35" s="19">
        <v>-504.8828125</v>
      </c>
      <c r="AF35" s="19">
        <v>-494.140625</v>
      </c>
      <c r="AG35" s="19">
        <v>-483.3984375</v>
      </c>
      <c r="AH35" s="19">
        <v>-472.65625</v>
      </c>
      <c r="AI35" s="19">
        <v>-461.9140625</v>
      </c>
      <c r="AJ35" s="19">
        <v>-451.171875</v>
      </c>
      <c r="AK35" s="19">
        <v>-440.4296875</v>
      </c>
      <c r="AL35" s="19">
        <v>-429.6875</v>
      </c>
      <c r="AM35" s="19">
        <v>-418.9453125</v>
      </c>
      <c r="AN35" s="19">
        <v>-408.203125</v>
      </c>
      <c r="AO35" s="19">
        <v>-397.4609375</v>
      </c>
      <c r="AP35" s="19">
        <v>-386.71875</v>
      </c>
      <c r="AQ35" s="19">
        <v>-375.9765625</v>
      </c>
      <c r="AR35" s="19">
        <v>-365.234375</v>
      </c>
      <c r="AS35" s="19">
        <v>-354.4921875</v>
      </c>
      <c r="AT35" s="19">
        <v>-343.75</v>
      </c>
      <c r="AU35" s="19">
        <v>-333.0078125</v>
      </c>
      <c r="AV35" s="19">
        <v>-322.265625</v>
      </c>
      <c r="AW35" s="19">
        <v>-311.5234375</v>
      </c>
      <c r="AX35" s="19">
        <v>-300.78125</v>
      </c>
      <c r="AY35" s="19">
        <v>-290.0390625</v>
      </c>
      <c r="AZ35" s="19">
        <v>-279.296875</v>
      </c>
      <c r="BA35" s="19">
        <v>-268.5546875</v>
      </c>
      <c r="BB35" s="19">
        <v>-257.8125</v>
      </c>
      <c r="BC35" s="19">
        <v>-247.0703125</v>
      </c>
      <c r="BD35" s="19">
        <v>-236.328125</v>
      </c>
      <c r="BE35" s="19">
        <v>-225.5859375</v>
      </c>
      <c r="BF35" s="19">
        <v>-214.84375</v>
      </c>
      <c r="BG35" s="19">
        <v>-204.1015625</v>
      </c>
      <c r="BH35" s="19">
        <v>-193.359375</v>
      </c>
      <c r="BI35" s="19">
        <v>-182.6171875</v>
      </c>
      <c r="BJ35" s="19">
        <v>-171.875</v>
      </c>
      <c r="BK35" s="19">
        <v>-161.1328125</v>
      </c>
      <c r="BL35" s="19">
        <v>-150.390625</v>
      </c>
      <c r="BM35" s="19">
        <v>-139.6484375</v>
      </c>
      <c r="BN35" s="19">
        <v>-128.90625</v>
      </c>
      <c r="BO35" s="19">
        <v>-118.1640625</v>
      </c>
      <c r="BP35" s="19">
        <v>-107.421875</v>
      </c>
      <c r="BQ35" s="19">
        <v>-96.6796875</v>
      </c>
      <c r="BR35" s="19">
        <v>-85.9375</v>
      </c>
      <c r="BS35" s="19">
        <v>-75.1953125</v>
      </c>
      <c r="BT35" s="19">
        <v>-64.453125</v>
      </c>
      <c r="BU35" s="19">
        <v>-53.7109375</v>
      </c>
      <c r="BV35" s="19">
        <v>-42.96875</v>
      </c>
      <c r="BW35" s="19">
        <v>-32.2265625</v>
      </c>
      <c r="BX35" s="19">
        <v>-21.484375</v>
      </c>
      <c r="BY35" s="19">
        <v>-10.7421875</v>
      </c>
      <c r="BZ35" s="19">
        <v>0</v>
      </c>
      <c r="CA35" s="19">
        <v>0</v>
      </c>
      <c r="CB35" s="19">
        <v>0</v>
      </c>
      <c r="CC35" s="19">
        <v>0</v>
      </c>
      <c r="CD35" s="19">
        <v>0</v>
      </c>
      <c r="CE35" s="19">
        <v>0</v>
      </c>
      <c r="CF35" s="19">
        <v>0</v>
      </c>
      <c r="CG35" s="19">
        <v>0</v>
      </c>
      <c r="CH35" s="19">
        <v>0</v>
      </c>
      <c r="CI35" s="19">
        <v>0</v>
      </c>
      <c r="CJ35" s="19">
        <v>0</v>
      </c>
      <c r="CK35" s="19">
        <v>0</v>
      </c>
      <c r="CL35" s="19">
        <v>0</v>
      </c>
    </row>
    <row r="36" spans="2:90" x14ac:dyDescent="0.25">
      <c r="B36" s="29" t="s">
        <v>239</v>
      </c>
      <c r="C36" s="30" t="s">
        <v>190</v>
      </c>
      <c r="D36" s="14">
        <v>-17017.96225891309</v>
      </c>
      <c r="E36" s="19">
        <v>0</v>
      </c>
      <c r="F36" s="19">
        <v>0</v>
      </c>
      <c r="G36" s="19">
        <v>0</v>
      </c>
      <c r="H36" s="19">
        <v>0</v>
      </c>
      <c r="I36" s="19">
        <v>0</v>
      </c>
      <c r="J36" s="19">
        <v>0</v>
      </c>
      <c r="K36" s="19">
        <v>-481.2499931823167</v>
      </c>
      <c r="L36" s="19">
        <v>-481.2499931823167</v>
      </c>
      <c r="M36" s="19">
        <v>-481.2499931823167</v>
      </c>
      <c r="N36" s="19">
        <v>-481.2499931823167</v>
      </c>
      <c r="O36" s="19">
        <v>-466.5117121411083</v>
      </c>
      <c r="P36" s="19">
        <v>-456.4054622842797</v>
      </c>
      <c r="Q36" s="19">
        <v>-450.1492123729096</v>
      </c>
      <c r="R36" s="19">
        <v>-443.89296246153947</v>
      </c>
      <c r="S36" s="19">
        <v>-437.15546255698706</v>
      </c>
      <c r="T36" s="19">
        <v>-430.41796265243465</v>
      </c>
      <c r="U36" s="19">
        <v>-423.6804627478822</v>
      </c>
      <c r="V36" s="19">
        <v>-416.9429628433298</v>
      </c>
      <c r="W36" s="19">
        <v>-410.2054629387774</v>
      </c>
      <c r="X36" s="19">
        <v>-403.46796303422497</v>
      </c>
      <c r="Y36" s="19">
        <v>-396.7304631296725</v>
      </c>
      <c r="Z36" s="19">
        <v>-389.5117132319378</v>
      </c>
      <c r="AA36" s="19">
        <v>-382.292963334203</v>
      </c>
      <c r="AB36" s="19">
        <v>-375.07421343646826</v>
      </c>
      <c r="AC36" s="19">
        <v>-367.85546353873355</v>
      </c>
      <c r="AD36" s="19">
        <v>-360.6367136409988</v>
      </c>
      <c r="AE36" s="19">
        <v>-353.417963743264</v>
      </c>
      <c r="AF36" s="19">
        <v>-345.89843259979034</v>
      </c>
      <c r="AG36" s="19">
        <v>-338.3789014563166</v>
      </c>
      <c r="AH36" s="19">
        <v>-330.85937031284294</v>
      </c>
      <c r="AI36" s="19">
        <v>-323.3398391693692</v>
      </c>
      <c r="AJ36" s="19">
        <v>-315.8203080258955</v>
      </c>
      <c r="AK36" s="19">
        <v>-308.3007768824218</v>
      </c>
      <c r="AL36" s="19">
        <v>-300.7812457389481</v>
      </c>
      <c r="AM36" s="19">
        <v>-293.2617145954744</v>
      </c>
      <c r="AN36" s="19">
        <v>-285.7421834520007</v>
      </c>
      <c r="AO36" s="19">
        <v>-278.22265230852696</v>
      </c>
      <c r="AP36" s="19">
        <v>-270.7031211650533</v>
      </c>
      <c r="AQ36" s="19">
        <v>-263.18359002157956</v>
      </c>
      <c r="AR36" s="19">
        <v>-255.66405887810586</v>
      </c>
      <c r="AS36" s="19">
        <v>-248.14452773463216</v>
      </c>
      <c r="AT36" s="19">
        <v>-240.62499659115846</v>
      </c>
      <c r="AU36" s="19">
        <v>-233.10546544768476</v>
      </c>
      <c r="AV36" s="19">
        <v>-225.58593430421107</v>
      </c>
      <c r="AW36" s="19">
        <v>-218.06640316073734</v>
      </c>
      <c r="AX36" s="19">
        <v>-210.54687201726364</v>
      </c>
      <c r="AY36" s="19">
        <v>-203.02734087378994</v>
      </c>
      <c r="AZ36" s="19">
        <v>-195.50780973031624</v>
      </c>
      <c r="BA36" s="19">
        <v>-187.98827858684254</v>
      </c>
      <c r="BB36" s="19">
        <v>-180.4687474433688</v>
      </c>
      <c r="BC36" s="19">
        <v>-172.9492162998951</v>
      </c>
      <c r="BD36" s="19">
        <v>-165.4296851564214</v>
      </c>
      <c r="BE36" s="19">
        <v>-157.91015401294771</v>
      </c>
      <c r="BF36" s="19">
        <v>-150.39062286947402</v>
      </c>
      <c r="BG36" s="19">
        <v>-142.8710917260003</v>
      </c>
      <c r="BH36" s="19">
        <v>-135.3515605825266</v>
      </c>
      <c r="BI36" s="19">
        <v>-127.83202943905289</v>
      </c>
      <c r="BJ36" s="19">
        <v>-120.31249829557918</v>
      </c>
      <c r="BK36" s="19">
        <v>-112.79296715210548</v>
      </c>
      <c r="BL36" s="19">
        <v>-105.27343600863178</v>
      </c>
      <c r="BM36" s="19">
        <v>-97.75390486515806</v>
      </c>
      <c r="BN36" s="19">
        <v>-90.23437372168436</v>
      </c>
      <c r="BO36" s="19">
        <v>-82.71484257821065</v>
      </c>
      <c r="BP36" s="19">
        <v>-75.19531143473695</v>
      </c>
      <c r="BQ36" s="19">
        <v>-67.67578029126325</v>
      </c>
      <c r="BR36" s="19">
        <v>-60.15624914778954</v>
      </c>
      <c r="BS36" s="19">
        <v>-52.63671800431584</v>
      </c>
      <c r="BT36" s="19">
        <v>-45.117186860842146</v>
      </c>
      <c r="BU36" s="19">
        <v>-37.59765571736845</v>
      </c>
      <c r="BV36" s="19">
        <v>-30.078124573894744</v>
      </c>
      <c r="BW36" s="19">
        <v>-22.558593430421045</v>
      </c>
      <c r="BX36" s="19">
        <v>-15.039062286947347</v>
      </c>
      <c r="BY36" s="19">
        <v>-7.519531143473649</v>
      </c>
      <c r="BZ36" s="19">
        <v>0</v>
      </c>
      <c r="CA36" s="19">
        <v>0</v>
      </c>
      <c r="CB36" s="19">
        <v>0</v>
      </c>
      <c r="CC36" s="19">
        <v>0</v>
      </c>
      <c r="CD36" s="19">
        <v>0</v>
      </c>
      <c r="CE36" s="19">
        <v>0</v>
      </c>
      <c r="CF36" s="19">
        <v>0</v>
      </c>
      <c r="CG36" s="19">
        <v>0</v>
      </c>
      <c r="CH36" s="19">
        <v>0</v>
      </c>
      <c r="CI36" s="19">
        <v>0</v>
      </c>
      <c r="CJ36" s="19">
        <v>0</v>
      </c>
      <c r="CK36" s="19">
        <v>0</v>
      </c>
      <c r="CL36" s="19">
        <v>0</v>
      </c>
    </row>
    <row r="37" spans="2:90" x14ac:dyDescent="0.25">
      <c r="B37" s="29" t="s">
        <v>240</v>
      </c>
      <c r="C37" s="30" t="s">
        <v>190</v>
      </c>
      <c r="D37" s="14">
        <v>0</v>
      </c>
      <c r="E37" s="19">
        <v>0</v>
      </c>
      <c r="F37" s="19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  <c r="BK37" s="19">
        <v>0</v>
      </c>
      <c r="BL37" s="19">
        <v>0</v>
      </c>
      <c r="BM37" s="19">
        <v>0</v>
      </c>
      <c r="BN37" s="19">
        <v>0</v>
      </c>
      <c r="BO37" s="19">
        <v>0</v>
      </c>
      <c r="BP37" s="19">
        <v>0</v>
      </c>
      <c r="BQ37" s="19">
        <v>0</v>
      </c>
      <c r="BR37" s="19">
        <v>0</v>
      </c>
      <c r="BS37" s="19">
        <v>0</v>
      </c>
      <c r="BT37" s="19">
        <v>0</v>
      </c>
      <c r="BU37" s="19">
        <v>0</v>
      </c>
      <c r="BV37" s="19">
        <v>0</v>
      </c>
      <c r="BW37" s="19">
        <v>0</v>
      </c>
      <c r="BX37" s="19">
        <v>0</v>
      </c>
      <c r="BY37" s="19">
        <v>0</v>
      </c>
      <c r="BZ37" s="19">
        <v>0</v>
      </c>
      <c r="CA37" s="19">
        <v>0</v>
      </c>
      <c r="CB37" s="19">
        <v>0</v>
      </c>
      <c r="CC37" s="19">
        <v>0</v>
      </c>
      <c r="CD37" s="19">
        <v>0</v>
      </c>
      <c r="CE37" s="19">
        <v>0</v>
      </c>
      <c r="CF37" s="19">
        <v>0</v>
      </c>
      <c r="CG37" s="19">
        <v>0</v>
      </c>
      <c r="CH37" s="19">
        <v>0</v>
      </c>
      <c r="CI37" s="19">
        <v>0</v>
      </c>
      <c r="CJ37" s="19">
        <v>0</v>
      </c>
      <c r="CK37" s="19">
        <v>0</v>
      </c>
      <c r="CL37" s="19">
        <v>0</v>
      </c>
    </row>
    <row r="38" spans="2:90" x14ac:dyDescent="0.25">
      <c r="B38" s="29" t="s">
        <v>241</v>
      </c>
      <c r="C38" s="30" t="s">
        <v>190</v>
      </c>
      <c r="D38" s="14">
        <v>0</v>
      </c>
      <c r="E38" s="19">
        <v>0</v>
      </c>
      <c r="F38" s="19">
        <v>0</v>
      </c>
      <c r="G38" s="19">
        <v>0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  <c r="BK38" s="19">
        <v>0</v>
      </c>
      <c r="BL38" s="19">
        <v>0</v>
      </c>
      <c r="BM38" s="19">
        <v>0</v>
      </c>
      <c r="BN38" s="19">
        <v>0</v>
      </c>
      <c r="BO38" s="19">
        <v>0</v>
      </c>
      <c r="BP38" s="19">
        <v>0</v>
      </c>
      <c r="BQ38" s="19">
        <v>0</v>
      </c>
      <c r="BR38" s="19">
        <v>0</v>
      </c>
      <c r="BS38" s="19">
        <v>0</v>
      </c>
      <c r="BT38" s="19">
        <v>0</v>
      </c>
      <c r="BU38" s="19">
        <v>0</v>
      </c>
      <c r="BV38" s="19">
        <v>0</v>
      </c>
      <c r="BW38" s="19">
        <v>0</v>
      </c>
      <c r="BX38" s="19">
        <v>0</v>
      </c>
      <c r="BY38" s="19">
        <v>0</v>
      </c>
      <c r="BZ38" s="19">
        <v>0</v>
      </c>
      <c r="CA38" s="19">
        <v>0</v>
      </c>
      <c r="CB38" s="19">
        <v>0</v>
      </c>
      <c r="CC38" s="19">
        <v>0</v>
      </c>
      <c r="CD38" s="19">
        <v>0</v>
      </c>
      <c r="CE38" s="19">
        <v>0</v>
      </c>
      <c r="CF38" s="19">
        <v>0</v>
      </c>
      <c r="CG38" s="19">
        <v>0</v>
      </c>
      <c r="CH38" s="19">
        <v>0</v>
      </c>
      <c r="CI38" s="19">
        <v>0</v>
      </c>
      <c r="CJ38" s="19">
        <v>0</v>
      </c>
      <c r="CK38" s="19">
        <v>0</v>
      </c>
      <c r="CL38" s="19">
        <v>0</v>
      </c>
    </row>
    <row r="39" spans="2:90" x14ac:dyDescent="0.25">
      <c r="B39" s="31" t="s">
        <v>242</v>
      </c>
      <c r="C39" s="30" t="s">
        <v>190</v>
      </c>
      <c r="D39" s="14">
        <v>-66082.73725891308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-1868.7499931823168</v>
      </c>
      <c r="L39" s="14">
        <v>-1868.7499931823168</v>
      </c>
      <c r="M39" s="14">
        <v>-1868.7499931823168</v>
      </c>
      <c r="N39" s="14">
        <v>-1868.7499931823168</v>
      </c>
      <c r="O39" s="14">
        <v>-1811.5195246411083</v>
      </c>
      <c r="P39" s="14">
        <v>-1772.2757747842797</v>
      </c>
      <c r="Q39" s="14">
        <v>-1747.9820248729097</v>
      </c>
      <c r="R39" s="14">
        <v>-1723.6882749615397</v>
      </c>
      <c r="S39" s="14">
        <v>-1697.5257750569872</v>
      </c>
      <c r="T39" s="14">
        <v>-1671.3632751524347</v>
      </c>
      <c r="U39" s="14">
        <v>-1645.2007752478821</v>
      </c>
      <c r="V39" s="14">
        <v>-1619.0382753433298</v>
      </c>
      <c r="W39" s="14">
        <v>-1592.8757754387775</v>
      </c>
      <c r="X39" s="14">
        <v>-1566.7132755342252</v>
      </c>
      <c r="Y39" s="14">
        <v>-1540.5507756296724</v>
      </c>
      <c r="Z39" s="14">
        <v>-1512.5195257319378</v>
      </c>
      <c r="AA39" s="14">
        <v>-1484.488275834203</v>
      </c>
      <c r="AB39" s="14">
        <v>-1456.4570259364682</v>
      </c>
      <c r="AC39" s="14">
        <v>-1428.4257760387336</v>
      </c>
      <c r="AD39" s="14">
        <v>-1400.3945261409988</v>
      </c>
      <c r="AE39" s="14">
        <v>-1372.3632762432642</v>
      </c>
      <c r="AF39" s="14">
        <v>-1343.1640575997903</v>
      </c>
      <c r="AG39" s="14">
        <v>-1313.9648389563167</v>
      </c>
      <c r="AH39" s="14">
        <v>-1284.7656203128429</v>
      </c>
      <c r="AI39" s="14">
        <v>-1255.5664016693693</v>
      </c>
      <c r="AJ39" s="14">
        <v>-1226.3671830258954</v>
      </c>
      <c r="AK39" s="14">
        <v>-1197.1679643824218</v>
      </c>
      <c r="AL39" s="14">
        <v>-1167.9687457389482</v>
      </c>
      <c r="AM39" s="14">
        <v>-1138.7695270954744</v>
      </c>
      <c r="AN39" s="14">
        <v>-1109.5703084520007</v>
      </c>
      <c r="AO39" s="14">
        <v>-1080.371089808527</v>
      </c>
      <c r="AP39" s="14">
        <v>-1051.1718711650533</v>
      </c>
      <c r="AQ39" s="14">
        <v>-1021.9726525215796</v>
      </c>
      <c r="AR39" s="14">
        <v>-992.7734338781058</v>
      </c>
      <c r="AS39" s="14">
        <v>-963.5742152346322</v>
      </c>
      <c r="AT39" s="14">
        <v>-934.3749965911585</v>
      </c>
      <c r="AU39" s="14">
        <v>-905.1757779476848</v>
      </c>
      <c r="AV39" s="14">
        <v>-875.976559304211</v>
      </c>
      <c r="AW39" s="14">
        <v>-846.7773406607373</v>
      </c>
      <c r="AX39" s="14">
        <v>-817.5781220172637</v>
      </c>
      <c r="AY39" s="14">
        <v>-788.37890337379</v>
      </c>
      <c r="AZ39" s="14">
        <v>-759.1796847303162</v>
      </c>
      <c r="BA39" s="14">
        <v>-729.9804660868425</v>
      </c>
      <c r="BB39" s="14">
        <v>-700.7812474433688</v>
      </c>
      <c r="BC39" s="14">
        <v>-671.5820287998952</v>
      </c>
      <c r="BD39" s="14">
        <v>-642.3828101564214</v>
      </c>
      <c r="BE39" s="14">
        <v>-613.1835915129477</v>
      </c>
      <c r="BF39" s="14">
        <v>-583.984372869474</v>
      </c>
      <c r="BG39" s="14">
        <v>-554.7851542260003</v>
      </c>
      <c r="BH39" s="14">
        <v>-525.5859355825266</v>
      </c>
      <c r="BI39" s="14">
        <v>-496.3867169390529</v>
      </c>
      <c r="BJ39" s="14">
        <v>-467.1874982955792</v>
      </c>
      <c r="BK39" s="14">
        <v>-437.98827965210546</v>
      </c>
      <c r="BL39" s="14">
        <v>-408.7890610086318</v>
      </c>
      <c r="BM39" s="14">
        <v>-379.58984236515806</v>
      </c>
      <c r="BN39" s="14">
        <v>-350.3906237216844</v>
      </c>
      <c r="BO39" s="14">
        <v>-321.19140507821066</v>
      </c>
      <c r="BP39" s="14">
        <v>-291.99218643473694</v>
      </c>
      <c r="BQ39" s="14">
        <v>-262.79296779126327</v>
      </c>
      <c r="BR39" s="14">
        <v>-233.59374914778954</v>
      </c>
      <c r="BS39" s="14">
        <v>-204.39453050431584</v>
      </c>
      <c r="BT39" s="14">
        <v>-175.19531186084214</v>
      </c>
      <c r="BU39" s="14">
        <v>-145.99609321736844</v>
      </c>
      <c r="BV39" s="14">
        <v>-116.79687457389474</v>
      </c>
      <c r="BW39" s="14">
        <v>-87.59765593042104</v>
      </c>
      <c r="BX39" s="14">
        <v>-58.39843728694735</v>
      </c>
      <c r="BY39" s="14">
        <v>-29.19921864347365</v>
      </c>
      <c r="BZ39" s="14">
        <v>0</v>
      </c>
      <c r="CA39" s="14">
        <v>0</v>
      </c>
      <c r="CB39" s="14">
        <v>0</v>
      </c>
      <c r="CC39" s="14">
        <v>0</v>
      </c>
      <c r="CD39" s="14">
        <v>0</v>
      </c>
      <c r="CE39" s="14">
        <v>0</v>
      </c>
      <c r="CF39" s="14">
        <v>0</v>
      </c>
      <c r="CG39" s="14">
        <v>0</v>
      </c>
      <c r="CH39" s="14">
        <v>0</v>
      </c>
      <c r="CI39" s="14">
        <v>0</v>
      </c>
      <c r="CJ39" s="14">
        <v>0</v>
      </c>
      <c r="CK39" s="14">
        <v>0</v>
      </c>
      <c r="CL39" s="14">
        <v>0</v>
      </c>
    </row>
    <row r="40" spans="2:90" x14ac:dyDescent="0.25">
      <c r="B40" s="29" t="s">
        <v>243</v>
      </c>
      <c r="C40" s="30" t="s">
        <v>190</v>
      </c>
      <c r="D40" s="14">
        <v>-320</v>
      </c>
      <c r="E40" s="19">
        <v>0</v>
      </c>
      <c r="F40" s="19">
        <v>0</v>
      </c>
      <c r="G40" s="19">
        <v>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-20</v>
      </c>
      <c r="N40" s="19">
        <v>0</v>
      </c>
      <c r="O40" s="19">
        <v>0</v>
      </c>
      <c r="P40" s="19">
        <v>0</v>
      </c>
      <c r="Q40" s="19">
        <v>-20</v>
      </c>
      <c r="R40" s="19">
        <v>0</v>
      </c>
      <c r="S40" s="19">
        <v>0</v>
      </c>
      <c r="T40" s="19">
        <v>0</v>
      </c>
      <c r="U40" s="19">
        <v>-20</v>
      </c>
      <c r="V40" s="19">
        <v>0</v>
      </c>
      <c r="W40" s="19">
        <v>0</v>
      </c>
      <c r="X40" s="19">
        <v>0</v>
      </c>
      <c r="Y40" s="19">
        <v>-20</v>
      </c>
      <c r="Z40" s="19">
        <v>0</v>
      </c>
      <c r="AA40" s="19">
        <v>0</v>
      </c>
      <c r="AB40" s="19">
        <v>0</v>
      </c>
      <c r="AC40" s="19">
        <v>-20</v>
      </c>
      <c r="AD40" s="19">
        <v>0</v>
      </c>
      <c r="AE40" s="19">
        <v>0</v>
      </c>
      <c r="AF40" s="19">
        <v>0</v>
      </c>
      <c r="AG40" s="19">
        <v>-20</v>
      </c>
      <c r="AH40" s="19">
        <v>0</v>
      </c>
      <c r="AI40" s="19">
        <v>0</v>
      </c>
      <c r="AJ40" s="19">
        <v>0</v>
      </c>
      <c r="AK40" s="19">
        <v>-20</v>
      </c>
      <c r="AL40" s="19">
        <v>0</v>
      </c>
      <c r="AM40" s="19">
        <v>0</v>
      </c>
      <c r="AN40" s="19">
        <v>0</v>
      </c>
      <c r="AO40" s="19">
        <v>-20</v>
      </c>
      <c r="AP40" s="19">
        <v>0</v>
      </c>
      <c r="AQ40" s="19">
        <v>0</v>
      </c>
      <c r="AR40" s="19">
        <v>0</v>
      </c>
      <c r="AS40" s="19">
        <v>-20</v>
      </c>
      <c r="AT40" s="19">
        <v>0</v>
      </c>
      <c r="AU40" s="19">
        <v>0</v>
      </c>
      <c r="AV40" s="19">
        <v>0</v>
      </c>
      <c r="AW40" s="19">
        <v>-20</v>
      </c>
      <c r="AX40" s="19">
        <v>0</v>
      </c>
      <c r="AY40" s="19">
        <v>0</v>
      </c>
      <c r="AZ40" s="19">
        <v>0</v>
      </c>
      <c r="BA40" s="19">
        <v>-20</v>
      </c>
      <c r="BB40" s="19">
        <v>0</v>
      </c>
      <c r="BC40" s="19">
        <v>0</v>
      </c>
      <c r="BD40" s="19">
        <v>0</v>
      </c>
      <c r="BE40" s="19">
        <v>-20</v>
      </c>
      <c r="BF40" s="19">
        <v>0</v>
      </c>
      <c r="BG40" s="19">
        <v>0</v>
      </c>
      <c r="BH40" s="19">
        <v>0</v>
      </c>
      <c r="BI40" s="19">
        <v>-20</v>
      </c>
      <c r="BJ40" s="19">
        <v>0</v>
      </c>
      <c r="BK40" s="19">
        <v>0</v>
      </c>
      <c r="BL40" s="19">
        <v>0</v>
      </c>
      <c r="BM40" s="19">
        <v>-20</v>
      </c>
      <c r="BN40" s="19">
        <v>0</v>
      </c>
      <c r="BO40" s="19">
        <v>0</v>
      </c>
      <c r="BP40" s="19">
        <v>0</v>
      </c>
      <c r="BQ40" s="19">
        <v>-20</v>
      </c>
      <c r="BR40" s="19">
        <v>0</v>
      </c>
      <c r="BS40" s="19">
        <v>0</v>
      </c>
      <c r="BT40" s="19">
        <v>0</v>
      </c>
      <c r="BU40" s="19">
        <v>-20</v>
      </c>
      <c r="BV40" s="19">
        <v>0</v>
      </c>
      <c r="BW40" s="19">
        <v>0</v>
      </c>
      <c r="BX40" s="19">
        <v>0</v>
      </c>
      <c r="BY40" s="19">
        <v>0</v>
      </c>
      <c r="BZ40" s="19">
        <v>0</v>
      </c>
      <c r="CA40" s="19">
        <v>0</v>
      </c>
      <c r="CB40" s="19">
        <v>0</v>
      </c>
      <c r="CC40" s="19">
        <v>0</v>
      </c>
      <c r="CD40" s="19">
        <v>0</v>
      </c>
      <c r="CE40" s="19">
        <v>0</v>
      </c>
      <c r="CF40" s="19">
        <v>0</v>
      </c>
      <c r="CG40" s="19">
        <v>0</v>
      </c>
      <c r="CH40" s="19">
        <v>0</v>
      </c>
      <c r="CI40" s="19">
        <v>0</v>
      </c>
      <c r="CJ40" s="19">
        <v>0</v>
      </c>
      <c r="CK40" s="19">
        <v>0</v>
      </c>
      <c r="CL40" s="19">
        <v>0</v>
      </c>
    </row>
    <row r="42" spans="2:90" x14ac:dyDescent="0.25">
      <c r="B42" s="31" t="s">
        <v>244</v>
      </c>
      <c r="C42" s="30" t="s">
        <v>190</v>
      </c>
      <c r="D42" s="14">
        <v>87281.06325859562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51.82367533310571</v>
      </c>
      <c r="L42" s="14">
        <v>158.21550067744283</v>
      </c>
      <c r="M42" s="14">
        <v>1542.5875952226734</v>
      </c>
      <c r="N42" s="14">
        <v>-263.0961276861276</v>
      </c>
      <c r="O42" s="14">
        <v>75.70898246599927</v>
      </c>
      <c r="P42" s="14">
        <v>220.8125985404415</v>
      </c>
      <c r="Q42" s="14">
        <v>1622.4565825243167</v>
      </c>
      <c r="R42" s="14">
        <v>-149.80497185856848</v>
      </c>
      <c r="S42" s="14">
        <v>156.2181956418044</v>
      </c>
      <c r="T42" s="14">
        <v>287.7086026372481</v>
      </c>
      <c r="U42" s="14">
        <v>1684.1994761415817</v>
      </c>
      <c r="V42" s="14">
        <v>-77.06490963357896</v>
      </c>
      <c r="W42" s="14">
        <v>234.741918226699</v>
      </c>
      <c r="X42" s="14">
        <v>365.7003660954217</v>
      </c>
      <c r="Y42" s="14">
        <v>1755.1693791270277</v>
      </c>
      <c r="Z42" s="14">
        <v>4.9021619595935135</v>
      </c>
      <c r="AA42" s="14">
        <v>309.35899356358436</v>
      </c>
      <c r="AB42" s="14">
        <v>441.65423229876615</v>
      </c>
      <c r="AC42" s="14">
        <v>1825.9701348508288</v>
      </c>
      <c r="AD42" s="14">
        <v>84.83133629793929</v>
      </c>
      <c r="AE42" s="14">
        <v>392.5669733339412</v>
      </c>
      <c r="AF42" s="14">
        <v>525.4982216881422</v>
      </c>
      <c r="AG42" s="14">
        <v>1903.9602325132178</v>
      </c>
      <c r="AH42" s="14">
        <v>173.1178213206099</v>
      </c>
      <c r="AI42" s="14">
        <v>475.29774176887054</v>
      </c>
      <c r="AJ42" s="14">
        <v>607.697030996349</v>
      </c>
      <c r="AK42" s="14">
        <v>1979.1371813486985</v>
      </c>
      <c r="AL42" s="14">
        <v>257.4231887706353</v>
      </c>
      <c r="AM42" s="14">
        <v>557.876889921796</v>
      </c>
      <c r="AN42" s="14">
        <v>689.7442200225544</v>
      </c>
      <c r="AO42" s="14">
        <v>2054.162509902177</v>
      </c>
      <c r="AP42" s="14">
        <v>341.5769359386584</v>
      </c>
      <c r="AQ42" s="14">
        <v>640.3018398662667</v>
      </c>
      <c r="AR42" s="14">
        <v>771.6372108403029</v>
      </c>
      <c r="AS42" s="14">
        <v>2129.0336402472003</v>
      </c>
      <c r="AT42" s="14">
        <v>425.5764848982234</v>
      </c>
      <c r="AU42" s="14">
        <v>722.5699689344924</v>
      </c>
      <c r="AV42" s="14">
        <v>853.373380781807</v>
      </c>
      <c r="AW42" s="14">
        <v>2203.7479497159757</v>
      </c>
      <c r="AX42" s="14">
        <v>509.4192129815458</v>
      </c>
      <c r="AY42" s="14">
        <v>804.6786089247672</v>
      </c>
      <c r="AZ42" s="14">
        <v>934.9500616453595</v>
      </c>
      <c r="BA42" s="14">
        <v>2278.3027701068036</v>
      </c>
      <c r="BB42" s="14">
        <v>593.102451986917</v>
      </c>
      <c r="BC42" s="14">
        <v>886.6250452945942</v>
      </c>
      <c r="BD42" s="14">
        <v>1016.3645388884648</v>
      </c>
      <c r="BE42" s="14">
        <v>2352.6953868771834</v>
      </c>
      <c r="BF42" s="14">
        <v>676.6234873718403</v>
      </c>
      <c r="BG42" s="14">
        <v>968.4065163392108</v>
      </c>
      <c r="BH42" s="14">
        <v>1097.6140508063602</v>
      </c>
      <c r="BI42" s="14">
        <v>2426.9230383223517</v>
      </c>
      <c r="BJ42" s="14">
        <v>759.9795574315522</v>
      </c>
      <c r="BK42" s="14">
        <v>1050.0202123552726</v>
      </c>
      <c r="BL42" s="14">
        <v>1178.6957876957</v>
      </c>
      <c r="BM42" s="14">
        <v>2500.982914738967</v>
      </c>
      <c r="BN42" s="14">
        <v>843.1678524627101</v>
      </c>
      <c r="BO42" s="14">
        <v>1131.4632747894148</v>
      </c>
      <c r="BP42" s="14">
        <v>1259.6068910031213</v>
      </c>
      <c r="BQ42" s="14">
        <v>2574.8721575736604</v>
      </c>
      <c r="BR42" s="14">
        <v>926.1855139119491</v>
      </c>
      <c r="BS42" s="14">
        <v>1212.732795371418</v>
      </c>
      <c r="BT42" s="14">
        <v>1340.3444524584024</v>
      </c>
      <c r="BU42" s="14">
        <v>2648.5878585562145</v>
      </c>
      <c r="BV42" s="14">
        <v>1009.0296335090477</v>
      </c>
      <c r="BW42" s="14">
        <v>1293.8258152316746</v>
      </c>
      <c r="BX42" s="14">
        <v>1420.9055131919365</v>
      </c>
      <c r="BY42" s="14">
        <v>2742.1270588170246</v>
      </c>
      <c r="BZ42" s="14">
        <v>1091.6972523844015</v>
      </c>
      <c r="CA42" s="14">
        <v>1345.5401053592257</v>
      </c>
      <c r="CB42" s="14">
        <v>1442.8886255492941</v>
      </c>
      <c r="CC42" s="14">
        <v>2727.8890920581807</v>
      </c>
      <c r="CD42" s="14">
        <v>1057.3884855966269</v>
      </c>
      <c r="CE42" s="14">
        <v>1309.4741656869937</v>
      </c>
      <c r="CF42" s="14">
        <v>1406.2907267503388</v>
      </c>
      <c r="CG42" s="14">
        <v>2712.187398524971</v>
      </c>
      <c r="CH42" s="14">
        <v>1106.6513421549032</v>
      </c>
      <c r="CI42" s="14">
        <v>1356.9767332367016</v>
      </c>
      <c r="CJ42" s="14">
        <v>1453.2613351733246</v>
      </c>
      <c r="CK42" s="14">
        <v>2724.2180807367595</v>
      </c>
      <c r="CL42" s="14">
        <v>1071.9743115042945</v>
      </c>
    </row>
    <row r="43" spans="2:90" x14ac:dyDescent="0.25">
      <c r="B43" s="29" t="s">
        <v>245</v>
      </c>
      <c r="C43" s="30" t="s">
        <v>190</v>
      </c>
      <c r="D43" s="14">
        <v>-16762.222221046482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-15.719974384634222</v>
      </c>
      <c r="M43" s="19">
        <v>-153.26840530241566</v>
      </c>
      <c r="N43" s="19">
        <v>0</v>
      </c>
      <c r="O43" s="19">
        <v>-7.522292442626082</v>
      </c>
      <c r="P43" s="19">
        <v>-27.11824956727785</v>
      </c>
      <c r="Q43" s="19">
        <v>-199.25576170831098</v>
      </c>
      <c r="R43" s="19">
        <v>0</v>
      </c>
      <c r="S43" s="19">
        <v>-19.185336544954453</v>
      </c>
      <c r="T43" s="19">
        <v>-36.68793391463833</v>
      </c>
      <c r="U43" s="19">
        <v>-214.76521213951094</v>
      </c>
      <c r="V43" s="19">
        <v>0</v>
      </c>
      <c r="W43" s="19">
        <v>-29.93374512946035</v>
      </c>
      <c r="X43" s="19">
        <v>-48.13120342239072</v>
      </c>
      <c r="Y43" s="19">
        <v>-231.00445681662603</v>
      </c>
      <c r="Z43" s="19">
        <v>-0.6451920106230782</v>
      </c>
      <c r="AA43" s="19">
        <v>-40.7159030458005</v>
      </c>
      <c r="AB43" s="19">
        <v>-57.94759788621606</v>
      </c>
      <c r="AC43" s="19">
        <v>-239.57787651177262</v>
      </c>
      <c r="AD43" s="19">
        <v>-11.13036353881915</v>
      </c>
      <c r="AE43" s="19">
        <v>-51.50706469122107</v>
      </c>
      <c r="AF43" s="19">
        <v>-78.48959634084117</v>
      </c>
      <c r="AG43" s="19">
        <v>-284.37978271154384</v>
      </c>
      <c r="AH43" s="19">
        <v>-25.85726716868764</v>
      </c>
      <c r="AI43" s="19">
        <v>-70.9915397492844</v>
      </c>
      <c r="AJ43" s="19">
        <v>-126.81219495501956</v>
      </c>
      <c r="AK43" s="19">
        <v>-412.99976350456603</v>
      </c>
      <c r="AL43" s="19">
        <v>-53.718214727497546</v>
      </c>
      <c r="AM43" s="19">
        <v>-116.41589363974992</v>
      </c>
      <c r="AN43" s="19">
        <v>-143.95290207016217</v>
      </c>
      <c r="AO43" s="19">
        <v>-428.71349413334303</v>
      </c>
      <c r="AP43" s="19">
        <v>-71.28873252028973</v>
      </c>
      <c r="AQ43" s="19">
        <v>-133.6340419737034</v>
      </c>
      <c r="AR43" s="19">
        <v>-161.06253536830772</v>
      </c>
      <c r="AS43" s="19">
        <v>-444.3896058475585</v>
      </c>
      <c r="AT43" s="19">
        <v>-88.82986290435137</v>
      </c>
      <c r="AU43" s="19">
        <v>-150.82081260810833</v>
      </c>
      <c r="AV43" s="19">
        <v>-178.14028854946673</v>
      </c>
      <c r="AW43" s="19">
        <v>-460.02875704072926</v>
      </c>
      <c r="AX43" s="19">
        <v>-106.34042218429305</v>
      </c>
      <c r="AY43" s="19">
        <v>-167.97533507796697</v>
      </c>
      <c r="AZ43" s="19">
        <v>-195.18541748038308</v>
      </c>
      <c r="BA43" s="19">
        <v>-475.6312615750035</v>
      </c>
      <c r="BB43" s="19">
        <v>-123.81939362192013</v>
      </c>
      <c r="BC43" s="19">
        <v>-185.09681609073124</v>
      </c>
      <c r="BD43" s="19">
        <v>-212.1972167607099</v>
      </c>
      <c r="BE43" s="19">
        <v>-491.197197343271</v>
      </c>
      <c r="BF43" s="19">
        <v>-141.2658699921308</v>
      </c>
      <c r="BG43" s="19">
        <v>-202.18451116451848</v>
      </c>
      <c r="BH43" s="19">
        <v>-229.1750047948267</v>
      </c>
      <c r="BI43" s="19">
        <v>-506.72647506251974</v>
      </c>
      <c r="BJ43" s="19">
        <v>-158.67901708291163</v>
      </c>
      <c r="BK43" s="19">
        <v>-219.23770657308916</v>
      </c>
      <c r="BL43" s="19">
        <v>-246.1181139473334</v>
      </c>
      <c r="BM43" s="19">
        <v>-522.2188832908346</v>
      </c>
      <c r="BN43" s="19">
        <v>-176.05804971513155</v>
      </c>
      <c r="BO43" s="19">
        <v>-236.25570745124003</v>
      </c>
      <c r="BP43" s="19">
        <v>-263.02588384757536</v>
      </c>
      <c r="BQ43" s="19">
        <v>-537.6741187093484</v>
      </c>
      <c r="BR43" s="19">
        <v>-193.40221551940334</v>
      </c>
      <c r="BS43" s="19">
        <v>-253.2378297164441</v>
      </c>
      <c r="BT43" s="19">
        <v>-279.89765670608534</v>
      </c>
      <c r="BU43" s="19">
        <v>-553.0918069831607</v>
      </c>
      <c r="BV43" s="19">
        <v>-210.71078367069796</v>
      </c>
      <c r="BW43" s="19">
        <v>-270.18339442892216</v>
      </c>
      <c r="BX43" s="19">
        <v>-296.73244435665816</v>
      </c>
      <c r="BY43" s="19">
        <v>-572.6475528069807</v>
      </c>
      <c r="BZ43" s="19">
        <v>-227.9827836474253</v>
      </c>
      <c r="CA43" s="19">
        <v>-280.9936345072267</v>
      </c>
      <c r="CB43" s="19">
        <v>-301.32094745720104</v>
      </c>
      <c r="CC43" s="19">
        <v>-569.6698353722337</v>
      </c>
      <c r="CD43" s="19">
        <v>-220.816281082691</v>
      </c>
      <c r="CE43" s="19">
        <v>-273.45977318611335</v>
      </c>
      <c r="CF43" s="19">
        <v>-293.6797429239028</v>
      </c>
      <c r="CG43" s="19">
        <v>-566.3939061881254</v>
      </c>
      <c r="CH43" s="19">
        <v>-231.10518720510765</v>
      </c>
      <c r="CI43" s="19">
        <v>-283.3813596222492</v>
      </c>
      <c r="CJ43" s="19">
        <v>-186.261278694276</v>
      </c>
      <c r="CK43" s="19">
        <v>-349.1569829039577</v>
      </c>
      <c r="CL43" s="19">
        <v>-137.39256743137153</v>
      </c>
    </row>
    <row r="44" spans="2:91" x14ac:dyDescent="0.25">
      <c r="B44" s="27" t="s">
        <v>246</v>
      </c>
      <c r="C44" s="32" t="s">
        <v>190</v>
      </c>
      <c r="D44" s="33">
        <v>70518.84103754912</v>
      </c>
      <c r="E44" s="33">
        <v>0</v>
      </c>
      <c r="F44" s="33">
        <v>0</v>
      </c>
      <c r="G44" s="33">
        <v>0</v>
      </c>
      <c r="H44" s="33">
        <v>0</v>
      </c>
      <c r="I44" s="33">
        <v>0</v>
      </c>
      <c r="J44" s="33">
        <v>0</v>
      </c>
      <c r="K44" s="33">
        <v>51.82367533310571</v>
      </c>
      <c r="L44" s="33">
        <v>142.49552629280862</v>
      </c>
      <c r="M44" s="33">
        <v>1389.3191899202577</v>
      </c>
      <c r="N44" s="33">
        <v>-263.0961276861276</v>
      </c>
      <c r="O44" s="33">
        <v>68.18669002337319</v>
      </c>
      <c r="P44" s="33">
        <v>193.69434897316367</v>
      </c>
      <c r="Q44" s="33">
        <v>1423.2008208160057</v>
      </c>
      <c r="R44" s="33">
        <v>-149.80497185856848</v>
      </c>
      <c r="S44" s="33">
        <v>137.03285909684996</v>
      </c>
      <c r="T44" s="33">
        <v>251.02066872260974</v>
      </c>
      <c r="U44" s="33">
        <v>1469.434264002071</v>
      </c>
      <c r="V44" s="33">
        <v>-77.06490963357896</v>
      </c>
      <c r="W44" s="33">
        <v>204.80817309723864</v>
      </c>
      <c r="X44" s="33">
        <v>317.569162673031</v>
      </c>
      <c r="Y44" s="33">
        <v>1524.1649223104016</v>
      </c>
      <c r="Z44" s="33">
        <v>4.256969948970435</v>
      </c>
      <c r="AA44" s="33">
        <v>268.6430905177839</v>
      </c>
      <c r="AB44" s="33">
        <v>383.7066344125501</v>
      </c>
      <c r="AC44" s="33">
        <v>1586.3922583390563</v>
      </c>
      <c r="AD44" s="33">
        <v>73.70097275912013</v>
      </c>
      <c r="AE44" s="33">
        <v>341.05990864272013</v>
      </c>
      <c r="AF44" s="33">
        <v>447.008625347301</v>
      </c>
      <c r="AG44" s="33">
        <v>1619.580449801674</v>
      </c>
      <c r="AH44" s="33">
        <v>147.26055415192226</v>
      </c>
      <c r="AI44" s="33">
        <v>404.3062020195861</v>
      </c>
      <c r="AJ44" s="33">
        <v>480.88483604132944</v>
      </c>
      <c r="AK44" s="33">
        <v>1566.1374178441324</v>
      </c>
      <c r="AL44" s="33">
        <v>203.70497404313775</v>
      </c>
      <c r="AM44" s="33">
        <v>441.46099628204604</v>
      </c>
      <c r="AN44" s="33">
        <v>545.7913179523922</v>
      </c>
      <c r="AO44" s="33">
        <v>1625.4490157688342</v>
      </c>
      <c r="AP44" s="33">
        <v>270.28820341836865</v>
      </c>
      <c r="AQ44" s="33">
        <v>506.6677978925633</v>
      </c>
      <c r="AR44" s="33">
        <v>610.5746754719952</v>
      </c>
      <c r="AS44" s="33">
        <v>1684.644034399642</v>
      </c>
      <c r="AT44" s="33">
        <v>336.746621993872</v>
      </c>
      <c r="AU44" s="33">
        <v>571.7491563263841</v>
      </c>
      <c r="AV44" s="33">
        <v>675.2330922323403</v>
      </c>
      <c r="AW44" s="33">
        <v>1743.7191926752464</v>
      </c>
      <c r="AX44" s="33">
        <v>403.07879079725274</v>
      </c>
      <c r="AY44" s="33">
        <v>636.7032738468002</v>
      </c>
      <c r="AZ44" s="33">
        <v>739.7646441649764</v>
      </c>
      <c r="BA44" s="33">
        <v>1802.6715085318</v>
      </c>
      <c r="BB44" s="33">
        <v>469.28305836499686</v>
      </c>
      <c r="BC44" s="33">
        <v>701.528229203863</v>
      </c>
      <c r="BD44" s="33">
        <v>804.1673221277549</v>
      </c>
      <c r="BE44" s="33">
        <v>1861.4981895339124</v>
      </c>
      <c r="BF44" s="33">
        <v>535.3576173797095</v>
      </c>
      <c r="BG44" s="33">
        <v>766.2220051746924</v>
      </c>
      <c r="BH44" s="33">
        <v>868.4390460115335</v>
      </c>
      <c r="BI44" s="33">
        <v>1920.196563259832</v>
      </c>
      <c r="BJ44" s="33">
        <v>601.3005403486405</v>
      </c>
      <c r="BK44" s="33">
        <v>830.7825057821835</v>
      </c>
      <c r="BL44" s="33">
        <v>932.5776737483665</v>
      </c>
      <c r="BM44" s="33">
        <v>1978.7640314481323</v>
      </c>
      <c r="BN44" s="33">
        <v>667.1098027475786</v>
      </c>
      <c r="BO44" s="33">
        <v>895.2075673381747</v>
      </c>
      <c r="BP44" s="33">
        <v>996.5810071555459</v>
      </c>
      <c r="BQ44" s="33">
        <v>2037.198038864312</v>
      </c>
      <c r="BR44" s="33">
        <v>732.7832983925457</v>
      </c>
      <c r="BS44" s="33">
        <v>959.4949656549738</v>
      </c>
      <c r="BT44" s="33">
        <v>1060.446795752317</v>
      </c>
      <c r="BU44" s="33">
        <v>2095.4960515730536</v>
      </c>
      <c r="BV44" s="33">
        <v>798.3188498383497</v>
      </c>
      <c r="BW44" s="33">
        <v>1023.6424208027524</v>
      </c>
      <c r="BX44" s="33">
        <v>1124.1730688352784</v>
      </c>
      <c r="BY44" s="33">
        <v>2169.479506010044</v>
      </c>
      <c r="BZ44" s="33">
        <v>863.7144687369762</v>
      </c>
      <c r="CA44" s="33">
        <v>1064.546470851999</v>
      </c>
      <c r="CB44" s="33">
        <v>1141.567678092093</v>
      </c>
      <c r="CC44" s="33">
        <v>2158.219256685947</v>
      </c>
      <c r="CD44" s="33">
        <v>836.5722045139358</v>
      </c>
      <c r="CE44" s="33">
        <v>1036.0143925008804</v>
      </c>
      <c r="CF44" s="33">
        <v>1112.610983826436</v>
      </c>
      <c r="CG44" s="33">
        <v>2145.7934923368457</v>
      </c>
      <c r="CH44" s="33">
        <v>875.5461549497956</v>
      </c>
      <c r="CI44" s="33">
        <v>1073.5953736144525</v>
      </c>
      <c r="CJ44" s="33">
        <v>1267.0000564790487</v>
      </c>
      <c r="CK44" s="33">
        <v>2375.061097832802</v>
      </c>
      <c r="CL44" s="33">
        <v>934.581744072923</v>
      </c>
      <c r="CM44" s="28"/>
    </row>
    <row r="46" spans="2:2" x14ac:dyDescent="0.25">
      <c r="B46" s="25" t="s">
        <v>247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2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248</v>
      </c>
    </row>
    <row r="4" spans="2:91" x14ac:dyDescent="0.25">
      <c r="B4" s="9" t="s">
        <v>249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2" t="s">
        <v>101</v>
      </c>
      <c r="C6" s="22" t="s">
        <v>102</v>
      </c>
      <c r="D6" s="22" t="s">
        <v>103</v>
      </c>
      <c r="E6" s="26" t="s">
        <v>104</v>
      </c>
      <c r="F6" s="26" t="s">
        <v>105</v>
      </c>
      <c r="G6" s="26" t="s">
        <v>106</v>
      </c>
      <c r="H6" s="26" t="s">
        <v>107</v>
      </c>
      <c r="I6" s="26" t="s">
        <v>108</v>
      </c>
      <c r="J6" s="26" t="s">
        <v>109</v>
      </c>
      <c r="K6" s="26" t="s">
        <v>110</v>
      </c>
      <c r="L6" s="26" t="s">
        <v>111</v>
      </c>
      <c r="M6" s="26" t="s">
        <v>112</v>
      </c>
      <c r="N6" s="26" t="s">
        <v>93</v>
      </c>
      <c r="O6" s="26" t="s">
        <v>113</v>
      </c>
      <c r="P6" s="26" t="s">
        <v>114</v>
      </c>
      <c r="Q6" s="26" t="s">
        <v>115</v>
      </c>
      <c r="R6" s="26" t="s">
        <v>116</v>
      </c>
      <c r="S6" s="26" t="s">
        <v>117</v>
      </c>
      <c r="T6" s="26" t="s">
        <v>118</v>
      </c>
      <c r="U6" s="26" t="s">
        <v>119</v>
      </c>
      <c r="V6" s="26" t="s">
        <v>120</v>
      </c>
      <c r="W6" s="26" t="s">
        <v>121</v>
      </c>
      <c r="X6" s="26" t="s">
        <v>122</v>
      </c>
      <c r="Y6" s="26" t="s">
        <v>123</v>
      </c>
      <c r="Z6" s="26" t="s">
        <v>124</v>
      </c>
      <c r="AA6" s="26" t="s">
        <v>125</v>
      </c>
      <c r="AB6" s="26" t="s">
        <v>126</v>
      </c>
      <c r="AC6" s="26" t="s">
        <v>127</v>
      </c>
      <c r="AD6" s="26" t="s">
        <v>128</v>
      </c>
      <c r="AE6" s="26" t="s">
        <v>129</v>
      </c>
      <c r="AF6" s="26" t="s">
        <v>130</v>
      </c>
      <c r="AG6" s="26" t="s">
        <v>131</v>
      </c>
      <c r="AH6" s="26" t="s">
        <v>132</v>
      </c>
      <c r="AI6" s="26" t="s">
        <v>133</v>
      </c>
      <c r="AJ6" s="26" t="s">
        <v>134</v>
      </c>
      <c r="AK6" s="26" t="s">
        <v>135</v>
      </c>
      <c r="AL6" s="26" t="s">
        <v>136</v>
      </c>
      <c r="AM6" s="26" t="s">
        <v>137</v>
      </c>
      <c r="AN6" s="26" t="s">
        <v>138</v>
      </c>
      <c r="AO6" s="26" t="s">
        <v>139</v>
      </c>
      <c r="AP6" s="26" t="s">
        <v>140</v>
      </c>
      <c r="AQ6" s="26" t="s">
        <v>141</v>
      </c>
      <c r="AR6" s="26" t="s">
        <v>142</v>
      </c>
      <c r="AS6" s="26" t="s">
        <v>143</v>
      </c>
      <c r="AT6" s="26" t="s">
        <v>144</v>
      </c>
      <c r="AU6" s="26" t="s">
        <v>145</v>
      </c>
      <c r="AV6" s="26" t="s">
        <v>146</v>
      </c>
      <c r="AW6" s="26" t="s">
        <v>147</v>
      </c>
      <c r="AX6" s="26" t="s">
        <v>148</v>
      </c>
      <c r="AY6" s="26" t="s">
        <v>149</v>
      </c>
      <c r="AZ6" s="26" t="s">
        <v>150</v>
      </c>
      <c r="BA6" s="26" t="s">
        <v>151</v>
      </c>
      <c r="BB6" s="26" t="s">
        <v>152</v>
      </c>
      <c r="BC6" s="26" t="s">
        <v>153</v>
      </c>
      <c r="BD6" s="26" t="s">
        <v>154</v>
      </c>
      <c r="BE6" s="26" t="s">
        <v>155</v>
      </c>
      <c r="BF6" s="26" t="s">
        <v>156</v>
      </c>
      <c r="BG6" s="26" t="s">
        <v>157</v>
      </c>
      <c r="BH6" s="26" t="s">
        <v>158</v>
      </c>
      <c r="BI6" s="26" t="s">
        <v>159</v>
      </c>
      <c r="BJ6" s="26" t="s">
        <v>160</v>
      </c>
      <c r="BK6" s="26" t="s">
        <v>161</v>
      </c>
      <c r="BL6" s="26" t="s">
        <v>162</v>
      </c>
      <c r="BM6" s="26" t="s">
        <v>163</v>
      </c>
      <c r="BN6" s="26" t="s">
        <v>164</v>
      </c>
      <c r="BO6" s="26" t="s">
        <v>165</v>
      </c>
      <c r="BP6" s="26" t="s">
        <v>166</v>
      </c>
      <c r="BQ6" s="26" t="s">
        <v>167</v>
      </c>
      <c r="BR6" s="26" t="s">
        <v>168</v>
      </c>
      <c r="BS6" s="26" t="s">
        <v>169</v>
      </c>
      <c r="BT6" s="26" t="s">
        <v>170</v>
      </c>
      <c r="BU6" s="26" t="s">
        <v>171</v>
      </c>
      <c r="BV6" s="26" t="s">
        <v>172</v>
      </c>
      <c r="BW6" s="26" t="s">
        <v>173</v>
      </c>
      <c r="BX6" s="26" t="s">
        <v>174</v>
      </c>
      <c r="BY6" s="26" t="s">
        <v>175</v>
      </c>
      <c r="BZ6" s="26" t="s">
        <v>176</v>
      </c>
      <c r="CA6" s="26" t="s">
        <v>177</v>
      </c>
      <c r="CB6" s="26" t="s">
        <v>178</v>
      </c>
      <c r="CC6" s="26" t="s">
        <v>179</v>
      </c>
      <c r="CD6" s="26" t="s">
        <v>180</v>
      </c>
      <c r="CE6" s="26" t="s">
        <v>181</v>
      </c>
      <c r="CF6" s="26" t="s">
        <v>182</v>
      </c>
      <c r="CG6" s="26" t="s">
        <v>183</v>
      </c>
      <c r="CH6" s="26" t="s">
        <v>184</v>
      </c>
      <c r="CI6" s="26" t="s">
        <v>185</v>
      </c>
      <c r="CJ6" s="26" t="s">
        <v>186</v>
      </c>
      <c r="CK6" s="26" t="s">
        <v>187</v>
      </c>
      <c r="CL6" s="26" t="s">
        <v>188</v>
      </c>
    </row>
    <row r="9" spans="2:91" x14ac:dyDescent="0.25">
      <c r="B9" s="27" t="s">
        <v>250</v>
      </c>
      <c r="C9" s="32" t="s">
        <v>190</v>
      </c>
      <c r="D9" s="33">
        <v>318007.0789514679</v>
      </c>
      <c r="E9" s="33">
        <v>0</v>
      </c>
      <c r="F9" s="33">
        <v>0</v>
      </c>
      <c r="G9" s="33">
        <v>0</v>
      </c>
      <c r="H9" s="33">
        <v>0</v>
      </c>
      <c r="I9" s="33">
        <v>0</v>
      </c>
      <c r="J9" s="33">
        <v>0</v>
      </c>
      <c r="K9" s="33">
        <v>2707.595827038748</v>
      </c>
      <c r="L9" s="33">
        <v>4429.202716887319</v>
      </c>
      <c r="M9" s="33">
        <v>4262.9091085416685</v>
      </c>
      <c r="N9" s="33">
        <v>4668.3167726650645</v>
      </c>
      <c r="O9" s="33">
        <v>4242.037819508218</v>
      </c>
      <c r="P9" s="33">
        <v>4389.729828248316</v>
      </c>
      <c r="Q9" s="33">
        <v>4183.990864566553</v>
      </c>
      <c r="R9" s="33">
        <v>4639.12518880174</v>
      </c>
      <c r="S9" s="33">
        <v>4203.125034950459</v>
      </c>
      <c r="T9" s="33">
        <v>4352.030530444595</v>
      </c>
      <c r="U9" s="33">
        <v>4135.495526566132</v>
      </c>
      <c r="V9" s="33">
        <v>4609.878604938413</v>
      </c>
      <c r="W9" s="33">
        <v>4172.570785910522</v>
      </c>
      <c r="X9" s="33">
        <v>4319.901547480483</v>
      </c>
      <c r="Y9" s="33">
        <v>4093.714294319797</v>
      </c>
      <c r="Z9" s="33">
        <v>4587.430729064465</v>
      </c>
      <c r="AA9" s="33">
        <v>4134.425565538753</v>
      </c>
      <c r="AB9" s="33">
        <v>4281.842217560298</v>
      </c>
      <c r="AC9" s="33">
        <v>4052.04166505543</v>
      </c>
      <c r="AD9" s="33">
        <v>4547.585651672945</v>
      </c>
      <c r="AE9" s="33">
        <v>4101.212974997904</v>
      </c>
      <c r="AF9" s="33">
        <v>4237.998917209314</v>
      </c>
      <c r="AG9" s="33">
        <v>3979.0821828464395</v>
      </c>
      <c r="AH9" s="33">
        <v>4508.4404757397515</v>
      </c>
      <c r="AI9" s="33">
        <v>4054.24753727561</v>
      </c>
      <c r="AJ9" s="33">
        <v>4161.315482929975</v>
      </c>
      <c r="AK9" s="33">
        <v>3817.245092275396</v>
      </c>
      <c r="AL9" s="33">
        <v>4451.101722108815</v>
      </c>
      <c r="AM9" s="33">
        <v>3981.281496276737</v>
      </c>
      <c r="AN9" s="33">
        <v>4115.753215705497</v>
      </c>
      <c r="AO9" s="33">
        <v>3768.2535274244237</v>
      </c>
      <c r="AP9" s="33">
        <v>4403.992673799723</v>
      </c>
      <c r="AQ9" s="33">
        <v>3936.4597219013167</v>
      </c>
      <c r="AR9" s="33">
        <v>4070.1600833649554</v>
      </c>
      <c r="AS9" s="33">
        <v>3719.237642554951</v>
      </c>
      <c r="AT9" s="33">
        <v>4356.851073966298</v>
      </c>
      <c r="AU9" s="33">
        <v>3891.606147513726</v>
      </c>
      <c r="AV9" s="33">
        <v>4024.535653429681</v>
      </c>
      <c r="AW9" s="33">
        <v>3670.195540494805</v>
      </c>
      <c r="AX9" s="33">
        <v>4309.676867525277</v>
      </c>
      <c r="AY9" s="33">
        <v>3846.7203800247266</v>
      </c>
      <c r="AZ9" s="33">
        <v>3978.8794064786935</v>
      </c>
      <c r="BA9" s="33">
        <v>3621.1256438275973</v>
      </c>
      <c r="BB9" s="33">
        <v>4262.469807660611</v>
      </c>
      <c r="BC9" s="33">
        <v>3801.801923901546</v>
      </c>
      <c r="BD9" s="33">
        <v>3933.1907590870205</v>
      </c>
      <c r="BE9" s="33">
        <v>3572.026585835124</v>
      </c>
      <c r="BF9" s="33">
        <v>4215.22951277209</v>
      </c>
      <c r="BG9" s="33">
        <v>3756.8502090242437</v>
      </c>
      <c r="BH9" s="33">
        <v>3887.46907824846</v>
      </c>
      <c r="BI9" s="33">
        <v>3522.8971411985704</v>
      </c>
      <c r="BJ9" s="33">
        <v>4167.955502469898</v>
      </c>
      <c r="BK9" s="33">
        <v>3711.8646082251958</v>
      </c>
      <c r="BL9" s="33">
        <v>3841.7136907045465</v>
      </c>
      <c r="BM9" s="33">
        <v>3473.73618046599</v>
      </c>
      <c r="BN9" s="33">
        <v>4120.647221039308</v>
      </c>
      <c r="BO9" s="33">
        <v>3666.8444486578655</v>
      </c>
      <c r="BP9" s="33">
        <v>3795.9238891141963</v>
      </c>
      <c r="BQ9" s="33">
        <v>3424.542639244506</v>
      </c>
      <c r="BR9" s="33">
        <v>4073.304053137962</v>
      </c>
      <c r="BS9" s="33">
        <v>3621.7890193388093</v>
      </c>
      <c r="BT9" s="33">
        <v>3750.098936200903</v>
      </c>
      <c r="BU9" s="33">
        <v>3375.3154968030503</v>
      </c>
      <c r="BV9" s="33">
        <v>4025.9253345249185</v>
      </c>
      <c r="BW9" s="33">
        <v>3576.697576240509</v>
      </c>
      <c r="BX9" s="33">
        <v>3704.23839716358</v>
      </c>
      <c r="BY9" s="33">
        <v>3341.8777254796178</v>
      </c>
      <c r="BZ9" s="33">
        <v>3978.510612754475</v>
      </c>
      <c r="CA9" s="33">
        <v>3537.6674350177755</v>
      </c>
      <c r="CB9" s="33">
        <v>3670.5501199176774</v>
      </c>
      <c r="CC9" s="33">
        <v>3310.8993946561463</v>
      </c>
      <c r="CD9" s="33">
        <v>3955.460370766884</v>
      </c>
      <c r="CE9" s="33">
        <v>3516.9058919806785</v>
      </c>
      <c r="CF9" s="33">
        <v>3649.016047091837</v>
      </c>
      <c r="CG9" s="33">
        <v>3280.1437723682548</v>
      </c>
      <c r="CH9" s="33">
        <v>3914.8792168783625</v>
      </c>
      <c r="CI9" s="33">
        <v>3478.6118879082796</v>
      </c>
      <c r="CJ9" s="33">
        <v>3727.1822206842703</v>
      </c>
      <c r="CK9" s="33">
        <v>3953.2721309023673</v>
      </c>
      <c r="CL9" s="33">
        <v>5391.246374570737</v>
      </c>
      <c r="CM9" s="28"/>
    </row>
    <row r="10" spans="2:90" x14ac:dyDescent="0.25">
      <c r="B10" s="29" t="s">
        <v>199</v>
      </c>
      <c r="C10" s="30" t="s">
        <v>190</v>
      </c>
      <c r="D10" s="14">
        <v>201082.7367630816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1868.7499931823168</v>
      </c>
      <c r="L10" s="19">
        <v>1868.7499931823168</v>
      </c>
      <c r="M10" s="19">
        <v>1868.7499931823168</v>
      </c>
      <c r="N10" s="19">
        <v>6003.124977997477</v>
      </c>
      <c r="O10" s="19">
        <v>4646.519514228647</v>
      </c>
      <c r="P10" s="19">
        <v>3527.27576833847</v>
      </c>
      <c r="Q10" s="19">
        <v>3502.9820184271002</v>
      </c>
      <c r="R10" s="19">
        <v>3613.6882680198987</v>
      </c>
      <c r="S10" s="19">
        <v>3587.525768115346</v>
      </c>
      <c r="T10" s="19">
        <v>3561.3632682107936</v>
      </c>
      <c r="U10" s="19">
        <v>3535.200768306241</v>
      </c>
      <c r="V10" s="19">
        <v>3509.0382684016886</v>
      </c>
      <c r="W10" s="19">
        <v>3482.875768497136</v>
      </c>
      <c r="X10" s="19">
        <v>3456.713268592584</v>
      </c>
      <c r="Y10" s="19">
        <v>3565.5507681922</v>
      </c>
      <c r="Z10" s="19">
        <v>3537.5195182944653</v>
      </c>
      <c r="AA10" s="19">
        <v>3509.4882683967303</v>
      </c>
      <c r="AB10" s="19">
        <v>3481.4570184989952</v>
      </c>
      <c r="AC10" s="19">
        <v>3453.4257686012606</v>
      </c>
      <c r="AD10" s="19">
        <v>3425.394518703526</v>
      </c>
      <c r="AE10" s="19">
        <v>3481.7382684958966</v>
      </c>
      <c r="AF10" s="19">
        <v>3452.539049852423</v>
      </c>
      <c r="AG10" s="19">
        <v>3423.3398312089494</v>
      </c>
      <c r="AH10" s="19">
        <v>3394.1406125654757</v>
      </c>
      <c r="AI10" s="19">
        <v>3364.941393922002</v>
      </c>
      <c r="AJ10" s="19">
        <v>3335.742175278528</v>
      </c>
      <c r="AK10" s="19">
        <v>3306.5429566350545</v>
      </c>
      <c r="AL10" s="19">
        <v>3277.343737991581</v>
      </c>
      <c r="AM10" s="19">
        <v>3248.1445193481068</v>
      </c>
      <c r="AN10" s="19">
        <v>3218.945300704633</v>
      </c>
      <c r="AO10" s="19">
        <v>3189.7460820611595</v>
      </c>
      <c r="AP10" s="19">
        <v>3160.546863417686</v>
      </c>
      <c r="AQ10" s="19">
        <v>3131.3476447742123</v>
      </c>
      <c r="AR10" s="19">
        <v>3102.1484261307387</v>
      </c>
      <c r="AS10" s="19">
        <v>3072.949207487265</v>
      </c>
      <c r="AT10" s="19">
        <v>3043.749988843791</v>
      </c>
      <c r="AU10" s="19">
        <v>3014.5507702003174</v>
      </c>
      <c r="AV10" s="19">
        <v>2985.351551556844</v>
      </c>
      <c r="AW10" s="19">
        <v>2956.1523329133697</v>
      </c>
      <c r="AX10" s="19">
        <v>2926.953114269896</v>
      </c>
      <c r="AY10" s="19">
        <v>2897.7538956264225</v>
      </c>
      <c r="AZ10" s="19">
        <v>2868.554676982949</v>
      </c>
      <c r="BA10" s="19">
        <v>2839.3554583394753</v>
      </c>
      <c r="BB10" s="19">
        <v>2810.1562396960016</v>
      </c>
      <c r="BC10" s="19">
        <v>2780.957021052528</v>
      </c>
      <c r="BD10" s="19">
        <v>2751.757802409054</v>
      </c>
      <c r="BE10" s="19">
        <v>2722.5585837655804</v>
      </c>
      <c r="BF10" s="19">
        <v>2693.3593651221067</v>
      </c>
      <c r="BG10" s="19">
        <v>2664.1601464786327</v>
      </c>
      <c r="BH10" s="19">
        <v>2634.960927835159</v>
      </c>
      <c r="BI10" s="19">
        <v>2605.7617091916854</v>
      </c>
      <c r="BJ10" s="19">
        <v>2576.562490548212</v>
      </c>
      <c r="BK10" s="19">
        <v>2547.363271904738</v>
      </c>
      <c r="BL10" s="19">
        <v>2518.1640532612646</v>
      </c>
      <c r="BM10" s="19">
        <v>2488.9648346177905</v>
      </c>
      <c r="BN10" s="19">
        <v>2459.765615974317</v>
      </c>
      <c r="BO10" s="19">
        <v>2430.5663973308433</v>
      </c>
      <c r="BP10" s="19">
        <v>2401.3671786873697</v>
      </c>
      <c r="BQ10" s="19">
        <v>2372.167960043896</v>
      </c>
      <c r="BR10" s="19">
        <v>2342.968741400422</v>
      </c>
      <c r="BS10" s="19">
        <v>2313.7695227569484</v>
      </c>
      <c r="BT10" s="19">
        <v>2284.570304113475</v>
      </c>
      <c r="BU10" s="19">
        <v>2255.371085470001</v>
      </c>
      <c r="BV10" s="19">
        <v>2226.1718668265275</v>
      </c>
      <c r="BW10" s="19">
        <v>2196.9726481830535</v>
      </c>
      <c r="BX10" s="19">
        <v>2167.77342953958</v>
      </c>
      <c r="BY10" s="19">
        <v>2138.5742108961026</v>
      </c>
      <c r="BZ10" s="19">
        <v>0</v>
      </c>
      <c r="CA10" s="19">
        <v>0</v>
      </c>
      <c r="CB10" s="19">
        <v>0</v>
      </c>
      <c r="CC10" s="19">
        <v>0</v>
      </c>
      <c r="CD10" s="19">
        <v>0</v>
      </c>
      <c r="CE10" s="19">
        <v>0</v>
      </c>
      <c r="CF10" s="19">
        <v>0</v>
      </c>
      <c r="CG10" s="19">
        <v>0</v>
      </c>
      <c r="CH10" s="19">
        <v>0</v>
      </c>
      <c r="CI10" s="19">
        <v>0</v>
      </c>
      <c r="CJ10" s="19">
        <v>0</v>
      </c>
      <c r="CK10" s="19">
        <v>0</v>
      </c>
      <c r="CL10" s="19">
        <v>0</v>
      </c>
    </row>
    <row r="11" spans="2:90" x14ac:dyDescent="0.25">
      <c r="B11" s="31" t="s">
        <v>251</v>
      </c>
      <c r="C11" s="30" t="s">
        <v>252</v>
      </c>
      <c r="E11" s="16"/>
      <c r="F11" s="16"/>
      <c r="G11" s="16"/>
      <c r="H11" s="16"/>
      <c r="I11" s="16"/>
      <c r="J11" s="16"/>
      <c r="K11" s="16">
        <v>1.4488807154069607</v>
      </c>
      <c r="L11" s="16">
        <v>2.3701419307270615</v>
      </c>
      <c r="M11" s="16">
        <v>2.2811553841304955</v>
      </c>
      <c r="N11" s="16">
        <v>0.7776477734138932</v>
      </c>
      <c r="O11" s="16">
        <v>0.9129495327670919</v>
      </c>
      <c r="P11" s="16">
        <v>1.2445099608177523</v>
      </c>
      <c r="Q11" s="16">
        <v>1.1944083191284085</v>
      </c>
      <c r="R11" s="16">
        <v>1.283764631790922</v>
      </c>
      <c r="S11" s="16">
        <v>1.1715943819292785</v>
      </c>
      <c r="T11" s="16">
        <v>1.2220125279809007</v>
      </c>
      <c r="U11" s="16">
        <v>1.1698049976798064</v>
      </c>
      <c r="V11" s="16">
        <v>1.3137156828552172</v>
      </c>
      <c r="W11" s="16">
        <v>1.1980245817699637</v>
      </c>
      <c r="X11" s="16">
        <v>1.24971358970695</v>
      </c>
      <c r="Y11" s="16">
        <v>1.1481295767372808</v>
      </c>
      <c r="Z11" s="16">
        <v>1.2967930509896353</v>
      </c>
      <c r="AA11" s="16">
        <v>1.178070775380457</v>
      </c>
      <c r="AB11" s="16">
        <v>1.2298994917381985</v>
      </c>
      <c r="AC11" s="16">
        <v>1.1733397317807779</v>
      </c>
      <c r="AD11" s="16">
        <v>1.3276093094801107</v>
      </c>
      <c r="AE11" s="16">
        <v>1.1779211011083894</v>
      </c>
      <c r="AF11" s="16">
        <v>1.2275020951292253</v>
      </c>
      <c r="AG11" s="16">
        <v>1.162339229827858</v>
      </c>
      <c r="AH11" s="16">
        <v>1.3283010312092012</v>
      </c>
      <c r="AI11" s="16">
        <v>1.204849375563771</v>
      </c>
      <c r="AJ11" s="16">
        <v>1.2474931407378669</v>
      </c>
      <c r="AK11" s="16">
        <v>1.1544519887804705</v>
      </c>
      <c r="AL11" s="16">
        <v>1.3581430810905832</v>
      </c>
      <c r="AM11" s="16">
        <v>1.2257094696869488</v>
      </c>
      <c r="AN11" s="16">
        <v>1.2786030302548324</v>
      </c>
      <c r="AO11" s="16">
        <v>1.1813647326402366</v>
      </c>
      <c r="AP11" s="16">
        <v>1.3934274238343125</v>
      </c>
      <c r="AQ11" s="16">
        <v>1.2571136036175112</v>
      </c>
      <c r="AR11" s="16">
        <v>1.3120455646416644</v>
      </c>
      <c r="AS11" s="16">
        <v>1.2103153652826408</v>
      </c>
      <c r="AT11" s="16">
        <v>1.4314089823196372</v>
      </c>
      <c r="AU11" s="16">
        <v>1.2909406555641216</v>
      </c>
      <c r="AV11" s="16">
        <v>1.3480943814911543</v>
      </c>
      <c r="AW11" s="16">
        <v>1.241544794438156</v>
      </c>
      <c r="AX11" s="16">
        <v>1.4724106260924135</v>
      </c>
      <c r="AY11" s="16">
        <v>1.3274834642895583</v>
      </c>
      <c r="AZ11" s="16">
        <v>1.3870676541064044</v>
      </c>
      <c r="BA11" s="16">
        <v>1.275333679406706</v>
      </c>
      <c r="BB11" s="16">
        <v>1.5168088334197811</v>
      </c>
      <c r="BC11" s="16">
        <v>1.3670840272327014</v>
      </c>
      <c r="BD11" s="16">
        <v>1.4293375513076294</v>
      </c>
      <c r="BE11" s="16">
        <v>1.3120109176474144</v>
      </c>
      <c r="BF11" s="16">
        <v>1.5650453360801289</v>
      </c>
      <c r="BG11" s="16">
        <v>1.4101442865549505</v>
      </c>
      <c r="BH11" s="16">
        <v>1.4753422098908848</v>
      </c>
      <c r="BI11" s="16">
        <v>1.3519644289697474</v>
      </c>
      <c r="BJ11" s="16">
        <v>1.6176419232056305</v>
      </c>
      <c r="BK11" s="16">
        <v>1.4571398783848075</v>
      </c>
      <c r="BL11" s="16">
        <v>1.525601036886043</v>
      </c>
      <c r="BM11" s="16">
        <v>1.3956549856195226</v>
      </c>
      <c r="BN11" s="16">
        <v>1.675219457609628</v>
      </c>
      <c r="BO11" s="16">
        <v>1.5086378437078107</v>
      </c>
      <c r="BP11" s="16">
        <v>1.580734476095037</v>
      </c>
      <c r="BQ11" s="16">
        <v>1.4436341342293217</v>
      </c>
      <c r="BR11" s="16">
        <v>1.7385225765766286</v>
      </c>
      <c r="BS11" s="16">
        <v>1.565319701775354</v>
      </c>
      <c r="BT11" s="16">
        <v>1.6414898370379218</v>
      </c>
      <c r="BU11" s="16">
        <v>1.496567690589002</v>
      </c>
      <c r="BV11" s="16">
        <v>1.8084521660333404</v>
      </c>
      <c r="BW11" s="16">
        <v>1.628011882259217</v>
      </c>
      <c r="BX11" s="16">
        <v>1.7087756251124153</v>
      </c>
      <c r="BY11" s="16">
        <v>1.562666242046989</v>
      </c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31" t="s">
        <v>253</v>
      </c>
      <c r="C13" s="30" t="s">
        <v>190</v>
      </c>
      <c r="D13" s="14">
        <v>85238.8415837678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463.845833856406</v>
      </c>
      <c r="L13" s="14">
        <v>201.17269808963664</v>
      </c>
      <c r="M13" s="14">
        <v>2172.4275206617676</v>
      </c>
      <c r="N13" s="14">
        <v>-1709.8082053324124</v>
      </c>
      <c r="O13" s="14">
        <v>-777.584402277803</v>
      </c>
      <c r="P13" s="14">
        <v>215.7663291840403</v>
      </c>
      <c r="Q13" s="14">
        <v>415.0958578477628</v>
      </c>
      <c r="R13" s="14">
        <v>697.1369207818416</v>
      </c>
      <c r="S13" s="14">
        <v>300.7752283800671</v>
      </c>
      <c r="T13" s="14">
        <v>247.7864765694036</v>
      </c>
      <c r="U13" s="14">
        <v>481.0505953994026</v>
      </c>
      <c r="V13" s="14">
        <v>766.8309615367239</v>
      </c>
      <c r="W13" s="14">
        <v>244.82437191784754</v>
      </c>
      <c r="X13" s="14">
        <v>156.99695355033035</v>
      </c>
      <c r="Y13" s="14">
        <v>423.10109231922314</v>
      </c>
      <c r="Z13" s="14">
        <v>714.4895121556226</v>
      </c>
      <c r="AA13" s="14">
        <v>323.7043687034486</v>
      </c>
      <c r="AB13" s="14">
        <v>195.8872130182594</v>
      </c>
      <c r="AC13" s="14">
        <v>411.869941481567</v>
      </c>
      <c r="AD13" s="14">
        <v>708.1656337738627</v>
      </c>
      <c r="AE13" s="14">
        <v>325.3987072365872</v>
      </c>
      <c r="AF13" s="14">
        <v>158.20349975505047</v>
      </c>
      <c r="AG13" s="14">
        <v>494.5390703923929</v>
      </c>
      <c r="AH13" s="14">
        <v>794.5740663863222</v>
      </c>
      <c r="AI13" s="14">
        <v>408.65489662440126</v>
      </c>
      <c r="AJ13" s="14">
        <v>141.02454432110113</v>
      </c>
      <c r="AK13" s="14">
        <v>572.0591126664169</v>
      </c>
      <c r="AL13" s="14">
        <v>875.8334123662406</v>
      </c>
      <c r="AM13" s="14">
        <v>491.75946573021236</v>
      </c>
      <c r="AN13" s="14">
        <v>-26.97865098720729</v>
      </c>
      <c r="AO13" s="14">
        <v>649.4275346584392</v>
      </c>
      <c r="AP13" s="14">
        <v>956.9411380641588</v>
      </c>
      <c r="AQ13" s="14">
        <v>574.7098366275673</v>
      </c>
      <c r="AR13" s="14">
        <v>-12.551257317670775</v>
      </c>
      <c r="AS13" s="14">
        <v>726.6417584420047</v>
      </c>
      <c r="AT13" s="14">
        <v>1037.8946655536186</v>
      </c>
      <c r="AU13" s="14">
        <v>657.5033866486789</v>
      </c>
      <c r="AV13" s="14">
        <v>1.84877331545988</v>
      </c>
      <c r="AW13" s="14">
        <v>803.6991613493262</v>
      </c>
      <c r="AX13" s="14">
        <v>1118.6913721668361</v>
      </c>
      <c r="AY13" s="14">
        <v>740.1374475918403</v>
      </c>
      <c r="AZ13" s="14">
        <v>16.220974777335982</v>
      </c>
      <c r="BA13" s="14">
        <v>880.5970751786951</v>
      </c>
      <c r="BB13" s="14">
        <v>1199.328589702099</v>
      </c>
      <c r="BC13" s="14">
        <v>822.6093049145525</v>
      </c>
      <c r="BD13" s="14">
        <v>30.564872827313366</v>
      </c>
      <c r="BE13" s="14">
        <v>957.3327853876172</v>
      </c>
      <c r="BF13" s="14">
        <v>1279.803603616917</v>
      </c>
      <c r="BG13" s="14">
        <v>904.9161969120546</v>
      </c>
      <c r="BH13" s="14">
        <v>44.879984975070556</v>
      </c>
      <c r="BI13" s="14">
        <v>1033.9035302713296</v>
      </c>
      <c r="BJ13" s="14">
        <v>1360.113652206523</v>
      </c>
      <c r="BK13" s="14">
        <v>987.0553138810005</v>
      </c>
      <c r="BL13" s="14">
        <v>59.16582033414602</v>
      </c>
      <c r="BM13" s="14">
        <v>1110.3065001264883</v>
      </c>
      <c r="BN13" s="14">
        <v>1440.2559257675762</v>
      </c>
      <c r="BO13" s="14">
        <v>1069.023797268028</v>
      </c>
      <c r="BP13" s="14">
        <v>73.42187947282787</v>
      </c>
      <c r="BQ13" s="14">
        <v>1186.5388363997236</v>
      </c>
      <c r="BR13" s="14">
        <v>1520.2275657467092</v>
      </c>
      <c r="BS13" s="14">
        <v>1150.8187388029173</v>
      </c>
      <c r="BT13" s="14">
        <v>87.64765426233134</v>
      </c>
      <c r="BU13" s="14">
        <v>1262.5976308208221</v>
      </c>
      <c r="BV13" s="14">
        <v>1600.0256638737012</v>
      </c>
      <c r="BW13" s="14">
        <v>1232.437179616059</v>
      </c>
      <c r="BX13" s="14">
        <v>2211.217627722225</v>
      </c>
      <c r="BY13" s="14">
        <v>3438.6557057701775</v>
      </c>
      <c r="BZ13" s="14">
        <v>3730.6238160315816</v>
      </c>
      <c r="CA13" s="14">
        <v>3335.6534454491293</v>
      </c>
      <c r="CB13" s="14">
        <v>2110.507028047506</v>
      </c>
      <c r="CC13" s="14">
        <v>3397.561605952507</v>
      </c>
      <c r="CD13" s="14">
        <v>3693.269027773702</v>
      </c>
      <c r="CE13" s="14">
        <v>3300.112926729781</v>
      </c>
      <c r="CF13" s="14">
        <v>2087.1762144804907</v>
      </c>
      <c r="CG13" s="14">
        <v>3356.284940119369</v>
      </c>
      <c r="CH13" s="14">
        <v>3655.731665646459</v>
      </c>
      <c r="CI13" s="14">
        <v>3264.3867180169627</v>
      </c>
      <c r="CJ13" s="14">
        <v>2041.2767739255946</v>
      </c>
      <c r="CK13" s="14">
        <v>3804.822584292758</v>
      </c>
      <c r="CL13" s="14">
        <v>2358.2215834589415</v>
      </c>
    </row>
    <row r="14" spans="2:90" x14ac:dyDescent="0.25">
      <c r="B14" s="29" t="s">
        <v>254</v>
      </c>
      <c r="C14" s="30" t="s">
        <v>190</v>
      </c>
      <c r="D14" s="14">
        <v>-5000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-1262.5000136353665</v>
      </c>
      <c r="L14" s="19">
        <v>4134.37498481516</v>
      </c>
      <c r="M14" s="19">
        <v>2777.76952104633</v>
      </c>
      <c r="N14" s="19">
        <v>-2475.849209659007</v>
      </c>
      <c r="O14" s="19">
        <v>-1143.5374958015464</v>
      </c>
      <c r="P14" s="19">
        <v>86.41249968142893</v>
      </c>
      <c r="Q14" s="19">
        <v>84.54374968824595</v>
      </c>
      <c r="R14" s="19">
        <v>-52.324999809105066</v>
      </c>
      <c r="S14" s="19">
        <v>-52.324999809105066</v>
      </c>
      <c r="T14" s="19">
        <v>-52.324999809105066</v>
      </c>
      <c r="U14" s="19">
        <v>-52.324999809105066</v>
      </c>
      <c r="V14" s="19">
        <v>-52.324999809105066</v>
      </c>
      <c r="W14" s="19">
        <v>82.67499969506389</v>
      </c>
      <c r="X14" s="19">
        <v>80.80624970188182</v>
      </c>
      <c r="Y14" s="19">
        <v>-56.06249979546919</v>
      </c>
      <c r="Z14" s="19">
        <v>-56.06249979547101</v>
      </c>
      <c r="AA14" s="19">
        <v>-56.06249979546919</v>
      </c>
      <c r="AB14" s="19">
        <v>-56.06249979546919</v>
      </c>
      <c r="AC14" s="19">
        <v>28.31249989463595</v>
      </c>
      <c r="AD14" s="19">
        <v>27.14453114889693</v>
      </c>
      <c r="AE14" s="19">
        <v>-58.39843728694723</v>
      </c>
      <c r="AF14" s="19">
        <v>-58.39843728694723</v>
      </c>
      <c r="AG14" s="19">
        <v>-58.39843728694723</v>
      </c>
      <c r="AH14" s="19">
        <v>-58.39843728694814</v>
      </c>
      <c r="AI14" s="19">
        <v>-58.39843728694723</v>
      </c>
      <c r="AJ14" s="19">
        <v>-58.39843728694723</v>
      </c>
      <c r="AK14" s="19">
        <v>-58.39843728694723</v>
      </c>
      <c r="AL14" s="19">
        <v>-58.39843728694814</v>
      </c>
      <c r="AM14" s="19">
        <v>-58.39843728694723</v>
      </c>
      <c r="AN14" s="19">
        <v>-58.39843728694723</v>
      </c>
      <c r="AO14" s="19">
        <v>-58.39843728694723</v>
      </c>
      <c r="AP14" s="19">
        <v>-58.39843728694723</v>
      </c>
      <c r="AQ14" s="19">
        <v>-58.39843728694723</v>
      </c>
      <c r="AR14" s="19">
        <v>-58.39843728694814</v>
      </c>
      <c r="AS14" s="19">
        <v>-58.39843728694723</v>
      </c>
      <c r="AT14" s="19">
        <v>-58.39843728694723</v>
      </c>
      <c r="AU14" s="19">
        <v>-58.39843728694723</v>
      </c>
      <c r="AV14" s="19">
        <v>-58.39843728694814</v>
      </c>
      <c r="AW14" s="19">
        <v>-58.39843728694723</v>
      </c>
      <c r="AX14" s="19">
        <v>-58.39843728694723</v>
      </c>
      <c r="AY14" s="19">
        <v>-58.39843728694723</v>
      </c>
      <c r="AZ14" s="19">
        <v>-58.39843728694723</v>
      </c>
      <c r="BA14" s="19">
        <v>-58.39843728694723</v>
      </c>
      <c r="BB14" s="19">
        <v>-58.39843728694814</v>
      </c>
      <c r="BC14" s="19">
        <v>-58.39843728694723</v>
      </c>
      <c r="BD14" s="19">
        <v>-58.39843728694723</v>
      </c>
      <c r="BE14" s="19">
        <v>-58.39843728694723</v>
      </c>
      <c r="BF14" s="19">
        <v>-58.39843728694814</v>
      </c>
      <c r="BG14" s="19">
        <v>-58.39843728694723</v>
      </c>
      <c r="BH14" s="19">
        <v>-58.39843728694723</v>
      </c>
      <c r="BI14" s="19">
        <v>-58.39843728694723</v>
      </c>
      <c r="BJ14" s="19">
        <v>-58.39843728694723</v>
      </c>
      <c r="BK14" s="19">
        <v>-58.39843728694814</v>
      </c>
      <c r="BL14" s="19">
        <v>-58.39843728694723</v>
      </c>
      <c r="BM14" s="19">
        <v>-58.39843728694723</v>
      </c>
      <c r="BN14" s="19">
        <v>-58.39843728694723</v>
      </c>
      <c r="BO14" s="19">
        <v>-58.39843728694723</v>
      </c>
      <c r="BP14" s="19">
        <v>-58.39843728694723</v>
      </c>
      <c r="BQ14" s="19">
        <v>-58.39843728694814</v>
      </c>
      <c r="BR14" s="19">
        <v>-58.39843728694723</v>
      </c>
      <c r="BS14" s="19">
        <v>-58.39843728694723</v>
      </c>
      <c r="BT14" s="19">
        <v>-58.39843728694723</v>
      </c>
      <c r="BU14" s="19">
        <v>-58.39843728694814</v>
      </c>
      <c r="BV14" s="19">
        <v>-58.39843728694723</v>
      </c>
      <c r="BW14" s="19">
        <v>-58.398437286950866</v>
      </c>
      <c r="BX14" s="19">
        <v>-2167.77342953958</v>
      </c>
      <c r="BY14" s="19">
        <v>-2138.5742108961026</v>
      </c>
      <c r="BZ14" s="19">
        <v>0</v>
      </c>
      <c r="CA14" s="19">
        <v>0</v>
      </c>
      <c r="CB14" s="19">
        <v>0</v>
      </c>
      <c r="CC14" s="19">
        <v>0</v>
      </c>
      <c r="CD14" s="19">
        <v>0</v>
      </c>
      <c r="CE14" s="19">
        <v>0</v>
      </c>
      <c r="CF14" s="19">
        <v>0</v>
      </c>
      <c r="CG14" s="19">
        <v>0</v>
      </c>
      <c r="CH14" s="19">
        <v>0</v>
      </c>
      <c r="CI14" s="19">
        <v>0</v>
      </c>
      <c r="CJ14" s="19">
        <v>0</v>
      </c>
      <c r="CK14" s="19">
        <v>0</v>
      </c>
      <c r="CL14" s="19">
        <v>0</v>
      </c>
    </row>
    <row r="15" spans="2:90" x14ac:dyDescent="0.25">
      <c r="B15" s="29" t="s">
        <v>255</v>
      </c>
      <c r="C15" s="30" t="s">
        <v>190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0</v>
      </c>
      <c r="L15" s="19">
        <v>463.845833856406</v>
      </c>
      <c r="M15" s="19">
        <v>665.0185319460427</v>
      </c>
      <c r="N15" s="19">
        <v>2837.44605260781</v>
      </c>
      <c r="O15" s="19">
        <v>1127.6378472753977</v>
      </c>
      <c r="P15" s="19">
        <v>350.05344499759474</v>
      </c>
      <c r="Q15" s="19">
        <v>565.819774181635</v>
      </c>
      <c r="R15" s="19">
        <v>980.9156320293978</v>
      </c>
      <c r="S15" s="19">
        <v>1678.0525528112394</v>
      </c>
      <c r="T15" s="19">
        <v>1978.8277811913065</v>
      </c>
      <c r="U15" s="19">
        <v>1247.7864765694037</v>
      </c>
      <c r="V15" s="19">
        <v>1728.8370719688064</v>
      </c>
      <c r="W15" s="19">
        <v>2495.6680335055303</v>
      </c>
      <c r="X15" s="19">
        <v>2740.492405423378</v>
      </c>
      <c r="Y15" s="19">
        <v>1156.9969535503305</v>
      </c>
      <c r="Z15" s="19">
        <v>1580.0980458695537</v>
      </c>
      <c r="AA15" s="19">
        <v>2294.5875580251763</v>
      </c>
      <c r="AB15" s="19">
        <v>2618.291926728625</v>
      </c>
      <c r="AC15" s="19">
        <v>1195.8872130182594</v>
      </c>
      <c r="AD15" s="19">
        <v>1607.7571544998264</v>
      </c>
      <c r="AE15" s="19">
        <v>2315.922788273689</v>
      </c>
      <c r="AF15" s="19">
        <v>2641.3214955102762</v>
      </c>
      <c r="AG15" s="19">
        <v>1158.2034997550504</v>
      </c>
      <c r="AH15" s="19">
        <v>1652.7425701474433</v>
      </c>
      <c r="AI15" s="19">
        <v>2447.3166365337656</v>
      </c>
      <c r="AJ15" s="19">
        <v>2855.971533158167</v>
      </c>
      <c r="AK15" s="19">
        <v>1141.024544321101</v>
      </c>
      <c r="AL15" s="19">
        <v>1713.083656987518</v>
      </c>
      <c r="AM15" s="19">
        <v>2588.9170693537585</v>
      </c>
      <c r="AN15" s="19">
        <v>3080.676535083971</v>
      </c>
      <c r="AO15" s="19">
        <v>973.0213490127926</v>
      </c>
      <c r="AP15" s="19">
        <v>1622.4488836712317</v>
      </c>
      <c r="AQ15" s="19">
        <v>2579.3900217353903</v>
      </c>
      <c r="AR15" s="19">
        <v>3154.0998583629575</v>
      </c>
      <c r="AS15" s="19">
        <v>987.4487426823293</v>
      </c>
      <c r="AT15" s="19">
        <v>1714.090501124334</v>
      </c>
      <c r="AU15" s="19">
        <v>2751.9851666779523</v>
      </c>
      <c r="AV15" s="19">
        <v>3409.488553326631</v>
      </c>
      <c r="AW15" s="19">
        <v>1001.8487733154598</v>
      </c>
      <c r="AX15" s="19">
        <v>1805.547934664786</v>
      </c>
      <c r="AY15" s="19">
        <v>2924.2393068316223</v>
      </c>
      <c r="AZ15" s="19">
        <v>3664.3767544234624</v>
      </c>
      <c r="BA15" s="19">
        <v>1016.2209747773359</v>
      </c>
      <c r="BB15" s="19">
        <v>1896.818049956031</v>
      </c>
      <c r="BC15" s="19">
        <v>3096.14663965813</v>
      </c>
      <c r="BD15" s="19">
        <v>3918.7559445726824</v>
      </c>
      <c r="BE15" s="19">
        <v>1030.5648728273131</v>
      </c>
      <c r="BF15" s="19">
        <v>1987.8976582149303</v>
      </c>
      <c r="BG15" s="19">
        <v>3267.701261831847</v>
      </c>
      <c r="BH15" s="19">
        <v>4172.617458743902</v>
      </c>
      <c r="BI15" s="19">
        <v>1044.8799849750703</v>
      </c>
      <c r="BJ15" s="19">
        <v>2078.7835152464</v>
      </c>
      <c r="BK15" s="19">
        <v>3438.897167452923</v>
      </c>
      <c r="BL15" s="19">
        <v>4425.952481333923</v>
      </c>
      <c r="BM15" s="19">
        <v>1059.1658203341458</v>
      </c>
      <c r="BN15" s="19">
        <v>2169.4723204606344</v>
      </c>
      <c r="BO15" s="19">
        <v>3609.7282462282105</v>
      </c>
      <c r="BP15" s="19">
        <v>4678.752043496239</v>
      </c>
      <c r="BQ15" s="19">
        <v>1073.4218794728276</v>
      </c>
      <c r="BR15" s="19">
        <v>2259.960715872551</v>
      </c>
      <c r="BS15" s="19">
        <v>3780.18828161926</v>
      </c>
      <c r="BT15" s="19">
        <v>4931.007020422177</v>
      </c>
      <c r="BU15" s="19">
        <v>1087.6476542623313</v>
      </c>
      <c r="BV15" s="19">
        <v>2350.2452850831532</v>
      </c>
      <c r="BW15" s="19">
        <v>3950.270948956854</v>
      </c>
      <c r="BX15" s="19">
        <v>5182.708128572913</v>
      </c>
      <c r="BY15" s="19">
        <v>3211.217627722225</v>
      </c>
      <c r="BZ15" s="19">
        <v>6649.873333492403</v>
      </c>
      <c r="CA15" s="19">
        <v>10380.497149523984</v>
      </c>
      <c r="CB15" s="19">
        <v>13716.150594973114</v>
      </c>
      <c r="CC15" s="19">
        <v>13177.344931102933</v>
      </c>
      <c r="CD15" s="19">
        <v>16574.906537055438</v>
      </c>
      <c r="CE15" s="19">
        <v>20268.17556482914</v>
      </c>
      <c r="CF15" s="19">
        <v>23568.28849155892</v>
      </c>
      <c r="CG15" s="19">
        <v>14588.626802983985</v>
      </c>
      <c r="CH15" s="19">
        <v>17944.911743103352</v>
      </c>
      <c r="CI15" s="19">
        <v>21600.643408749813</v>
      </c>
      <c r="CJ15" s="19">
        <v>24865.030126766775</v>
      </c>
      <c r="CK15" s="19">
        <v>19128.344562230326</v>
      </c>
      <c r="CL15" s="19">
        <v>22933.167146523083</v>
      </c>
    </row>
    <row r="16" spans="2:91" x14ac:dyDescent="0.25">
      <c r="B16" s="27" t="s">
        <v>256</v>
      </c>
      <c r="C16" s="32" t="s">
        <v>190</v>
      </c>
      <c r="D16" s="33">
        <v>85238.84158376779</v>
      </c>
      <c r="E16" s="33">
        <v>0</v>
      </c>
      <c r="F16" s="33">
        <v>0</v>
      </c>
      <c r="G16" s="33">
        <v>0</v>
      </c>
      <c r="H16" s="33">
        <v>0</v>
      </c>
      <c r="I16" s="33">
        <v>0</v>
      </c>
      <c r="J16" s="33">
        <v>0</v>
      </c>
      <c r="K16" s="33">
        <v>0</v>
      </c>
      <c r="L16" s="33">
        <v>0</v>
      </c>
      <c r="M16" s="33">
        <v>0</v>
      </c>
      <c r="N16" s="33">
        <v>0</v>
      </c>
      <c r="O16" s="33">
        <v>0</v>
      </c>
      <c r="P16" s="33">
        <v>0</v>
      </c>
      <c r="Q16" s="33">
        <v>0</v>
      </c>
      <c r="R16" s="33">
        <v>0</v>
      </c>
      <c r="S16" s="33">
        <v>0</v>
      </c>
      <c r="T16" s="33">
        <v>978.8277811913065</v>
      </c>
      <c r="U16" s="33">
        <v>0</v>
      </c>
      <c r="V16" s="33">
        <v>0</v>
      </c>
      <c r="W16" s="33">
        <v>0</v>
      </c>
      <c r="X16" s="33">
        <v>1740.492405423378</v>
      </c>
      <c r="Y16" s="33">
        <v>0</v>
      </c>
      <c r="Z16" s="33">
        <v>0</v>
      </c>
      <c r="AA16" s="33">
        <v>0</v>
      </c>
      <c r="AB16" s="33">
        <v>1618.2919267286252</v>
      </c>
      <c r="AC16" s="33">
        <v>0</v>
      </c>
      <c r="AD16" s="33">
        <v>0</v>
      </c>
      <c r="AE16" s="33">
        <v>0</v>
      </c>
      <c r="AF16" s="33">
        <v>1641.3214955102762</v>
      </c>
      <c r="AG16" s="33">
        <v>0</v>
      </c>
      <c r="AH16" s="33">
        <v>0</v>
      </c>
      <c r="AI16" s="33">
        <v>0</v>
      </c>
      <c r="AJ16" s="33">
        <v>1855.971533158167</v>
      </c>
      <c r="AK16" s="33">
        <v>0</v>
      </c>
      <c r="AL16" s="33">
        <v>0</v>
      </c>
      <c r="AM16" s="33">
        <v>0</v>
      </c>
      <c r="AN16" s="33">
        <v>2080.676535083971</v>
      </c>
      <c r="AO16" s="33">
        <v>0</v>
      </c>
      <c r="AP16" s="33">
        <v>0</v>
      </c>
      <c r="AQ16" s="33">
        <v>0</v>
      </c>
      <c r="AR16" s="33">
        <v>2154.0998583629575</v>
      </c>
      <c r="AS16" s="33">
        <v>0</v>
      </c>
      <c r="AT16" s="33">
        <v>0</v>
      </c>
      <c r="AU16" s="33">
        <v>0</v>
      </c>
      <c r="AV16" s="33">
        <v>2409.488553326631</v>
      </c>
      <c r="AW16" s="33">
        <v>0</v>
      </c>
      <c r="AX16" s="33">
        <v>0</v>
      </c>
      <c r="AY16" s="33">
        <v>0</v>
      </c>
      <c r="AZ16" s="33">
        <v>2664.3767544234624</v>
      </c>
      <c r="BA16" s="33">
        <v>0</v>
      </c>
      <c r="BB16" s="33">
        <v>0</v>
      </c>
      <c r="BC16" s="33">
        <v>0</v>
      </c>
      <c r="BD16" s="33">
        <v>2918.7559445726824</v>
      </c>
      <c r="BE16" s="33">
        <v>0</v>
      </c>
      <c r="BF16" s="33">
        <v>0</v>
      </c>
      <c r="BG16" s="33">
        <v>0</v>
      </c>
      <c r="BH16" s="33">
        <v>3172.617458743902</v>
      </c>
      <c r="BI16" s="33">
        <v>0</v>
      </c>
      <c r="BJ16" s="33">
        <v>0</v>
      </c>
      <c r="BK16" s="33">
        <v>0</v>
      </c>
      <c r="BL16" s="33">
        <v>3425.952481333923</v>
      </c>
      <c r="BM16" s="33">
        <v>0</v>
      </c>
      <c r="BN16" s="33">
        <v>0</v>
      </c>
      <c r="BO16" s="33">
        <v>0</v>
      </c>
      <c r="BP16" s="33">
        <v>3678.752043496239</v>
      </c>
      <c r="BQ16" s="33">
        <v>0</v>
      </c>
      <c r="BR16" s="33">
        <v>0</v>
      </c>
      <c r="BS16" s="33">
        <v>0</v>
      </c>
      <c r="BT16" s="33">
        <v>3931.0070204221774</v>
      </c>
      <c r="BU16" s="33">
        <v>0</v>
      </c>
      <c r="BV16" s="33">
        <v>0</v>
      </c>
      <c r="BW16" s="33">
        <v>0</v>
      </c>
      <c r="BX16" s="33">
        <v>4182.708128572913</v>
      </c>
      <c r="BY16" s="33">
        <v>0</v>
      </c>
      <c r="BZ16" s="33">
        <v>0</v>
      </c>
      <c r="CA16" s="33">
        <v>0</v>
      </c>
      <c r="CB16" s="33">
        <v>2649.3126919176875</v>
      </c>
      <c r="CC16" s="33">
        <v>0</v>
      </c>
      <c r="CD16" s="33">
        <v>0</v>
      </c>
      <c r="CE16" s="33">
        <v>0</v>
      </c>
      <c r="CF16" s="33">
        <v>11066.837903055428</v>
      </c>
      <c r="CG16" s="33">
        <v>0</v>
      </c>
      <c r="CH16" s="33">
        <v>0</v>
      </c>
      <c r="CI16" s="33">
        <v>0</v>
      </c>
      <c r="CJ16" s="33">
        <v>7777.962338462044</v>
      </c>
      <c r="CK16" s="33">
        <v>0</v>
      </c>
      <c r="CL16" s="33">
        <v>25291.388729982024</v>
      </c>
      <c r="CM16" s="28"/>
    </row>
    <row r="17" spans="2:90" x14ac:dyDescent="0.25">
      <c r="B17" s="29" t="s">
        <v>257</v>
      </c>
      <c r="C17" s="30" t="s">
        <v>190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463.845833856406</v>
      </c>
      <c r="L17" s="19">
        <v>665.0185319460427</v>
      </c>
      <c r="M17" s="19">
        <v>2837.44605260781</v>
      </c>
      <c r="N17" s="19">
        <v>1127.6378472753977</v>
      </c>
      <c r="O17" s="19">
        <v>350.05344499759474</v>
      </c>
      <c r="P17" s="19">
        <v>565.819774181635</v>
      </c>
      <c r="Q17" s="19">
        <v>980.9156320293978</v>
      </c>
      <c r="R17" s="19">
        <v>1678.0525528112394</v>
      </c>
      <c r="S17" s="19">
        <v>1978.8277811913065</v>
      </c>
      <c r="T17" s="19">
        <v>1247.7864765694037</v>
      </c>
      <c r="U17" s="19">
        <v>1728.8370719688064</v>
      </c>
      <c r="V17" s="19">
        <v>2495.6680335055303</v>
      </c>
      <c r="W17" s="19">
        <v>2740.492405423378</v>
      </c>
      <c r="X17" s="19">
        <v>1156.9969535503305</v>
      </c>
      <c r="Y17" s="19">
        <v>1580.0980458695537</v>
      </c>
      <c r="Z17" s="19">
        <v>2294.5875580251763</v>
      </c>
      <c r="AA17" s="19">
        <v>2618.291926728625</v>
      </c>
      <c r="AB17" s="19">
        <v>1195.8872130182594</v>
      </c>
      <c r="AC17" s="19">
        <v>1607.7571544998264</v>
      </c>
      <c r="AD17" s="19">
        <v>2315.922788273689</v>
      </c>
      <c r="AE17" s="19">
        <v>2641.3214955102762</v>
      </c>
      <c r="AF17" s="19">
        <v>1158.2034997550504</v>
      </c>
      <c r="AG17" s="19">
        <v>1652.7425701474433</v>
      </c>
      <c r="AH17" s="19">
        <v>2447.3166365337656</v>
      </c>
      <c r="AI17" s="19">
        <v>2855.971533158167</v>
      </c>
      <c r="AJ17" s="19">
        <v>1141.024544321101</v>
      </c>
      <c r="AK17" s="19">
        <v>1713.083656987518</v>
      </c>
      <c r="AL17" s="19">
        <v>2588.9170693537585</v>
      </c>
      <c r="AM17" s="19">
        <v>3080.676535083971</v>
      </c>
      <c r="AN17" s="19">
        <v>973.0213490127926</v>
      </c>
      <c r="AO17" s="19">
        <v>1622.4488836712317</v>
      </c>
      <c r="AP17" s="19">
        <v>2579.3900217353903</v>
      </c>
      <c r="AQ17" s="19">
        <v>3154.0998583629575</v>
      </c>
      <c r="AR17" s="19">
        <v>987.4487426823293</v>
      </c>
      <c r="AS17" s="19">
        <v>1714.090501124334</v>
      </c>
      <c r="AT17" s="19">
        <v>2751.9851666779523</v>
      </c>
      <c r="AU17" s="19">
        <v>3409.488553326631</v>
      </c>
      <c r="AV17" s="19">
        <v>1001.8487733154598</v>
      </c>
      <c r="AW17" s="19">
        <v>1805.547934664786</v>
      </c>
      <c r="AX17" s="19">
        <v>2924.2393068316223</v>
      </c>
      <c r="AY17" s="19">
        <v>3664.3767544234624</v>
      </c>
      <c r="AZ17" s="19">
        <v>1016.2209747773359</v>
      </c>
      <c r="BA17" s="19">
        <v>1896.818049956031</v>
      </c>
      <c r="BB17" s="19">
        <v>3096.14663965813</v>
      </c>
      <c r="BC17" s="19">
        <v>3918.7559445726824</v>
      </c>
      <c r="BD17" s="19">
        <v>1030.5648728273131</v>
      </c>
      <c r="BE17" s="19">
        <v>1987.8976582149303</v>
      </c>
      <c r="BF17" s="19">
        <v>3267.701261831847</v>
      </c>
      <c r="BG17" s="19">
        <v>4172.617458743902</v>
      </c>
      <c r="BH17" s="19">
        <v>1044.8799849750703</v>
      </c>
      <c r="BI17" s="19">
        <v>2078.7835152464</v>
      </c>
      <c r="BJ17" s="19">
        <v>3438.897167452923</v>
      </c>
      <c r="BK17" s="19">
        <v>4425.952481333923</v>
      </c>
      <c r="BL17" s="19">
        <v>1059.1658203341458</v>
      </c>
      <c r="BM17" s="19">
        <v>2169.4723204606344</v>
      </c>
      <c r="BN17" s="19">
        <v>3609.7282462282105</v>
      </c>
      <c r="BO17" s="19">
        <v>4678.752043496239</v>
      </c>
      <c r="BP17" s="19">
        <v>1073.4218794728276</v>
      </c>
      <c r="BQ17" s="19">
        <v>2259.960715872551</v>
      </c>
      <c r="BR17" s="19">
        <v>3780.18828161926</v>
      </c>
      <c r="BS17" s="19">
        <v>4931.007020422177</v>
      </c>
      <c r="BT17" s="19">
        <v>1087.6476542623313</v>
      </c>
      <c r="BU17" s="19">
        <v>2350.2452850831532</v>
      </c>
      <c r="BV17" s="19">
        <v>3950.270948956854</v>
      </c>
      <c r="BW17" s="19">
        <v>5182.708128572913</v>
      </c>
      <c r="BX17" s="19">
        <v>3211.217627722225</v>
      </c>
      <c r="BY17" s="19">
        <v>6649.873333492403</v>
      </c>
      <c r="BZ17" s="19">
        <v>10380.497149523984</v>
      </c>
      <c r="CA17" s="19">
        <v>13716.150594973114</v>
      </c>
      <c r="CB17" s="19">
        <v>13177.344931102933</v>
      </c>
      <c r="CC17" s="19">
        <v>16574.906537055438</v>
      </c>
      <c r="CD17" s="19">
        <v>20268.17556482914</v>
      </c>
      <c r="CE17" s="19">
        <v>23568.28849155892</v>
      </c>
      <c r="CF17" s="19">
        <v>14588.626802983985</v>
      </c>
      <c r="CG17" s="19">
        <v>17944.911743103352</v>
      </c>
      <c r="CH17" s="19">
        <v>21600.643408749813</v>
      </c>
      <c r="CI17" s="19">
        <v>24865.030126766775</v>
      </c>
      <c r="CJ17" s="19">
        <v>19128.344562230326</v>
      </c>
      <c r="CK17" s="19">
        <v>22933.167146523083</v>
      </c>
      <c r="CL17" s="19">
        <v>0</v>
      </c>
    </row>
    <row r="20" spans="2:91" x14ac:dyDescent="0.25">
      <c r="B20" s="9" t="s">
        <v>258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10"/>
      <c r="CK20" s="10"/>
      <c r="CL20" s="10"/>
      <c r="CM20" s="10"/>
    </row>
    <row r="22" spans="2:4" x14ac:dyDescent="0.25">
      <c r="B22" s="31" t="s">
        <v>259</v>
      </c>
      <c r="C22" s="30" t="s">
        <v>252</v>
      </c>
      <c r="D22" s="16">
        <v>1.2179359636659561</v>
      </c>
    </row>
    <row r="23" spans="2:4" x14ac:dyDescent="0.25">
      <c r="B23" s="31" t="s">
        <v>260</v>
      </c>
      <c r="C23" s="30" t="s">
        <v>252</v>
      </c>
      <c r="D23" s="16">
        <v>1.4488807154069607</v>
      </c>
    </row>
    <row r="24" spans="2:4" x14ac:dyDescent="0.25">
      <c r="B24" s="31" t="s">
        <v>261</v>
      </c>
      <c r="C24" s="30" t="s">
        <v>190</v>
      </c>
      <c r="D24" s="14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">
        <v>0</v>
      </c>
    </row>
    <row r="7" spans="2:4" x14ac:dyDescent="0.25">
      <c r="B7" s="5" t="s">
        <v>24</v>
      </c>
      <c r="D7" s="12">
        <v>99.998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v>144999.9995041685</v>
      </c>
    </row>
    <row r="14" spans="2:4" x14ac:dyDescent="0.25">
      <c r="B14" s="5" t="s">
        <v>30</v>
      </c>
      <c r="D14" s="14">
        <v>3931.178504168494</v>
      </c>
    </row>
    <row r="15" spans="2:4" x14ac:dyDescent="0.25">
      <c r="B15" s="5" t="s">
        <v>31</v>
      </c>
      <c r="D15" s="14">
        <v>15000</v>
      </c>
    </row>
    <row r="16" spans="2:4" x14ac:dyDescent="0.25">
      <c r="B16" s="5" t="s">
        <v>32</v>
      </c>
      <c r="D16" s="14">
        <v>134999.9995041685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v>0.0846680866965579</v>
      </c>
    </row>
    <row r="21" spans="2:4" x14ac:dyDescent="0.25">
      <c r="B21" s="5" t="s">
        <v>35</v>
      </c>
      <c r="D21" s="15">
        <v>0.07860654632388986</v>
      </c>
    </row>
    <row r="22" spans="2:4" x14ac:dyDescent="0.25">
      <c r="B22" s="5" t="s">
        <v>36</v>
      </c>
      <c r="D22" s="15">
        <v>0.1333365461845557</v>
      </c>
    </row>
    <row r="23" spans="2:4" x14ac:dyDescent="0.25">
      <c r="B23" s="5" t="s">
        <v>37</v>
      </c>
      <c r="D23" s="15">
        <v>0.121194522123244</v>
      </c>
    </row>
    <row r="24" spans="2:4" x14ac:dyDescent="0.25">
      <c r="B24" s="5" t="s">
        <v>38</v>
      </c>
      <c r="D24" s="15">
        <v>0.07285372879684027</v>
      </c>
    </row>
    <row r="25" spans="2:4" x14ac:dyDescent="0.25">
      <c r="B25" s="5" t="s">
        <v>39</v>
      </c>
      <c r="D25" s="16">
        <v>1.2179359636659561</v>
      </c>
    </row>
    <row r="26" spans="2:4" x14ac:dyDescent="0.25">
      <c r="B26" s="5" t="s">
        <v>40</v>
      </c>
      <c r="D26" s="16">
        <v>1.4488807154069607</v>
      </c>
    </row>
    <row r="27" spans="2:4" x14ac:dyDescent="0.25">
      <c r="B27" s="5" t="s">
        <v>41</v>
      </c>
      <c r="D27" s="14">
        <v>405781.18185676506</v>
      </c>
    </row>
    <row r="28" spans="2:4" x14ac:dyDescent="0.25">
      <c r="B28" s="5" t="s">
        <v>42</v>
      </c>
      <c r="D28" s="14">
        <v>105377.38133925629</v>
      </c>
    </row>
    <row r="29" spans="2:4" x14ac:dyDescent="0.25">
      <c r="B29" s="5" t="s">
        <v>43</v>
      </c>
      <c r="D29" s="14">
        <v>66082.73725891308</v>
      </c>
    </row>
    <row r="30" spans="2:4" x14ac:dyDescent="0.25">
      <c r="B30" s="5" t="s">
        <v>44</v>
      </c>
      <c r="D30" s="14">
        <v>16762.222221046482</v>
      </c>
    </row>
    <row r="31" spans="2:4" x14ac:dyDescent="0.25">
      <c r="B31" s="5" t="s">
        <v>45</v>
      </c>
      <c r="D31" s="14">
        <v>85238.84158376779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2026-08-26T07:06:49Z</dcterms:created>
  <dcterms:modified xsi:type="dcterms:W3CDTF">2026-08-26T07:06:49Z</dcterms:modified>
</cp:coreProperties>
</file>