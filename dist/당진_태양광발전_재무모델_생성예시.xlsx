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목차" sheetId="1" state="visible" r:id="rId3"/>
    <sheet name="Report" sheetId="2" state="visible" r:id="rId4"/>
    <sheet name="Assum" sheetId="3" state="visible" r:id="rId5"/>
    <sheet name="Construction" sheetId="4" state="visible" r:id="rId6"/>
    <sheet name="TIC_Funding" sheetId="5" state="visible" r:id="rId7"/>
    <sheet name="Revenue" sheetId="6" state="visible" r:id="rId8"/>
    <sheet name="Opex" sheetId="7" state="visible" r:id="rId9"/>
    <sheet name="Debt" sheetId="8" state="visible" r:id="rId10"/>
    <sheet name="IS(Y)" sheetId="9" state="visible" r:id="rId11"/>
    <sheet name="CF(Y)" sheetId="10" state="visible" r:id="rId12"/>
    <sheet name="DSCR" sheetId="11" state="visible" r:id="rId13"/>
    <sheet name="IRR" sheetId="12" state="visible" r:id="rId14"/>
    <sheet name="Sensitivit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<sst xmlns="http://schemas.openxmlformats.org/spreadsheetml/2006/main" count="632" uniqueCount="296">
  <si>
    <t xml:space="preserve">당진 태양광발전</t>
  </si>
  <si>
    <r>
      <rPr>
        <sz val="10"/>
        <color rgb="FF6B7B76"/>
        <rFont val="Noto Sans CJK SC"/>
        <family val="2"/>
      </rPr>
      <t xml:space="preserve">재무모델 </t>
    </r>
    <r>
      <rPr>
        <sz val="10"/>
        <color rgb="FF6B7B76"/>
        <rFont val="맑은 고딕"/>
        <family val="0"/>
        <charset val="1"/>
      </rPr>
      <t xml:space="preserve">(Financial Model) — </t>
    </r>
    <r>
      <rPr>
        <sz val="10"/>
        <color rgb="FF6B7B76"/>
        <rFont val="Noto Sans CJK SC"/>
        <family val="2"/>
      </rPr>
      <t xml:space="preserve">재생</t>
    </r>
    <r>
      <rPr>
        <sz val="10"/>
        <color rgb="FF6B7B76"/>
        <rFont val="맑은 고딕"/>
        <family val="0"/>
        <charset val="1"/>
      </rPr>
      <t xml:space="preserve">E AI Agent </t>
    </r>
    <r>
      <rPr>
        <sz val="10"/>
        <color rgb="FF6B7B76"/>
        <rFont val="Noto Sans CJK SC"/>
        <family val="2"/>
      </rPr>
      <t xml:space="preserve">자동생성  </t>
    </r>
    <r>
      <rPr>
        <sz val="10"/>
        <color rgb="FF6B7B76"/>
        <rFont val="맑은 고딕"/>
        <family val="0"/>
        <charset val="1"/>
      </rPr>
      <t xml:space="preserve">·  2026-08-06</t>
    </r>
  </si>
  <si>
    <t xml:space="preserve">No</t>
  </si>
  <si>
    <t xml:space="preserve">시트</t>
  </si>
  <si>
    <t xml:space="preserve">내용</t>
  </si>
  <si>
    <t xml:space="preserve">1</t>
  </si>
  <si>
    <t xml:space="preserve">Assum</t>
  </si>
  <si>
    <r>
      <rPr>
        <sz val="10"/>
        <rFont val="Noto Sans CJK SC"/>
        <family val="2"/>
      </rPr>
      <t xml:space="preserve">모든 입력 가정 — 노란 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파란 글씨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만 수정하면 전 시트 재계산</t>
    </r>
  </si>
  <si>
    <t xml:space="preserve">2</t>
  </si>
  <si>
    <t xml:space="preserve">TIC_Funding</t>
  </si>
  <si>
    <r>
      <rPr>
        <sz val="10"/>
        <rFont val="Noto Sans CJK SC"/>
        <family val="2"/>
      </rPr>
      <t xml:space="preserve">총투자비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건설이자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재원조달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감가상각 기준</t>
    </r>
  </si>
  <si>
    <t xml:space="preserve">3</t>
  </si>
  <si>
    <t xml:space="preserve">Revenue</t>
  </si>
  <si>
    <r>
      <rPr>
        <sz val="10"/>
        <rFont val="Noto Sans CJK SC"/>
        <family val="2"/>
      </rPr>
      <t xml:space="preserve">발전량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판매단가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영업수익 추정</t>
    </r>
  </si>
  <si>
    <t xml:space="preserve">4</t>
  </si>
  <si>
    <t xml:space="preserve">Opex</t>
  </si>
  <si>
    <r>
      <rPr>
        <sz val="10"/>
        <rFont val="Noto Sans CJK SC"/>
        <family val="2"/>
      </rPr>
      <t xml:space="preserve">운영비용 추정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물가상승 반영</t>
    </r>
    <r>
      <rPr>
        <sz val="10"/>
        <rFont val="맑은 고딕"/>
        <family val="0"/>
        <charset val="1"/>
      </rPr>
      <t xml:space="preserve">)</t>
    </r>
  </si>
  <si>
    <t xml:space="preserve">5</t>
  </si>
  <si>
    <t xml:space="preserve">Debt</t>
  </si>
  <si>
    <r>
      <rPr>
        <sz val="10"/>
        <rFont val="Noto Sans CJK SC"/>
        <family val="2"/>
      </rPr>
      <t xml:space="preserve">차입금 인출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상환 스케줄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이자 </t>
    </r>
    <r>
      <rPr>
        <sz val="10"/>
        <rFont val="맑은 고딕"/>
        <family val="0"/>
        <charset val="1"/>
      </rPr>
      <t xml:space="preserve">· DSRA</t>
    </r>
  </si>
  <si>
    <t xml:space="preserve">6</t>
  </si>
  <si>
    <t xml:space="preserve">IS(Y)</t>
  </si>
  <si>
    <r>
      <rPr>
        <sz val="10"/>
        <rFont val="Noto Sans CJK SC"/>
        <family val="2"/>
      </rPr>
      <t xml:space="preserve">추정 손익계산서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이월결손금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법인세 포함</t>
    </r>
    <r>
      <rPr>
        <sz val="10"/>
        <rFont val="맑은 고딕"/>
        <family val="0"/>
        <charset val="1"/>
      </rPr>
      <t xml:space="preserve">)</t>
    </r>
  </si>
  <si>
    <t xml:space="preserve">7</t>
  </si>
  <si>
    <t xml:space="preserve">CF(Y)</t>
  </si>
  <si>
    <r>
      <rPr>
        <sz val="10"/>
        <rFont val="Noto Sans CJK SC"/>
        <family val="2"/>
      </rPr>
      <t xml:space="preserve">추정 현금흐름표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배당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현금계정</t>
    </r>
  </si>
  <si>
    <t xml:space="preserve">8</t>
  </si>
  <si>
    <t xml:space="preserve">DSCR</t>
  </si>
  <si>
    <r>
      <rPr>
        <sz val="10"/>
        <rFont val="Noto Sans CJK SC"/>
        <family val="2"/>
      </rPr>
      <t xml:space="preserve">원리금 상환능력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단순 </t>
    </r>
    <r>
      <rPr>
        <sz val="10"/>
        <rFont val="맑은 고딕"/>
        <family val="0"/>
        <charset val="1"/>
      </rPr>
      <t xml:space="preserve">DSCR, </t>
    </r>
    <r>
      <rPr>
        <sz val="10"/>
        <rFont val="Noto Sans CJK SC"/>
        <family val="2"/>
      </rPr>
      <t xml:space="preserve">최소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평균</t>
    </r>
    <r>
      <rPr>
        <sz val="10"/>
        <rFont val="맑은 고딕"/>
        <family val="0"/>
        <charset val="1"/>
      </rPr>
      <t xml:space="preserve">)</t>
    </r>
  </si>
  <si>
    <t xml:space="preserve">9</t>
  </si>
  <si>
    <t xml:space="preserve">IRR</t>
  </si>
  <si>
    <t xml:space="preserve">Project IRR / Equity IRR / NPV</t>
  </si>
  <si>
    <t xml:space="preserve">10</t>
  </si>
  <si>
    <t xml:space="preserve">Report</t>
  </si>
  <si>
    <r>
      <rPr>
        <sz val="10"/>
        <rFont val="맑은 고딕"/>
        <family val="0"/>
        <charset val="1"/>
      </rPr>
      <t xml:space="preserve">Executive Summary + </t>
    </r>
    <r>
      <rPr>
        <sz val="10"/>
        <rFont val="Noto Sans CJK SC"/>
        <family val="2"/>
      </rPr>
      <t xml:space="preserve">연도별 요약</t>
    </r>
  </si>
  <si>
    <t xml:space="preserve">11</t>
  </si>
  <si>
    <t xml:space="preserve">Sensitivity</t>
  </si>
  <si>
    <r>
      <rPr>
        <sz val="10"/>
        <rFont val="Noto Sans CJK SC"/>
        <family val="2"/>
      </rPr>
      <t xml:space="preserve">민감도 분석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산출값</t>
    </r>
    <r>
      <rPr>
        <sz val="10"/>
        <rFont val="맑은 고딕"/>
        <family val="0"/>
        <charset val="1"/>
      </rPr>
      <t xml:space="preserve">)</t>
    </r>
  </si>
  <si>
    <t xml:space="preserve">색상 규칙</t>
  </si>
  <si>
    <r>
      <rPr>
        <sz val="9"/>
        <color rgb="FF6B7B76"/>
        <rFont val="Noto Sans CJK SC"/>
        <family val="2"/>
      </rPr>
      <t xml:space="preserve">파란 글씨 </t>
    </r>
    <r>
      <rPr>
        <sz val="9"/>
        <color rgb="FF6B7B76"/>
        <rFont val="맑은 고딕"/>
        <family val="0"/>
        <charset val="1"/>
      </rPr>
      <t xml:space="preserve">+ </t>
    </r>
    <r>
      <rPr>
        <sz val="9"/>
        <color rgb="FF6B7B76"/>
        <rFont val="Noto Sans CJK SC"/>
        <family val="2"/>
      </rPr>
      <t xml:space="preserve">노란 배경</t>
    </r>
  </si>
  <si>
    <r>
      <rPr>
        <sz val="9"/>
        <color rgb="FF6B7B76"/>
        <rFont val="Noto Sans CJK SC"/>
        <family val="2"/>
      </rPr>
      <t xml:space="preserve">직접 입력하는 가정값 </t>
    </r>
    <r>
      <rPr>
        <sz val="9"/>
        <color rgb="FF6B7B76"/>
        <rFont val="맑은 고딕"/>
        <family val="0"/>
        <charset val="1"/>
      </rPr>
      <t xml:space="preserve">(Assum </t>
    </r>
    <r>
      <rPr>
        <sz val="9"/>
        <color rgb="FF6B7B76"/>
        <rFont val="Noto Sans CJK SC"/>
        <family val="2"/>
      </rPr>
      <t xml:space="preserve">시트</t>
    </r>
    <r>
      <rPr>
        <sz val="9"/>
        <color rgb="FF6B7B76"/>
        <rFont val="맑은 고딕"/>
        <family val="0"/>
        <charset val="1"/>
      </rPr>
      <t xml:space="preserve">)</t>
    </r>
  </si>
  <si>
    <t xml:space="preserve">검정 글씨</t>
  </si>
  <si>
    <t xml:space="preserve">해당 시트 내 수식</t>
  </si>
  <si>
    <t xml:space="preserve">초록 글씨</t>
  </si>
  <si>
    <t xml:space="preserve">다른 시트를 참조하는 수식</t>
  </si>
  <si>
    <t xml:space="preserve">단위</t>
  </si>
  <si>
    <r>
      <rPr>
        <sz val="9"/>
        <color rgb="FF6B7B76"/>
        <rFont val="Noto Sans CJK SC"/>
        <family val="2"/>
      </rPr>
      <t xml:space="preserve">별도 표기가 없는 금액은 모두 백만원</t>
    </r>
    <r>
      <rPr>
        <sz val="9"/>
        <color rgb="FF6B7B76"/>
        <rFont val="맑은 고딕"/>
        <family val="0"/>
        <charset val="1"/>
      </rPr>
      <t xml:space="preserve">(KRWm)</t>
    </r>
  </si>
  <si>
    <t xml:space="preserve">Executive Summary</t>
  </si>
  <si>
    <t xml:space="preserve">사업 개요</t>
  </si>
  <si>
    <t xml:space="preserve">사업명</t>
  </si>
  <si>
    <r>
      <rPr>
        <sz val="10"/>
        <rFont val="Noto Sans CJK SC"/>
        <family val="2"/>
      </rPr>
      <t xml:space="preserve">설비용량 </t>
    </r>
    <r>
      <rPr>
        <sz val="10"/>
        <rFont val="맑은 고딕"/>
        <family val="0"/>
        <charset val="1"/>
      </rPr>
      <t xml:space="preserve">[MW]</t>
    </r>
  </si>
  <si>
    <r>
      <rPr>
        <sz val="10"/>
        <rFont val="Noto Sans CJK SC"/>
        <family val="2"/>
      </rPr>
      <t xml:space="preserve">이용률 </t>
    </r>
    <r>
      <rPr>
        <sz val="10"/>
        <rFont val="맑은 고딕"/>
        <family val="0"/>
        <charset val="1"/>
      </rPr>
      <t xml:space="preserve">[%]</t>
    </r>
  </si>
  <si>
    <r>
      <rPr>
        <sz val="10"/>
        <rFont val="Noto Sans CJK SC"/>
        <family val="2"/>
      </rPr>
      <t xml:space="preserve">준공</t>
    </r>
    <r>
      <rPr>
        <sz val="10"/>
        <rFont val="맑은 고딕"/>
        <family val="0"/>
        <charset val="1"/>
      </rPr>
      <t xml:space="preserve">(COD)</t>
    </r>
  </si>
  <si>
    <t xml:space="preserve">2025-10</t>
  </si>
  <si>
    <r>
      <rPr>
        <sz val="10"/>
        <rFont val="Noto Sans CJK SC"/>
        <family val="2"/>
      </rPr>
      <t xml:space="preserve">운영기간 </t>
    </r>
    <r>
      <rPr>
        <sz val="10"/>
        <rFont val="맑은 고딕"/>
        <family val="0"/>
        <charset val="1"/>
      </rPr>
      <t xml:space="preserve">[Year]</t>
    </r>
  </si>
  <si>
    <t xml:space="preserve">재원조달</t>
  </si>
  <si>
    <r>
      <rPr>
        <sz val="10"/>
        <rFont val="Noto Sans CJK SC"/>
        <family val="2"/>
      </rPr>
      <t xml:space="preserve">총투자비</t>
    </r>
    <r>
      <rPr>
        <sz val="10"/>
        <rFont val="맑은 고딕"/>
        <family val="0"/>
        <charset val="1"/>
      </rPr>
      <t xml:space="preserve">(TIC) [KRWm]</t>
    </r>
  </si>
  <si>
    <r>
      <rPr>
        <sz val="10"/>
        <rFont val="Noto Sans CJK SC"/>
        <family val="2"/>
      </rPr>
      <t xml:space="preserve">  건설이자</t>
    </r>
    <r>
      <rPr>
        <sz val="10"/>
        <rFont val="맑은 고딕"/>
        <family val="0"/>
        <charset val="1"/>
      </rPr>
      <t xml:space="preserve">(IDC) [KRWm]</t>
    </r>
  </si>
  <si>
    <r>
      <rPr>
        <sz val="10"/>
        <rFont val="Noto Sans CJK SC"/>
        <family val="2"/>
      </rPr>
      <t xml:space="preserve">자기자본 </t>
    </r>
    <r>
      <rPr>
        <sz val="10"/>
        <rFont val="맑은 고딕"/>
        <family val="0"/>
        <charset val="1"/>
      </rPr>
      <t xml:space="preserve">[KRWm]</t>
    </r>
  </si>
  <si>
    <r>
      <rPr>
        <sz val="10"/>
        <rFont val="Noto Sans CJK SC"/>
        <family val="2"/>
      </rPr>
      <t xml:space="preserve">선순위 차입금 </t>
    </r>
    <r>
      <rPr>
        <sz val="10"/>
        <rFont val="맑은 고딕"/>
        <family val="0"/>
        <charset val="1"/>
      </rPr>
      <t xml:space="preserve">[KRWm]</t>
    </r>
  </si>
  <si>
    <r>
      <rPr>
        <sz val="10"/>
        <rFont val="Noto Sans CJK SC"/>
        <family val="2"/>
      </rPr>
      <t xml:space="preserve">차입비율 </t>
    </r>
    <r>
      <rPr>
        <sz val="10"/>
        <rFont val="맑은 고딕"/>
        <family val="0"/>
        <charset val="1"/>
      </rPr>
      <t xml:space="preserve">[%]</t>
    </r>
  </si>
  <si>
    <t xml:space="preserve">수익성 지표</t>
  </si>
  <si>
    <r>
      <rPr>
        <sz val="10"/>
        <rFont val="맑은 고딕"/>
        <family val="0"/>
        <charset val="1"/>
      </rPr>
      <t xml:space="preserve">Project IRR (</t>
    </r>
    <r>
      <rPr>
        <sz val="10"/>
        <rFont val="Noto Sans CJK SC"/>
        <family val="2"/>
      </rPr>
      <t xml:space="preserve">세후</t>
    </r>
    <r>
      <rPr>
        <sz val="10"/>
        <rFont val="맑은 고딕"/>
        <family val="0"/>
        <charset val="1"/>
      </rPr>
      <t xml:space="preserve">) [%]</t>
    </r>
  </si>
  <si>
    <t xml:space="preserve">Equity IRR (FCFE) [%]</t>
  </si>
  <si>
    <r>
      <rPr>
        <sz val="10"/>
        <rFont val="맑은 고딕"/>
        <family val="0"/>
        <charset val="1"/>
      </rPr>
      <t xml:space="preserve">Equity IRR (</t>
    </r>
    <r>
      <rPr>
        <sz val="10"/>
        <rFont val="Noto Sans CJK SC"/>
        <family val="2"/>
      </rPr>
      <t xml:space="preserve">배당</t>
    </r>
    <r>
      <rPr>
        <sz val="10"/>
        <rFont val="맑은 고딕"/>
        <family val="0"/>
        <charset val="1"/>
      </rPr>
      <t xml:space="preserve">) [%]</t>
    </r>
  </si>
  <si>
    <t xml:space="preserve">NPV [KRWm]</t>
  </si>
  <si>
    <r>
      <rPr>
        <sz val="10"/>
        <rFont val="Noto Sans CJK SC"/>
        <family val="2"/>
      </rPr>
      <t xml:space="preserve">최소 </t>
    </r>
    <r>
      <rPr>
        <sz val="10"/>
        <rFont val="맑은 고딕"/>
        <family val="0"/>
        <charset val="1"/>
      </rPr>
      <t xml:space="preserve">DSCR [x]</t>
    </r>
  </si>
  <si>
    <r>
      <rPr>
        <sz val="10"/>
        <rFont val="Noto Sans CJK SC"/>
        <family val="2"/>
      </rPr>
      <t xml:space="preserve">평균 </t>
    </r>
    <r>
      <rPr>
        <sz val="10"/>
        <rFont val="맑은 고딕"/>
        <family val="0"/>
        <charset val="1"/>
      </rPr>
      <t xml:space="preserve">DSCR [x]</t>
    </r>
  </si>
  <si>
    <t xml:space="preserve">LCOE [KRW/kWh]</t>
  </si>
  <si>
    <r>
      <rPr>
        <sz val="10"/>
        <rFont val="Noto Sans CJK SC"/>
        <family val="2"/>
      </rPr>
      <t xml:space="preserve">투자비 회수기간 </t>
    </r>
    <r>
      <rPr>
        <sz val="10"/>
        <rFont val="맑은 고딕"/>
        <family val="0"/>
        <charset val="1"/>
      </rPr>
      <t xml:space="preserve">[Year]</t>
    </r>
  </si>
  <si>
    <r>
      <rPr>
        <sz val="10"/>
        <rFont val="Noto Sans CJK SC"/>
        <family val="2"/>
      </rPr>
      <t xml:space="preserve">연평균 </t>
    </r>
    <r>
      <rPr>
        <sz val="10"/>
        <rFont val="맑은 고딕"/>
        <family val="0"/>
        <charset val="1"/>
      </rPr>
      <t xml:space="preserve">EBITDA [KRWm]</t>
    </r>
  </si>
  <si>
    <t xml:space="preserve">EBITDA Margin [%]</t>
  </si>
  <si>
    <t xml:space="preserve">연도별 요약</t>
  </si>
  <si>
    <t xml:space="preserve">구  분</t>
  </si>
  <si>
    <t xml:space="preserve">unit</t>
  </si>
  <si>
    <t xml:space="preserve">합 계</t>
  </si>
  <si>
    <t xml:space="preserve">건설기간</t>
  </si>
  <si>
    <r>
      <rPr>
        <b val="true"/>
        <sz val="9"/>
        <color rgb="FFFFFFFF"/>
        <rFont val="맑은 고딕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</si>
  <si>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</si>
  <si>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</si>
  <si>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</si>
  <si>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</si>
  <si>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</si>
  <si>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</si>
  <si>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</si>
  <si>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9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</si>
  <si>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</si>
  <si>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11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</si>
  <si>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12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</si>
  <si>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13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</si>
  <si>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14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</si>
  <si>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15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</si>
  <si>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16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</si>
  <si>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17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</si>
  <si>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18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</si>
  <si>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19</t>
    </r>
    <r>
      <rPr>
        <b val="true"/>
        <sz val="9"/>
        <color rgb="FFFFFFFF"/>
        <rFont val="Noto Sans CJK SC"/>
        <family val="2"/>
      </rPr>
      <t xml:space="preserve">년차</t>
    </r>
  </si>
  <si>
    <r>
      <rPr>
        <b val="true"/>
        <sz val="9"/>
        <color rgb="FFFFFFFF"/>
        <rFont val="맑은 고딕"/>
        <family val="0"/>
        <charset val="1"/>
      </rPr>
      <t xml:space="preserve">20</t>
    </r>
    <r>
      <rPr>
        <b val="true"/>
        <sz val="9"/>
        <color rgb="FFFFFFFF"/>
        <rFont val="Noto Sans CJK SC"/>
        <family val="2"/>
      </rPr>
      <t xml:space="preserve">년차</t>
    </r>
  </si>
  <si>
    <t xml:space="preserve">영업수익</t>
  </si>
  <si>
    <t xml:space="preserve">영업비용</t>
  </si>
  <si>
    <t xml:space="preserve">EBITDA</t>
  </si>
  <si>
    <t xml:space="preserve">당기순이익</t>
  </si>
  <si>
    <t xml:space="preserve">CFADS</t>
  </si>
  <si>
    <r>
      <rPr>
        <sz val="10"/>
        <color rgb="FF000000"/>
        <rFont val="Noto Sans CJK SC"/>
        <family val="2"/>
      </rPr>
      <t xml:space="preserve">원리금</t>
    </r>
    <r>
      <rPr>
        <sz val="10"/>
        <color rgb="FF000000"/>
        <rFont val="맑은 고딕"/>
        <family val="0"/>
        <charset val="1"/>
      </rPr>
      <t xml:space="preserve">(DS)</t>
    </r>
  </si>
  <si>
    <t xml:space="preserve">배당금</t>
  </si>
  <si>
    <t xml:space="preserve">Project FCF</t>
  </si>
  <si>
    <r>
      <rPr>
        <b val="true"/>
        <sz val="10"/>
        <color rgb="FF6B7B76"/>
        <rFont val="맑은 고딕"/>
        <family val="0"/>
        <charset val="1"/>
      </rPr>
      <t xml:space="preserve">Assumption — </t>
    </r>
    <r>
      <rPr>
        <b val="true"/>
        <sz val="10"/>
        <color rgb="FF6B7B76"/>
        <rFont val="Noto Sans CJK SC"/>
        <family val="2"/>
      </rPr>
      <t xml:space="preserve">파란색 셀만 수정하면 전 시트가 재계산됩니다</t>
    </r>
  </si>
  <si>
    <r>
      <rPr>
        <i val="true"/>
        <sz val="9"/>
        <color rgb="FF9AA6A1"/>
        <rFont val="Noto Sans CJK SC"/>
        <family val="2"/>
      </rPr>
      <t xml:space="preserve">노랑 배경 </t>
    </r>
    <r>
      <rPr>
        <i val="true"/>
        <sz val="9"/>
        <color rgb="FF9AA6A1"/>
        <rFont val="맑은 고딕"/>
        <family val="0"/>
        <charset val="1"/>
      </rPr>
      <t xml:space="preserve">+ </t>
    </r>
    <r>
      <rPr>
        <i val="true"/>
        <sz val="9"/>
        <color rgb="FF9AA6A1"/>
        <rFont val="Noto Sans CJK SC"/>
        <family val="2"/>
      </rPr>
      <t xml:space="preserve">파란 글씨 </t>
    </r>
    <r>
      <rPr>
        <i val="true"/>
        <sz val="9"/>
        <color rgb="FF9AA6A1"/>
        <rFont val="맑은 고딕"/>
        <family val="0"/>
        <charset val="1"/>
      </rPr>
      <t xml:space="preserve">= </t>
    </r>
    <r>
      <rPr>
        <i val="true"/>
        <sz val="9"/>
        <color rgb="FF9AA6A1"/>
        <rFont val="Noto Sans CJK SC"/>
        <family val="2"/>
      </rPr>
      <t xml:space="preserve">직접 입력값 </t>
    </r>
    <r>
      <rPr>
        <i val="true"/>
        <sz val="9"/>
        <color rgb="FF9AA6A1"/>
        <rFont val="맑은 고딕"/>
        <family val="0"/>
        <charset val="1"/>
      </rPr>
      <t xml:space="preserve">/ </t>
    </r>
    <r>
      <rPr>
        <i val="true"/>
        <sz val="9"/>
        <color rgb="FF9AA6A1"/>
        <rFont val="Noto Sans CJK SC"/>
        <family val="2"/>
      </rPr>
      <t xml:space="preserve">회색 </t>
    </r>
    <r>
      <rPr>
        <i val="true"/>
        <sz val="9"/>
        <color rgb="FF9AA6A1"/>
        <rFont val="맑은 고딕"/>
        <family val="0"/>
        <charset val="1"/>
      </rPr>
      <t xml:space="preserve">= </t>
    </r>
    <r>
      <rPr>
        <i val="true"/>
        <sz val="9"/>
        <color rgb="FF9AA6A1"/>
        <rFont val="Noto Sans CJK SC"/>
        <family val="2"/>
      </rPr>
      <t xml:space="preserve">수식</t>
    </r>
  </si>
  <si>
    <t xml:space="preserve">General</t>
  </si>
  <si>
    <t xml:space="preserve">[text]</t>
  </si>
  <si>
    <t xml:space="preserve">설비용량</t>
  </si>
  <si>
    <t xml:space="preserve">[MW]</t>
  </si>
  <si>
    <t xml:space="preserve">이용률</t>
  </si>
  <si>
    <t xml:space="preserve">[%]</t>
  </si>
  <si>
    <r>
      <rPr>
        <sz val="9"/>
        <color rgb="FF9AA6A1"/>
        <rFont val="Noto Sans CJK SC"/>
        <family val="2"/>
      </rPr>
      <t xml:space="preserve">일일발전시간 </t>
    </r>
    <r>
      <rPr>
        <sz val="9"/>
        <color rgb="FF9AA6A1"/>
        <rFont val="맑은 고딕"/>
        <family val="0"/>
        <charset val="1"/>
      </rPr>
      <t xml:space="preserve">÷ 24</t>
    </r>
  </si>
  <si>
    <r>
      <rPr>
        <sz val="10"/>
        <rFont val="Noto Sans CJK SC"/>
        <family val="2"/>
      </rPr>
      <t xml:space="preserve">일일 발전시간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환산</t>
    </r>
    <r>
      <rPr>
        <sz val="10"/>
        <rFont val="맑은 고딕"/>
        <family val="0"/>
        <charset val="1"/>
      </rPr>
      <t xml:space="preserve">)</t>
    </r>
  </si>
  <si>
    <t xml:space="preserve">[h/day]</t>
  </si>
  <si>
    <t xml:space="preserve">Degradation</t>
  </si>
  <si>
    <t xml:space="preserve">[%/yr]</t>
  </si>
  <si>
    <t xml:space="preserve">소내 소비율</t>
  </si>
  <si>
    <t xml:space="preserve">Timing</t>
  </si>
  <si>
    <t xml:space="preserve">착공시점</t>
  </si>
  <si>
    <t xml:space="preserve">[Date]</t>
  </si>
  <si>
    <t xml:space="preserve">2024-06</t>
  </si>
  <si>
    <t xml:space="preserve">공사기간</t>
  </si>
  <si>
    <t xml:space="preserve">[Month]</t>
  </si>
  <si>
    <t xml:space="preserve">운영기간</t>
  </si>
  <si>
    <t xml:space="preserve">[Year]</t>
  </si>
  <si>
    <t xml:space="preserve">TIC &amp; Funding</t>
  </si>
  <si>
    <r>
      <rPr>
        <sz val="10"/>
        <rFont val="Noto Sans CJK SC"/>
        <family val="2"/>
      </rPr>
      <t xml:space="preserve">총사업비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건설이자 제외</t>
    </r>
    <r>
      <rPr>
        <sz val="10"/>
        <rFont val="맑은 고딕"/>
        <family val="0"/>
        <charset val="1"/>
      </rPr>
      <t xml:space="preserve">)</t>
    </r>
  </si>
  <si>
    <t xml:space="preserve">[KRWm]</t>
  </si>
  <si>
    <r>
      <rPr>
        <sz val="10"/>
        <rFont val="Noto Sans CJK SC"/>
        <family val="2"/>
      </rPr>
      <t xml:space="preserve">최초 </t>
    </r>
    <r>
      <rPr>
        <sz val="10"/>
        <rFont val="맑은 고딕"/>
        <family val="0"/>
        <charset val="1"/>
      </rPr>
      <t xml:space="preserve">DSRA</t>
    </r>
  </si>
  <si>
    <r>
      <rPr>
        <sz val="10"/>
        <rFont val="Noto Sans CJK SC"/>
        <family val="2"/>
      </rPr>
      <t xml:space="preserve">차입비율</t>
    </r>
    <r>
      <rPr>
        <sz val="10"/>
        <rFont val="맑은 고딕"/>
        <family val="0"/>
        <charset val="1"/>
      </rPr>
      <t xml:space="preserve">(Gearing)</t>
    </r>
  </si>
  <si>
    <r>
      <rPr>
        <sz val="9"/>
        <color rgb="FF9AA6A1"/>
        <rFont val="Noto Sans CJK SC"/>
        <family val="2"/>
      </rPr>
      <t xml:space="preserve">기준</t>
    </r>
    <r>
      <rPr>
        <sz val="9"/>
        <color rgb="FF9AA6A1"/>
        <rFont val="맑은 고딕"/>
        <family val="0"/>
        <charset val="1"/>
      </rPr>
      <t xml:space="preserve">: </t>
    </r>
    <r>
      <rPr>
        <sz val="9"/>
        <color rgb="FF9AA6A1"/>
        <rFont val="Noto Sans CJK SC"/>
        <family val="2"/>
      </rPr>
      <t xml:space="preserve">총사업비 </t>
    </r>
    <r>
      <rPr>
        <sz val="9"/>
        <color rgb="FF9AA6A1"/>
        <rFont val="맑은 고딕"/>
        <family val="0"/>
        <charset val="1"/>
      </rPr>
      <t xml:space="preserve">+ </t>
    </r>
    <r>
      <rPr>
        <sz val="9"/>
        <color rgb="FF9AA6A1"/>
        <rFont val="Noto Sans CJK SC"/>
        <family val="2"/>
      </rPr>
      <t xml:space="preserve">최초</t>
    </r>
    <r>
      <rPr>
        <sz val="9"/>
        <color rgb="FF9AA6A1"/>
        <rFont val="맑은 고딕"/>
        <family val="0"/>
        <charset val="1"/>
      </rPr>
      <t xml:space="preserve">DSRA (</t>
    </r>
    <r>
      <rPr>
        <sz val="9"/>
        <color rgb="FF9AA6A1"/>
        <rFont val="Noto Sans CJK SC"/>
        <family val="2"/>
      </rPr>
      <t xml:space="preserve">건설이자는 전액 차입 조달</t>
    </r>
    <r>
      <rPr>
        <sz val="9"/>
        <color rgb="FF9AA6A1"/>
        <rFont val="맑은 고딕"/>
        <family val="0"/>
        <charset val="1"/>
      </rPr>
      <t xml:space="preserve">)</t>
    </r>
  </si>
  <si>
    <t xml:space="preserve">자기자본</t>
  </si>
  <si>
    <r>
      <rPr>
        <sz val="10"/>
        <rFont val="Noto Sans CJK SC"/>
        <family val="2"/>
      </rPr>
      <t xml:space="preserve">건설이자</t>
    </r>
    <r>
      <rPr>
        <sz val="10"/>
        <rFont val="맑은 고딕"/>
        <family val="0"/>
        <charset val="1"/>
      </rPr>
      <t xml:space="preserve">(IDC)</t>
    </r>
  </si>
  <si>
    <r>
      <rPr>
        <sz val="9"/>
        <color rgb="FF9AA6A1"/>
        <rFont val="맑은 고딕"/>
        <family val="0"/>
        <charset val="1"/>
      </rPr>
      <t xml:space="preserve">Construction </t>
    </r>
    <r>
      <rPr>
        <sz val="9"/>
        <color rgb="FF9AA6A1"/>
        <rFont val="Noto Sans CJK SC"/>
        <family val="2"/>
      </rPr>
      <t xml:space="preserve">시트에서 월단위 산출</t>
    </r>
  </si>
  <si>
    <r>
      <rPr>
        <sz val="10"/>
        <rFont val="Noto Sans CJK SC"/>
        <family val="2"/>
      </rPr>
      <t xml:space="preserve">총투자비</t>
    </r>
    <r>
      <rPr>
        <sz val="10"/>
        <rFont val="맑은 고딕"/>
        <family val="0"/>
        <charset val="1"/>
      </rPr>
      <t xml:space="preserve">(TIC)</t>
    </r>
  </si>
  <si>
    <t xml:space="preserve">소요자금 합계</t>
  </si>
  <si>
    <t xml:space="preserve">차입금</t>
  </si>
  <si>
    <r>
      <rPr>
        <sz val="10"/>
        <rFont val="Noto Sans CJK SC"/>
        <family val="2"/>
      </rPr>
      <t xml:space="preserve">실질 차입비율</t>
    </r>
    <r>
      <rPr>
        <sz val="10"/>
        <rFont val="맑은 고딕"/>
        <family val="0"/>
        <charset val="1"/>
      </rPr>
      <t xml:space="preserve">(TIC 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</si>
  <si>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이자율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건설기간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</si>
  <si>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이자율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운영기간</t>
    </r>
    <r>
      <rPr>
        <sz val="10"/>
        <rFont val="맑은 고딕"/>
        <family val="0"/>
        <charset val="1"/>
      </rPr>
      <t xml:space="preserve">)</t>
    </r>
  </si>
  <si>
    <t xml:space="preserve">거치기간</t>
  </si>
  <si>
    <t xml:space="preserve">상환기간</t>
  </si>
  <si>
    <t xml:space="preserve">상환방식</t>
  </si>
  <si>
    <t xml:space="preserve">[1/2/3]</t>
  </si>
  <si>
    <r>
      <rPr>
        <sz val="9"/>
        <color rgb="FF9AA6A1"/>
        <rFont val="맑은 고딕"/>
        <family val="0"/>
        <charset val="1"/>
      </rPr>
      <t xml:space="preserve">1: </t>
    </r>
    <r>
      <rPr>
        <sz val="9"/>
        <color rgb="FF9AA6A1"/>
        <rFont val="Noto Sans CJK SC"/>
        <family val="2"/>
      </rPr>
      <t xml:space="preserve">원금균등  </t>
    </r>
    <r>
      <rPr>
        <sz val="9"/>
        <color rgb="FF9AA6A1"/>
        <rFont val="맑은 고딕"/>
        <family val="0"/>
        <charset val="1"/>
      </rPr>
      <t xml:space="preserve">2: </t>
    </r>
    <r>
      <rPr>
        <sz val="9"/>
        <color rgb="FF9AA6A1"/>
        <rFont val="Noto Sans CJK SC"/>
        <family val="2"/>
      </rPr>
      <t xml:space="preserve">원리금균등  </t>
    </r>
    <r>
      <rPr>
        <sz val="9"/>
        <color rgb="FF9AA6A1"/>
        <rFont val="맑은 고딕"/>
        <family val="0"/>
        <charset val="1"/>
      </rPr>
      <t xml:space="preserve">3: DSCR </t>
    </r>
    <r>
      <rPr>
        <sz val="9"/>
        <color rgb="FF9AA6A1"/>
        <rFont val="Noto Sans CJK SC"/>
        <family val="2"/>
      </rPr>
      <t xml:space="preserve">스컬프팅</t>
    </r>
    <r>
      <rPr>
        <sz val="9"/>
        <color rgb="FF9AA6A1"/>
        <rFont val="맑은 고딕"/>
        <family val="0"/>
        <charset val="1"/>
      </rPr>
      <t xml:space="preserve">(</t>
    </r>
    <r>
      <rPr>
        <sz val="9"/>
        <color rgb="FF9AA6A1"/>
        <rFont val="Noto Sans CJK SC"/>
        <family val="2"/>
      </rPr>
      <t xml:space="preserve">수동 스케줄</t>
    </r>
    <r>
      <rPr>
        <sz val="9"/>
        <color rgb="FF9AA6A1"/>
        <rFont val="맑은 고딕"/>
        <family val="0"/>
        <charset val="1"/>
      </rPr>
      <t xml:space="preserve">)</t>
    </r>
  </si>
  <si>
    <t xml:space="preserve">연간 상환횟수</t>
  </si>
  <si>
    <r>
      <rPr>
        <sz val="9"/>
        <color rgb="FF9AA6A1"/>
        <rFont val="맑은 고딕"/>
        <family val="0"/>
        <charset val="1"/>
      </rPr>
      <t xml:space="preserve">[</t>
    </r>
    <r>
      <rPr>
        <sz val="9"/>
        <color rgb="FF9AA6A1"/>
        <rFont val="Noto Sans CJK SC"/>
        <family val="2"/>
      </rPr>
      <t xml:space="preserve">회</t>
    </r>
    <r>
      <rPr>
        <sz val="9"/>
        <color rgb="FF9AA6A1"/>
        <rFont val="맑은 고딕"/>
        <family val="0"/>
        <charset val="1"/>
      </rPr>
      <t xml:space="preserve">/</t>
    </r>
    <r>
      <rPr>
        <sz val="9"/>
        <color rgb="FF9AA6A1"/>
        <rFont val="Noto Sans CJK SC"/>
        <family val="2"/>
      </rPr>
      <t xml:space="preserve">년</t>
    </r>
    <r>
      <rPr>
        <sz val="9"/>
        <color rgb="FF9AA6A1"/>
        <rFont val="맑은 고딕"/>
        <family val="0"/>
        <charset val="1"/>
      </rPr>
      <t xml:space="preserve">]</t>
    </r>
  </si>
  <si>
    <t xml:space="preserve">이자는 연중 평균잔액 기준으로 계산</t>
  </si>
  <si>
    <r>
      <rPr>
        <sz val="10"/>
        <rFont val="Noto Sans CJK SC"/>
        <family val="2"/>
      </rPr>
      <t xml:space="preserve">스컬프팅 균등 </t>
    </r>
    <r>
      <rPr>
        <sz val="10"/>
        <rFont val="맑은 고딕"/>
        <family val="0"/>
        <charset val="1"/>
      </rPr>
      <t xml:space="preserve">DSCR(</t>
    </r>
    <r>
      <rPr>
        <sz val="10"/>
        <rFont val="Noto Sans CJK SC"/>
        <family val="2"/>
      </rPr>
      <t xml:space="preserve">산출</t>
    </r>
    <r>
      <rPr>
        <sz val="10"/>
        <rFont val="맑은 고딕"/>
        <family val="0"/>
        <charset val="1"/>
      </rPr>
      <t xml:space="preserve">)</t>
    </r>
  </si>
  <si>
    <t xml:space="preserve">[x]</t>
  </si>
  <si>
    <r>
      <rPr>
        <sz val="9"/>
        <color rgb="FF9AA6A1"/>
        <rFont val="Noto Sans CJK SC"/>
        <family val="2"/>
      </rPr>
      <t xml:space="preserve">상환방식 </t>
    </r>
    <r>
      <rPr>
        <sz val="9"/>
        <color rgb="FF9AA6A1"/>
        <rFont val="맑은 고딕"/>
        <family val="0"/>
        <charset val="1"/>
      </rPr>
      <t xml:space="preserve">3 </t>
    </r>
    <r>
      <rPr>
        <sz val="9"/>
        <color rgb="FF9AA6A1"/>
        <rFont val="Noto Sans CJK SC"/>
        <family val="2"/>
      </rPr>
      <t xml:space="preserve">선택 시 완전상환되는 균등 </t>
    </r>
    <r>
      <rPr>
        <sz val="9"/>
        <color rgb="FF9AA6A1"/>
        <rFont val="맑은 고딕"/>
        <family val="0"/>
        <charset val="1"/>
      </rPr>
      <t xml:space="preserve">DSCR</t>
    </r>
  </si>
  <si>
    <t xml:space="preserve">판매단가</t>
  </si>
  <si>
    <t xml:space="preserve">[KRW/kWh]</t>
  </si>
  <si>
    <r>
      <rPr>
        <sz val="9"/>
        <color rgb="FF9AA6A1"/>
        <rFont val="맑은 고딕"/>
        <family val="0"/>
        <charset val="1"/>
      </rPr>
      <t xml:space="preserve">PPA </t>
    </r>
    <r>
      <rPr>
        <sz val="9"/>
        <color rgb="FF9AA6A1"/>
        <rFont val="Noto Sans CJK SC"/>
        <family val="2"/>
      </rPr>
      <t xml:space="preserve">또는 </t>
    </r>
    <r>
      <rPr>
        <sz val="9"/>
        <color rgb="FF9AA6A1"/>
        <rFont val="맑은 고딕"/>
        <family val="0"/>
        <charset val="1"/>
      </rPr>
      <t xml:space="preserve">SMP+REC </t>
    </r>
    <r>
      <rPr>
        <sz val="9"/>
        <color rgb="FF9AA6A1"/>
        <rFont val="Noto Sans CJK SC"/>
        <family val="2"/>
      </rPr>
      <t xml:space="preserve">가중평균</t>
    </r>
  </si>
  <si>
    <t xml:space="preserve">단가 상승률</t>
  </si>
  <si>
    <t xml:space="preserve">Cost</t>
  </si>
  <si>
    <r>
      <rPr>
        <sz val="10"/>
        <rFont val="Noto Sans CJK SC"/>
        <family val="2"/>
      </rPr>
      <t xml:space="preserve">운영비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연간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년차</t>
    </r>
    <r>
      <rPr>
        <sz val="10"/>
        <rFont val="맑은 고딕"/>
        <family val="0"/>
        <charset val="1"/>
      </rPr>
      <t xml:space="preserve">)</t>
    </r>
  </si>
  <si>
    <t xml:space="preserve">[KRWm/yr]</t>
  </si>
  <si>
    <t xml:space="preserve">운영비 상승률</t>
  </si>
  <si>
    <r>
      <rPr>
        <sz val="10"/>
        <rFont val="Noto Sans CJK SC"/>
        <family val="2"/>
      </rPr>
      <t xml:space="preserve">철거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복구비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만기</t>
    </r>
    <r>
      <rPr>
        <sz val="10"/>
        <rFont val="맑은 고딕"/>
        <family val="0"/>
        <charset val="1"/>
      </rPr>
      <t xml:space="preserve">)</t>
    </r>
  </si>
  <si>
    <t xml:space="preserve">Accounting &amp; Tax</t>
  </si>
  <si>
    <t xml:space="preserve">감가상각 대상비율</t>
  </si>
  <si>
    <r>
      <rPr>
        <sz val="9"/>
        <color rgb="FF9AA6A1"/>
        <rFont val="맑은 고딕"/>
        <family val="0"/>
        <charset val="1"/>
      </rPr>
      <t xml:space="preserve">TIC </t>
    </r>
    <r>
      <rPr>
        <sz val="9"/>
        <color rgb="FF9AA6A1"/>
        <rFont val="Noto Sans CJK SC"/>
        <family val="2"/>
      </rPr>
      <t xml:space="preserve">중 감가상각 대상 </t>
    </r>
    <r>
      <rPr>
        <sz val="9"/>
        <color rgb="FF9AA6A1"/>
        <rFont val="맑은 고딕"/>
        <family val="0"/>
        <charset val="1"/>
      </rPr>
      <t xml:space="preserve">(</t>
    </r>
    <r>
      <rPr>
        <sz val="9"/>
        <color rgb="FF9AA6A1"/>
        <rFont val="Noto Sans CJK SC"/>
        <family val="2"/>
      </rPr>
      <t xml:space="preserve">토지선납</t>
    </r>
    <r>
      <rPr>
        <sz val="9"/>
        <color rgb="FF9AA6A1"/>
        <rFont val="맑은 고딕"/>
        <family val="0"/>
        <charset val="1"/>
      </rPr>
      <t xml:space="preserve">·</t>
    </r>
    <r>
      <rPr>
        <sz val="9"/>
        <color rgb="FF9AA6A1"/>
        <rFont val="Noto Sans CJK SC"/>
        <family val="2"/>
      </rPr>
      <t xml:space="preserve">금융비용 등 제외</t>
    </r>
    <r>
      <rPr>
        <sz val="9"/>
        <color rgb="FF9AA6A1"/>
        <rFont val="맑은 고딕"/>
        <family val="0"/>
        <charset val="1"/>
      </rPr>
      <t xml:space="preserve">)</t>
    </r>
  </si>
  <si>
    <t xml:space="preserve">감가상각 대상자산</t>
  </si>
  <si>
    <t xml:space="preserve">내용연수</t>
  </si>
  <si>
    <t xml:space="preserve">법인세 방식</t>
  </si>
  <si>
    <t xml:space="preserve">[1/2]</t>
  </si>
  <si>
    <r>
      <rPr>
        <sz val="9"/>
        <color rgb="FF9AA6A1"/>
        <rFont val="맑은 고딕"/>
        <family val="0"/>
        <charset val="1"/>
      </rPr>
      <t xml:space="preserve">1: </t>
    </r>
    <r>
      <rPr>
        <sz val="9"/>
        <color rgb="FF9AA6A1"/>
        <rFont val="Noto Sans CJK SC"/>
        <family val="2"/>
      </rPr>
      <t xml:space="preserve">누진구간</t>
    </r>
    <r>
      <rPr>
        <sz val="9"/>
        <color rgb="FF9AA6A1"/>
        <rFont val="맑은 고딕"/>
        <family val="0"/>
        <charset val="1"/>
      </rPr>
      <t xml:space="preserve">(9/19/21%)  2: </t>
    </r>
    <r>
      <rPr>
        <sz val="9"/>
        <color rgb="FF9AA6A1"/>
        <rFont val="Noto Sans CJK SC"/>
        <family val="2"/>
      </rPr>
      <t xml:space="preserve">단일세율</t>
    </r>
  </si>
  <si>
    <t xml:space="preserve">단일 법인세율</t>
  </si>
  <si>
    <t xml:space="preserve">이월결손금 공제비율</t>
  </si>
  <si>
    <t xml:space="preserve">Equity &amp; Reserve</t>
  </si>
  <si>
    <r>
      <rPr>
        <sz val="10"/>
        <rFont val="맑은 고딕"/>
        <family val="0"/>
        <charset val="1"/>
      </rPr>
      <t xml:space="preserve">DSRA </t>
    </r>
    <r>
      <rPr>
        <sz val="10"/>
        <rFont val="Noto Sans CJK SC"/>
        <family val="2"/>
      </rPr>
      <t xml:space="preserve">적립기준</t>
    </r>
  </si>
  <si>
    <r>
      <rPr>
        <sz val="9"/>
        <color rgb="FF9AA6A1"/>
        <rFont val="Noto Sans CJK SC"/>
        <family val="2"/>
      </rPr>
      <t xml:space="preserve">차기 원리금의 </t>
    </r>
    <r>
      <rPr>
        <sz val="9"/>
        <color rgb="FF9AA6A1"/>
        <rFont val="맑은 고딕"/>
        <family val="0"/>
        <charset val="1"/>
      </rPr>
      <t xml:space="preserve">X</t>
    </r>
    <r>
      <rPr>
        <sz val="9"/>
        <color rgb="FF9AA6A1"/>
        <rFont val="Noto Sans CJK SC"/>
        <family val="2"/>
      </rPr>
      <t xml:space="preserve">개월분 적립</t>
    </r>
  </si>
  <si>
    <t xml:space="preserve">배당 후 최소보유현금</t>
  </si>
  <si>
    <r>
      <rPr>
        <sz val="10"/>
        <rFont val="Noto Sans CJK SC"/>
        <family val="2"/>
      </rPr>
      <t xml:space="preserve">배당제한 </t>
    </r>
    <r>
      <rPr>
        <sz val="10"/>
        <rFont val="맑은 고딕"/>
        <family val="0"/>
        <charset val="1"/>
      </rPr>
      <t xml:space="preserve">DSCR</t>
    </r>
  </si>
  <si>
    <r>
      <rPr>
        <sz val="10"/>
        <rFont val="Noto Sans CJK SC"/>
        <family val="2"/>
      </rPr>
      <t xml:space="preserve">배당개시 연차</t>
    </r>
    <r>
      <rPr>
        <sz val="10"/>
        <rFont val="맑은 고딕"/>
        <family val="0"/>
        <charset val="1"/>
      </rPr>
      <t xml:space="preserve">(Lock-up)</t>
    </r>
  </si>
  <si>
    <t xml:space="preserve">Evaluation</t>
  </si>
  <si>
    <r>
      <rPr>
        <sz val="10"/>
        <rFont val="Noto Sans CJK SC"/>
        <family val="2"/>
      </rPr>
      <t xml:space="preserve">할인율</t>
    </r>
    <r>
      <rPr>
        <sz val="10"/>
        <rFont val="맑은 고딕"/>
        <family val="0"/>
        <charset val="1"/>
      </rPr>
      <t xml:space="preserve">(NPV·LCOE)</t>
    </r>
  </si>
  <si>
    <r>
      <rPr>
        <b val="true"/>
        <sz val="10"/>
        <color rgb="FF6B7B76"/>
        <rFont val="Noto Sans CJK SC"/>
        <family val="2"/>
      </rPr>
      <t xml:space="preserve">건설기간 자금인출 및 건설이자</t>
    </r>
    <r>
      <rPr>
        <b val="true"/>
        <sz val="10"/>
        <color rgb="FF6B7B76"/>
        <rFont val="맑은 고딕"/>
        <family val="0"/>
        <charset val="1"/>
      </rPr>
      <t xml:space="preserve">(IDC)</t>
    </r>
  </si>
  <si>
    <t xml:space="preserve">월별 인출 스케줄</t>
  </si>
  <si>
    <t xml:space="preserve">사업비 인출</t>
  </si>
  <si>
    <t xml:space="preserve">자기자본 인출</t>
  </si>
  <si>
    <t xml:space="preserve">차입금 인출</t>
  </si>
  <si>
    <t xml:space="preserve">기초 차입잔액</t>
  </si>
  <si>
    <r>
      <rPr>
        <sz val="10"/>
        <color rgb="FF000000"/>
        <rFont val="Noto Sans CJK SC"/>
        <family val="2"/>
      </rPr>
      <t xml:space="preserve">건설이자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</si>
  <si>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기말 차입잔액</t>
  </si>
  <si>
    <r>
      <rPr>
        <b val="true"/>
        <sz val="9"/>
        <color rgb="FF2E7D62"/>
        <rFont val="맑은 고딕"/>
        <family val="0"/>
        <charset val="1"/>
      </rPr>
      <t xml:space="preserve">[IDC </t>
    </r>
    <r>
      <rPr>
        <b val="true"/>
        <sz val="9"/>
        <color rgb="FF2E7D62"/>
        <rFont val="Noto Sans CJK SC"/>
        <family val="2"/>
      </rPr>
      <t xml:space="preserve">합계</t>
    </r>
    <r>
      <rPr>
        <b val="true"/>
        <sz val="9"/>
        <color rgb="FF2E7D62"/>
        <rFont val="맑은 고딕"/>
        <family val="0"/>
        <charset val="1"/>
      </rPr>
      <t xml:space="preserve">]</t>
    </r>
  </si>
  <si>
    <t xml:space="preserve">준공시점 정산</t>
  </si>
  <si>
    <r>
      <rPr>
        <sz val="10"/>
        <color rgb="FF000000"/>
        <rFont val="Noto Sans CJK SC"/>
        <family val="2"/>
      </rPr>
      <t xml:space="preserve">기말 차입잔액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사업비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</si>
  <si>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DSRA — </t>
    </r>
    <r>
      <rPr>
        <sz val="10"/>
        <color rgb="FF000000"/>
        <rFont val="Noto Sans CJK SC"/>
        <family val="2"/>
      </rPr>
      <t xml:space="preserve">자기자본 조달</t>
    </r>
  </si>
  <si>
    <r>
      <rPr>
        <sz val="10"/>
        <color rgb="FF000000"/>
        <rFont val="맑은 고딕"/>
        <family val="0"/>
        <charset val="1"/>
      </rPr>
      <t xml:space="preserve">DSRA — </t>
    </r>
    <r>
      <rPr>
        <sz val="10"/>
        <color rgb="FF000000"/>
        <rFont val="Noto Sans CJK SC"/>
        <family val="2"/>
      </rPr>
      <t xml:space="preserve">차입 조달</t>
    </r>
  </si>
  <si>
    <r>
      <rPr>
        <b val="true"/>
        <sz val="10"/>
        <color rgb="FF000000"/>
        <rFont val="Noto Sans CJK SC"/>
        <family val="2"/>
      </rPr>
      <t xml:space="preserve">차입금 합계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운영개시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</si>
  <si>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Check (Assum </t>
    </r>
    <r>
      <rPr>
        <sz val="10"/>
        <color rgb="FF000000"/>
        <rFont val="Noto Sans CJK SC"/>
        <family val="2"/>
      </rPr>
      <t xml:space="preserve">차입금과 일치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</si>
  <si>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9"/>
        <color rgb="FF9AA6A1"/>
        <rFont val="Noto Sans CJK SC"/>
        <family val="2"/>
      </rPr>
      <t xml:space="preserve">※ 자기자본을 먼저 인출하고 잔여 소요액을 차입하는 구조이며</t>
    </r>
    <r>
      <rPr>
        <i val="true"/>
        <sz val="9"/>
        <color rgb="FF9AA6A1"/>
        <rFont val="맑은 고딕"/>
        <family val="0"/>
        <charset val="1"/>
      </rPr>
      <t xml:space="preserve">, </t>
    </r>
    <r>
      <rPr>
        <i val="true"/>
        <sz val="9"/>
        <color rgb="FF9AA6A1"/>
        <rFont val="Noto Sans CJK SC"/>
        <family val="2"/>
      </rPr>
      <t xml:space="preserve">건설이자는 매월 자본화</t>
    </r>
    <r>
      <rPr>
        <i val="true"/>
        <sz val="9"/>
        <color rgb="FF9AA6A1"/>
        <rFont val="맑은 고딕"/>
        <family val="0"/>
        <charset val="1"/>
      </rPr>
      <t xml:space="preserve">(</t>
    </r>
    <r>
      <rPr>
        <i val="true"/>
        <sz val="9"/>
        <color rgb="FF9AA6A1"/>
        <rFont val="Noto Sans CJK SC"/>
        <family val="2"/>
      </rPr>
      <t xml:space="preserve">원금가산</t>
    </r>
    <r>
      <rPr>
        <i val="true"/>
        <sz val="9"/>
        <color rgb="FF9AA6A1"/>
        <rFont val="맑은 고딕"/>
        <family val="0"/>
        <charset val="1"/>
      </rPr>
      <t xml:space="preserve">)</t>
    </r>
    <r>
      <rPr>
        <i val="true"/>
        <sz val="9"/>
        <color rgb="FF9AA6A1"/>
        <rFont val="Noto Sans CJK SC"/>
        <family val="2"/>
      </rPr>
      <t xml:space="preserve">됩니다</t>
    </r>
    <r>
      <rPr>
        <i val="true"/>
        <sz val="9"/>
        <color rgb="FF9AA6A1"/>
        <rFont val="맑은 고딕"/>
        <family val="0"/>
        <charset val="1"/>
      </rPr>
      <t xml:space="preserve">.</t>
    </r>
  </si>
  <si>
    <r>
      <rPr>
        <i val="true"/>
        <sz val="9"/>
        <color rgb="FF9AA6A1"/>
        <rFont val="Noto Sans CJK SC"/>
        <family val="2"/>
      </rPr>
      <t xml:space="preserve">※ 공사기간을 </t>
    </r>
    <r>
      <rPr>
        <i val="true"/>
        <sz val="9"/>
        <color rgb="FF9AA6A1"/>
        <rFont val="맑은 고딕"/>
        <family val="0"/>
        <charset val="1"/>
      </rPr>
      <t xml:space="preserve">28</t>
    </r>
    <r>
      <rPr>
        <i val="true"/>
        <sz val="9"/>
        <color rgb="FF9AA6A1"/>
        <rFont val="Noto Sans CJK SC"/>
        <family val="2"/>
      </rPr>
      <t xml:space="preserve">개월 이상으로 늘리려면 열을 추가하거나 생성기에서 다시 만들어 주세요</t>
    </r>
    <r>
      <rPr>
        <i val="true"/>
        <sz val="9"/>
        <color rgb="FF9AA6A1"/>
        <rFont val="맑은 고딕"/>
        <family val="0"/>
        <charset val="1"/>
      </rPr>
      <t xml:space="preserve">.</t>
    </r>
  </si>
  <si>
    <t xml:space="preserve">총투자비 및 재원조달</t>
  </si>
  <si>
    <t xml:space="preserve">총투자비</t>
  </si>
  <si>
    <t xml:space="preserve">금액</t>
  </si>
  <si>
    <t xml:space="preserve">비중</t>
  </si>
  <si>
    <r>
      <rPr>
        <sz val="10"/>
        <color rgb="FF000000"/>
        <rFont val="Noto Sans CJK SC"/>
        <family val="2"/>
      </rPr>
      <t xml:space="preserve">총사업비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건설이자 제외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</si>
  <si>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건설이자</t>
    </r>
    <r>
      <rPr>
        <sz val="10"/>
        <color rgb="FF000000"/>
        <rFont val="맑은 고딕"/>
        <family val="0"/>
        <charset val="1"/>
      </rPr>
      <t xml:space="preserve">(IDC)</t>
    </r>
  </si>
  <si>
    <r>
      <rPr>
        <sz val="10"/>
        <color rgb="FF000000"/>
        <rFont val="Noto Sans CJK SC"/>
        <family val="2"/>
      </rPr>
      <t xml:space="preserve">최초 </t>
    </r>
    <r>
      <rPr>
        <sz val="10"/>
        <color rgb="FF000000"/>
        <rFont val="맑은 고딕"/>
        <family val="0"/>
        <charset val="1"/>
      </rPr>
      <t xml:space="preserve">DSRA</t>
    </r>
  </si>
  <si>
    <t xml:space="preserve">선순위 차입금</t>
  </si>
  <si>
    <t xml:space="preserve">합계</t>
  </si>
  <si>
    <r>
      <rPr>
        <sz val="10"/>
        <color rgb="FF000000"/>
        <rFont val="맑은 고딕"/>
        <family val="0"/>
        <charset val="1"/>
      </rPr>
      <t xml:space="preserve">Check (</t>
    </r>
    <r>
      <rPr>
        <sz val="10"/>
        <color rgb="FF000000"/>
        <rFont val="Noto Sans CJK SC"/>
        <family val="2"/>
      </rPr>
      <t xml:space="preserve">소요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조달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</si>
  <si>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감가상각</t>
  </si>
  <si>
    <t xml:space="preserve">연간 상각비</t>
  </si>
  <si>
    <r>
      <rPr>
        <i val="true"/>
        <sz val="9"/>
        <color rgb="FF9AA6A1"/>
        <rFont val="Noto Sans CJK SC"/>
        <family val="2"/>
      </rPr>
      <t xml:space="preserve">※ 건설이자는 자기자본 우선인출 가정 하에 월단위로 자본화하여 산출한 값입니다</t>
    </r>
    <r>
      <rPr>
        <i val="true"/>
        <sz val="9"/>
        <color rgb="FF9AA6A1"/>
        <rFont val="맑은 고딕"/>
        <family val="0"/>
        <charset val="1"/>
      </rPr>
      <t xml:space="preserve">.</t>
    </r>
  </si>
  <si>
    <t xml:space="preserve">영업수익 추정</t>
  </si>
  <si>
    <t xml:space="preserve">발전량 및 매출</t>
  </si>
  <si>
    <r>
      <rPr>
        <sz val="10"/>
        <color rgb="FF000000"/>
        <rFont val="맑은 고딕"/>
        <family val="0"/>
        <charset val="1"/>
      </rPr>
      <t xml:space="preserve">Degradation </t>
    </r>
    <r>
      <rPr>
        <sz val="10"/>
        <color rgb="FF000000"/>
        <rFont val="Noto Sans CJK SC"/>
        <family val="2"/>
      </rPr>
      <t xml:space="preserve">계수</t>
    </r>
  </si>
  <si>
    <r>
      <rPr>
        <b val="true"/>
        <sz val="10"/>
        <color rgb="FF000000"/>
        <rFont val="Noto Sans CJK SC"/>
        <family val="2"/>
      </rPr>
      <t xml:space="preserve">발전량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송전단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</si>
  <si>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[MWh]</t>
  </si>
  <si>
    <t xml:space="preserve">영업비용 추정</t>
  </si>
  <si>
    <t xml:space="preserve">운영비용</t>
  </si>
  <si>
    <r>
      <rPr>
        <sz val="10"/>
        <color rgb="FF000000"/>
        <rFont val="Noto Sans CJK SC"/>
        <family val="2"/>
      </rPr>
      <t xml:space="preserve">운영비</t>
    </r>
    <r>
      <rPr>
        <sz val="10"/>
        <color rgb="FF000000"/>
        <rFont val="맑은 고딕"/>
        <family val="0"/>
        <charset val="1"/>
      </rPr>
      <t xml:space="preserve">(1</t>
    </r>
    <r>
      <rPr>
        <sz val="10"/>
        <color rgb="FF000000"/>
        <rFont val="Noto Sans CJK SC"/>
        <family val="2"/>
      </rPr>
      <t xml:space="preserve">년차 기준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</si>
  <si>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물가상승 계수</t>
  </si>
  <si>
    <t xml:space="preserve">영업비용 합계</t>
  </si>
  <si>
    <r>
      <rPr>
        <b val="true"/>
        <sz val="10"/>
        <color rgb="FF6B7B76"/>
        <rFont val="Noto Sans CJK SC"/>
        <family val="2"/>
      </rPr>
      <t xml:space="preserve">차입금 인출</t>
    </r>
    <r>
      <rPr>
        <b val="true"/>
        <sz val="10"/>
        <color rgb="FF6B7B76"/>
        <rFont val="맑은 고딕"/>
        <family val="0"/>
        <charset val="1"/>
      </rPr>
      <t xml:space="preserve">·</t>
    </r>
    <r>
      <rPr>
        <b val="true"/>
        <sz val="10"/>
        <color rgb="FF6B7B76"/>
        <rFont val="Noto Sans CJK SC"/>
        <family val="2"/>
      </rPr>
      <t xml:space="preserve">상환 스케줄</t>
    </r>
  </si>
  <si>
    <t xml:space="preserve">기초잔액</t>
  </si>
  <si>
    <t xml:space="preserve">원금상환</t>
  </si>
  <si>
    <t xml:space="preserve">기말잔액</t>
  </si>
  <si>
    <t xml:space="preserve">이자비용</t>
  </si>
  <si>
    <r>
      <rPr>
        <b val="true"/>
        <sz val="10"/>
        <color rgb="FF000000"/>
        <rFont val="Noto Sans CJK SC"/>
        <family val="2"/>
      </rPr>
      <t xml:space="preserve">원리금 합계</t>
    </r>
    <r>
      <rPr>
        <b val="true"/>
        <sz val="10"/>
        <color rgb="FF000000"/>
        <rFont val="맑은 고딕"/>
        <family val="0"/>
        <charset val="1"/>
      </rPr>
      <t xml:space="preserve">(DS)</t>
    </r>
  </si>
  <si>
    <r>
      <rPr>
        <b val="true"/>
        <sz val="11"/>
        <color rgb="FFFFFFFF"/>
        <rFont val="맑은 고딕"/>
        <family val="0"/>
        <charset val="1"/>
      </rPr>
      <t xml:space="preserve">DSRA (</t>
    </r>
    <r>
      <rPr>
        <b val="true"/>
        <sz val="11"/>
        <color rgb="FFFFFFFF"/>
        <rFont val="Noto Sans CJK SC"/>
        <family val="2"/>
      </rPr>
      <t xml:space="preserve">원리금상환적립금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</si>
  <si>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DSRA </t>
    </r>
    <r>
      <rPr>
        <sz val="10"/>
        <color rgb="FF000000"/>
        <rFont val="Noto Sans CJK SC"/>
        <family val="2"/>
      </rPr>
      <t xml:space="preserve">잔액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</si>
  <si>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DSRA </t>
    </r>
    <r>
      <rPr>
        <sz val="10"/>
        <color rgb="FF000000"/>
        <rFont val="Noto Sans CJK SC"/>
        <family val="2"/>
      </rPr>
      <t xml:space="preserve">증감</t>
    </r>
    <r>
      <rPr>
        <sz val="10"/>
        <color rgb="FF000000"/>
        <rFont val="맑은 고딕"/>
        <family val="0"/>
        <charset val="1"/>
      </rPr>
      <t xml:space="preserve">((+)</t>
    </r>
    <r>
      <rPr>
        <sz val="10"/>
        <color rgb="FF000000"/>
        <rFont val="Noto Sans CJK SC"/>
        <family val="2"/>
      </rPr>
      <t xml:space="preserve">적립</t>
    </r>
    <r>
      <rPr>
        <sz val="10"/>
        <color rgb="FF000000"/>
        <rFont val="맑은 고딕"/>
        <family val="0"/>
        <charset val="1"/>
      </rPr>
      <t xml:space="preserve">/(-)</t>
    </r>
    <r>
      <rPr>
        <sz val="10"/>
        <color rgb="FF000000"/>
        <rFont val="Noto Sans CJK SC"/>
        <family val="2"/>
      </rPr>
      <t xml:space="preserve">환입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</si>
  <si>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상환 종료 후 미상환 잔액</t>
  </si>
  <si>
    <r>
      <rPr>
        <i val="true"/>
        <sz val="9"/>
        <color rgb="FFB4573C"/>
        <rFont val="Noto Sans CJK SC"/>
        <family val="2"/>
      </rPr>
      <t xml:space="preserve">※ 상환방식 </t>
    </r>
    <r>
      <rPr>
        <i val="true"/>
        <sz val="9"/>
        <color rgb="FFB4573C"/>
        <rFont val="맑은 고딕"/>
        <family val="0"/>
        <charset val="1"/>
      </rPr>
      <t xml:space="preserve">3(DSCR </t>
    </r>
    <r>
      <rPr>
        <i val="true"/>
        <sz val="9"/>
        <color rgb="FFB4573C"/>
        <rFont val="Noto Sans CJK SC"/>
        <family val="2"/>
      </rPr>
      <t xml:space="preserve">스컬프팅</t>
    </r>
    <r>
      <rPr>
        <i val="true"/>
        <sz val="9"/>
        <color rgb="FFB4573C"/>
        <rFont val="맑은 고딕"/>
        <family val="0"/>
        <charset val="1"/>
      </rPr>
      <t xml:space="preserve">): </t>
    </r>
    <r>
      <rPr>
        <i val="true"/>
        <sz val="9"/>
        <color rgb="FFB4573C"/>
        <rFont val="Noto Sans CJK SC"/>
        <family val="2"/>
      </rPr>
      <t xml:space="preserve">위 원금상환 행</t>
    </r>
    <r>
      <rPr>
        <i val="true"/>
        <sz val="9"/>
        <color rgb="FFB4573C"/>
        <rFont val="맑은 고딕"/>
        <family val="0"/>
        <charset val="1"/>
      </rPr>
      <t xml:space="preserve">(</t>
    </r>
    <r>
      <rPr>
        <i val="true"/>
        <sz val="9"/>
        <color rgb="FFB4573C"/>
        <rFont val="Noto Sans CJK SC"/>
        <family val="2"/>
      </rPr>
      <t xml:space="preserve">파란 셀</t>
    </r>
    <r>
      <rPr>
        <i val="true"/>
        <sz val="9"/>
        <color rgb="FFB4573C"/>
        <rFont val="맑은 고딕"/>
        <family val="0"/>
        <charset val="1"/>
      </rPr>
      <t xml:space="preserve">)</t>
    </r>
    <r>
      <rPr>
        <i val="true"/>
        <sz val="9"/>
        <color rgb="FFB4573C"/>
        <rFont val="Noto Sans CJK SC"/>
        <family val="2"/>
      </rPr>
      <t xml:space="preserve">은 균등 </t>
    </r>
    <r>
      <rPr>
        <i val="true"/>
        <sz val="9"/>
        <color rgb="FFB4573C"/>
        <rFont val="맑은 고딕"/>
        <family val="0"/>
        <charset val="1"/>
      </rPr>
      <t xml:space="preserve">DSCR 1.135x </t>
    </r>
    <r>
      <rPr>
        <i val="true"/>
        <sz val="9"/>
        <color rgb="FFB4573C"/>
        <rFont val="Noto Sans CJK SC"/>
        <family val="2"/>
      </rPr>
      <t xml:space="preserve">로 완전상환되도록 산출해 넣은 스케줄입니다</t>
    </r>
    <r>
      <rPr>
        <i val="true"/>
        <sz val="9"/>
        <color rgb="FFB4573C"/>
        <rFont val="맑은 고딕"/>
        <family val="0"/>
        <charset val="1"/>
      </rPr>
      <t xml:space="preserve">.</t>
    </r>
  </si>
  <si>
    <r>
      <rPr>
        <i val="true"/>
        <sz val="9"/>
        <color rgb="FFB4573C"/>
        <rFont val="Noto Sans CJK SC"/>
        <family val="2"/>
      </rPr>
      <t xml:space="preserve">   스컬프팅은 반복계산이 필요해 수식으로 자동 재산출되지 않습니다</t>
    </r>
    <r>
      <rPr>
        <i val="true"/>
        <sz val="9"/>
        <color rgb="FFB4573C"/>
        <rFont val="맑은 고딕"/>
        <family val="0"/>
        <charset val="1"/>
      </rPr>
      <t xml:space="preserve">. Assum</t>
    </r>
    <r>
      <rPr>
        <i val="true"/>
        <sz val="9"/>
        <color rgb="FFB4573C"/>
        <rFont val="Noto Sans CJK SC"/>
        <family val="2"/>
      </rPr>
      <t xml:space="preserve">의 이용률</t>
    </r>
    <r>
      <rPr>
        <i val="true"/>
        <sz val="9"/>
        <color rgb="FFB4573C"/>
        <rFont val="맑은 고딕"/>
        <family val="0"/>
        <charset val="1"/>
      </rPr>
      <t xml:space="preserve">·</t>
    </r>
    <r>
      <rPr>
        <i val="true"/>
        <sz val="9"/>
        <color rgb="FFB4573C"/>
        <rFont val="Noto Sans CJK SC"/>
        <family val="2"/>
      </rPr>
      <t xml:space="preserve">금리</t>
    </r>
    <r>
      <rPr>
        <i val="true"/>
        <sz val="9"/>
        <color rgb="FFB4573C"/>
        <rFont val="맑은 고딕"/>
        <family val="0"/>
        <charset val="1"/>
      </rPr>
      <t xml:space="preserve">·</t>
    </r>
    <r>
      <rPr>
        <i val="true"/>
        <sz val="9"/>
        <color rgb="FFB4573C"/>
        <rFont val="Noto Sans CJK SC"/>
        <family val="2"/>
      </rPr>
      <t xml:space="preserve">단가</t>
    </r>
    <r>
      <rPr>
        <i val="true"/>
        <sz val="9"/>
        <color rgb="FFB4573C"/>
        <rFont val="맑은 고딕"/>
        <family val="0"/>
        <charset val="1"/>
      </rPr>
      <t xml:space="preserve">·</t>
    </r>
    <r>
      <rPr>
        <i val="true"/>
        <sz val="9"/>
        <color rgb="FFB4573C"/>
        <rFont val="Noto Sans CJK SC"/>
        <family val="2"/>
      </rPr>
      <t xml:space="preserve">상환기간 등을 엑셀에서 바꾸면 이 행은 그대로 남아 </t>
    </r>
    <r>
      <rPr>
        <i val="true"/>
        <sz val="9"/>
        <color rgb="FFB4573C"/>
        <rFont val="맑은 고딕"/>
        <family val="0"/>
        <charset val="1"/>
      </rPr>
      <t xml:space="preserve">D19</t>
    </r>
    <r>
      <rPr>
        <i val="true"/>
        <sz val="9"/>
        <color rgb="FFB4573C"/>
        <rFont val="Noto Sans CJK SC"/>
        <family val="2"/>
      </rPr>
      <t xml:space="preserve">에 미상환 잔액이 뜹니다</t>
    </r>
    <r>
      <rPr>
        <i val="true"/>
        <sz val="9"/>
        <color rgb="FFB4573C"/>
        <rFont val="맑은 고딕"/>
        <family val="0"/>
        <charset val="1"/>
      </rPr>
      <t xml:space="preserve">.</t>
    </r>
  </si>
  <si>
    <r>
      <rPr>
        <i val="true"/>
        <sz val="9"/>
        <color rgb="FFB4573C"/>
        <rFont val="Noto Sans CJK SC"/>
        <family val="2"/>
      </rPr>
      <t xml:space="preserve">   → 가정을 바꾼 뒤에는 생성기에서 다시 추출하거나</t>
    </r>
    <r>
      <rPr>
        <i val="true"/>
        <sz val="9"/>
        <color rgb="FFB4573C"/>
        <rFont val="맑은 고딕"/>
        <family val="0"/>
        <charset val="1"/>
      </rPr>
      <t xml:space="preserve">, </t>
    </r>
    <r>
      <rPr>
        <i val="true"/>
        <sz val="9"/>
        <color rgb="FFB4573C"/>
        <rFont val="Noto Sans CJK SC"/>
        <family val="2"/>
      </rPr>
      <t xml:space="preserve">상환방식 </t>
    </r>
    <r>
      <rPr>
        <i val="true"/>
        <sz val="9"/>
        <color rgb="FFB4573C"/>
        <rFont val="맑은 고딕"/>
        <family val="0"/>
        <charset val="1"/>
      </rPr>
      <t xml:space="preserve">1(</t>
    </r>
    <r>
      <rPr>
        <i val="true"/>
        <sz val="9"/>
        <color rgb="FFB4573C"/>
        <rFont val="Noto Sans CJK SC"/>
        <family val="2"/>
      </rPr>
      <t xml:space="preserve">원금균등</t>
    </r>
    <r>
      <rPr>
        <i val="true"/>
        <sz val="9"/>
        <color rgb="FFB4573C"/>
        <rFont val="맑은 고딕"/>
        <family val="0"/>
        <charset val="1"/>
      </rPr>
      <t xml:space="preserve">)·2(</t>
    </r>
    <r>
      <rPr>
        <i val="true"/>
        <sz val="9"/>
        <color rgb="FFB4573C"/>
        <rFont val="Noto Sans CJK SC"/>
        <family val="2"/>
      </rPr>
      <t xml:space="preserve">원리금균등</t>
    </r>
    <r>
      <rPr>
        <i val="true"/>
        <sz val="9"/>
        <color rgb="FFB4573C"/>
        <rFont val="맑은 고딕"/>
        <family val="0"/>
        <charset val="1"/>
      </rPr>
      <t xml:space="preserve">)</t>
    </r>
    <r>
      <rPr>
        <i val="true"/>
        <sz val="9"/>
        <color rgb="FFB4573C"/>
        <rFont val="Noto Sans CJK SC"/>
        <family val="2"/>
      </rPr>
      <t xml:space="preserve">를 쓰면 엑셀에서 완전히 자동 재계산됩니다</t>
    </r>
    <r>
      <rPr>
        <i val="true"/>
        <sz val="9"/>
        <color rgb="FFB4573C"/>
        <rFont val="맑은 고딕"/>
        <family val="0"/>
        <charset val="1"/>
      </rPr>
      <t xml:space="preserve">.</t>
    </r>
  </si>
  <si>
    <r>
      <rPr>
        <b val="true"/>
        <sz val="10"/>
        <color rgb="FF6B7B76"/>
        <rFont val="Noto Sans CJK SC"/>
        <family val="2"/>
      </rPr>
      <t xml:space="preserve">추정 손익계산서 </t>
    </r>
    <r>
      <rPr>
        <b val="true"/>
        <sz val="10"/>
        <color rgb="FF6B7B76"/>
        <rFont val="맑은 고딕"/>
        <family val="0"/>
        <charset val="1"/>
      </rPr>
      <t xml:space="preserve">(</t>
    </r>
    <r>
      <rPr>
        <b val="true"/>
        <sz val="10"/>
        <color rgb="FF6B7B76"/>
        <rFont val="Noto Sans CJK SC"/>
        <family val="2"/>
      </rPr>
      <t xml:space="preserve">연간</t>
    </r>
    <r>
      <rPr>
        <b val="true"/>
        <sz val="10"/>
        <color rgb="FF6B7B76"/>
        <rFont val="맑은 고딕"/>
        <family val="0"/>
        <charset val="1"/>
      </rPr>
      <t xml:space="preserve">)</t>
    </r>
  </si>
  <si>
    <t xml:space="preserve">손익계산서</t>
  </si>
  <si>
    <t xml:space="preserve">감가상각비</t>
  </si>
  <si>
    <r>
      <rPr>
        <b val="true"/>
        <sz val="10"/>
        <color rgb="FF000000"/>
        <rFont val="Noto Sans CJK SC"/>
        <family val="2"/>
      </rPr>
      <t xml:space="preserve">영업이익</t>
    </r>
    <r>
      <rPr>
        <b val="true"/>
        <sz val="10"/>
        <color rgb="FF000000"/>
        <rFont val="맑은 고딕"/>
        <family val="0"/>
        <charset val="1"/>
      </rPr>
      <t xml:space="preserve">(EBIT)</t>
    </r>
  </si>
  <si>
    <t xml:space="preserve">법인세차감전순이익</t>
  </si>
  <si>
    <r>
      <rPr>
        <sz val="10"/>
        <color rgb="FF000000"/>
        <rFont val="Noto Sans CJK SC"/>
        <family val="2"/>
      </rPr>
      <t xml:space="preserve">이월결손금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기초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</si>
  <si>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결손금 공제액</t>
  </si>
  <si>
    <t xml:space="preserve">과세표준</t>
  </si>
  <si>
    <t xml:space="preserve">법인세비용</t>
  </si>
  <si>
    <r>
      <rPr>
        <sz val="10"/>
        <color rgb="FF000000"/>
        <rFont val="Noto Sans CJK SC"/>
        <family val="2"/>
      </rPr>
      <t xml:space="preserve">이월결손금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기말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</si>
  <si>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EBITDA Margin</t>
  </si>
  <si>
    <r>
      <rPr>
        <b val="true"/>
        <sz val="10"/>
        <color rgb="FF6B7B76"/>
        <rFont val="Noto Sans CJK SC"/>
        <family val="2"/>
      </rPr>
      <t xml:space="preserve">추정 현금흐름표 </t>
    </r>
    <r>
      <rPr>
        <b val="true"/>
        <sz val="10"/>
        <color rgb="FF6B7B76"/>
        <rFont val="맑은 고딕"/>
        <family val="0"/>
        <charset val="1"/>
      </rPr>
      <t xml:space="preserve">(</t>
    </r>
    <r>
      <rPr>
        <b val="true"/>
        <sz val="10"/>
        <color rgb="FF6B7B76"/>
        <rFont val="Noto Sans CJK SC"/>
        <family val="2"/>
      </rPr>
      <t xml:space="preserve">연간</t>
    </r>
    <r>
      <rPr>
        <b val="true"/>
        <sz val="10"/>
        <color rgb="FF6B7B76"/>
        <rFont val="맑은 고딕"/>
        <family val="0"/>
        <charset val="1"/>
      </rPr>
      <t xml:space="preserve">)</t>
    </r>
  </si>
  <si>
    <t xml:space="preserve">영업활동 현금흐름</t>
  </si>
  <si>
    <t xml:space="preserve">법인세 지급</t>
  </si>
  <si>
    <r>
      <rPr>
        <b val="true"/>
        <sz val="10"/>
        <color rgb="FF000000"/>
        <rFont val="맑은 고딕"/>
        <family val="0"/>
        <charset val="1"/>
      </rPr>
      <t xml:space="preserve">CFADS (</t>
    </r>
    <r>
      <rPr>
        <b val="true"/>
        <sz val="10"/>
        <color rgb="FF000000"/>
        <rFont val="Noto Sans CJK SC"/>
        <family val="2"/>
      </rPr>
      <t xml:space="preserve">상환가능현금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</si>
  <si>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재무활동 현금흐름</t>
  </si>
  <si>
    <t xml:space="preserve">원리금 상환</t>
  </si>
  <si>
    <r>
      <rPr>
        <sz val="10"/>
        <color rgb="FF000000"/>
        <rFont val="맑은 고딕"/>
        <family val="0"/>
        <charset val="1"/>
      </rPr>
      <t xml:space="preserve">DSRA </t>
    </r>
    <r>
      <rPr>
        <sz val="10"/>
        <color rgb="FF000000"/>
        <rFont val="Noto Sans CJK SC"/>
        <family val="2"/>
      </rPr>
      <t xml:space="preserve">증감</t>
    </r>
  </si>
  <si>
    <r>
      <rPr>
        <sz val="10"/>
        <color rgb="FF000000"/>
        <rFont val="Noto Sans CJK SC"/>
        <family val="2"/>
      </rPr>
      <t xml:space="preserve">철거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복구비</t>
    </r>
  </si>
  <si>
    <r>
      <rPr>
        <b val="true"/>
        <sz val="10"/>
        <color rgb="FF000000"/>
        <rFont val="Noto Sans CJK SC"/>
        <family val="2"/>
      </rPr>
      <t xml:space="preserve">주주귀속 잉여현금</t>
    </r>
    <r>
      <rPr>
        <b val="true"/>
        <sz val="10"/>
        <color rgb="FF000000"/>
        <rFont val="맑은 고딕"/>
        <family val="0"/>
        <charset val="1"/>
      </rPr>
      <t xml:space="preserve">(FCFE)</t>
    </r>
  </si>
  <si>
    <t xml:space="preserve">배당 및 현금계정</t>
  </si>
  <si>
    <t xml:space="preserve">배당금 지급</t>
  </si>
  <si>
    <t xml:space="preserve">기초현금</t>
  </si>
  <si>
    <t xml:space="preserve">기말현금</t>
  </si>
  <si>
    <r>
      <rPr>
        <sz val="10"/>
        <color rgb="FF000000"/>
        <rFont val="맑은 고딕"/>
        <family val="0"/>
        <charset val="1"/>
      </rPr>
      <t xml:space="preserve">DSRA </t>
    </r>
    <r>
      <rPr>
        <sz val="10"/>
        <color rgb="FF000000"/>
        <rFont val="Noto Sans CJK SC"/>
        <family val="2"/>
      </rPr>
      <t xml:space="preserve">잔액</t>
    </r>
  </si>
  <si>
    <t xml:space="preserve">원리금 상환능력 분석</t>
  </si>
  <si>
    <r>
      <rPr>
        <b val="true"/>
        <sz val="10"/>
        <color rgb="FF000000"/>
        <rFont val="Noto Sans CJK SC"/>
        <family val="2"/>
      </rPr>
      <t xml:space="preserve">단순 </t>
    </r>
    <r>
      <rPr>
        <b val="true"/>
        <sz val="10"/>
        <color rgb="FF000000"/>
        <rFont val="맑은 고딕"/>
        <family val="0"/>
        <charset val="1"/>
      </rPr>
      <t xml:space="preserve">DSCR</t>
    </r>
  </si>
  <si>
    <r>
      <rPr>
        <b val="true"/>
        <sz val="10"/>
        <color rgb="FF000000"/>
        <rFont val="Noto Sans CJK SC"/>
        <family val="2"/>
      </rPr>
      <t xml:space="preserve">최소 </t>
    </r>
    <r>
      <rPr>
        <b val="true"/>
        <sz val="10"/>
        <color rgb="FF000000"/>
        <rFont val="맑은 고딕"/>
        <family val="0"/>
        <charset val="1"/>
      </rPr>
      <t xml:space="preserve">DSCR</t>
    </r>
  </si>
  <si>
    <r>
      <rPr>
        <b val="true"/>
        <sz val="10"/>
        <color rgb="FF000000"/>
        <rFont val="Noto Sans CJK SC"/>
        <family val="2"/>
      </rPr>
      <t xml:space="preserve">평균 </t>
    </r>
    <r>
      <rPr>
        <b val="true"/>
        <sz val="10"/>
        <color rgb="FF000000"/>
        <rFont val="맑은 고딕"/>
        <family val="0"/>
        <charset val="1"/>
      </rPr>
      <t xml:space="preserve">DSCR</t>
    </r>
  </si>
  <si>
    <r>
      <rPr>
        <i val="true"/>
        <sz val="9"/>
        <color rgb="FF9AA6A1"/>
        <rFont val="Noto Sans CJK SC"/>
        <family val="2"/>
      </rPr>
      <t xml:space="preserve">※ 상환이 없는 연도는 </t>
    </r>
    <r>
      <rPr>
        <i val="true"/>
        <sz val="9"/>
        <color rgb="FF9AA6A1"/>
        <rFont val="맑은 고딕"/>
        <family val="0"/>
        <charset val="1"/>
      </rPr>
      <t xml:space="preserve">"-"</t>
    </r>
    <r>
      <rPr>
        <i val="true"/>
        <sz val="9"/>
        <color rgb="FF9AA6A1"/>
        <rFont val="Noto Sans CJK SC"/>
        <family val="2"/>
      </rPr>
      <t xml:space="preserve">로 표시되며 최소</t>
    </r>
    <r>
      <rPr>
        <i val="true"/>
        <sz val="9"/>
        <color rgb="FF9AA6A1"/>
        <rFont val="맑은 고딕"/>
        <family val="0"/>
        <charset val="1"/>
      </rPr>
      <t xml:space="preserve">/</t>
    </r>
    <r>
      <rPr>
        <i val="true"/>
        <sz val="9"/>
        <color rgb="FF9AA6A1"/>
        <rFont val="Noto Sans CJK SC"/>
        <family val="2"/>
      </rPr>
      <t xml:space="preserve">평균 산출에서 제외됩니다</t>
    </r>
    <r>
      <rPr>
        <i val="true"/>
        <sz val="9"/>
        <color rgb="FF9AA6A1"/>
        <rFont val="맑은 고딕"/>
        <family val="0"/>
        <charset val="1"/>
      </rPr>
      <t xml:space="preserve">.</t>
    </r>
  </si>
  <si>
    <r>
      <rPr>
        <b val="true"/>
        <sz val="10"/>
        <color rgb="FF6B7B76"/>
        <rFont val="Noto Sans CJK SC"/>
        <family val="2"/>
      </rPr>
      <t xml:space="preserve">수익성 분석 </t>
    </r>
    <r>
      <rPr>
        <b val="true"/>
        <sz val="10"/>
        <color rgb="FF6B7B76"/>
        <rFont val="맑은 고딕"/>
        <family val="0"/>
        <charset val="1"/>
      </rPr>
      <t xml:space="preserve">(IRR / NPV)</t>
    </r>
  </si>
  <si>
    <t xml:space="preserve">Project IRR</t>
  </si>
  <si>
    <t xml:space="preserve">법인세</t>
  </si>
  <si>
    <t xml:space="preserve">Net Cashflow</t>
  </si>
  <si>
    <r>
      <rPr>
        <b val="true"/>
        <sz val="10"/>
        <color rgb="FF000000"/>
        <rFont val="맑은 고딕"/>
        <family val="0"/>
        <charset val="1"/>
      </rPr>
      <t xml:space="preserve">Project IRR (</t>
    </r>
    <r>
      <rPr>
        <b val="true"/>
        <sz val="10"/>
        <color rgb="FF000000"/>
        <rFont val="Noto Sans CJK SC"/>
        <family val="2"/>
      </rPr>
      <t xml:space="preserve">세후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</si>
  <si>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NPV @ </t>
    </r>
    <r>
      <rPr>
        <b val="true"/>
        <sz val="10"/>
        <color rgb="FF000000"/>
        <rFont val="Noto Sans CJK SC"/>
        <family val="2"/>
      </rPr>
      <t xml:space="preserve">할인율</t>
    </r>
  </si>
  <si>
    <t xml:space="preserve">Equity IRR</t>
  </si>
  <si>
    <t xml:space="preserve">자본금 납입</t>
  </si>
  <si>
    <t xml:space="preserve">FCFE</t>
  </si>
  <si>
    <t xml:space="preserve">Net Cashflow (FCFE base)</t>
  </si>
  <si>
    <r>
      <rPr>
        <b val="true"/>
        <sz val="10"/>
        <color rgb="FF000000"/>
        <rFont val="맑은 고딕"/>
        <family val="0"/>
        <charset val="1"/>
      </rPr>
      <t xml:space="preserve">Equity IRR (FCFE </t>
    </r>
    <r>
      <rPr>
        <b val="true"/>
        <sz val="10"/>
        <color rgb="FF000000"/>
        <rFont val="Noto Sans CJK SC"/>
        <family val="2"/>
      </rPr>
      <t xml:space="preserve">기준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</si>
  <si>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Equity IRR (</t>
    </r>
    <r>
      <rPr>
        <b val="true"/>
        <sz val="10"/>
        <color rgb="FF000000"/>
        <rFont val="Noto Sans CJK SC"/>
        <family val="2"/>
      </rPr>
      <t xml:space="preserve">배당 기준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</si>
  <si>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6B7B76"/>
        <rFont val="Noto Sans CJK SC"/>
        <family val="2"/>
      </rPr>
      <t xml:space="preserve">민감도 분석 </t>
    </r>
    <r>
      <rPr>
        <b val="true"/>
        <sz val="10"/>
        <color rgb="FF6B7B76"/>
        <rFont val="맑은 고딕"/>
        <family val="0"/>
        <charset val="1"/>
      </rPr>
      <t xml:space="preserve">(</t>
    </r>
    <r>
      <rPr>
        <b val="true"/>
        <sz val="10"/>
        <color rgb="FF6B7B76"/>
        <rFont val="Noto Sans CJK SC"/>
        <family val="2"/>
      </rPr>
      <t xml:space="preserve">재무모델 생성기 산출값</t>
    </r>
    <r>
      <rPr>
        <b val="true"/>
        <sz val="10"/>
        <color rgb="FF6B7B76"/>
        <rFont val="맑은 고딕"/>
        <family val="0"/>
        <charset val="1"/>
      </rPr>
      <t xml:space="preserve">)</t>
    </r>
  </si>
  <si>
    <t xml:space="preserve">변동값</t>
  </si>
  <si>
    <r>
      <rPr>
        <b val="true"/>
        <sz val="9"/>
        <color rgb="FFFFFFFF"/>
        <rFont val="Noto Sans CJK SC"/>
        <family val="2"/>
      </rPr>
      <t xml:space="preserve">최소 </t>
    </r>
    <r>
      <rPr>
        <b val="true"/>
        <sz val="9"/>
        <color rgb="FFFFFFFF"/>
        <rFont val="맑은 고딕"/>
        <family val="0"/>
        <charset val="1"/>
      </rPr>
      <t xml:space="preserve">DSCR</t>
    </r>
  </si>
  <si>
    <t xml:space="preserve">14.14 %</t>
  </si>
  <si>
    <t xml:space="preserve">14.92 %</t>
  </si>
  <si>
    <t xml:space="preserve">15.71 %</t>
  </si>
  <si>
    <t xml:space="preserve">16.50 %</t>
  </si>
  <si>
    <t xml:space="preserve">17.28 %</t>
  </si>
  <si>
    <t xml:space="preserve">차입 금리</t>
  </si>
  <si>
    <t xml:space="preserve">4.43 %</t>
  </si>
  <si>
    <t xml:space="preserve">4.99 %</t>
  </si>
  <si>
    <t xml:space="preserve">5.54 %</t>
  </si>
  <si>
    <t xml:space="preserve">6.09 %</t>
  </si>
  <si>
    <t xml:space="preserve">6.65 %</t>
  </si>
  <si>
    <t xml:space="preserve">매출 단가</t>
  </si>
  <si>
    <r>
      <rPr>
        <sz val="10"/>
        <rFont val="맑은 고딕"/>
        <family val="0"/>
        <charset val="1"/>
      </rPr>
      <t xml:space="preserve">139.32 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/kWh</t>
    </r>
  </si>
  <si>
    <r>
      <rPr>
        <sz val="10"/>
        <rFont val="맑은 고딕"/>
        <family val="0"/>
        <charset val="1"/>
      </rPr>
      <t xml:space="preserve">147.06 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/kWh</t>
    </r>
  </si>
  <si>
    <r>
      <rPr>
        <sz val="10"/>
        <rFont val="맑은 고딕"/>
        <family val="0"/>
        <charset val="1"/>
      </rPr>
      <t xml:space="preserve">154.80 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/kWh</t>
    </r>
  </si>
  <si>
    <r>
      <rPr>
        <sz val="10"/>
        <rFont val="맑은 고딕"/>
        <family val="0"/>
        <charset val="1"/>
      </rPr>
      <t xml:space="preserve">162.54 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/kWh</t>
    </r>
  </si>
  <si>
    <r>
      <rPr>
        <sz val="10"/>
        <rFont val="맑은 고딕"/>
        <family val="0"/>
        <charset val="1"/>
      </rPr>
      <t xml:space="preserve">170.28 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/kWh</t>
    </r>
  </si>
  <si>
    <r>
      <rPr>
        <i val="true"/>
        <sz val="9"/>
        <color rgb="FF9AA6A1"/>
        <rFont val="Noto Sans CJK SC"/>
        <family val="2"/>
      </rPr>
      <t xml:space="preserve">※ 민감도 표는 각 케이스를 별도 계산한 결과값이며 수식으로 연결되어 있지 않습니다</t>
    </r>
    <r>
      <rPr>
        <i val="true"/>
        <sz val="9"/>
        <color rgb="FF9AA6A1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</si>
</sst>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#,##0.000"/>
    <numFmt numFmtId="167" formatCode="0.00%"/>
    <numFmt numFmtId="168" formatCode="0"/>
    <numFmt numFmtId="169" formatCode="#,##0;\(#,##0\);\-"/>
    <numFmt numFmtId="170" formatCode="0.0%"/>
    <numFmt numFmtId="171" formatCode="0.00\x"/>
    <numFmt numFmtId="172" formatCode="#,##0.0"/>
    <numFmt numFmtId="173" formatCode="0.0"/>
    <numFmt numFmtId="174" formatCode="0.00"/>
    <numFmt numFmtId="175" formatCode="0\M"/>
    <numFmt numFmtId="176" formatCode="0.000"/>
    <numFmt numFmtId="177" formatCode="#,##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483A"/>
      <name val="Noto Sans CJK SC"/>
      <family val="2"/>
    </font>
    <font>
      <sz val="10"/>
      <color rgb="FF6B7B76"/>
      <name val="Noto Sans CJK SC"/>
      <family val="2"/>
    </font>
    <font>
      <sz val="10"/>
      <color rgb="FF6B7B76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맑은 고딕"/>
      <family val="0"/>
      <charset val="1"/>
    </font>
    <font>
      <b val="true"/>
      <sz val="10"/>
      <color rgb="FF14483A"/>
      <name val="맑은 고딕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sz val="9"/>
      <color rgb="FF6B7B76"/>
      <name val="Noto Sans CJK SC"/>
      <family val="2"/>
    </font>
    <font>
      <sz val="9"/>
      <color rgb="FF6B7B76"/>
      <name val="맑은 고딕"/>
      <family val="0"/>
      <charset val="1"/>
    </font>
    <font>
      <b val="true"/>
      <sz val="13"/>
      <color rgb="FF14483A"/>
      <name val="Noto Sans CJK SC"/>
      <family val="2"/>
    </font>
    <font>
      <b val="true"/>
      <sz val="10"/>
      <color rgb="FF6B7B76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8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sz val="10"/>
      <color rgb="FF000000"/>
      <name val="Noto Sans CJK SC"/>
      <family val="2"/>
    </font>
    <font>
      <sz val="10"/>
      <color rgb="FF008000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6B7B76"/>
      <name val="Noto Sans CJK SC"/>
      <family val="2"/>
    </font>
    <font>
      <i val="true"/>
      <sz val="9"/>
      <color rgb="FF9AA6A1"/>
      <name val="Noto Sans CJK SC"/>
      <family val="2"/>
    </font>
    <font>
      <i val="true"/>
      <sz val="9"/>
      <color rgb="FF9AA6A1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sz val="9"/>
      <color rgb="FF9AA6A1"/>
      <name val="맑은 고딕"/>
      <family val="0"/>
      <charset val="1"/>
    </font>
    <font>
      <b val="true"/>
      <sz val="10"/>
      <color rgb="FF0000FF"/>
      <name val="Noto Sans CJK SC"/>
      <family val="2"/>
    </font>
    <font>
      <b val="true"/>
      <sz val="10"/>
      <color rgb="FF0000FF"/>
      <name val="맑은 고딕"/>
      <family val="0"/>
      <charset val="1"/>
    </font>
    <font>
      <sz val="9"/>
      <color rgb="FF9AA6A1"/>
      <name val="Noto Sans CJK SC"/>
      <family val="2"/>
    </font>
    <font>
      <b val="true"/>
      <sz val="9"/>
      <color rgb="FF2E7D62"/>
      <name val="맑은 고딕"/>
      <family val="0"/>
      <charset val="1"/>
    </font>
    <font>
      <b val="true"/>
      <sz val="9"/>
      <color rgb="FF2E7D62"/>
      <name val="Noto Sans CJK SC"/>
      <family val="2"/>
    </font>
    <font>
      <sz val="10"/>
      <color rgb="FF0000FF"/>
      <name val="맑은 고딕"/>
      <family val="0"/>
      <charset val="1"/>
    </font>
    <font>
      <i val="true"/>
      <sz val="9"/>
      <color rgb="FFB4573C"/>
      <name val="Noto Sans CJK SC"/>
      <family val="2"/>
    </font>
    <font>
      <i val="true"/>
      <sz val="9"/>
      <color rgb="FFB4573C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483A"/>
        <bgColor rgb="FF0B2F24"/>
      </patternFill>
    </fill>
    <fill>
      <patternFill patternType="solid">
        <fgColor rgb="FF2E7D62"/>
        <bgColor rgb="FF008080"/>
      </patternFill>
    </fill>
    <fill>
      <patternFill patternType="solid">
        <fgColor rgb="FFFFF2CC"/>
        <bgColor rgb="FFF2F5F4"/>
      </patternFill>
    </fill>
    <fill>
      <patternFill patternType="solid">
        <fgColor rgb="FFF2F5F4"/>
        <bgColor rgb="FFE8F1ED"/>
      </patternFill>
    </fill>
    <fill>
      <patternFill patternType="solid">
        <fgColor rgb="FFE8F1ED"/>
        <bgColor rgb="FFF2F5F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B76"/>
      <rgbColor rgb="FF9999FF"/>
      <rgbColor rgb="FFB4573C"/>
      <rgbColor rgb="FFFFF2CC"/>
      <rgbColor rgb="FFE8F1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6A1"/>
      <rgbColor rgb="FF003366"/>
      <rgbColor rgb="FF2E7D62"/>
      <rgbColor rgb="FF0B2F24"/>
      <rgbColor rgb="FF333300"/>
      <rgbColor rgb="FF993300"/>
      <rgbColor rgb="FF993366"/>
      <rgbColor rgb="FF333399"/>
      <rgbColor rgb="FF1448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F24"/>
    <pageSetUpPr fitToPage="false"/>
  </sheetPr>
  <dimension ref="B2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6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4" t="s">
        <v>3</v>
      </c>
      <c r="D6" s="4" t="s">
        <v>4</v>
      </c>
    </row>
    <row r="7" customFormat="false" ht="15" hidden="false" customHeight="false" outlineLevel="0" collapsed="false">
      <c r="B7" s="5" t="s">
        <v>5</v>
      </c>
      <c r="C7" s="6" t="s">
        <v>6</v>
      </c>
      <c r="D7" s="7" t="s">
        <v>7</v>
      </c>
    </row>
    <row r="8" customFormat="false" ht="15" hidden="false" customHeight="false" outlineLevel="0" collapsed="false">
      <c r="B8" s="5" t="s">
        <v>8</v>
      </c>
      <c r="C8" s="6" t="s">
        <v>9</v>
      </c>
      <c r="D8" s="7" t="s">
        <v>10</v>
      </c>
    </row>
    <row r="9" customFormat="false" ht="15" hidden="false" customHeight="false" outlineLevel="0" collapsed="false">
      <c r="B9" s="5" t="s">
        <v>11</v>
      </c>
      <c r="C9" s="6" t="s">
        <v>12</v>
      </c>
      <c r="D9" s="7" t="s">
        <v>13</v>
      </c>
    </row>
    <row r="10" customFormat="false" ht="15" hidden="false" customHeight="false" outlineLevel="0" collapsed="false">
      <c r="B10" s="5" t="s">
        <v>14</v>
      </c>
      <c r="C10" s="6" t="s">
        <v>15</v>
      </c>
      <c r="D10" s="7" t="s">
        <v>16</v>
      </c>
    </row>
    <row r="11" customFormat="false" ht="15" hidden="false" customHeight="false" outlineLevel="0" collapsed="false">
      <c r="B11" s="5" t="s">
        <v>17</v>
      </c>
      <c r="C11" s="6" t="s">
        <v>18</v>
      </c>
      <c r="D11" s="7" t="s">
        <v>19</v>
      </c>
    </row>
    <row r="12" customFormat="false" ht="15" hidden="false" customHeight="false" outlineLevel="0" collapsed="false">
      <c r="B12" s="5" t="s">
        <v>20</v>
      </c>
      <c r="C12" s="6" t="s">
        <v>21</v>
      </c>
      <c r="D12" s="7" t="s">
        <v>22</v>
      </c>
    </row>
    <row r="13" customFormat="false" ht="15" hidden="false" customHeight="false" outlineLevel="0" collapsed="false">
      <c r="B13" s="5" t="s">
        <v>23</v>
      </c>
      <c r="C13" s="6" t="s">
        <v>24</v>
      </c>
      <c r="D13" s="7" t="s">
        <v>25</v>
      </c>
    </row>
    <row r="14" customFormat="false" ht="15" hidden="false" customHeight="false" outlineLevel="0" collapsed="false">
      <c r="B14" s="5" t="s">
        <v>26</v>
      </c>
      <c r="C14" s="6" t="s">
        <v>27</v>
      </c>
      <c r="D14" s="7" t="s">
        <v>28</v>
      </c>
    </row>
    <row r="15" customFormat="false" ht="15" hidden="false" customHeight="false" outlineLevel="0" collapsed="false">
      <c r="B15" s="5" t="s">
        <v>29</v>
      </c>
      <c r="C15" s="6" t="s">
        <v>30</v>
      </c>
      <c r="D15" s="8" t="s">
        <v>31</v>
      </c>
    </row>
    <row r="16" customFormat="false" ht="15" hidden="false" customHeight="false" outlineLevel="0" collapsed="false">
      <c r="B16" s="5" t="s">
        <v>32</v>
      </c>
      <c r="C16" s="6" t="s">
        <v>33</v>
      </c>
      <c r="D16" s="8" t="s">
        <v>34</v>
      </c>
    </row>
    <row r="17" customFormat="false" ht="15" hidden="false" customHeight="false" outlineLevel="0" collapsed="false">
      <c r="B17" s="5" t="s">
        <v>35</v>
      </c>
      <c r="C17" s="6" t="s">
        <v>36</v>
      </c>
      <c r="D17" s="7" t="s">
        <v>37</v>
      </c>
    </row>
    <row r="19" customFormat="false" ht="15" hidden="false" customHeight="false" outlineLevel="0" collapsed="false">
      <c r="B19" s="9" t="s">
        <v>38</v>
      </c>
    </row>
    <row r="20" customFormat="false" ht="15" hidden="false" customHeight="false" outlineLevel="0" collapsed="false">
      <c r="C20" s="10" t="s">
        <v>39</v>
      </c>
      <c r="D20" s="10" t="s">
        <v>40</v>
      </c>
    </row>
    <row r="21" customFormat="false" ht="15" hidden="false" customHeight="false" outlineLevel="0" collapsed="false">
      <c r="C21" s="10" t="s">
        <v>41</v>
      </c>
      <c r="D21" s="10" t="s">
        <v>42</v>
      </c>
    </row>
    <row r="22" customFormat="false" ht="15" hidden="false" customHeight="false" outlineLevel="0" collapsed="false">
      <c r="C22" s="10" t="s">
        <v>43</v>
      </c>
      <c r="D22" s="10" t="s">
        <v>44</v>
      </c>
    </row>
    <row r="23" customFormat="false" ht="15" hidden="false" customHeight="false" outlineLevel="0" collapsed="false">
      <c r="C23" s="10" t="s">
        <v>45</v>
      </c>
      <c r="D23" s="10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483A"/>
    <pageSetUpPr fitToPage="false"/>
  </sheetPr>
  <dimension ref="A1:Y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12" t="s">
        <v>47</v>
      </c>
    </row>
    <row r="4" customFormat="false" ht="15.75" hidden="false" customHeight="false" outlineLevel="0" collapsed="false">
      <c r="B4" s="13" t="s">
        <v>48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7" t="s">
        <v>49</v>
      </c>
      <c r="D6" s="15" t="s">
        <v>0</v>
      </c>
    </row>
    <row r="7" customFormat="false" ht="15.75" hidden="false" customHeight="false" outlineLevel="0" collapsed="false">
      <c r="B7" s="7" t="s">
        <v>50</v>
      </c>
      <c r="D7" s="16" t="n">
        <f aca="false">Assum!$F$7</f>
        <v>99.998</v>
      </c>
    </row>
    <row r="8" customFormat="false" ht="15.75" hidden="false" customHeight="false" outlineLevel="0" collapsed="false">
      <c r="B8" s="7" t="s">
        <v>51</v>
      </c>
      <c r="D8" s="17" t="n">
        <f aca="false">Assum!$F$8</f>
        <v>0.1571</v>
      </c>
    </row>
    <row r="9" customFormat="false" ht="15.75" hidden="false" customHeight="false" outlineLevel="0" collapsed="false">
      <c r="B9" s="7" t="s">
        <v>52</v>
      </c>
      <c r="D9" s="18" t="s">
        <v>53</v>
      </c>
    </row>
    <row r="10" customFormat="false" ht="15.75" hidden="false" customHeight="false" outlineLevel="0" collapsed="false">
      <c r="B10" s="7" t="s">
        <v>54</v>
      </c>
      <c r="D10" s="19" t="n">
        <f aca="false">Assum!$F$18</f>
        <v>20</v>
      </c>
    </row>
    <row r="12" customFormat="false" ht="15.75" hidden="false" customHeight="false" outlineLevel="0" collapsed="false">
      <c r="B12" s="13" t="s">
        <v>55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4" customFormat="false" ht="15.75" hidden="false" customHeight="false" outlineLevel="0" collapsed="false">
      <c r="B14" s="7" t="s">
        <v>56</v>
      </c>
      <c r="D14" s="20" t="n">
        <f aca="false">Assum!$F$27</f>
        <v>145728.797408</v>
      </c>
    </row>
    <row r="15" customFormat="false" ht="15.75" hidden="false" customHeight="false" outlineLevel="0" collapsed="false">
      <c r="B15" s="7" t="s">
        <v>57</v>
      </c>
      <c r="D15" s="20" t="n">
        <f aca="false">Assum!$F$26</f>
        <v>4628.79740799993</v>
      </c>
    </row>
    <row r="16" customFormat="false" ht="15.75" hidden="false" customHeight="false" outlineLevel="0" collapsed="false">
      <c r="B16" s="7" t="s">
        <v>58</v>
      </c>
      <c r="D16" s="20" t="n">
        <f aca="false">TIC_Funding!$D$15</f>
        <v>14610</v>
      </c>
    </row>
    <row r="17" customFormat="false" ht="15.75" hidden="false" customHeight="false" outlineLevel="0" collapsed="false">
      <c r="B17" s="7" t="s">
        <v>59</v>
      </c>
      <c r="D17" s="20" t="n">
        <f aca="false">TIC_Funding!$D$16</f>
        <v>136118.797408</v>
      </c>
    </row>
    <row r="18" customFormat="false" ht="15.75" hidden="false" customHeight="false" outlineLevel="0" collapsed="false">
      <c r="B18" s="7" t="s">
        <v>60</v>
      </c>
      <c r="D18" s="21" t="n">
        <f aca="false">Assum!$F$24</f>
        <v>0.9</v>
      </c>
    </row>
    <row r="20" customFormat="false" ht="15.75" hidden="false" customHeight="false" outlineLevel="0" collapsed="false">
      <c r="B20" s="13" t="s">
        <v>61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2" customFormat="false" ht="15.75" hidden="false" customHeight="false" outlineLevel="0" collapsed="false">
      <c r="B22" s="8" t="s">
        <v>62</v>
      </c>
      <c r="D22" s="17" t="n">
        <f aca="false">IRR!$D$15</f>
        <v>0.0779422808320441</v>
      </c>
    </row>
    <row r="23" customFormat="false" ht="15.75" hidden="false" customHeight="false" outlineLevel="0" collapsed="false">
      <c r="B23" s="8" t="s">
        <v>63</v>
      </c>
      <c r="D23" s="17" t="n">
        <f aca="false">IRR!$D$26</f>
        <v>0.19310569213854</v>
      </c>
    </row>
    <row r="24" customFormat="false" ht="15.75" hidden="false" customHeight="false" outlineLevel="0" collapsed="false">
      <c r="B24" s="8" t="s">
        <v>64</v>
      </c>
      <c r="D24" s="17" t="n">
        <f aca="false">IRR!$D$27</f>
        <v>0.173034647508992</v>
      </c>
    </row>
    <row r="25" customFormat="false" ht="15.75" hidden="false" customHeight="false" outlineLevel="0" collapsed="false">
      <c r="B25" s="8" t="s">
        <v>65</v>
      </c>
      <c r="D25" s="20" t="n">
        <f aca="false">IRR!$D$16</f>
        <v>27240.1774446053</v>
      </c>
    </row>
    <row r="26" customFormat="false" ht="15.75" hidden="false" customHeight="false" outlineLevel="0" collapsed="false">
      <c r="B26" s="7" t="s">
        <v>66</v>
      </c>
      <c r="D26" s="22" t="n">
        <f aca="false">DSCR!$D$13</f>
        <v>1.13476120306143</v>
      </c>
    </row>
    <row r="27" customFormat="false" ht="15.75" hidden="false" customHeight="false" outlineLevel="0" collapsed="false">
      <c r="B27" s="7" t="s">
        <v>67</v>
      </c>
      <c r="D27" s="22" t="n">
        <f aca="false">DSCR!$D$14</f>
        <v>1.19273834295296</v>
      </c>
    </row>
    <row r="28" customFormat="false" ht="15.75" hidden="false" customHeight="false" outlineLevel="0" collapsed="false">
      <c r="B28" s="8" t="s">
        <v>68</v>
      </c>
      <c r="D28" s="23" t="n">
        <v>131.814058049077</v>
      </c>
    </row>
    <row r="29" customFormat="false" ht="15.75" hidden="false" customHeight="false" outlineLevel="0" collapsed="false">
      <c r="B29" s="7" t="s">
        <v>69</v>
      </c>
      <c r="D29" s="24" t="n">
        <v>9.57425121800887</v>
      </c>
    </row>
    <row r="30" customFormat="false" ht="15.75" hidden="false" customHeight="false" outlineLevel="0" collapsed="false">
      <c r="B30" s="7" t="s">
        <v>70</v>
      </c>
      <c r="D30" s="25" t="n">
        <v>14995.4109686746</v>
      </c>
    </row>
    <row r="31" customFormat="false" ht="15.75" hidden="false" customHeight="false" outlineLevel="0" collapsed="false">
      <c r="B31" s="8" t="s">
        <v>71</v>
      </c>
      <c r="D31" s="26" t="n">
        <v>0.737929969898926</v>
      </c>
    </row>
    <row r="33" customFormat="false" ht="15.75" hidden="false" customHeight="false" outlineLevel="0" collapsed="false">
      <c r="B33" s="13" t="s">
        <v>72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5" customFormat="false" ht="15.75" hidden="false" customHeight="false" outlineLevel="0" collapsed="false">
      <c r="B35" s="27" t="s">
        <v>73</v>
      </c>
      <c r="C35" s="28" t="s">
        <v>74</v>
      </c>
      <c r="D35" s="27" t="s">
        <v>75</v>
      </c>
      <c r="E35" s="27" t="s">
        <v>76</v>
      </c>
      <c r="F35" s="29" t="s">
        <v>77</v>
      </c>
      <c r="G35" s="29" t="s">
        <v>78</v>
      </c>
      <c r="H35" s="29" t="s">
        <v>79</v>
      </c>
      <c r="I35" s="29" t="s">
        <v>80</v>
      </c>
      <c r="J35" s="29" t="s">
        <v>81</v>
      </c>
      <c r="K35" s="29" t="s">
        <v>82</v>
      </c>
      <c r="L35" s="29" t="s">
        <v>83</v>
      </c>
      <c r="M35" s="29" t="s">
        <v>84</v>
      </c>
      <c r="N35" s="29" t="s">
        <v>85</v>
      </c>
      <c r="O35" s="29" t="s">
        <v>86</v>
      </c>
      <c r="P35" s="29" t="s">
        <v>87</v>
      </c>
      <c r="Q35" s="29" t="s">
        <v>88</v>
      </c>
      <c r="R35" s="29" t="s">
        <v>89</v>
      </c>
      <c r="S35" s="29" t="s">
        <v>90</v>
      </c>
      <c r="T35" s="29" t="s">
        <v>91</v>
      </c>
      <c r="U35" s="29" t="s">
        <v>92</v>
      </c>
      <c r="V35" s="29" t="s">
        <v>93</v>
      </c>
      <c r="W35" s="29" t="s">
        <v>94</v>
      </c>
      <c r="X35" s="29" t="s">
        <v>95</v>
      </c>
      <c r="Y35" s="29" t="s">
        <v>96</v>
      </c>
    </row>
    <row r="36" customFormat="false" ht="15.75" hidden="false" customHeight="false" outlineLevel="0" collapsed="false">
      <c r="E36" s="30" t="n">
        <v>2024</v>
      </c>
      <c r="F36" s="31" t="n">
        <v>2025</v>
      </c>
      <c r="G36" s="31" t="n">
        <v>2026</v>
      </c>
      <c r="H36" s="31" t="n">
        <v>2027</v>
      </c>
      <c r="I36" s="31" t="n">
        <v>2028</v>
      </c>
      <c r="J36" s="31" t="n">
        <v>2029</v>
      </c>
      <c r="K36" s="31" t="n">
        <v>2030</v>
      </c>
      <c r="L36" s="31" t="n">
        <v>2031</v>
      </c>
      <c r="M36" s="31" t="n">
        <v>2032</v>
      </c>
      <c r="N36" s="31" t="n">
        <v>2033</v>
      </c>
      <c r="O36" s="31" t="n">
        <v>2034</v>
      </c>
      <c r="P36" s="31" t="n">
        <v>2035</v>
      </c>
      <c r="Q36" s="31" t="n">
        <v>2036</v>
      </c>
      <c r="R36" s="31" t="n">
        <v>2037</v>
      </c>
      <c r="S36" s="31" t="n">
        <v>2038</v>
      </c>
      <c r="T36" s="31" t="n">
        <v>2039</v>
      </c>
      <c r="U36" s="31" t="n">
        <v>2040</v>
      </c>
      <c r="V36" s="31" t="n">
        <v>2041</v>
      </c>
      <c r="W36" s="31" t="n">
        <v>2042</v>
      </c>
      <c r="X36" s="31" t="n">
        <v>2043</v>
      </c>
      <c r="Y36" s="31" t="n">
        <v>2044</v>
      </c>
    </row>
    <row r="38" customFormat="false" ht="15.75" hidden="false" customHeight="false" outlineLevel="0" collapsed="false">
      <c r="B38" s="32" t="s">
        <v>97</v>
      </c>
      <c r="F38" s="33" t="n">
        <f aca="false">Revenue!F16</f>
        <v>21303.0880097184</v>
      </c>
      <c r="G38" s="33" t="n">
        <f aca="false">Revenue!G16</f>
        <v>21196.5725696698</v>
      </c>
      <c r="H38" s="33" t="n">
        <f aca="false">Revenue!H16</f>
        <v>21090.5897068215</v>
      </c>
      <c r="I38" s="33" t="n">
        <f aca="false">Revenue!I16</f>
        <v>20985.1367582874</v>
      </c>
      <c r="J38" s="33" t="n">
        <f aca="false">Revenue!J16</f>
        <v>20880.2110744959</v>
      </c>
      <c r="K38" s="33" t="n">
        <f aca="false">Revenue!K16</f>
        <v>20775.8100191234</v>
      </c>
      <c r="L38" s="33" t="n">
        <f aca="false">Revenue!L16</f>
        <v>20671.9309690278</v>
      </c>
      <c r="M38" s="33" t="n">
        <f aca="false">Revenue!M16</f>
        <v>20568.5713141827</v>
      </c>
      <c r="N38" s="33" t="n">
        <f aca="false">Revenue!N16</f>
        <v>20465.7284576118</v>
      </c>
      <c r="O38" s="33" t="n">
        <f aca="false">Revenue!O16</f>
        <v>20363.3998153237</v>
      </c>
      <c r="P38" s="33" t="n">
        <f aca="false">Revenue!P16</f>
        <v>20261.5828162471</v>
      </c>
      <c r="Q38" s="33" t="n">
        <f aca="false">Revenue!Q16</f>
        <v>20160.2749021659</v>
      </c>
      <c r="R38" s="33" t="n">
        <f aca="false">Revenue!R16</f>
        <v>20059.473527655</v>
      </c>
      <c r="S38" s="33" t="n">
        <f aca="false">Revenue!S16</f>
        <v>19959.1761600168</v>
      </c>
      <c r="T38" s="33" t="n">
        <f aca="false">Revenue!T16</f>
        <v>19859.3802792167</v>
      </c>
      <c r="U38" s="33" t="n">
        <f aca="false">Revenue!U16</f>
        <v>19760.0833778206</v>
      </c>
      <c r="V38" s="33" t="n">
        <f aca="false">Revenue!V16</f>
        <v>19661.2829609315</v>
      </c>
      <c r="W38" s="33" t="n">
        <f aca="false">Revenue!W16</f>
        <v>19562.9765461268</v>
      </c>
      <c r="X38" s="33" t="n">
        <f aca="false">Revenue!X16</f>
        <v>19465.1616633962</v>
      </c>
      <c r="Y38" s="33" t="n">
        <f aca="false">Revenue!Y16</f>
        <v>19367.8358550792</v>
      </c>
    </row>
    <row r="39" customFormat="false" ht="15.75" hidden="false" customHeight="false" outlineLevel="0" collapsed="false">
      <c r="B39" s="32" t="s">
        <v>98</v>
      </c>
      <c r="F39" s="33" t="n">
        <f aca="false">Opex!F12</f>
        <v>4980</v>
      </c>
      <c r="G39" s="33" t="n">
        <f aca="false">Opex!G12</f>
        <v>5014.86</v>
      </c>
      <c r="H39" s="33" t="n">
        <f aca="false">Opex!H12</f>
        <v>5049.96402</v>
      </c>
      <c r="I39" s="33" t="n">
        <f aca="false">Opex!I12</f>
        <v>5085.31376814</v>
      </c>
      <c r="J39" s="33" t="n">
        <f aca="false">Opex!J12</f>
        <v>5120.91096451698</v>
      </c>
      <c r="K39" s="33" t="n">
        <f aca="false">Opex!K12</f>
        <v>5156.7573412686</v>
      </c>
      <c r="L39" s="33" t="n">
        <f aca="false">Opex!L12</f>
        <v>5192.85464265748</v>
      </c>
      <c r="M39" s="33" t="n">
        <f aca="false">Opex!M12</f>
        <v>5229.20462515608</v>
      </c>
      <c r="N39" s="33" t="n">
        <f aca="false">Opex!N12</f>
        <v>5265.80905753217</v>
      </c>
      <c r="O39" s="33" t="n">
        <f aca="false">Opex!O12</f>
        <v>5302.66972093489</v>
      </c>
      <c r="P39" s="33" t="n">
        <f aca="false">Opex!P12</f>
        <v>5339.78840898144</v>
      </c>
      <c r="Q39" s="33" t="n">
        <f aca="false">Opex!Q12</f>
        <v>5377.16692784431</v>
      </c>
      <c r="R39" s="33" t="n">
        <f aca="false">Opex!R12</f>
        <v>5414.80709633922</v>
      </c>
      <c r="S39" s="33" t="n">
        <f aca="false">Opex!S12</f>
        <v>5452.71074601359</v>
      </c>
      <c r="T39" s="33" t="n">
        <f aca="false">Opex!T12</f>
        <v>5490.87972123569</v>
      </c>
      <c r="U39" s="33" t="n">
        <f aca="false">Opex!U12</f>
        <v>5529.31587928434</v>
      </c>
      <c r="V39" s="33" t="n">
        <f aca="false">Opex!V12</f>
        <v>5568.02109043932</v>
      </c>
      <c r="W39" s="33" t="n">
        <f aca="false">Opex!W12</f>
        <v>5606.9972380724</v>
      </c>
      <c r="X39" s="33" t="n">
        <f aca="false">Opex!X12</f>
        <v>5646.24621873891</v>
      </c>
      <c r="Y39" s="33" t="n">
        <f aca="false">Opex!Y12</f>
        <v>5685.76994227008</v>
      </c>
    </row>
    <row r="40" customFormat="false" ht="15.75" hidden="false" customHeight="false" outlineLevel="0" collapsed="false">
      <c r="B40" s="34" t="s">
        <v>99</v>
      </c>
      <c r="F40" s="20" t="n">
        <f aca="false">'IS(Y)'!F11</f>
        <v>16323.0880097184</v>
      </c>
      <c r="G40" s="20" t="n">
        <f aca="false">'IS(Y)'!G11</f>
        <v>16181.7125696698</v>
      </c>
      <c r="H40" s="20" t="n">
        <f aca="false">'IS(Y)'!H11</f>
        <v>16040.6256868215</v>
      </c>
      <c r="I40" s="20" t="n">
        <f aca="false">'IS(Y)'!I11</f>
        <v>15899.8229901474</v>
      </c>
      <c r="J40" s="20" t="n">
        <f aca="false">'IS(Y)'!J11</f>
        <v>15759.3001099789</v>
      </c>
      <c r="K40" s="20" t="n">
        <f aca="false">'IS(Y)'!K11</f>
        <v>15619.0526778548</v>
      </c>
      <c r="L40" s="20" t="n">
        <f aca="false">'IS(Y)'!L11</f>
        <v>15479.0763263703</v>
      </c>
      <c r="M40" s="20" t="n">
        <f aca="false">'IS(Y)'!M11</f>
        <v>15339.3666890266</v>
      </c>
      <c r="N40" s="20" t="n">
        <f aca="false">'IS(Y)'!N11</f>
        <v>15199.9194000796</v>
      </c>
      <c r="O40" s="20" t="n">
        <f aca="false">'IS(Y)'!O11</f>
        <v>15060.7300943888</v>
      </c>
      <c r="P40" s="20" t="n">
        <f aca="false">'IS(Y)'!P11</f>
        <v>14921.7944072657</v>
      </c>
      <c r="Q40" s="20" t="n">
        <f aca="false">'IS(Y)'!Q11</f>
        <v>14783.1079743216</v>
      </c>
      <c r="R40" s="20" t="n">
        <f aca="false">'IS(Y)'!R11</f>
        <v>14644.6664313158</v>
      </c>
      <c r="S40" s="20" t="n">
        <f aca="false">'IS(Y)'!S11</f>
        <v>14506.4654140032</v>
      </c>
      <c r="T40" s="20" t="n">
        <f aca="false">'IS(Y)'!T11</f>
        <v>14368.500557981</v>
      </c>
      <c r="U40" s="20" t="n">
        <f aca="false">'IS(Y)'!U11</f>
        <v>14230.7674985363</v>
      </c>
      <c r="V40" s="20" t="n">
        <f aca="false">'IS(Y)'!V11</f>
        <v>14093.2618704922</v>
      </c>
      <c r="W40" s="20" t="n">
        <f aca="false">'IS(Y)'!W11</f>
        <v>13955.9793080544</v>
      </c>
      <c r="X40" s="20" t="n">
        <f aca="false">'IS(Y)'!X11</f>
        <v>13818.9154446573</v>
      </c>
      <c r="Y40" s="20" t="n">
        <f aca="false">'IS(Y)'!Y11</f>
        <v>13682.0659128091</v>
      </c>
    </row>
    <row r="41" customFormat="false" ht="15.75" hidden="false" customHeight="false" outlineLevel="0" collapsed="false">
      <c r="B41" s="32" t="s">
        <v>100</v>
      </c>
      <c r="F41" s="33" t="n">
        <f aca="false">'IS(Y)'!F21</f>
        <v>1526.59089271252</v>
      </c>
      <c r="G41" s="33" t="n">
        <f aca="false">'IS(Y)'!G21</f>
        <v>1522.50734813132</v>
      </c>
      <c r="H41" s="33" t="n">
        <f aca="false">'IS(Y)'!H21</f>
        <v>1706.16709550273</v>
      </c>
      <c r="I41" s="33" t="n">
        <f aca="false">'IS(Y)'!I21</f>
        <v>1899.44583869687</v>
      </c>
      <c r="J41" s="33" t="n">
        <f aca="false">'IS(Y)'!J21</f>
        <v>2102.78991965765</v>
      </c>
      <c r="K41" s="33" t="n">
        <f aca="false">'IS(Y)'!K21</f>
        <v>2316.66665446382</v>
      </c>
      <c r="L41" s="33" t="n">
        <f aca="false">'IS(Y)'!L21</f>
        <v>2541.56531763778</v>
      </c>
      <c r="M41" s="33" t="n">
        <f aca="false">'IS(Y)'!M21</f>
        <v>2777.99817265448</v>
      </c>
      <c r="N41" s="33" t="n">
        <f aca="false">'IS(Y)'!N21</f>
        <v>3026.50155081873</v>
      </c>
      <c r="O41" s="33" t="n">
        <f aca="false">'IS(Y)'!O21</f>
        <v>3287.63698078114</v>
      </c>
      <c r="P41" s="33" t="n">
        <f aca="false">'IS(Y)'!P21</f>
        <v>3561.99237106944</v>
      </c>
      <c r="Q41" s="33" t="n">
        <f aca="false">'IS(Y)'!Q21</f>
        <v>3850.18324812356</v>
      </c>
      <c r="R41" s="33" t="n">
        <f aca="false">'IS(Y)'!R21</f>
        <v>4152.85405243953</v>
      </c>
      <c r="S41" s="33" t="n">
        <f aca="false">'IS(Y)'!S21</f>
        <v>4470.67949554957</v>
      </c>
      <c r="T41" s="33" t="n">
        <f aca="false">'IS(Y)'!T21</f>
        <v>4804.36598069391</v>
      </c>
      <c r="U41" s="33" t="n">
        <f aca="false">'IS(Y)'!U21</f>
        <v>5154.65309017346</v>
      </c>
      <c r="V41" s="33" t="n">
        <f aca="false">'IS(Y)'!V21</f>
        <v>5522.31514251342</v>
      </c>
      <c r="W41" s="33" t="n">
        <f aca="false">'IS(Y)'!W21</f>
        <v>5717.42775920641</v>
      </c>
      <c r="X41" s="33" t="n">
        <f aca="false">'IS(Y)'!X21</f>
        <v>5606.40602985473</v>
      </c>
      <c r="Y41" s="33" t="n">
        <f aca="false">'IS(Y)'!Y21</f>
        <v>5495.55790905773</v>
      </c>
    </row>
    <row r="42" customFormat="false" ht="15.75" hidden="false" customHeight="false" outlineLevel="0" collapsed="false">
      <c r="B42" s="35" t="s">
        <v>101</v>
      </c>
      <c r="F42" s="33" t="n">
        <f aca="false">'CF(Y)'!F11</f>
        <v>15989.6901459957</v>
      </c>
      <c r="G42" s="33" t="n">
        <f aca="false">'CF(Y)'!G11</f>
        <v>15849.2725744291</v>
      </c>
      <c r="H42" s="33" t="n">
        <f aca="false">'CF(Y)'!H11</f>
        <v>15665.1050100986</v>
      </c>
      <c r="I42" s="33" t="n">
        <f aca="false">'CF(Y)'!I11</f>
        <v>15478.9653242802</v>
      </c>
      <c r="J42" s="33" t="n">
        <f aca="false">'CF(Y)'!J11</f>
        <v>15290.7444498123</v>
      </c>
      <c r="K42" s="33" t="n">
        <f aca="false">'CF(Y)'!K11</f>
        <v>15100.3284008818</v>
      </c>
      <c r="L42" s="33" t="n">
        <f aca="false">'CF(Y)'!L11</f>
        <v>14907.5980419862</v>
      </c>
      <c r="M42" s="33" t="n">
        <f aca="false">'CF(Y)'!M11</f>
        <v>14712.4288460583</v>
      </c>
      <c r="N42" s="33" t="n">
        <f aca="false">'CF(Y)'!N11</f>
        <v>14514.6906412456</v>
      </c>
      <c r="O42" s="33" t="n">
        <f aca="false">'CF(Y)'!O11</f>
        <v>14314.2473458105</v>
      </c>
      <c r="P42" s="33" t="n">
        <f aca="false">'CF(Y)'!P11</f>
        <v>14110.956690595</v>
      </c>
      <c r="Q42" s="33" t="n">
        <f aca="false">'CF(Y)'!Q11</f>
        <v>13904.6699284654</v>
      </c>
      <c r="R42" s="33" t="n">
        <f aca="false">'CF(Y)'!R11</f>
        <v>13695.2315301263</v>
      </c>
      <c r="S42" s="33" t="n">
        <f aca="false">'CF(Y)'!S11</f>
        <v>13482.4788656644</v>
      </c>
      <c r="T42" s="33" t="n">
        <f aca="false">'CF(Y)'!T11</f>
        <v>13266.2418711515</v>
      </c>
      <c r="U42" s="33" t="n">
        <f aca="false">'CF(Y)'!U11</f>
        <v>13046.3426996067</v>
      </c>
      <c r="V42" s="33" t="n">
        <f aca="false">'CF(Y)'!V11</f>
        <v>12822.5953555816</v>
      </c>
      <c r="W42" s="33" t="n">
        <f aca="false">'CF(Y)'!W11</f>
        <v>12639.5456361418</v>
      </c>
      <c r="X42" s="33" t="n">
        <f aca="false">'CF(Y)'!X11</f>
        <v>12528.5239067901</v>
      </c>
      <c r="Y42" s="33" t="n">
        <f aca="false">'CF(Y)'!Y11</f>
        <v>12417.6757859931</v>
      </c>
    </row>
    <row r="43" customFormat="false" ht="15.75" hidden="false" customHeight="false" outlineLevel="0" collapsed="false">
      <c r="B43" s="32" t="s">
        <v>102</v>
      </c>
      <c r="F43" s="33" t="n">
        <f aca="false">Debt!F13</f>
        <v>7540.9813764032</v>
      </c>
      <c r="G43" s="33" t="n">
        <f aca="false">Debt!G13</f>
        <v>13967.0553872215</v>
      </c>
      <c r="H43" s="33" t="n">
        <f aca="false">Debt!H13</f>
        <v>13804.7590698697</v>
      </c>
      <c r="I43" s="33" t="n">
        <f aca="false">Debt!I13</f>
        <v>13640.7248348992</v>
      </c>
      <c r="J43" s="33" t="n">
        <f aca="false">Debt!J13</f>
        <v>13474.8565676725</v>
      </c>
      <c r="K43" s="33" t="n">
        <f aca="false">Debt!K13</f>
        <v>13307.0538190266</v>
      </c>
      <c r="L43" s="33" t="n">
        <f aca="false">Debt!L13</f>
        <v>13137.2116016722</v>
      </c>
      <c r="M43" s="33" t="n">
        <f aca="false">Debt!M13</f>
        <v>12965.2201770435</v>
      </c>
      <c r="N43" s="33" t="n">
        <f aca="false">Debt!N13</f>
        <v>12790.9648321487</v>
      </c>
      <c r="O43" s="33" t="n">
        <f aca="false">Debt!O13</f>
        <v>12614.3256459532</v>
      </c>
      <c r="P43" s="33" t="n">
        <f aca="false">Debt!P13</f>
        <v>12435.1772448032</v>
      </c>
      <c r="Q43" s="33" t="n">
        <f aca="false">Debt!Q13</f>
        <v>12253.3885463765</v>
      </c>
      <c r="R43" s="33" t="n">
        <f aca="false">Debt!R13</f>
        <v>12068.8224916206</v>
      </c>
      <c r="S43" s="33" t="n">
        <f aca="false">Debt!S13</f>
        <v>11881.3357641153</v>
      </c>
      <c r="T43" s="33" t="n">
        <f aca="false">Debt!T13</f>
        <v>11690.7784962695</v>
      </c>
      <c r="U43" s="33" t="n">
        <f aca="false">Debt!U13</f>
        <v>11496.9939617334</v>
      </c>
      <c r="V43" s="33" t="n">
        <f aca="false">Debt!V13</f>
        <v>11299.8182533805</v>
      </c>
      <c r="W43" s="33" t="n">
        <f aca="false">Debt!W13</f>
        <v>5.5399716438842E-008</v>
      </c>
      <c r="X43" s="33" t="n">
        <f aca="false">Debt!X13</f>
        <v>5.5399716438842E-008</v>
      </c>
      <c r="Y43" s="33" t="n">
        <f aca="false">Debt!Y13</f>
        <v>5.5399716438842E-008</v>
      </c>
    </row>
    <row r="44" customFormat="false" ht="15.75" hidden="false" customHeight="false" outlineLevel="0" collapsed="false">
      <c r="B44" s="35" t="s">
        <v>27</v>
      </c>
      <c r="F44" s="36" t="n">
        <f aca="false">DSCR!F11</f>
        <v>2.12037258121731</v>
      </c>
      <c r="G44" s="36" t="n">
        <f aca="false">DSCR!G11</f>
        <v>1.13476120306143</v>
      </c>
      <c r="H44" s="36" t="n">
        <f aca="false">DSCR!H11</f>
        <v>1.13476120306143</v>
      </c>
      <c r="I44" s="36" t="n">
        <f aca="false">DSCR!I11</f>
        <v>1.13476120306143</v>
      </c>
      <c r="J44" s="36" t="n">
        <f aca="false">DSCR!J11</f>
        <v>1.13476120306143</v>
      </c>
      <c r="K44" s="36" t="n">
        <f aca="false">DSCR!K11</f>
        <v>1.13476120306143</v>
      </c>
      <c r="L44" s="36" t="n">
        <f aca="false">DSCR!L11</f>
        <v>1.13476120306143</v>
      </c>
      <c r="M44" s="36" t="n">
        <f aca="false">DSCR!M11</f>
        <v>1.13476120306143</v>
      </c>
      <c r="N44" s="36" t="n">
        <f aca="false">DSCR!N11</f>
        <v>1.13476120306143</v>
      </c>
      <c r="O44" s="36" t="n">
        <f aca="false">DSCR!O11</f>
        <v>1.13476120306143</v>
      </c>
      <c r="P44" s="36" t="n">
        <f aca="false">DSCR!P11</f>
        <v>1.13476120306143</v>
      </c>
      <c r="Q44" s="36" t="n">
        <f aca="false">DSCR!Q11</f>
        <v>1.13476120306144</v>
      </c>
      <c r="R44" s="36" t="n">
        <f aca="false">DSCR!R11</f>
        <v>1.13476120306144</v>
      </c>
      <c r="S44" s="36" t="n">
        <f aca="false">DSCR!S11</f>
        <v>1.13476120306144</v>
      </c>
      <c r="T44" s="36" t="n">
        <f aca="false">DSCR!T11</f>
        <v>1.13476120306144</v>
      </c>
      <c r="U44" s="36" t="n">
        <f aca="false">DSCR!U11</f>
        <v>1.13476120306144</v>
      </c>
      <c r="V44" s="36" t="n">
        <f aca="false">DSCR!V11</f>
        <v>1.13476120306144</v>
      </c>
      <c r="W44" s="36" t="str">
        <f aca="false">DSCR!W11</f>
        <v>-</v>
      </c>
      <c r="X44" s="36" t="str">
        <f aca="false">DSCR!X11</f>
        <v>-</v>
      </c>
      <c r="Y44" s="36" t="str">
        <f aca="false">DSCR!Y11</f>
        <v>-</v>
      </c>
    </row>
    <row r="45" customFormat="false" ht="15.75" hidden="false" customHeight="false" outlineLevel="0" collapsed="false">
      <c r="B45" s="32" t="s">
        <v>103</v>
      </c>
      <c r="F45" s="33" t="n">
        <f aca="false">'CF(Y)'!F19</f>
        <v>0</v>
      </c>
      <c r="G45" s="33" t="n">
        <f aca="false">'CF(Y)'!G19</f>
        <v>7428.54642186528</v>
      </c>
      <c r="H45" s="33" t="n">
        <f aca="false">'CF(Y)'!H19</f>
        <v>1942.36305771413</v>
      </c>
      <c r="I45" s="33" t="n">
        <f aca="false">'CF(Y)'!I19</f>
        <v>1921.17462299432</v>
      </c>
      <c r="J45" s="33" t="n">
        <f aca="false">'CF(Y)'!J19</f>
        <v>1899.78925646277</v>
      </c>
      <c r="K45" s="33" t="n">
        <f aca="false">'CF(Y)'!K19</f>
        <v>1878.19569053245</v>
      </c>
      <c r="L45" s="33" t="n">
        <f aca="false">'CF(Y)'!L19</f>
        <v>1856.38215262832</v>
      </c>
      <c r="M45" s="33" t="n">
        <f aca="false">'CF(Y)'!M19</f>
        <v>1834.33634146215</v>
      </c>
      <c r="N45" s="33" t="n">
        <f aca="false">'CF(Y)'!N19</f>
        <v>1812.04540219463</v>
      </c>
      <c r="O45" s="33" t="n">
        <f aca="false">'CF(Y)'!O19</f>
        <v>1789.49590043235</v>
      </c>
      <c r="P45" s="33" t="n">
        <f aca="false">'CF(Y)'!P19</f>
        <v>1766.6737950052</v>
      </c>
      <c r="Q45" s="33" t="n">
        <f aca="false">'CF(Y)'!Q19</f>
        <v>1743.56440946686</v>
      </c>
      <c r="R45" s="33" t="n">
        <f aca="false">'CF(Y)'!R19</f>
        <v>1720.15240225833</v>
      </c>
      <c r="S45" s="33" t="n">
        <f aca="false">'CF(Y)'!S19</f>
        <v>1696.42173547196</v>
      </c>
      <c r="T45" s="33" t="n">
        <f aca="false">'CF(Y)'!T19</f>
        <v>1672.35564215009</v>
      </c>
      <c r="U45" s="33" t="n">
        <f aca="false">'CF(Y)'!U19</f>
        <v>1647.93659204974</v>
      </c>
      <c r="V45" s="33" t="n">
        <f aca="false">'CF(Y)'!V19</f>
        <v>7172.68622889137</v>
      </c>
      <c r="W45" s="33" t="n">
        <f aca="false">'CF(Y)'!W19</f>
        <v>12639.5456360864</v>
      </c>
      <c r="X45" s="33" t="n">
        <f aca="false">'CF(Y)'!X19</f>
        <v>12528.5239067347</v>
      </c>
      <c r="Y45" s="33" t="n">
        <f aca="false">'CF(Y)'!Y19</f>
        <v>11417.6757859377</v>
      </c>
    </row>
    <row r="46" customFormat="false" ht="15.75" hidden="false" customHeight="false" outlineLevel="0" collapsed="false">
      <c r="B46" s="35" t="s">
        <v>104</v>
      </c>
      <c r="F46" s="33" t="n">
        <f aca="false">IRR!F13</f>
        <v>15989.6901459957</v>
      </c>
      <c r="G46" s="33" t="n">
        <f aca="false">IRR!G13</f>
        <v>15849.2725744291</v>
      </c>
      <c r="H46" s="33" t="n">
        <f aca="false">IRR!H13</f>
        <v>15665.1050100986</v>
      </c>
      <c r="I46" s="33" t="n">
        <f aca="false">IRR!I13</f>
        <v>15478.9653242802</v>
      </c>
      <c r="J46" s="33" t="n">
        <f aca="false">IRR!J13</f>
        <v>15290.7444498123</v>
      </c>
      <c r="K46" s="33" t="n">
        <f aca="false">IRR!K13</f>
        <v>15100.3284008818</v>
      </c>
      <c r="L46" s="33" t="n">
        <f aca="false">IRR!L13</f>
        <v>14907.5980419862</v>
      </c>
      <c r="M46" s="33" t="n">
        <f aca="false">IRR!M13</f>
        <v>14712.4288460583</v>
      </c>
      <c r="N46" s="33" t="n">
        <f aca="false">IRR!N13</f>
        <v>14514.6906412456</v>
      </c>
      <c r="O46" s="33" t="n">
        <f aca="false">IRR!O13</f>
        <v>14314.2473458105</v>
      </c>
      <c r="P46" s="33" t="n">
        <f aca="false">IRR!P13</f>
        <v>14110.956690595</v>
      </c>
      <c r="Q46" s="33" t="n">
        <f aca="false">IRR!Q13</f>
        <v>13904.6699284654</v>
      </c>
      <c r="R46" s="33" t="n">
        <f aca="false">IRR!R13</f>
        <v>13695.2315301263</v>
      </c>
      <c r="S46" s="33" t="n">
        <f aca="false">IRR!S13</f>
        <v>13482.4788656644</v>
      </c>
      <c r="T46" s="33" t="n">
        <f aca="false">IRR!T13</f>
        <v>13266.2418711515</v>
      </c>
      <c r="U46" s="33" t="n">
        <f aca="false">IRR!U13</f>
        <v>13046.3426996067</v>
      </c>
      <c r="V46" s="33" t="n">
        <f aca="false">IRR!V13</f>
        <v>12822.5953555816</v>
      </c>
      <c r="W46" s="33" t="n">
        <f aca="false">IRR!W13</f>
        <v>12639.5456361418</v>
      </c>
      <c r="X46" s="33" t="n">
        <f aca="false">IRR!X13</f>
        <v>12528.5239067901</v>
      </c>
      <c r="Y46" s="33" t="n">
        <f aca="false">IRR!Y13</f>
        <v>10417.6757859931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483A"/>
    <pageSetUpPr fitToPage="false"/>
  </sheetPr>
  <dimension ref="A1:Y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4"/>
    <col collapsed="false" customWidth="true" hidden="false" outlineLevel="0" max="4" min="4" style="0" width="13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11" t="s">
        <v>0</v>
      </c>
    </row>
    <row r="2" customFormat="false" ht="15" hidden="false" customHeight="false" outlineLevel="0" collapsed="false">
      <c r="A2" s="12" t="s">
        <v>105</v>
      </c>
    </row>
    <row r="3" customFormat="false" ht="15" hidden="false" customHeight="false" outlineLevel="0" collapsed="false">
      <c r="B3" s="37" t="s">
        <v>106</v>
      </c>
    </row>
    <row r="4" customFormat="false" ht="15" hidden="false" customHeight="false" outlineLevel="0" collapsed="false">
      <c r="B4" s="38" t="s">
        <v>107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" hidden="false" customHeight="false" outlineLevel="0" collapsed="false">
      <c r="B6" s="7" t="s">
        <v>49</v>
      </c>
      <c r="D6" s="39" t="s">
        <v>108</v>
      </c>
      <c r="F6" s="40" t="s">
        <v>0</v>
      </c>
    </row>
    <row r="7" customFormat="false" ht="15" hidden="false" customHeight="false" outlineLevel="0" collapsed="false">
      <c r="B7" s="7" t="s">
        <v>109</v>
      </c>
      <c r="D7" s="39" t="s">
        <v>110</v>
      </c>
      <c r="F7" s="41" t="n">
        <v>99.998</v>
      </c>
    </row>
    <row r="8" customFormat="false" ht="15" hidden="false" customHeight="false" outlineLevel="0" collapsed="false">
      <c r="B8" s="7" t="s">
        <v>111</v>
      </c>
      <c r="D8" s="39" t="s">
        <v>112</v>
      </c>
      <c r="F8" s="42" t="n">
        <v>0.1571</v>
      </c>
      <c r="G8" s="43" t="s">
        <v>113</v>
      </c>
    </row>
    <row r="9" customFormat="false" ht="15" hidden="false" customHeight="false" outlineLevel="0" collapsed="false">
      <c r="B9" s="7" t="s">
        <v>114</v>
      </c>
      <c r="D9" s="39" t="s">
        <v>115</v>
      </c>
      <c r="F9" s="44" t="n">
        <f aca="false">$F$8*24</f>
        <v>3.7704</v>
      </c>
    </row>
    <row r="10" customFormat="false" ht="15" hidden="false" customHeight="false" outlineLevel="0" collapsed="false">
      <c r="B10" s="8" t="s">
        <v>116</v>
      </c>
      <c r="D10" s="39" t="s">
        <v>117</v>
      </c>
      <c r="F10" s="42" t="n">
        <v>0.005</v>
      </c>
    </row>
    <row r="11" customFormat="false" ht="15" hidden="false" customHeight="false" outlineLevel="0" collapsed="false">
      <c r="B11" s="7" t="s">
        <v>118</v>
      </c>
      <c r="D11" s="39" t="s">
        <v>112</v>
      </c>
      <c r="F11" s="42" t="n">
        <v>0</v>
      </c>
    </row>
    <row r="13" customFormat="false" ht="15" hidden="false" customHeight="false" outlineLevel="0" collapsed="false">
      <c r="B13" s="38" t="s">
        <v>119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5" customFormat="false" ht="15" hidden="false" customHeight="false" outlineLevel="0" collapsed="false">
      <c r="B15" s="7" t="s">
        <v>120</v>
      </c>
      <c r="D15" s="39" t="s">
        <v>121</v>
      </c>
      <c r="F15" s="45" t="s">
        <v>122</v>
      </c>
    </row>
    <row r="16" customFormat="false" ht="15" hidden="false" customHeight="false" outlineLevel="0" collapsed="false">
      <c r="B16" s="7" t="s">
        <v>123</v>
      </c>
      <c r="D16" s="39" t="s">
        <v>124</v>
      </c>
      <c r="F16" s="46" t="n">
        <v>16</v>
      </c>
    </row>
    <row r="17" customFormat="false" ht="15" hidden="false" customHeight="false" outlineLevel="0" collapsed="false">
      <c r="B17" s="7" t="s">
        <v>52</v>
      </c>
      <c r="D17" s="39" t="s">
        <v>121</v>
      </c>
      <c r="F17" s="47" t="s">
        <v>53</v>
      </c>
    </row>
    <row r="18" customFormat="false" ht="15" hidden="false" customHeight="false" outlineLevel="0" collapsed="false">
      <c r="B18" s="7" t="s">
        <v>125</v>
      </c>
      <c r="D18" s="39" t="s">
        <v>126</v>
      </c>
      <c r="F18" s="46" t="n">
        <v>20</v>
      </c>
    </row>
    <row r="20" customFormat="false" ht="15" hidden="false" customHeight="false" outlineLevel="0" collapsed="false">
      <c r="B20" s="38" t="s">
        <v>127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2" customFormat="false" ht="15" hidden="false" customHeight="false" outlineLevel="0" collapsed="false">
      <c r="B22" s="7" t="s">
        <v>128</v>
      </c>
      <c r="D22" s="39" t="s">
        <v>129</v>
      </c>
      <c r="F22" s="48" t="n">
        <v>141100</v>
      </c>
    </row>
    <row r="23" customFormat="false" ht="15" hidden="false" customHeight="false" outlineLevel="0" collapsed="false">
      <c r="B23" s="7" t="s">
        <v>130</v>
      </c>
      <c r="D23" s="39" t="s">
        <v>129</v>
      </c>
      <c r="F23" s="48" t="n">
        <v>5000</v>
      </c>
    </row>
    <row r="24" customFormat="false" ht="15" hidden="false" customHeight="false" outlineLevel="0" collapsed="false">
      <c r="B24" s="7" t="s">
        <v>131</v>
      </c>
      <c r="D24" s="39" t="s">
        <v>112</v>
      </c>
      <c r="F24" s="49" t="n">
        <v>0.9</v>
      </c>
      <c r="G24" s="43" t="s">
        <v>132</v>
      </c>
    </row>
    <row r="25" customFormat="false" ht="15" hidden="false" customHeight="false" outlineLevel="0" collapsed="false">
      <c r="B25" s="7" t="s">
        <v>133</v>
      </c>
      <c r="D25" s="39" t="s">
        <v>129</v>
      </c>
      <c r="F25" s="50" t="n">
        <f aca="false">($F$22+$F$23)*(1-$F$24)</f>
        <v>14610</v>
      </c>
    </row>
    <row r="26" customFormat="false" ht="15" hidden="false" customHeight="false" outlineLevel="0" collapsed="false">
      <c r="B26" s="7" t="s">
        <v>134</v>
      </c>
      <c r="D26" s="39" t="s">
        <v>129</v>
      </c>
      <c r="F26" s="50" t="n">
        <f aca="false">Construction!$D$13</f>
        <v>4628.79740799993</v>
      </c>
      <c r="G26" s="39" t="s">
        <v>135</v>
      </c>
    </row>
    <row r="27" customFormat="false" ht="15" hidden="false" customHeight="false" outlineLevel="0" collapsed="false">
      <c r="B27" s="7" t="s">
        <v>136</v>
      </c>
      <c r="D27" s="39" t="s">
        <v>129</v>
      </c>
      <c r="F27" s="50" t="n">
        <f aca="false">$F$22+$F$26</f>
        <v>145728.797408</v>
      </c>
    </row>
    <row r="28" customFormat="false" ht="15" hidden="false" customHeight="false" outlineLevel="0" collapsed="false">
      <c r="B28" s="7" t="s">
        <v>137</v>
      </c>
      <c r="D28" s="39" t="s">
        <v>129</v>
      </c>
      <c r="F28" s="50" t="n">
        <f aca="false">$F$27+$F$23</f>
        <v>150728.797408</v>
      </c>
    </row>
    <row r="29" customFormat="false" ht="15" hidden="false" customHeight="false" outlineLevel="0" collapsed="false">
      <c r="B29" s="7" t="s">
        <v>138</v>
      </c>
      <c r="D29" s="39" t="s">
        <v>129</v>
      </c>
      <c r="F29" s="50" t="n">
        <f aca="false">$F$28-$F$25</f>
        <v>136118.797408</v>
      </c>
    </row>
    <row r="30" customFormat="false" ht="15" hidden="false" customHeight="false" outlineLevel="0" collapsed="false">
      <c r="B30" s="7" t="s">
        <v>139</v>
      </c>
      <c r="D30" s="39" t="s">
        <v>112</v>
      </c>
      <c r="F30" s="51" t="n">
        <f aca="false">$F$29/$F$28</f>
        <v>0.903070944297041</v>
      </c>
    </row>
    <row r="32" customFormat="false" ht="15" hidden="false" customHeight="false" outlineLevel="0" collapsed="false">
      <c r="B32" s="38" t="s">
        <v>18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4" customFormat="false" ht="15" hidden="false" customHeight="false" outlineLevel="0" collapsed="false">
      <c r="B34" s="7" t="s">
        <v>140</v>
      </c>
      <c r="D34" s="39" t="s">
        <v>112</v>
      </c>
      <c r="F34" s="42" t="n">
        <v>0.056</v>
      </c>
    </row>
    <row r="35" customFormat="false" ht="15" hidden="false" customHeight="false" outlineLevel="0" collapsed="false">
      <c r="B35" s="7" t="s">
        <v>141</v>
      </c>
      <c r="D35" s="39" t="s">
        <v>112</v>
      </c>
      <c r="F35" s="42" t="n">
        <v>0.0554</v>
      </c>
    </row>
    <row r="36" customFormat="false" ht="15" hidden="false" customHeight="false" outlineLevel="0" collapsed="false">
      <c r="B36" s="7" t="s">
        <v>142</v>
      </c>
      <c r="D36" s="39" t="s">
        <v>126</v>
      </c>
      <c r="F36" s="46" t="n">
        <v>1</v>
      </c>
    </row>
    <row r="37" customFormat="false" ht="15" hidden="false" customHeight="false" outlineLevel="0" collapsed="false">
      <c r="B37" s="7" t="s">
        <v>143</v>
      </c>
      <c r="D37" s="39" t="s">
        <v>126</v>
      </c>
      <c r="F37" s="46" t="n">
        <v>16</v>
      </c>
    </row>
    <row r="38" customFormat="false" ht="15" hidden="false" customHeight="false" outlineLevel="0" collapsed="false">
      <c r="B38" s="7" t="s">
        <v>144</v>
      </c>
      <c r="D38" s="39" t="s">
        <v>145</v>
      </c>
      <c r="F38" s="46" t="n">
        <v>3</v>
      </c>
      <c r="G38" s="39" t="s">
        <v>146</v>
      </c>
    </row>
    <row r="39" customFormat="false" ht="15" hidden="false" customHeight="false" outlineLevel="0" collapsed="false">
      <c r="B39" s="7" t="s">
        <v>147</v>
      </c>
      <c r="D39" s="39" t="s">
        <v>148</v>
      </c>
      <c r="F39" s="46" t="n">
        <v>4</v>
      </c>
      <c r="G39" s="43" t="s">
        <v>149</v>
      </c>
    </row>
    <row r="40" customFormat="false" ht="15" hidden="false" customHeight="false" outlineLevel="0" collapsed="false">
      <c r="B40" s="7" t="s">
        <v>150</v>
      </c>
      <c r="D40" s="39" t="s">
        <v>151</v>
      </c>
      <c r="F40" s="52" t="n">
        <v>1.13476120306143</v>
      </c>
      <c r="G40" s="43" t="s">
        <v>152</v>
      </c>
    </row>
    <row r="42" customFormat="false" ht="15" hidden="false" customHeight="false" outlineLevel="0" collapsed="false">
      <c r="B42" s="38" t="s">
        <v>12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4" customFormat="false" ht="15" hidden="false" customHeight="false" outlineLevel="0" collapsed="false">
      <c r="B44" s="7" t="s">
        <v>153</v>
      </c>
      <c r="D44" s="39" t="s">
        <v>154</v>
      </c>
      <c r="F44" s="53" t="n">
        <v>154.8</v>
      </c>
      <c r="G44" s="39" t="s">
        <v>155</v>
      </c>
    </row>
    <row r="45" customFormat="false" ht="15" hidden="false" customHeight="false" outlineLevel="0" collapsed="false">
      <c r="B45" s="7" t="s">
        <v>156</v>
      </c>
      <c r="D45" s="39" t="s">
        <v>117</v>
      </c>
      <c r="F45" s="42" t="n">
        <v>0</v>
      </c>
    </row>
    <row r="47" customFormat="false" ht="15" hidden="false" customHeight="false" outlineLevel="0" collapsed="false">
      <c r="B47" s="38" t="s">
        <v>157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9" customFormat="false" ht="15" hidden="false" customHeight="false" outlineLevel="0" collapsed="false">
      <c r="B49" s="7" t="s">
        <v>158</v>
      </c>
      <c r="D49" s="39" t="s">
        <v>159</v>
      </c>
      <c r="F49" s="48" t="n">
        <v>4980</v>
      </c>
    </row>
    <row r="50" customFormat="false" ht="15" hidden="false" customHeight="false" outlineLevel="0" collapsed="false">
      <c r="B50" s="7" t="s">
        <v>160</v>
      </c>
      <c r="D50" s="39" t="s">
        <v>117</v>
      </c>
      <c r="F50" s="42" t="n">
        <v>0.007</v>
      </c>
    </row>
    <row r="51" customFormat="false" ht="15" hidden="false" customHeight="false" outlineLevel="0" collapsed="false">
      <c r="B51" s="7" t="s">
        <v>161</v>
      </c>
      <c r="D51" s="39" t="s">
        <v>129</v>
      </c>
      <c r="F51" s="48" t="n">
        <v>2000</v>
      </c>
    </row>
    <row r="53" customFormat="false" ht="15" hidden="false" customHeight="false" outlineLevel="0" collapsed="false">
      <c r="B53" s="38" t="s">
        <v>162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5" customFormat="false" ht="15" hidden="false" customHeight="false" outlineLevel="0" collapsed="false">
      <c r="B55" s="7" t="s">
        <v>163</v>
      </c>
      <c r="D55" s="39" t="s">
        <v>112</v>
      </c>
      <c r="F55" s="49" t="n">
        <v>0.95</v>
      </c>
      <c r="G55" s="39" t="s">
        <v>164</v>
      </c>
    </row>
    <row r="56" customFormat="false" ht="15" hidden="false" customHeight="false" outlineLevel="0" collapsed="false">
      <c r="B56" s="7" t="s">
        <v>165</v>
      </c>
      <c r="D56" s="39" t="s">
        <v>129</v>
      </c>
      <c r="F56" s="50" t="n">
        <f aca="false">$F$27*$F$55</f>
        <v>138442.3575376</v>
      </c>
    </row>
    <row r="57" customFormat="false" ht="15" hidden="false" customHeight="false" outlineLevel="0" collapsed="false">
      <c r="B57" s="7" t="s">
        <v>166</v>
      </c>
      <c r="D57" s="39" t="s">
        <v>126</v>
      </c>
      <c r="F57" s="46" t="n">
        <v>20</v>
      </c>
    </row>
    <row r="58" customFormat="false" ht="15" hidden="false" customHeight="false" outlineLevel="0" collapsed="false">
      <c r="B58" s="7" t="s">
        <v>167</v>
      </c>
      <c r="D58" s="39" t="s">
        <v>168</v>
      </c>
      <c r="F58" s="46" t="n">
        <v>1</v>
      </c>
      <c r="G58" s="39" t="s">
        <v>169</v>
      </c>
    </row>
    <row r="59" customFormat="false" ht="15" hidden="false" customHeight="false" outlineLevel="0" collapsed="false">
      <c r="B59" s="7" t="s">
        <v>170</v>
      </c>
      <c r="D59" s="39" t="s">
        <v>112</v>
      </c>
      <c r="F59" s="49" t="n">
        <v>0.21</v>
      </c>
    </row>
    <row r="60" customFormat="false" ht="15" hidden="false" customHeight="false" outlineLevel="0" collapsed="false">
      <c r="B60" s="7" t="s">
        <v>171</v>
      </c>
      <c r="D60" s="39" t="s">
        <v>112</v>
      </c>
      <c r="F60" s="49" t="n">
        <v>0.8</v>
      </c>
    </row>
    <row r="62" customFormat="false" ht="15" hidden="false" customHeight="false" outlineLevel="0" collapsed="false">
      <c r="B62" s="38" t="s">
        <v>172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4" customFormat="false" ht="15" hidden="false" customHeight="false" outlineLevel="0" collapsed="false">
      <c r="B64" s="8" t="s">
        <v>173</v>
      </c>
      <c r="D64" s="39" t="s">
        <v>124</v>
      </c>
      <c r="F64" s="46" t="n">
        <v>6</v>
      </c>
      <c r="G64" s="43" t="s">
        <v>174</v>
      </c>
    </row>
    <row r="65" customFormat="false" ht="15" hidden="false" customHeight="false" outlineLevel="0" collapsed="false">
      <c r="B65" s="7" t="s">
        <v>175</v>
      </c>
      <c r="D65" s="39" t="s">
        <v>129</v>
      </c>
      <c r="F65" s="48" t="n">
        <v>1000</v>
      </c>
    </row>
    <row r="66" customFormat="false" ht="15" hidden="false" customHeight="false" outlineLevel="0" collapsed="false">
      <c r="B66" s="7" t="s">
        <v>176</v>
      </c>
      <c r="D66" s="39" t="s">
        <v>151</v>
      </c>
      <c r="F66" s="54" t="n">
        <v>1.1</v>
      </c>
    </row>
    <row r="67" customFormat="false" ht="15" hidden="false" customHeight="false" outlineLevel="0" collapsed="false">
      <c r="B67" s="7" t="s">
        <v>177</v>
      </c>
      <c r="D67" s="39" t="s">
        <v>126</v>
      </c>
      <c r="F67" s="46" t="n">
        <v>2</v>
      </c>
    </row>
    <row r="69" customFormat="false" ht="15" hidden="false" customHeight="false" outlineLevel="0" collapsed="false">
      <c r="B69" s="38" t="s">
        <v>178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1" customFormat="false" ht="15" hidden="false" customHeight="false" outlineLevel="0" collapsed="false">
      <c r="B71" s="7" t="s">
        <v>179</v>
      </c>
      <c r="D71" s="39" t="s">
        <v>112</v>
      </c>
      <c r="F71" s="42" t="n">
        <v>0.055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A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32" min="5" style="0" width="11"/>
  </cols>
  <sheetData>
    <row r="1" customFormat="false" ht="16.15" hidden="false" customHeight="false" outlineLevel="0" collapsed="false">
      <c r="A1" s="11" t="s">
        <v>0</v>
      </c>
    </row>
    <row r="2" customFormat="false" ht="15" hidden="false" customHeight="false" outlineLevel="0" collapsed="false">
      <c r="A2" s="55" t="s">
        <v>180</v>
      </c>
    </row>
    <row r="4" customFormat="false" ht="15" hidden="false" customHeight="false" outlineLevel="0" collapsed="false">
      <c r="B4" s="13" t="s">
        <v>181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" hidden="false" customHeight="false" outlineLevel="0" collapsed="false">
      <c r="B6" s="56" t="s">
        <v>73</v>
      </c>
      <c r="C6" s="29" t="s">
        <v>74</v>
      </c>
      <c r="D6" s="56" t="s">
        <v>75</v>
      </c>
      <c r="E6" s="57" t="n">
        <v>1</v>
      </c>
      <c r="F6" s="57" t="n">
        <v>2</v>
      </c>
      <c r="G6" s="57" t="n">
        <v>3</v>
      </c>
      <c r="H6" s="57" t="n">
        <v>4</v>
      </c>
      <c r="I6" s="57" t="n">
        <v>5</v>
      </c>
      <c r="J6" s="57" t="n">
        <v>6</v>
      </c>
      <c r="K6" s="57" t="n">
        <v>7</v>
      </c>
      <c r="L6" s="57" t="n">
        <v>8</v>
      </c>
      <c r="M6" s="57" t="n">
        <v>9</v>
      </c>
      <c r="N6" s="57" t="n">
        <v>10</v>
      </c>
      <c r="O6" s="57" t="n">
        <v>11</v>
      </c>
      <c r="P6" s="57" t="n">
        <v>12</v>
      </c>
      <c r="Q6" s="57" t="n">
        <v>13</v>
      </c>
      <c r="R6" s="57" t="n">
        <v>14</v>
      </c>
      <c r="S6" s="57" t="n">
        <v>15</v>
      </c>
      <c r="T6" s="57" t="n">
        <v>16</v>
      </c>
      <c r="U6" s="57" t="n">
        <v>17</v>
      </c>
      <c r="V6" s="57" t="n">
        <v>18</v>
      </c>
      <c r="W6" s="57" t="n">
        <v>19</v>
      </c>
      <c r="X6" s="57" t="n">
        <v>20</v>
      </c>
      <c r="Y6" s="57" t="n">
        <v>21</v>
      </c>
      <c r="Z6" s="57" t="n">
        <v>22</v>
      </c>
      <c r="AA6" s="57" t="n">
        <v>23</v>
      </c>
      <c r="AB6" s="57" t="n">
        <v>24</v>
      </c>
      <c r="AC6" s="57" t="n">
        <v>25</v>
      </c>
      <c r="AD6" s="57" t="n">
        <v>26</v>
      </c>
      <c r="AE6" s="57" t="n">
        <v>27</v>
      </c>
      <c r="AF6" s="57" t="n">
        <v>28</v>
      </c>
    </row>
    <row r="8" customFormat="false" ht="15" hidden="false" customHeight="false" outlineLevel="0" collapsed="false">
      <c r="B8" s="32" t="s">
        <v>182</v>
      </c>
      <c r="C8" s="58" t="s">
        <v>129</v>
      </c>
      <c r="D8" s="25" t="n">
        <f aca="false">SUM(E8:AF8)</f>
        <v>141100</v>
      </c>
      <c r="E8" s="59" t="n">
        <f aca="false">IF(1&lt;=Assum!$F$16,Assum!$F$22/Assum!$F$16,0)</f>
        <v>8818.75</v>
      </c>
      <c r="F8" s="59" t="n">
        <f aca="false">IF(2&lt;=Assum!$F$16,Assum!$F$22/Assum!$F$16,0)</f>
        <v>8818.75</v>
      </c>
      <c r="G8" s="59" t="n">
        <f aca="false">IF(3&lt;=Assum!$F$16,Assum!$F$22/Assum!$F$16,0)</f>
        <v>8818.75</v>
      </c>
      <c r="H8" s="59" t="n">
        <f aca="false">IF(4&lt;=Assum!$F$16,Assum!$F$22/Assum!$F$16,0)</f>
        <v>8818.75</v>
      </c>
      <c r="I8" s="59" t="n">
        <f aca="false">IF(5&lt;=Assum!$F$16,Assum!$F$22/Assum!$F$16,0)</f>
        <v>8818.75</v>
      </c>
      <c r="J8" s="59" t="n">
        <f aca="false">IF(6&lt;=Assum!$F$16,Assum!$F$22/Assum!$F$16,0)</f>
        <v>8818.75</v>
      </c>
      <c r="K8" s="59" t="n">
        <f aca="false">IF(7&lt;=Assum!$F$16,Assum!$F$22/Assum!$F$16,0)</f>
        <v>8818.75</v>
      </c>
      <c r="L8" s="59" t="n">
        <f aca="false">IF(8&lt;=Assum!$F$16,Assum!$F$22/Assum!$F$16,0)</f>
        <v>8818.75</v>
      </c>
      <c r="M8" s="59" t="n">
        <f aca="false">IF(9&lt;=Assum!$F$16,Assum!$F$22/Assum!$F$16,0)</f>
        <v>8818.75</v>
      </c>
      <c r="N8" s="59" t="n">
        <f aca="false">IF(10&lt;=Assum!$F$16,Assum!$F$22/Assum!$F$16,0)</f>
        <v>8818.75</v>
      </c>
      <c r="O8" s="59" t="n">
        <f aca="false">IF(11&lt;=Assum!$F$16,Assum!$F$22/Assum!$F$16,0)</f>
        <v>8818.75</v>
      </c>
      <c r="P8" s="59" t="n">
        <f aca="false">IF(12&lt;=Assum!$F$16,Assum!$F$22/Assum!$F$16,0)</f>
        <v>8818.75</v>
      </c>
      <c r="Q8" s="59" t="n">
        <f aca="false">IF(13&lt;=Assum!$F$16,Assum!$F$22/Assum!$F$16,0)</f>
        <v>8818.75</v>
      </c>
      <c r="R8" s="59" t="n">
        <f aca="false">IF(14&lt;=Assum!$F$16,Assum!$F$22/Assum!$F$16,0)</f>
        <v>8818.75</v>
      </c>
      <c r="S8" s="59" t="n">
        <f aca="false">IF(15&lt;=Assum!$F$16,Assum!$F$22/Assum!$F$16,0)</f>
        <v>8818.75</v>
      </c>
      <c r="T8" s="59" t="n">
        <f aca="false">IF(16&lt;=Assum!$F$16,Assum!$F$22/Assum!$F$16,0)</f>
        <v>8818.75</v>
      </c>
      <c r="U8" s="59" t="n">
        <f aca="false">IF(17&lt;=Assum!$F$16,Assum!$F$22/Assum!$F$16,0)</f>
        <v>0</v>
      </c>
      <c r="V8" s="59" t="n">
        <f aca="false">IF(18&lt;=Assum!$F$16,Assum!$F$22/Assum!$F$16,0)</f>
        <v>0</v>
      </c>
      <c r="W8" s="59" t="n">
        <f aca="false">IF(19&lt;=Assum!$F$16,Assum!$F$22/Assum!$F$16,0)</f>
        <v>0</v>
      </c>
      <c r="X8" s="59" t="n">
        <f aca="false">IF(20&lt;=Assum!$F$16,Assum!$F$22/Assum!$F$16,0)</f>
        <v>0</v>
      </c>
      <c r="Y8" s="59" t="n">
        <f aca="false">IF(21&lt;=Assum!$F$16,Assum!$F$22/Assum!$F$16,0)</f>
        <v>0</v>
      </c>
      <c r="Z8" s="59" t="n">
        <f aca="false">IF(22&lt;=Assum!$F$16,Assum!$F$22/Assum!$F$16,0)</f>
        <v>0</v>
      </c>
      <c r="AA8" s="59" t="n">
        <f aca="false">IF(23&lt;=Assum!$F$16,Assum!$F$22/Assum!$F$16,0)</f>
        <v>0</v>
      </c>
      <c r="AB8" s="59" t="n">
        <f aca="false">IF(24&lt;=Assum!$F$16,Assum!$F$22/Assum!$F$16,0)</f>
        <v>0</v>
      </c>
      <c r="AC8" s="59" t="n">
        <f aca="false">IF(25&lt;=Assum!$F$16,Assum!$F$22/Assum!$F$16,0)</f>
        <v>0</v>
      </c>
      <c r="AD8" s="59" t="n">
        <f aca="false">IF(26&lt;=Assum!$F$16,Assum!$F$22/Assum!$F$16,0)</f>
        <v>0</v>
      </c>
      <c r="AE8" s="59" t="n">
        <f aca="false">IF(27&lt;=Assum!$F$16,Assum!$F$22/Assum!$F$16,0)</f>
        <v>0</v>
      </c>
      <c r="AF8" s="59" t="n">
        <f aca="false">IF(28&lt;=Assum!$F$16,Assum!$F$22/Assum!$F$16,0)</f>
        <v>0</v>
      </c>
    </row>
    <row r="9" customFormat="false" ht="15" hidden="false" customHeight="false" outlineLevel="0" collapsed="false">
      <c r="B9" s="32" t="s">
        <v>183</v>
      </c>
      <c r="C9" s="58" t="s">
        <v>129</v>
      </c>
      <c r="D9" s="25" t="n">
        <f aca="false">SUM(E9:AF9)</f>
        <v>14610</v>
      </c>
      <c r="E9" s="59" t="n">
        <f aca="false">MIN(MAX(0,Assum!$F$25-0),E8)</f>
        <v>8818.75</v>
      </c>
      <c r="F9" s="59" t="n">
        <f aca="false">MIN(MAX(0,Assum!$F$25-SUM($E$9:E9)),F8)</f>
        <v>5791.25</v>
      </c>
      <c r="G9" s="59" t="n">
        <f aca="false">MIN(MAX(0,Assum!$F$25-SUM($E$9:F9)),G8)</f>
        <v>0</v>
      </c>
      <c r="H9" s="59" t="n">
        <f aca="false">MIN(MAX(0,Assum!$F$25-SUM($E$9:G9)),H8)</f>
        <v>0</v>
      </c>
      <c r="I9" s="59" t="n">
        <f aca="false">MIN(MAX(0,Assum!$F$25-SUM($E$9:H9)),I8)</f>
        <v>0</v>
      </c>
      <c r="J9" s="59" t="n">
        <f aca="false">MIN(MAX(0,Assum!$F$25-SUM($E$9:I9)),J8)</f>
        <v>0</v>
      </c>
      <c r="K9" s="59" t="n">
        <f aca="false">MIN(MAX(0,Assum!$F$25-SUM($E$9:J9)),K8)</f>
        <v>0</v>
      </c>
      <c r="L9" s="59" t="n">
        <f aca="false">MIN(MAX(0,Assum!$F$25-SUM($E$9:K9)),L8)</f>
        <v>0</v>
      </c>
      <c r="M9" s="59" t="n">
        <f aca="false">MIN(MAX(0,Assum!$F$25-SUM($E$9:L9)),M8)</f>
        <v>0</v>
      </c>
      <c r="N9" s="59" t="n">
        <f aca="false">MIN(MAX(0,Assum!$F$25-SUM($E$9:M9)),N8)</f>
        <v>0</v>
      </c>
      <c r="O9" s="59" t="n">
        <f aca="false">MIN(MAX(0,Assum!$F$25-SUM($E$9:N9)),O8)</f>
        <v>0</v>
      </c>
      <c r="P9" s="59" t="n">
        <f aca="false">MIN(MAX(0,Assum!$F$25-SUM($E$9:O9)),P8)</f>
        <v>0</v>
      </c>
      <c r="Q9" s="59" t="n">
        <f aca="false">MIN(MAX(0,Assum!$F$25-SUM($E$9:P9)),Q8)</f>
        <v>0</v>
      </c>
      <c r="R9" s="59" t="n">
        <f aca="false">MIN(MAX(0,Assum!$F$25-SUM($E$9:Q9)),R8)</f>
        <v>0</v>
      </c>
      <c r="S9" s="59" t="n">
        <f aca="false">MIN(MAX(0,Assum!$F$25-SUM($E$9:R9)),S8)</f>
        <v>0</v>
      </c>
      <c r="T9" s="59" t="n">
        <f aca="false">MIN(MAX(0,Assum!$F$25-SUM($E$9:S9)),T8)</f>
        <v>0</v>
      </c>
      <c r="U9" s="59" t="n">
        <f aca="false">MIN(MAX(0,Assum!$F$25-SUM($E$9:T9)),U8)</f>
        <v>0</v>
      </c>
      <c r="V9" s="59" t="n">
        <f aca="false">MIN(MAX(0,Assum!$F$25-SUM($E$9:U9)),V8)</f>
        <v>0</v>
      </c>
      <c r="W9" s="59" t="n">
        <f aca="false">MIN(MAX(0,Assum!$F$25-SUM($E$9:V9)),W8)</f>
        <v>0</v>
      </c>
      <c r="X9" s="59" t="n">
        <f aca="false">MIN(MAX(0,Assum!$F$25-SUM($E$9:W9)),X8)</f>
        <v>0</v>
      </c>
      <c r="Y9" s="59" t="n">
        <f aca="false">MIN(MAX(0,Assum!$F$25-SUM($E$9:X9)),Y8)</f>
        <v>0</v>
      </c>
      <c r="Z9" s="59" t="n">
        <f aca="false">MIN(MAX(0,Assum!$F$25-SUM($E$9:Y9)),Z8)</f>
        <v>0</v>
      </c>
      <c r="AA9" s="59" t="n">
        <f aca="false">MIN(MAX(0,Assum!$F$25-SUM($E$9:Z9)),AA8)</f>
        <v>0</v>
      </c>
      <c r="AB9" s="59" t="n">
        <f aca="false">MIN(MAX(0,Assum!$F$25-SUM($E$9:AA9)),AB8)</f>
        <v>0</v>
      </c>
      <c r="AC9" s="59" t="n">
        <f aca="false">MIN(MAX(0,Assum!$F$25-SUM($E$9:AB9)),AC8)</f>
        <v>0</v>
      </c>
      <c r="AD9" s="59" t="n">
        <f aca="false">MIN(MAX(0,Assum!$F$25-SUM($E$9:AC9)),AD8)</f>
        <v>0</v>
      </c>
      <c r="AE9" s="59" t="n">
        <f aca="false">MIN(MAX(0,Assum!$F$25-SUM($E$9:AD9)),AE8)</f>
        <v>0</v>
      </c>
      <c r="AF9" s="59" t="n">
        <f aca="false">MIN(MAX(0,Assum!$F$25-SUM($E$9:AE9)),AF8)</f>
        <v>0</v>
      </c>
    </row>
    <row r="10" customFormat="false" ht="15" hidden="false" customHeight="false" outlineLevel="0" collapsed="false">
      <c r="B10" s="32" t="s">
        <v>184</v>
      </c>
      <c r="C10" s="58" t="s">
        <v>129</v>
      </c>
      <c r="D10" s="25" t="n">
        <f aca="false">SUM(E10:AF10)</f>
        <v>126490</v>
      </c>
      <c r="E10" s="59" t="n">
        <f aca="false">E8-E9</f>
        <v>0</v>
      </c>
      <c r="F10" s="59" t="n">
        <f aca="false">F8-F9</f>
        <v>3027.5</v>
      </c>
      <c r="G10" s="59" t="n">
        <f aca="false">G8-G9</f>
        <v>8818.75</v>
      </c>
      <c r="H10" s="59" t="n">
        <f aca="false">H8-H9</f>
        <v>8818.75</v>
      </c>
      <c r="I10" s="59" t="n">
        <f aca="false">I8-I9</f>
        <v>8818.75</v>
      </c>
      <c r="J10" s="59" t="n">
        <f aca="false">J8-J9</f>
        <v>8818.75</v>
      </c>
      <c r="K10" s="59" t="n">
        <f aca="false">K8-K9</f>
        <v>8818.75</v>
      </c>
      <c r="L10" s="59" t="n">
        <f aca="false">L8-L9</f>
        <v>8818.75</v>
      </c>
      <c r="M10" s="59" t="n">
        <f aca="false">M8-M9</f>
        <v>8818.75</v>
      </c>
      <c r="N10" s="59" t="n">
        <f aca="false">N8-N9</f>
        <v>8818.75</v>
      </c>
      <c r="O10" s="59" t="n">
        <f aca="false">O8-O9</f>
        <v>8818.75</v>
      </c>
      <c r="P10" s="59" t="n">
        <f aca="false">P8-P9</f>
        <v>8818.75</v>
      </c>
      <c r="Q10" s="59" t="n">
        <f aca="false">Q8-Q9</f>
        <v>8818.75</v>
      </c>
      <c r="R10" s="59" t="n">
        <f aca="false">R8-R9</f>
        <v>8818.75</v>
      </c>
      <c r="S10" s="59" t="n">
        <f aca="false">S8-S9</f>
        <v>8818.75</v>
      </c>
      <c r="T10" s="59" t="n">
        <f aca="false">T8-T9</f>
        <v>8818.75</v>
      </c>
      <c r="U10" s="59" t="n">
        <f aca="false">U8-U9</f>
        <v>0</v>
      </c>
      <c r="V10" s="59" t="n">
        <f aca="false">V8-V9</f>
        <v>0</v>
      </c>
      <c r="W10" s="59" t="n">
        <f aca="false">W8-W9</f>
        <v>0</v>
      </c>
      <c r="X10" s="59" t="n">
        <f aca="false">X8-X9</f>
        <v>0</v>
      </c>
      <c r="Y10" s="59" t="n">
        <f aca="false">Y8-Y9</f>
        <v>0</v>
      </c>
      <c r="Z10" s="59" t="n">
        <f aca="false">Z8-Z9</f>
        <v>0</v>
      </c>
      <c r="AA10" s="59" t="n">
        <f aca="false">AA8-AA9</f>
        <v>0</v>
      </c>
      <c r="AB10" s="59" t="n">
        <f aca="false">AB8-AB9</f>
        <v>0</v>
      </c>
      <c r="AC10" s="59" t="n">
        <f aca="false">AC8-AC9</f>
        <v>0</v>
      </c>
      <c r="AD10" s="59" t="n">
        <f aca="false">AD8-AD9</f>
        <v>0</v>
      </c>
      <c r="AE10" s="59" t="n">
        <f aca="false">AE8-AE9</f>
        <v>0</v>
      </c>
      <c r="AF10" s="59" t="n">
        <f aca="false">AF8-AF9</f>
        <v>0</v>
      </c>
    </row>
    <row r="11" customFormat="false" ht="15" hidden="false" customHeight="false" outlineLevel="0" collapsed="false">
      <c r="B11" s="32" t="s">
        <v>185</v>
      </c>
      <c r="C11" s="58" t="s">
        <v>129</v>
      </c>
      <c r="E11" s="59" t="n">
        <v>0</v>
      </c>
      <c r="F11" s="59" t="n">
        <f aca="false">E13</f>
        <v>0</v>
      </c>
      <c r="G11" s="59" t="n">
        <f aca="false">F13</f>
        <v>3041.62833333334</v>
      </c>
      <c r="H11" s="59" t="n">
        <f aca="false">G13</f>
        <v>11915.7267655556</v>
      </c>
      <c r="I11" s="59" t="n">
        <f aca="false">H13</f>
        <v>20831.2376571282</v>
      </c>
      <c r="J11" s="59" t="n">
        <f aca="false">I13</f>
        <v>29788.3542661948</v>
      </c>
      <c r="K11" s="59" t="n">
        <f aca="false">J13</f>
        <v>38787.2707527703</v>
      </c>
      <c r="L11" s="59" t="n">
        <f aca="false">K13</f>
        <v>47828.1821829499</v>
      </c>
      <c r="M11" s="59" t="n">
        <f aca="false">L13</f>
        <v>56911.284533137</v>
      </c>
      <c r="N11" s="59" t="n">
        <f aca="false">M13</f>
        <v>66036.7746942917</v>
      </c>
      <c r="O11" s="59" t="n">
        <f aca="false">N13</f>
        <v>75204.8504761984</v>
      </c>
      <c r="P11" s="59" t="n">
        <f aca="false">O13</f>
        <v>84415.7106117539</v>
      </c>
      <c r="Q11" s="59" t="n">
        <f aca="false">P13</f>
        <v>93669.5547612755</v>
      </c>
      <c r="R11" s="59" t="n">
        <f aca="false">Q13</f>
        <v>102966.583516828</v>
      </c>
      <c r="S11" s="59" t="n">
        <f aca="false">R13</f>
        <v>112306.998406573</v>
      </c>
      <c r="T11" s="59" t="n">
        <f aca="false">S13</f>
        <v>121691.001899137</v>
      </c>
      <c r="U11" s="59" t="n">
        <f aca="false">T13</f>
        <v>131118.797408</v>
      </c>
      <c r="V11" s="59" t="n">
        <f aca="false">U13</f>
        <v>131118.797408</v>
      </c>
      <c r="W11" s="59" t="n">
        <f aca="false">V13</f>
        <v>131118.797408</v>
      </c>
      <c r="X11" s="59" t="n">
        <f aca="false">W13</f>
        <v>131118.797408</v>
      </c>
      <c r="Y11" s="59" t="n">
        <f aca="false">X13</f>
        <v>131118.797408</v>
      </c>
      <c r="Z11" s="59" t="n">
        <f aca="false">Y13</f>
        <v>131118.797408</v>
      </c>
      <c r="AA11" s="59" t="n">
        <f aca="false">Z13</f>
        <v>131118.797408</v>
      </c>
      <c r="AB11" s="59" t="n">
        <f aca="false">AA13</f>
        <v>131118.797408</v>
      </c>
      <c r="AC11" s="59" t="n">
        <f aca="false">AB13</f>
        <v>131118.797408</v>
      </c>
      <c r="AD11" s="59" t="n">
        <f aca="false">AC13</f>
        <v>131118.797408</v>
      </c>
      <c r="AE11" s="59" t="n">
        <f aca="false">AD13</f>
        <v>131118.797408</v>
      </c>
      <c r="AF11" s="59" t="n">
        <f aca="false">AE13</f>
        <v>131118.797408</v>
      </c>
    </row>
    <row r="12" customFormat="false" ht="15" hidden="false" customHeight="false" outlineLevel="0" collapsed="false">
      <c r="B12" s="32" t="s">
        <v>186</v>
      </c>
      <c r="C12" s="58" t="s">
        <v>129</v>
      </c>
      <c r="D12" s="25" t="n">
        <f aca="false">SUM(E12:AF12)</f>
        <v>4628.79740799993</v>
      </c>
      <c r="E12" s="59" t="n">
        <f aca="false">IF(1&lt;=Assum!$F$16,(E11+E10)*Assum!$F$34/12,0)</f>
        <v>0</v>
      </c>
      <c r="F12" s="59" t="n">
        <f aca="false">IF(2&lt;=Assum!$F$16,(F11+F10)*Assum!$F$34/12,0)</f>
        <v>14.1283333333334</v>
      </c>
      <c r="G12" s="59" t="n">
        <f aca="false">IF(3&lt;=Assum!$F$16,(G11+G10)*Assum!$F$34/12,0)</f>
        <v>55.3484322222222</v>
      </c>
      <c r="H12" s="59" t="n">
        <f aca="false">IF(4&lt;=Assum!$F$16,(H11+H10)*Assum!$F$34/12,0)</f>
        <v>96.7608915725926</v>
      </c>
      <c r="I12" s="59" t="n">
        <f aca="false">IF(5&lt;=Assum!$F$16,(I11+I10)*Assum!$F$34/12,0)</f>
        <v>138.366609066598</v>
      </c>
      <c r="J12" s="59" t="n">
        <f aca="false">IF(6&lt;=Assum!$F$16,(J11+J10)*Assum!$F$34/12,0)</f>
        <v>180.166486575576</v>
      </c>
      <c r="K12" s="59" t="n">
        <f aca="false">IF(7&lt;=Assum!$F$16,(K11+K10)*Assum!$F$34/12,0)</f>
        <v>222.161430179595</v>
      </c>
      <c r="L12" s="59" t="n">
        <f aca="false">IF(8&lt;=Assum!$F$16,(L11+L10)*Assum!$F$34/12,0)</f>
        <v>264.3523501871</v>
      </c>
      <c r="M12" s="59" t="n">
        <f aca="false">IF(9&lt;=Assum!$F$16,(M11+M10)*Assum!$F$34/12,0)</f>
        <v>306.740161154639</v>
      </c>
      <c r="N12" s="59" t="n">
        <f aca="false">IF(10&lt;=Assum!$F$16,(N11+N10)*Assum!$F$34/12,0)</f>
        <v>349.325781906694</v>
      </c>
      <c r="O12" s="59" t="n">
        <f aca="false">IF(11&lt;=Assum!$F$16,(O11+O10)*Assum!$F$34/12,0)</f>
        <v>392.110135555592</v>
      </c>
      <c r="P12" s="59" t="n">
        <f aca="false">IF(12&lt;=Assum!$F$16,(P11+P10)*Assum!$F$34/12,0)</f>
        <v>435.094149521518</v>
      </c>
      <c r="Q12" s="59" t="n">
        <f aca="false">IF(13&lt;=Assum!$F$16,(Q11+Q10)*Assum!$F$34/12,0)</f>
        <v>478.278755552619</v>
      </c>
      <c r="R12" s="59" t="n">
        <f aca="false">IF(14&lt;=Assum!$F$16,(R11+R10)*Assum!$F$34/12,0)</f>
        <v>521.664889745198</v>
      </c>
      <c r="S12" s="59" t="n">
        <f aca="false">IF(15&lt;=Assum!$F$16,(S11+S10)*Assum!$F$34/12,0)</f>
        <v>565.253492564009</v>
      </c>
      <c r="T12" s="59" t="n">
        <f aca="false">IF(16&lt;=Assum!$F$16,(T11+T10)*Assum!$F$34/12,0)</f>
        <v>609.045508862641</v>
      </c>
      <c r="U12" s="59" t="n">
        <f aca="false">IF(17&lt;=Assum!$F$16,(U11+U10)*Assum!$F$34/12,0)</f>
        <v>0</v>
      </c>
      <c r="V12" s="59" t="n">
        <f aca="false">IF(18&lt;=Assum!$F$16,(V11+V10)*Assum!$F$34/12,0)</f>
        <v>0</v>
      </c>
      <c r="W12" s="59" t="n">
        <f aca="false">IF(19&lt;=Assum!$F$16,(W11+W10)*Assum!$F$34/12,0)</f>
        <v>0</v>
      </c>
      <c r="X12" s="59" t="n">
        <f aca="false">IF(20&lt;=Assum!$F$16,(X11+X10)*Assum!$F$34/12,0)</f>
        <v>0</v>
      </c>
      <c r="Y12" s="59" t="n">
        <f aca="false">IF(21&lt;=Assum!$F$16,(Y11+Y10)*Assum!$F$34/12,0)</f>
        <v>0</v>
      </c>
      <c r="Z12" s="59" t="n">
        <f aca="false">IF(22&lt;=Assum!$F$16,(Z11+Z10)*Assum!$F$34/12,0)</f>
        <v>0</v>
      </c>
      <c r="AA12" s="59" t="n">
        <f aca="false">IF(23&lt;=Assum!$F$16,(AA11+AA10)*Assum!$F$34/12,0)</f>
        <v>0</v>
      </c>
      <c r="AB12" s="59" t="n">
        <f aca="false">IF(24&lt;=Assum!$F$16,(AB11+AB10)*Assum!$F$34/12,0)</f>
        <v>0</v>
      </c>
      <c r="AC12" s="59" t="n">
        <f aca="false">IF(25&lt;=Assum!$F$16,(AC11+AC10)*Assum!$F$34/12,0)</f>
        <v>0</v>
      </c>
      <c r="AD12" s="59" t="n">
        <f aca="false">IF(26&lt;=Assum!$F$16,(AD11+AD10)*Assum!$F$34/12,0)</f>
        <v>0</v>
      </c>
      <c r="AE12" s="59" t="n">
        <f aca="false">IF(27&lt;=Assum!$F$16,(AE11+AE10)*Assum!$F$34/12,0)</f>
        <v>0</v>
      </c>
      <c r="AF12" s="59" t="n">
        <f aca="false">IF(28&lt;=Assum!$F$16,(AF11+AF10)*Assum!$F$34/12,0)</f>
        <v>0</v>
      </c>
    </row>
    <row r="13" customFormat="false" ht="15" hidden="false" customHeight="false" outlineLevel="0" collapsed="false">
      <c r="B13" s="60" t="s">
        <v>187</v>
      </c>
      <c r="C13" s="61" t="s">
        <v>188</v>
      </c>
      <c r="D13" s="62" t="n">
        <f aca="false">SUM(E12:AF12)</f>
        <v>4628.79740799993</v>
      </c>
      <c r="E13" s="62" t="n">
        <f aca="false">E11+E10+E12</f>
        <v>0</v>
      </c>
      <c r="F13" s="62" t="n">
        <f aca="false">F11+F10+F12</f>
        <v>3041.62833333334</v>
      </c>
      <c r="G13" s="62" t="n">
        <f aca="false">G11+G10+G12</f>
        <v>11915.7267655556</v>
      </c>
      <c r="H13" s="62" t="n">
        <f aca="false">H11+H10+H12</f>
        <v>20831.2376571282</v>
      </c>
      <c r="I13" s="62" t="n">
        <f aca="false">I11+I10+I12</f>
        <v>29788.3542661948</v>
      </c>
      <c r="J13" s="62" t="n">
        <f aca="false">J11+J10+J12</f>
        <v>38787.2707527703</v>
      </c>
      <c r="K13" s="62" t="n">
        <f aca="false">K11+K10+K12</f>
        <v>47828.1821829499</v>
      </c>
      <c r="L13" s="62" t="n">
        <f aca="false">L11+L10+L12</f>
        <v>56911.284533137</v>
      </c>
      <c r="M13" s="62" t="n">
        <f aca="false">M11+M10+M12</f>
        <v>66036.7746942917</v>
      </c>
      <c r="N13" s="62" t="n">
        <f aca="false">N11+N10+N12</f>
        <v>75204.8504761984</v>
      </c>
      <c r="O13" s="62" t="n">
        <f aca="false">O11+O10+O12</f>
        <v>84415.7106117539</v>
      </c>
      <c r="P13" s="62" t="n">
        <f aca="false">P11+P10+P12</f>
        <v>93669.5547612755</v>
      </c>
      <c r="Q13" s="62" t="n">
        <f aca="false">Q11+Q10+Q12</f>
        <v>102966.583516828</v>
      </c>
      <c r="R13" s="62" t="n">
        <f aca="false">R11+R10+R12</f>
        <v>112306.998406573</v>
      </c>
      <c r="S13" s="62" t="n">
        <f aca="false">S11+S10+S12</f>
        <v>121691.001899137</v>
      </c>
      <c r="T13" s="62" t="n">
        <f aca="false">T11+T10+T12</f>
        <v>131118.797408</v>
      </c>
      <c r="U13" s="62" t="n">
        <f aca="false">U11+U10+U12</f>
        <v>131118.797408</v>
      </c>
      <c r="V13" s="62" t="n">
        <f aca="false">V11+V10+V12</f>
        <v>131118.797408</v>
      </c>
      <c r="W13" s="62" t="n">
        <f aca="false">W11+W10+W12</f>
        <v>131118.797408</v>
      </c>
      <c r="X13" s="62" t="n">
        <f aca="false">X11+X10+X12</f>
        <v>131118.797408</v>
      </c>
      <c r="Y13" s="62" t="n">
        <f aca="false">Y11+Y10+Y12</f>
        <v>131118.797408</v>
      </c>
      <c r="Z13" s="25" t="n">
        <f aca="false">Z11+Z10+Z12</f>
        <v>131118.797408</v>
      </c>
      <c r="AA13" s="25" t="n">
        <f aca="false">AA11+AA10+AA12</f>
        <v>131118.797408</v>
      </c>
      <c r="AB13" s="25" t="n">
        <f aca="false">AB11+AB10+AB12</f>
        <v>131118.797408</v>
      </c>
      <c r="AC13" s="25" t="n">
        <f aca="false">AC11+AC10+AC12</f>
        <v>131118.797408</v>
      </c>
      <c r="AD13" s="25" t="n">
        <f aca="false">AD11+AD10+AD12</f>
        <v>131118.797408</v>
      </c>
      <c r="AE13" s="25" t="n">
        <f aca="false">AE11+AE10+AE12</f>
        <v>131118.797408</v>
      </c>
      <c r="AF13" s="25" t="n">
        <f aca="false">AF11+AF10+AF12</f>
        <v>131118.797408</v>
      </c>
    </row>
    <row r="15" customFormat="false" ht="15" hidden="false" customHeight="false" outlineLevel="0" collapsed="false">
      <c r="B15" s="13" t="s">
        <v>189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7" customFormat="false" ht="15" hidden="false" customHeight="false" outlineLevel="0" collapsed="false">
      <c r="B17" s="32" t="s">
        <v>190</v>
      </c>
      <c r="C17" s="58" t="s">
        <v>129</v>
      </c>
      <c r="D17" s="59" t="n">
        <f aca="false">AF13</f>
        <v>131118.797408</v>
      </c>
    </row>
    <row r="18" customFormat="false" ht="15" hidden="false" customHeight="false" outlineLevel="0" collapsed="false">
      <c r="B18" s="35" t="s">
        <v>191</v>
      </c>
      <c r="C18" s="58" t="s">
        <v>129</v>
      </c>
      <c r="D18" s="59" t="n">
        <f aca="false">MIN(MAX(0,Assum!$F$25-SUM(E9:AF9)),Assum!$F$23)</f>
        <v>0</v>
      </c>
    </row>
    <row r="19" customFormat="false" ht="15" hidden="false" customHeight="false" outlineLevel="0" collapsed="false">
      <c r="B19" s="35" t="s">
        <v>192</v>
      </c>
      <c r="C19" s="58" t="s">
        <v>129</v>
      </c>
      <c r="D19" s="59" t="n">
        <f aca="false">Assum!$F$23-D18</f>
        <v>5000</v>
      </c>
    </row>
    <row r="20" customFormat="false" ht="15" hidden="false" customHeight="false" outlineLevel="0" collapsed="false">
      <c r="B20" s="60" t="s">
        <v>193</v>
      </c>
      <c r="C20" s="63" t="s">
        <v>129</v>
      </c>
      <c r="D20" s="62" t="n">
        <f aca="false">D17+D19</f>
        <v>136118.797408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customFormat="false" ht="15" hidden="false" customHeight="false" outlineLevel="0" collapsed="false">
      <c r="B21" s="35" t="s">
        <v>194</v>
      </c>
      <c r="C21" s="58" t="s">
        <v>129</v>
      </c>
      <c r="D21" s="59" t="n">
        <f aca="false">D20-Assum!$F$29</f>
        <v>0</v>
      </c>
    </row>
    <row r="23" customFormat="false" ht="15" hidden="false" customHeight="false" outlineLevel="0" collapsed="false">
      <c r="B23" s="37" t="s">
        <v>195</v>
      </c>
    </row>
    <row r="24" customFormat="false" ht="15" hidden="false" customHeight="false" outlineLevel="0" collapsed="false">
      <c r="B24" s="37" t="s">
        <v>196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55" t="s">
        <v>197</v>
      </c>
    </row>
    <row r="4" customFormat="false" ht="15.75" hidden="false" customHeight="false" outlineLevel="0" collapsed="false">
      <c r="B4" s="13" t="s">
        <v>198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56" t="s">
        <v>73</v>
      </c>
      <c r="D6" s="56" t="s">
        <v>199</v>
      </c>
      <c r="E6" s="56" t="s">
        <v>200</v>
      </c>
    </row>
    <row r="7" customFormat="false" ht="15.75" hidden="false" customHeight="false" outlineLevel="0" collapsed="false">
      <c r="B7" s="32" t="s">
        <v>201</v>
      </c>
      <c r="C7" s="58" t="s">
        <v>129</v>
      </c>
      <c r="D7" s="33" t="n">
        <f aca="false">Assum!$F$22</f>
        <v>141100</v>
      </c>
      <c r="E7" s="65" t="n">
        <f aca="false">D7/$D$10</f>
        <v>0.936118395598047</v>
      </c>
    </row>
    <row r="8" customFormat="false" ht="15.75" hidden="false" customHeight="false" outlineLevel="0" collapsed="false">
      <c r="B8" s="32" t="s">
        <v>202</v>
      </c>
      <c r="C8" s="58" t="s">
        <v>129</v>
      </c>
      <c r="D8" s="33" t="n">
        <f aca="false">Assum!$F$26</f>
        <v>4628.79740799993</v>
      </c>
      <c r="E8" s="65" t="n">
        <f aca="false">D8/$D$10</f>
        <v>0.0307094429704131</v>
      </c>
    </row>
    <row r="9" customFormat="false" ht="15.75" hidden="false" customHeight="false" outlineLevel="0" collapsed="false">
      <c r="B9" s="32" t="s">
        <v>203</v>
      </c>
      <c r="C9" s="58" t="s">
        <v>129</v>
      </c>
      <c r="D9" s="33" t="n">
        <f aca="false">Assum!$F$23</f>
        <v>5000</v>
      </c>
      <c r="E9" s="65" t="n">
        <f aca="false">D9/$D$10</f>
        <v>0.0331721614315396</v>
      </c>
    </row>
    <row r="10" customFormat="false" ht="15.75" hidden="false" customHeight="false" outlineLevel="0" collapsed="false">
      <c r="B10" s="60" t="s">
        <v>137</v>
      </c>
      <c r="C10" s="63" t="s">
        <v>129</v>
      </c>
      <c r="D10" s="62" t="n">
        <f aca="false">SUM(D7:D9)</f>
        <v>150728.797408</v>
      </c>
      <c r="E10" s="66" t="n">
        <f aca="false">D10/$D$10</f>
        <v>1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3" customFormat="false" ht="15.75" hidden="false" customHeight="false" outlineLevel="0" collapsed="false">
      <c r="B13" s="13" t="s">
        <v>55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5" customFormat="false" ht="15.75" hidden="false" customHeight="false" outlineLevel="0" collapsed="false">
      <c r="B15" s="32" t="s">
        <v>133</v>
      </c>
      <c r="C15" s="58" t="s">
        <v>129</v>
      </c>
      <c r="D15" s="33" t="n">
        <f aca="false">Assum!$F$25</f>
        <v>14610</v>
      </c>
      <c r="E15" s="65" t="n">
        <f aca="false">D15/$D$17</f>
        <v>0.0969290557029587</v>
      </c>
    </row>
    <row r="16" customFormat="false" ht="15.75" hidden="false" customHeight="false" outlineLevel="0" collapsed="false">
      <c r="B16" s="32" t="s">
        <v>204</v>
      </c>
      <c r="C16" s="58" t="s">
        <v>129</v>
      </c>
      <c r="D16" s="33" t="n">
        <f aca="false">Assum!$F$29</f>
        <v>136118.797408</v>
      </c>
      <c r="E16" s="65" t="n">
        <f aca="false">D16/$D$17</f>
        <v>0.903070944297041</v>
      </c>
    </row>
    <row r="17" customFormat="false" ht="15.75" hidden="false" customHeight="false" outlineLevel="0" collapsed="false">
      <c r="B17" s="60" t="s">
        <v>205</v>
      </c>
      <c r="C17" s="63" t="s">
        <v>129</v>
      </c>
      <c r="D17" s="62" t="n">
        <f aca="false">SUM(D15:D16)</f>
        <v>150728.797408</v>
      </c>
      <c r="E17" s="66" t="n">
        <f aca="false">D17/$D$17</f>
        <v>1</v>
      </c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customFormat="false" ht="15.75" hidden="false" customHeight="false" outlineLevel="0" collapsed="false">
      <c r="B18" s="35" t="s">
        <v>206</v>
      </c>
      <c r="C18" s="58" t="s">
        <v>129</v>
      </c>
      <c r="D18" s="59" t="n">
        <f aca="false">D10-D17</f>
        <v>0</v>
      </c>
    </row>
    <row r="21" customFormat="false" ht="15.75" hidden="false" customHeight="false" outlineLevel="0" collapsed="false">
      <c r="B21" s="13" t="s">
        <v>207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3" customFormat="false" ht="15.75" hidden="false" customHeight="false" outlineLevel="0" collapsed="false">
      <c r="B23" s="32" t="s">
        <v>165</v>
      </c>
      <c r="C23" s="58" t="s">
        <v>129</v>
      </c>
      <c r="D23" s="33" t="n">
        <f aca="false">Assum!$F$56</f>
        <v>138442.3575376</v>
      </c>
    </row>
    <row r="24" customFormat="false" ht="15.75" hidden="false" customHeight="false" outlineLevel="0" collapsed="false">
      <c r="B24" s="32" t="s">
        <v>166</v>
      </c>
      <c r="C24" s="58" t="s">
        <v>126</v>
      </c>
      <c r="D24" s="67" t="n">
        <f aca="false">Assum!$F$57</f>
        <v>20</v>
      </c>
    </row>
    <row r="25" customFormat="false" ht="15.75" hidden="false" customHeight="false" outlineLevel="0" collapsed="false">
      <c r="B25" s="68" t="s">
        <v>208</v>
      </c>
      <c r="C25" s="58" t="s">
        <v>159</v>
      </c>
      <c r="D25" s="25" t="n">
        <f aca="false">D23/D24</f>
        <v>6922.11787688</v>
      </c>
    </row>
    <row r="27" customFormat="false" ht="15.75" hidden="false" customHeight="false" outlineLevel="0" collapsed="false">
      <c r="B27" s="37" t="s">
        <v>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55" t="s">
        <v>210</v>
      </c>
    </row>
    <row r="4" customFormat="false" ht="15.75" hidden="false" customHeight="false" outlineLevel="0" collapsed="false">
      <c r="B4" s="13" t="s">
        <v>211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27" t="s">
        <v>73</v>
      </c>
      <c r="C6" s="28" t="s">
        <v>74</v>
      </c>
      <c r="D6" s="27" t="s">
        <v>75</v>
      </c>
      <c r="E6" s="27" t="s">
        <v>76</v>
      </c>
      <c r="F6" s="29" t="s">
        <v>77</v>
      </c>
      <c r="G6" s="29" t="s">
        <v>78</v>
      </c>
      <c r="H6" s="29" t="s">
        <v>79</v>
      </c>
      <c r="I6" s="29" t="s">
        <v>80</v>
      </c>
      <c r="J6" s="29" t="s">
        <v>81</v>
      </c>
      <c r="K6" s="29" t="s">
        <v>82</v>
      </c>
      <c r="L6" s="29" t="s">
        <v>83</v>
      </c>
      <c r="M6" s="29" t="s">
        <v>84</v>
      </c>
      <c r="N6" s="29" t="s">
        <v>85</v>
      </c>
      <c r="O6" s="29" t="s">
        <v>86</v>
      </c>
      <c r="P6" s="29" t="s">
        <v>87</v>
      </c>
      <c r="Q6" s="29" t="s">
        <v>88</v>
      </c>
      <c r="R6" s="29" t="s">
        <v>89</v>
      </c>
      <c r="S6" s="29" t="s">
        <v>90</v>
      </c>
      <c r="T6" s="29" t="s">
        <v>91</v>
      </c>
      <c r="U6" s="29" t="s">
        <v>92</v>
      </c>
      <c r="V6" s="29" t="s">
        <v>93</v>
      </c>
      <c r="W6" s="29" t="s">
        <v>94</v>
      </c>
      <c r="X6" s="29" t="s">
        <v>95</v>
      </c>
      <c r="Y6" s="29" t="s">
        <v>96</v>
      </c>
    </row>
    <row r="7" customFormat="false" ht="15.75" hidden="false" customHeight="false" outlineLevel="0" collapsed="false">
      <c r="E7" s="30" t="n">
        <v>2024</v>
      </c>
      <c r="F7" s="31" t="n">
        <v>2025</v>
      </c>
      <c r="G7" s="31" t="n">
        <v>2026</v>
      </c>
      <c r="H7" s="31" t="n">
        <v>2027</v>
      </c>
      <c r="I7" s="31" t="n">
        <v>2028</v>
      </c>
      <c r="J7" s="31" t="n">
        <v>2029</v>
      </c>
      <c r="K7" s="31" t="n">
        <v>2030</v>
      </c>
      <c r="L7" s="31" t="n">
        <v>2031</v>
      </c>
      <c r="M7" s="31" t="n">
        <v>2032</v>
      </c>
      <c r="N7" s="31" t="n">
        <v>2033</v>
      </c>
      <c r="O7" s="31" t="n">
        <v>2034</v>
      </c>
      <c r="P7" s="31" t="n">
        <v>2035</v>
      </c>
      <c r="Q7" s="31" t="n">
        <v>2036</v>
      </c>
      <c r="R7" s="31" t="n">
        <v>2037</v>
      </c>
      <c r="S7" s="31" t="n">
        <v>2038</v>
      </c>
      <c r="T7" s="31" t="n">
        <v>2039</v>
      </c>
      <c r="U7" s="31" t="n">
        <v>2040</v>
      </c>
      <c r="V7" s="31" t="n">
        <v>2041</v>
      </c>
      <c r="W7" s="31" t="n">
        <v>2042</v>
      </c>
      <c r="X7" s="31" t="n">
        <v>2043</v>
      </c>
      <c r="Y7" s="31" t="n">
        <v>2044</v>
      </c>
    </row>
    <row r="9" customFormat="false" ht="15.75" hidden="false" customHeight="false" outlineLevel="0" collapsed="false">
      <c r="B9" s="32" t="s">
        <v>109</v>
      </c>
      <c r="C9" s="58" t="s">
        <v>110</v>
      </c>
      <c r="F9" s="69" t="n">
        <f aca="false">Assum!$F$7</f>
        <v>99.998</v>
      </c>
      <c r="G9" s="69" t="n">
        <f aca="false">Assum!$F$7</f>
        <v>99.998</v>
      </c>
      <c r="H9" s="69" t="n">
        <f aca="false">Assum!$F$7</f>
        <v>99.998</v>
      </c>
      <c r="I9" s="69" t="n">
        <f aca="false">Assum!$F$7</f>
        <v>99.998</v>
      </c>
      <c r="J9" s="69" t="n">
        <f aca="false">Assum!$F$7</f>
        <v>99.998</v>
      </c>
      <c r="K9" s="69" t="n">
        <f aca="false">Assum!$F$7</f>
        <v>99.998</v>
      </c>
      <c r="L9" s="69" t="n">
        <f aca="false">Assum!$F$7</f>
        <v>99.998</v>
      </c>
      <c r="M9" s="69" t="n">
        <f aca="false">Assum!$F$7</f>
        <v>99.998</v>
      </c>
      <c r="N9" s="69" t="n">
        <f aca="false">Assum!$F$7</f>
        <v>99.998</v>
      </c>
      <c r="O9" s="69" t="n">
        <f aca="false">Assum!$F$7</f>
        <v>99.998</v>
      </c>
      <c r="P9" s="69" t="n">
        <f aca="false">Assum!$F$7</f>
        <v>99.998</v>
      </c>
      <c r="Q9" s="69" t="n">
        <f aca="false">Assum!$F$7</f>
        <v>99.998</v>
      </c>
      <c r="R9" s="69" t="n">
        <f aca="false">Assum!$F$7</f>
        <v>99.998</v>
      </c>
      <c r="S9" s="69" t="n">
        <f aca="false">Assum!$F$7</f>
        <v>99.998</v>
      </c>
      <c r="T9" s="69" t="n">
        <f aca="false">Assum!$F$7</f>
        <v>99.998</v>
      </c>
      <c r="U9" s="69" t="n">
        <f aca="false">Assum!$F$7</f>
        <v>99.998</v>
      </c>
      <c r="V9" s="69" t="n">
        <f aca="false">Assum!$F$7</f>
        <v>99.998</v>
      </c>
      <c r="W9" s="69" t="n">
        <f aca="false">Assum!$F$7</f>
        <v>99.998</v>
      </c>
      <c r="X9" s="69" t="n">
        <f aca="false">Assum!$F$7</f>
        <v>99.998</v>
      </c>
      <c r="Y9" s="69" t="n">
        <f aca="false">Assum!$F$7</f>
        <v>99.998</v>
      </c>
    </row>
    <row r="10" customFormat="false" ht="15.75" hidden="false" customHeight="false" outlineLevel="0" collapsed="false">
      <c r="B10" s="32" t="s">
        <v>111</v>
      </c>
      <c r="C10" s="58" t="s">
        <v>112</v>
      </c>
      <c r="F10" s="70" t="n">
        <f aca="false">Assum!$F$8</f>
        <v>0.1571</v>
      </c>
      <c r="G10" s="70" t="n">
        <f aca="false">Assum!$F$8</f>
        <v>0.1571</v>
      </c>
      <c r="H10" s="70" t="n">
        <f aca="false">Assum!$F$8</f>
        <v>0.1571</v>
      </c>
      <c r="I10" s="70" t="n">
        <f aca="false">Assum!$F$8</f>
        <v>0.1571</v>
      </c>
      <c r="J10" s="70" t="n">
        <f aca="false">Assum!$F$8</f>
        <v>0.1571</v>
      </c>
      <c r="K10" s="70" t="n">
        <f aca="false">Assum!$F$8</f>
        <v>0.1571</v>
      </c>
      <c r="L10" s="70" t="n">
        <f aca="false">Assum!$F$8</f>
        <v>0.1571</v>
      </c>
      <c r="M10" s="70" t="n">
        <f aca="false">Assum!$F$8</f>
        <v>0.1571</v>
      </c>
      <c r="N10" s="70" t="n">
        <f aca="false">Assum!$F$8</f>
        <v>0.1571</v>
      </c>
      <c r="O10" s="70" t="n">
        <f aca="false">Assum!$F$8</f>
        <v>0.1571</v>
      </c>
      <c r="P10" s="70" t="n">
        <f aca="false">Assum!$F$8</f>
        <v>0.1571</v>
      </c>
      <c r="Q10" s="70" t="n">
        <f aca="false">Assum!$F$8</f>
        <v>0.1571</v>
      </c>
      <c r="R10" s="70" t="n">
        <f aca="false">Assum!$F$8</f>
        <v>0.1571</v>
      </c>
      <c r="S10" s="70" t="n">
        <f aca="false">Assum!$F$8</f>
        <v>0.1571</v>
      </c>
      <c r="T10" s="70" t="n">
        <f aca="false">Assum!$F$8</f>
        <v>0.1571</v>
      </c>
      <c r="U10" s="70" t="n">
        <f aca="false">Assum!$F$8</f>
        <v>0.1571</v>
      </c>
      <c r="V10" s="70" t="n">
        <f aca="false">Assum!$F$8</f>
        <v>0.1571</v>
      </c>
      <c r="W10" s="70" t="n">
        <f aca="false">Assum!$F$8</f>
        <v>0.1571</v>
      </c>
      <c r="X10" s="70" t="n">
        <f aca="false">Assum!$F$8</f>
        <v>0.1571</v>
      </c>
      <c r="Y10" s="70" t="n">
        <f aca="false">Assum!$F$8</f>
        <v>0.1571</v>
      </c>
    </row>
    <row r="11" customFormat="false" ht="15.75" hidden="false" customHeight="false" outlineLevel="0" collapsed="false">
      <c r="B11" s="35" t="s">
        <v>212</v>
      </c>
      <c r="C11" s="58" t="s">
        <v>112</v>
      </c>
      <c r="F11" s="71" t="n">
        <f aca="false">(1-Assum!$F$10)^(1-1)</f>
        <v>1</v>
      </c>
      <c r="G11" s="71" t="n">
        <f aca="false">(1-Assum!$F$10)^(2-1)</f>
        <v>0.995</v>
      </c>
      <c r="H11" s="71" t="n">
        <f aca="false">(1-Assum!$F$10)^(3-1)</f>
        <v>0.990025</v>
      </c>
      <c r="I11" s="71" t="n">
        <f aca="false">(1-Assum!$F$10)^(4-1)</f>
        <v>0.985074875</v>
      </c>
      <c r="J11" s="71" t="n">
        <f aca="false">(1-Assum!$F$10)^(5-1)</f>
        <v>0.980149500625</v>
      </c>
      <c r="K11" s="71" t="n">
        <f aca="false">(1-Assum!$F$10)^(6-1)</f>
        <v>0.975248753121875</v>
      </c>
      <c r="L11" s="71" t="n">
        <f aca="false">(1-Assum!$F$10)^(7-1)</f>
        <v>0.970372509356266</v>
      </c>
      <c r="M11" s="71" t="n">
        <f aca="false">(1-Assum!$F$10)^(8-1)</f>
        <v>0.965520646809484</v>
      </c>
      <c r="N11" s="71" t="n">
        <f aca="false">(1-Assum!$F$10)^(9-1)</f>
        <v>0.960693043575437</v>
      </c>
      <c r="O11" s="71" t="n">
        <f aca="false">(1-Assum!$F$10)^(10-1)</f>
        <v>0.95588957835756</v>
      </c>
      <c r="P11" s="71" t="n">
        <f aca="false">(1-Assum!$F$10)^(11-1)</f>
        <v>0.951110130465772</v>
      </c>
      <c r="Q11" s="71" t="n">
        <f aca="false">(1-Assum!$F$10)^(12-1)</f>
        <v>0.946354579813443</v>
      </c>
      <c r="R11" s="71" t="n">
        <f aca="false">(1-Assum!$F$10)^(13-1)</f>
        <v>0.941622806914376</v>
      </c>
      <c r="S11" s="71" t="n">
        <f aca="false">(1-Assum!$F$10)^(14-1)</f>
        <v>0.936914692879804</v>
      </c>
      <c r="T11" s="71" t="n">
        <f aca="false">(1-Assum!$F$10)^(15-1)</f>
        <v>0.932230119415405</v>
      </c>
      <c r="U11" s="71" t="n">
        <f aca="false">(1-Assum!$F$10)^(16-1)</f>
        <v>0.927568968818328</v>
      </c>
      <c r="V11" s="71" t="n">
        <f aca="false">(1-Assum!$F$10)^(17-1)</f>
        <v>0.922931123974236</v>
      </c>
      <c r="W11" s="71" t="n">
        <f aca="false">(1-Assum!$F$10)^(18-1)</f>
        <v>0.918316468354365</v>
      </c>
      <c r="X11" s="71" t="n">
        <f aca="false">(1-Assum!$F$10)^(19-1)</f>
        <v>0.913724886012593</v>
      </c>
      <c r="Y11" s="71" t="n">
        <f aca="false">(1-Assum!$F$10)^(20-1)</f>
        <v>0.90915626158253</v>
      </c>
    </row>
    <row r="12" customFormat="false" ht="15.75" hidden="false" customHeight="false" outlineLevel="0" collapsed="false">
      <c r="B12" s="68" t="s">
        <v>213</v>
      </c>
      <c r="C12" s="58" t="s">
        <v>214</v>
      </c>
      <c r="D12" s="72" t="n">
        <f aca="false">SUM(F12:Y12)</f>
        <v>2625440.99988965</v>
      </c>
      <c r="F12" s="72" t="n">
        <f aca="false">F9*8760*F10*(1-Assum!$F$11)*F11</f>
        <v>137616.847608</v>
      </c>
      <c r="G12" s="72" t="n">
        <f aca="false">G9*8760*G10*(1-Assum!$F$11)*G11</f>
        <v>136928.76336996</v>
      </c>
      <c r="H12" s="72" t="n">
        <f aca="false">H9*8760*H10*(1-Assum!$F$11)*H11</f>
        <v>136244.11955311</v>
      </c>
      <c r="I12" s="72" t="n">
        <f aca="false">I9*8760*I10*(1-Assum!$F$11)*I11</f>
        <v>135562.898955345</v>
      </c>
      <c r="J12" s="72" t="n">
        <f aca="false">J9*8760*J10*(1-Assum!$F$11)*J11</f>
        <v>134885.084460568</v>
      </c>
      <c r="K12" s="72" t="n">
        <f aca="false">K9*8760*K10*(1-Assum!$F$11)*K11</f>
        <v>134210.659038265</v>
      </c>
      <c r="L12" s="72" t="n">
        <f aca="false">L9*8760*L10*(1-Assum!$F$11)*L11</f>
        <v>133539.605743074</v>
      </c>
      <c r="M12" s="72" t="n">
        <f aca="false">M9*8760*M10*(1-Assum!$F$11)*M11</f>
        <v>132871.907714358</v>
      </c>
      <c r="N12" s="72" t="n">
        <f aca="false">N9*8760*N10*(1-Assum!$F$11)*N11</f>
        <v>132207.548175787</v>
      </c>
      <c r="O12" s="72" t="n">
        <f aca="false">O9*8760*O10*(1-Assum!$F$11)*O11</f>
        <v>131546.510434908</v>
      </c>
      <c r="P12" s="72" t="n">
        <f aca="false">P9*8760*P10*(1-Assum!$F$11)*P11</f>
        <v>130888.777882733</v>
      </c>
      <c r="Q12" s="72" t="n">
        <f aca="false">Q9*8760*Q10*(1-Assum!$F$11)*Q11</f>
        <v>130234.33399332</v>
      </c>
      <c r="R12" s="72" t="n">
        <f aca="false">R9*8760*R10*(1-Assum!$F$11)*R11</f>
        <v>129583.162323353</v>
      </c>
      <c r="S12" s="72" t="n">
        <f aca="false">S9*8760*S10*(1-Assum!$F$11)*S11</f>
        <v>128935.246511736</v>
      </c>
      <c r="T12" s="72" t="n">
        <f aca="false">T9*8760*T10*(1-Assum!$F$11)*T11</f>
        <v>128290.570279177</v>
      </c>
      <c r="U12" s="72" t="n">
        <f aca="false">U9*8760*U10*(1-Assum!$F$11)*U11</f>
        <v>127649.117427782</v>
      </c>
      <c r="V12" s="72" t="n">
        <f aca="false">V9*8760*V10*(1-Assum!$F$11)*V11</f>
        <v>127010.871840643</v>
      </c>
      <c r="W12" s="72" t="n">
        <f aca="false">W9*8760*W10*(1-Assum!$F$11)*W11</f>
        <v>126375.817481439</v>
      </c>
      <c r="X12" s="72" t="n">
        <f aca="false">X9*8760*X10*(1-Assum!$F$11)*X11</f>
        <v>125743.938394032</v>
      </c>
      <c r="Y12" s="72" t="n">
        <f aca="false">Y9*8760*Y10*(1-Assum!$F$11)*Y11</f>
        <v>125115.218702062</v>
      </c>
    </row>
    <row r="14" customFormat="false" ht="15.75" hidden="false" customHeight="false" outlineLevel="0" collapsed="false">
      <c r="B14" s="32" t="s">
        <v>153</v>
      </c>
      <c r="C14" s="58" t="s">
        <v>154</v>
      </c>
      <c r="F14" s="73" t="n">
        <f aca="false">Assum!$F$44*(1+Assum!$F$45)^(1-1)</f>
        <v>154.8</v>
      </c>
      <c r="G14" s="73" t="n">
        <f aca="false">Assum!$F$44*(1+Assum!$F$45)^(2-1)</f>
        <v>154.8</v>
      </c>
      <c r="H14" s="73" t="n">
        <f aca="false">Assum!$F$44*(1+Assum!$F$45)^(3-1)</f>
        <v>154.8</v>
      </c>
      <c r="I14" s="73" t="n">
        <f aca="false">Assum!$F$44*(1+Assum!$F$45)^(4-1)</f>
        <v>154.8</v>
      </c>
      <c r="J14" s="73" t="n">
        <f aca="false">Assum!$F$44*(1+Assum!$F$45)^(5-1)</f>
        <v>154.8</v>
      </c>
      <c r="K14" s="73" t="n">
        <f aca="false">Assum!$F$44*(1+Assum!$F$45)^(6-1)</f>
        <v>154.8</v>
      </c>
      <c r="L14" s="73" t="n">
        <f aca="false">Assum!$F$44*(1+Assum!$F$45)^(7-1)</f>
        <v>154.8</v>
      </c>
      <c r="M14" s="73" t="n">
        <f aca="false">Assum!$F$44*(1+Assum!$F$45)^(8-1)</f>
        <v>154.8</v>
      </c>
      <c r="N14" s="73" t="n">
        <f aca="false">Assum!$F$44*(1+Assum!$F$45)^(9-1)</f>
        <v>154.8</v>
      </c>
      <c r="O14" s="73" t="n">
        <f aca="false">Assum!$F$44*(1+Assum!$F$45)^(10-1)</f>
        <v>154.8</v>
      </c>
      <c r="P14" s="73" t="n">
        <f aca="false">Assum!$F$44*(1+Assum!$F$45)^(11-1)</f>
        <v>154.8</v>
      </c>
      <c r="Q14" s="73" t="n">
        <f aca="false">Assum!$F$44*(1+Assum!$F$45)^(12-1)</f>
        <v>154.8</v>
      </c>
      <c r="R14" s="73" t="n">
        <f aca="false">Assum!$F$44*(1+Assum!$F$45)^(13-1)</f>
        <v>154.8</v>
      </c>
      <c r="S14" s="73" t="n">
        <f aca="false">Assum!$F$44*(1+Assum!$F$45)^(14-1)</f>
        <v>154.8</v>
      </c>
      <c r="T14" s="73" t="n">
        <f aca="false">Assum!$F$44*(1+Assum!$F$45)^(15-1)</f>
        <v>154.8</v>
      </c>
      <c r="U14" s="73" t="n">
        <f aca="false">Assum!$F$44*(1+Assum!$F$45)^(16-1)</f>
        <v>154.8</v>
      </c>
      <c r="V14" s="73" t="n">
        <f aca="false">Assum!$F$44*(1+Assum!$F$45)^(17-1)</f>
        <v>154.8</v>
      </c>
      <c r="W14" s="73" t="n">
        <f aca="false">Assum!$F$44*(1+Assum!$F$45)^(18-1)</f>
        <v>154.8</v>
      </c>
      <c r="X14" s="73" t="n">
        <f aca="false">Assum!$F$44*(1+Assum!$F$45)^(19-1)</f>
        <v>154.8</v>
      </c>
      <c r="Y14" s="73" t="n">
        <f aca="false">Assum!$F$44*(1+Assum!$F$45)^(20-1)</f>
        <v>154.8</v>
      </c>
    </row>
    <row r="16" customFormat="false" ht="15.75" hidden="false" customHeight="false" outlineLevel="0" collapsed="false">
      <c r="B16" s="60" t="s">
        <v>97</v>
      </c>
      <c r="C16" s="63" t="s">
        <v>129</v>
      </c>
      <c r="D16" s="62" t="n">
        <f aca="false">SUM(F16:Y16)</f>
        <v>406418.266782918</v>
      </c>
      <c r="E16" s="64"/>
      <c r="F16" s="62" t="n">
        <f aca="false">F12*F14/1000</f>
        <v>21303.0880097184</v>
      </c>
      <c r="G16" s="62" t="n">
        <f aca="false">G12*G14/1000</f>
        <v>21196.5725696698</v>
      </c>
      <c r="H16" s="62" t="n">
        <f aca="false">H12*H14/1000</f>
        <v>21090.5897068215</v>
      </c>
      <c r="I16" s="62" t="n">
        <f aca="false">I12*I14/1000</f>
        <v>20985.1367582874</v>
      </c>
      <c r="J16" s="62" t="n">
        <f aca="false">J12*J14/1000</f>
        <v>20880.2110744959</v>
      </c>
      <c r="K16" s="62" t="n">
        <f aca="false">K12*K14/1000</f>
        <v>20775.8100191234</v>
      </c>
      <c r="L16" s="62" t="n">
        <f aca="false">L12*L14/1000</f>
        <v>20671.9309690278</v>
      </c>
      <c r="M16" s="62" t="n">
        <f aca="false">M12*M14/1000</f>
        <v>20568.5713141827</v>
      </c>
      <c r="N16" s="62" t="n">
        <f aca="false">N12*N14/1000</f>
        <v>20465.7284576118</v>
      </c>
      <c r="O16" s="62" t="n">
        <f aca="false">O12*O14/1000</f>
        <v>20363.3998153237</v>
      </c>
      <c r="P16" s="62" t="n">
        <f aca="false">P12*P14/1000</f>
        <v>20261.5828162471</v>
      </c>
      <c r="Q16" s="62" t="n">
        <f aca="false">Q12*Q14/1000</f>
        <v>20160.2749021659</v>
      </c>
      <c r="R16" s="62" t="n">
        <f aca="false">R12*R14/1000</f>
        <v>20059.473527655</v>
      </c>
      <c r="S16" s="62" t="n">
        <f aca="false">S12*S14/1000</f>
        <v>19959.1761600168</v>
      </c>
      <c r="T16" s="62" t="n">
        <f aca="false">T12*T14/1000</f>
        <v>19859.3802792167</v>
      </c>
      <c r="U16" s="62" t="n">
        <f aca="false">U12*U14/1000</f>
        <v>19760.0833778206</v>
      </c>
      <c r="V16" s="62" t="n">
        <f aca="false">V12*V14/1000</f>
        <v>19661.2829609315</v>
      </c>
      <c r="W16" s="62" t="n">
        <f aca="false">W12*W14/1000</f>
        <v>19562.9765461268</v>
      </c>
      <c r="X16" s="62" t="n">
        <f aca="false">X12*X14/1000</f>
        <v>19465.1616633962</v>
      </c>
      <c r="Y16" s="62" t="n">
        <f aca="false">Y12*Y14/1000</f>
        <v>19367.8358550792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55" t="s">
        <v>215</v>
      </c>
    </row>
    <row r="4" customFormat="false" ht="15.75" hidden="false" customHeight="false" outlineLevel="0" collapsed="false">
      <c r="B4" s="13" t="s">
        <v>216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27" t="s">
        <v>73</v>
      </c>
      <c r="C6" s="28" t="s">
        <v>74</v>
      </c>
      <c r="D6" s="27" t="s">
        <v>75</v>
      </c>
      <c r="E6" s="27" t="s">
        <v>76</v>
      </c>
      <c r="F6" s="29" t="s">
        <v>77</v>
      </c>
      <c r="G6" s="29" t="s">
        <v>78</v>
      </c>
      <c r="H6" s="29" t="s">
        <v>79</v>
      </c>
      <c r="I6" s="29" t="s">
        <v>80</v>
      </c>
      <c r="J6" s="29" t="s">
        <v>81</v>
      </c>
      <c r="K6" s="29" t="s">
        <v>82</v>
      </c>
      <c r="L6" s="29" t="s">
        <v>83</v>
      </c>
      <c r="M6" s="29" t="s">
        <v>84</v>
      </c>
      <c r="N6" s="29" t="s">
        <v>85</v>
      </c>
      <c r="O6" s="29" t="s">
        <v>86</v>
      </c>
      <c r="P6" s="29" t="s">
        <v>87</v>
      </c>
      <c r="Q6" s="29" t="s">
        <v>88</v>
      </c>
      <c r="R6" s="29" t="s">
        <v>89</v>
      </c>
      <c r="S6" s="29" t="s">
        <v>90</v>
      </c>
      <c r="T6" s="29" t="s">
        <v>91</v>
      </c>
      <c r="U6" s="29" t="s">
        <v>92</v>
      </c>
      <c r="V6" s="29" t="s">
        <v>93</v>
      </c>
      <c r="W6" s="29" t="s">
        <v>94</v>
      </c>
      <c r="X6" s="29" t="s">
        <v>95</v>
      </c>
      <c r="Y6" s="29" t="s">
        <v>96</v>
      </c>
    </row>
    <row r="7" customFormat="false" ht="15.75" hidden="false" customHeight="false" outlineLevel="0" collapsed="false">
      <c r="E7" s="30" t="n">
        <v>2024</v>
      </c>
      <c r="F7" s="31" t="n">
        <v>2025</v>
      </c>
      <c r="G7" s="31" t="n">
        <v>2026</v>
      </c>
      <c r="H7" s="31" t="n">
        <v>2027</v>
      </c>
      <c r="I7" s="31" t="n">
        <v>2028</v>
      </c>
      <c r="J7" s="31" t="n">
        <v>2029</v>
      </c>
      <c r="K7" s="31" t="n">
        <v>2030</v>
      </c>
      <c r="L7" s="31" t="n">
        <v>2031</v>
      </c>
      <c r="M7" s="31" t="n">
        <v>2032</v>
      </c>
      <c r="N7" s="31" t="n">
        <v>2033</v>
      </c>
      <c r="O7" s="31" t="n">
        <v>2034</v>
      </c>
      <c r="P7" s="31" t="n">
        <v>2035</v>
      </c>
      <c r="Q7" s="31" t="n">
        <v>2036</v>
      </c>
      <c r="R7" s="31" t="n">
        <v>2037</v>
      </c>
      <c r="S7" s="31" t="n">
        <v>2038</v>
      </c>
      <c r="T7" s="31" t="n">
        <v>2039</v>
      </c>
      <c r="U7" s="31" t="n">
        <v>2040</v>
      </c>
      <c r="V7" s="31" t="n">
        <v>2041</v>
      </c>
      <c r="W7" s="31" t="n">
        <v>2042</v>
      </c>
      <c r="X7" s="31" t="n">
        <v>2043</v>
      </c>
      <c r="Y7" s="31" t="n">
        <v>2044</v>
      </c>
    </row>
    <row r="9" customFormat="false" ht="15.75" hidden="false" customHeight="false" outlineLevel="0" collapsed="false">
      <c r="B9" s="32" t="s">
        <v>217</v>
      </c>
      <c r="C9" s="58" t="s">
        <v>129</v>
      </c>
      <c r="F9" s="59" t="n">
        <f aca="false">Assum!$F$49</f>
        <v>4980</v>
      </c>
      <c r="G9" s="59" t="n">
        <f aca="false">Assum!$F$49</f>
        <v>4980</v>
      </c>
      <c r="H9" s="59" t="n">
        <f aca="false">Assum!$F$49</f>
        <v>4980</v>
      </c>
      <c r="I9" s="59" t="n">
        <f aca="false">Assum!$F$49</f>
        <v>4980</v>
      </c>
      <c r="J9" s="59" t="n">
        <f aca="false">Assum!$F$49</f>
        <v>4980</v>
      </c>
      <c r="K9" s="59" t="n">
        <f aca="false">Assum!$F$49</f>
        <v>4980</v>
      </c>
      <c r="L9" s="59" t="n">
        <f aca="false">Assum!$F$49</f>
        <v>4980</v>
      </c>
      <c r="M9" s="59" t="n">
        <f aca="false">Assum!$F$49</f>
        <v>4980</v>
      </c>
      <c r="N9" s="59" t="n">
        <f aca="false">Assum!$F$49</f>
        <v>4980</v>
      </c>
      <c r="O9" s="59" t="n">
        <f aca="false">Assum!$F$49</f>
        <v>4980</v>
      </c>
      <c r="P9" s="59" t="n">
        <f aca="false">Assum!$F$49</f>
        <v>4980</v>
      </c>
      <c r="Q9" s="59" t="n">
        <f aca="false">Assum!$F$49</f>
        <v>4980</v>
      </c>
      <c r="R9" s="59" t="n">
        <f aca="false">Assum!$F$49</f>
        <v>4980</v>
      </c>
      <c r="S9" s="59" t="n">
        <f aca="false">Assum!$F$49</f>
        <v>4980</v>
      </c>
      <c r="T9" s="59" t="n">
        <f aca="false">Assum!$F$49</f>
        <v>4980</v>
      </c>
      <c r="U9" s="59" t="n">
        <f aca="false">Assum!$F$49</f>
        <v>4980</v>
      </c>
      <c r="V9" s="59" t="n">
        <f aca="false">Assum!$F$49</f>
        <v>4980</v>
      </c>
      <c r="W9" s="59" t="n">
        <f aca="false">Assum!$F$49</f>
        <v>4980</v>
      </c>
      <c r="X9" s="59" t="n">
        <f aca="false">Assum!$F$49</f>
        <v>4980</v>
      </c>
      <c r="Y9" s="59" t="n">
        <f aca="false">Assum!$F$49</f>
        <v>4980</v>
      </c>
    </row>
    <row r="10" customFormat="false" ht="15.75" hidden="false" customHeight="false" outlineLevel="0" collapsed="false">
      <c r="B10" s="32" t="s">
        <v>218</v>
      </c>
      <c r="C10" s="58" t="s">
        <v>112</v>
      </c>
      <c r="F10" s="71" t="n">
        <f aca="false">(1+Assum!$F$50)^(1-1)</f>
        <v>1</v>
      </c>
      <c r="G10" s="71" t="n">
        <f aca="false">(1+Assum!$F$50)^(2-1)</f>
        <v>1.007</v>
      </c>
      <c r="H10" s="71" t="n">
        <f aca="false">(1+Assum!$F$50)^(3-1)</f>
        <v>1.014049</v>
      </c>
      <c r="I10" s="71" t="n">
        <f aca="false">(1+Assum!$F$50)^(4-1)</f>
        <v>1.021147343</v>
      </c>
      <c r="J10" s="71" t="n">
        <f aca="false">(1+Assum!$F$50)^(5-1)</f>
        <v>1.028295374401</v>
      </c>
      <c r="K10" s="71" t="n">
        <f aca="false">(1+Assum!$F$50)^(6-1)</f>
        <v>1.03549344202181</v>
      </c>
      <c r="L10" s="71" t="n">
        <f aca="false">(1+Assum!$F$50)^(7-1)</f>
        <v>1.04274189611596</v>
      </c>
      <c r="M10" s="71" t="n">
        <f aca="false">(1+Assum!$F$50)^(8-1)</f>
        <v>1.05004108938877</v>
      </c>
      <c r="N10" s="71" t="n">
        <f aca="false">(1+Assum!$F$50)^(9-1)</f>
        <v>1.05739137701449</v>
      </c>
      <c r="O10" s="71" t="n">
        <f aca="false">(1+Assum!$F$50)^(10-1)</f>
        <v>1.06479311665359</v>
      </c>
      <c r="P10" s="71" t="n">
        <f aca="false">(1+Assum!$F$50)^(11-1)</f>
        <v>1.07224666847017</v>
      </c>
      <c r="Q10" s="71" t="n">
        <f aca="false">(1+Assum!$F$50)^(12-1)</f>
        <v>1.07975239514946</v>
      </c>
      <c r="R10" s="71" t="n">
        <f aca="false">(1+Assum!$F$50)^(13-1)</f>
        <v>1.08731066191551</v>
      </c>
      <c r="S10" s="71" t="n">
        <f aca="false">(1+Assum!$F$50)^(14-1)</f>
        <v>1.09492183654891</v>
      </c>
      <c r="T10" s="71" t="n">
        <f aca="false">(1+Assum!$F$50)^(15-1)</f>
        <v>1.10258628940476</v>
      </c>
      <c r="U10" s="71" t="n">
        <f aca="false">(1+Assum!$F$50)^(16-1)</f>
        <v>1.11030439343059</v>
      </c>
      <c r="V10" s="71" t="n">
        <f aca="false">(1+Assum!$F$50)^(17-1)</f>
        <v>1.1180765241846</v>
      </c>
      <c r="W10" s="71" t="n">
        <f aca="false">(1+Assum!$F$50)^(18-1)</f>
        <v>1.1259030598539</v>
      </c>
      <c r="X10" s="71" t="n">
        <f aca="false">(1+Assum!$F$50)^(19-1)</f>
        <v>1.13378438127287</v>
      </c>
      <c r="Y10" s="71" t="n">
        <f aca="false">(1+Assum!$F$50)^(20-1)</f>
        <v>1.14172087194178</v>
      </c>
    </row>
    <row r="12" customFormat="false" ht="15.75" hidden="false" customHeight="false" outlineLevel="0" collapsed="false">
      <c r="B12" s="60" t="s">
        <v>219</v>
      </c>
      <c r="C12" s="63" t="s">
        <v>129</v>
      </c>
      <c r="D12" s="62" t="n">
        <f aca="false">SUM(F12:Y12)</f>
        <v>106510.047409425</v>
      </c>
      <c r="E12" s="64"/>
      <c r="F12" s="62" t="n">
        <f aca="false">F9*F10</f>
        <v>4980</v>
      </c>
      <c r="G12" s="62" t="n">
        <f aca="false">G9*G10</f>
        <v>5014.86</v>
      </c>
      <c r="H12" s="62" t="n">
        <f aca="false">H9*H10</f>
        <v>5049.96402</v>
      </c>
      <c r="I12" s="62" t="n">
        <f aca="false">I9*I10</f>
        <v>5085.31376814</v>
      </c>
      <c r="J12" s="62" t="n">
        <f aca="false">J9*J10</f>
        <v>5120.91096451698</v>
      </c>
      <c r="K12" s="62" t="n">
        <f aca="false">K9*K10</f>
        <v>5156.7573412686</v>
      </c>
      <c r="L12" s="62" t="n">
        <f aca="false">L9*L10</f>
        <v>5192.85464265748</v>
      </c>
      <c r="M12" s="62" t="n">
        <f aca="false">M9*M10</f>
        <v>5229.20462515608</v>
      </c>
      <c r="N12" s="62" t="n">
        <f aca="false">N9*N10</f>
        <v>5265.80905753217</v>
      </c>
      <c r="O12" s="62" t="n">
        <f aca="false">O9*O10</f>
        <v>5302.66972093489</v>
      </c>
      <c r="P12" s="62" t="n">
        <f aca="false">P9*P10</f>
        <v>5339.78840898144</v>
      </c>
      <c r="Q12" s="62" t="n">
        <f aca="false">Q9*Q10</f>
        <v>5377.16692784431</v>
      </c>
      <c r="R12" s="62" t="n">
        <f aca="false">R9*R10</f>
        <v>5414.80709633922</v>
      </c>
      <c r="S12" s="62" t="n">
        <f aca="false">S9*S10</f>
        <v>5452.71074601359</v>
      </c>
      <c r="T12" s="62" t="n">
        <f aca="false">T9*T10</f>
        <v>5490.87972123569</v>
      </c>
      <c r="U12" s="62" t="n">
        <f aca="false">U9*U10</f>
        <v>5529.31587928434</v>
      </c>
      <c r="V12" s="62" t="n">
        <f aca="false">V9*V10</f>
        <v>5568.02109043932</v>
      </c>
      <c r="W12" s="62" t="n">
        <f aca="false">W9*W10</f>
        <v>5606.9972380724</v>
      </c>
      <c r="X12" s="62" t="n">
        <f aca="false">X9*X10</f>
        <v>5646.24621873891</v>
      </c>
      <c r="Y12" s="62" t="n">
        <f aca="false">Y9*Y10</f>
        <v>5685.76994227008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55" t="s">
        <v>220</v>
      </c>
    </row>
    <row r="4" customFormat="false" ht="15.75" hidden="false" customHeight="false" outlineLevel="0" collapsed="false">
      <c r="B4" s="13" t="s">
        <v>204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27" t="s">
        <v>73</v>
      </c>
      <c r="C6" s="28" t="s">
        <v>74</v>
      </c>
      <c r="D6" s="27" t="s">
        <v>75</v>
      </c>
      <c r="E6" s="27" t="s">
        <v>76</v>
      </c>
      <c r="F6" s="29" t="s">
        <v>77</v>
      </c>
      <c r="G6" s="29" t="s">
        <v>78</v>
      </c>
      <c r="H6" s="29" t="s">
        <v>79</v>
      </c>
      <c r="I6" s="29" t="s">
        <v>80</v>
      </c>
      <c r="J6" s="29" t="s">
        <v>81</v>
      </c>
      <c r="K6" s="29" t="s">
        <v>82</v>
      </c>
      <c r="L6" s="29" t="s">
        <v>83</v>
      </c>
      <c r="M6" s="29" t="s">
        <v>84</v>
      </c>
      <c r="N6" s="29" t="s">
        <v>85</v>
      </c>
      <c r="O6" s="29" t="s">
        <v>86</v>
      </c>
      <c r="P6" s="29" t="s">
        <v>87</v>
      </c>
      <c r="Q6" s="29" t="s">
        <v>88</v>
      </c>
      <c r="R6" s="29" t="s">
        <v>89</v>
      </c>
      <c r="S6" s="29" t="s">
        <v>90</v>
      </c>
      <c r="T6" s="29" t="s">
        <v>91</v>
      </c>
      <c r="U6" s="29" t="s">
        <v>92</v>
      </c>
      <c r="V6" s="29" t="s">
        <v>93</v>
      </c>
      <c r="W6" s="29" t="s">
        <v>94</v>
      </c>
      <c r="X6" s="29" t="s">
        <v>95</v>
      </c>
      <c r="Y6" s="29" t="s">
        <v>96</v>
      </c>
    </row>
    <row r="7" customFormat="false" ht="15.75" hidden="false" customHeight="false" outlineLevel="0" collapsed="false">
      <c r="E7" s="30" t="n">
        <v>2024</v>
      </c>
      <c r="F7" s="31" t="n">
        <v>2025</v>
      </c>
      <c r="G7" s="31" t="n">
        <v>2026</v>
      </c>
      <c r="H7" s="31" t="n">
        <v>2027</v>
      </c>
      <c r="I7" s="31" t="n">
        <v>2028</v>
      </c>
      <c r="J7" s="31" t="n">
        <v>2029</v>
      </c>
      <c r="K7" s="31" t="n">
        <v>2030</v>
      </c>
      <c r="L7" s="31" t="n">
        <v>2031</v>
      </c>
      <c r="M7" s="31" t="n">
        <v>2032</v>
      </c>
      <c r="N7" s="31" t="n">
        <v>2033</v>
      </c>
      <c r="O7" s="31" t="n">
        <v>2034</v>
      </c>
      <c r="P7" s="31" t="n">
        <v>2035</v>
      </c>
      <c r="Q7" s="31" t="n">
        <v>2036</v>
      </c>
      <c r="R7" s="31" t="n">
        <v>2037</v>
      </c>
      <c r="S7" s="31" t="n">
        <v>2038</v>
      </c>
      <c r="T7" s="31" t="n">
        <v>2039</v>
      </c>
      <c r="U7" s="31" t="n">
        <v>2040</v>
      </c>
      <c r="V7" s="31" t="n">
        <v>2041</v>
      </c>
      <c r="W7" s="31" t="n">
        <v>2042</v>
      </c>
      <c r="X7" s="31" t="n">
        <v>2043</v>
      </c>
      <c r="Y7" s="31" t="n">
        <v>2044</v>
      </c>
    </row>
    <row r="9" customFormat="false" ht="15.75" hidden="false" customHeight="false" outlineLevel="0" collapsed="false">
      <c r="B9" s="32" t="s">
        <v>221</v>
      </c>
      <c r="C9" s="58" t="s">
        <v>129</v>
      </c>
      <c r="F9" s="59" t="n">
        <f aca="false">TIC_Funding!$D$16</f>
        <v>136118.797408</v>
      </c>
      <c r="G9" s="59" t="n">
        <f aca="false">F11</f>
        <v>136118.797408</v>
      </c>
      <c r="H9" s="59" t="n">
        <f aca="false">G11</f>
        <v>129556.389370196</v>
      </c>
      <c r="I9" s="59" t="n">
        <f aca="false">H11</f>
        <v>122788.450338042</v>
      </c>
      <c r="J9" s="59" t="n">
        <f aca="false">I11</f>
        <v>115805.127111847</v>
      </c>
      <c r="K9" s="59" t="n">
        <f aca="false">J11</f>
        <v>108596.107197449</v>
      </c>
      <c r="L9" s="59" t="n">
        <f aca="false">K11</f>
        <v>101150.59724796</v>
      </c>
      <c r="M9" s="59" t="n">
        <f aca="false">L11</f>
        <v>93457.3004937563</v>
      </c>
      <c r="N9" s="59" t="n">
        <f aca="false">M11</f>
        <v>85504.3931132366</v>
      </c>
      <c r="O9" s="59" t="n">
        <f aca="false">N11</f>
        <v>77279.4994946347</v>
      </c>
      <c r="P9" s="59" t="n">
        <f aca="false">O11</f>
        <v>68769.6663368309</v>
      </c>
      <c r="Q9" s="59" t="n">
        <f aca="false">P11</f>
        <v>59961.3355346733</v>
      </c>
      <c r="R9" s="59" t="n">
        <f aca="false">Q11</f>
        <v>50840.3157917587</v>
      </c>
      <c r="S9" s="59" t="n">
        <f aca="false">R11</f>
        <v>41391.7529009449</v>
      </c>
      <c r="T9" s="59" t="n">
        <f aca="false">S11</f>
        <v>31600.0986300643</v>
      </c>
      <c r="U9" s="59" t="n">
        <f aca="false">T11</f>
        <v>21449.0781473725</v>
      </c>
      <c r="V9" s="59" t="n">
        <f aca="false">U11</f>
        <v>10921.6559181923</v>
      </c>
      <c r="W9" s="59" t="n">
        <f aca="false">V11</f>
        <v>9.99994881567545E-007</v>
      </c>
      <c r="X9" s="59" t="n">
        <f aca="false">W11</f>
        <v>9.99994881567545E-007</v>
      </c>
      <c r="Y9" s="59" t="n">
        <f aca="false">X11</f>
        <v>9.99994881567545E-007</v>
      </c>
    </row>
    <row r="10" customFormat="false" ht="15.75" hidden="false" customHeight="false" outlineLevel="0" collapsed="false">
      <c r="B10" s="68" t="s">
        <v>222</v>
      </c>
      <c r="C10" s="58" t="s">
        <v>129</v>
      </c>
      <c r="D10" s="25" t="n">
        <f aca="false">SUM(F10:Y10)</f>
        <v>136118.797407</v>
      </c>
      <c r="F10" s="74" t="n">
        <v>0</v>
      </c>
      <c r="G10" s="74" t="n">
        <v>6562.40803780368</v>
      </c>
      <c r="H10" s="74" t="n">
        <v>6767.93903215386</v>
      </c>
      <c r="I10" s="74" t="n">
        <v>6983.32322619588</v>
      </c>
      <c r="J10" s="74" t="n">
        <v>7209.01991439785</v>
      </c>
      <c r="K10" s="74" t="n">
        <v>7445.50994948856</v>
      </c>
      <c r="L10" s="74" t="n">
        <v>7693.29675420381</v>
      </c>
      <c r="M10" s="74" t="n">
        <v>7952.90738051971</v>
      </c>
      <c r="N10" s="74" t="n">
        <v>8224.89361860187</v>
      </c>
      <c r="O10" s="74" t="n">
        <v>8509.83315780378</v>
      </c>
      <c r="P10" s="74" t="n">
        <v>8808.33080215758</v>
      </c>
      <c r="Q10" s="74" t="n">
        <v>9121.01974291465</v>
      </c>
      <c r="R10" s="74" t="n">
        <v>9448.56289081382</v>
      </c>
      <c r="S10" s="74" t="n">
        <v>9791.65427088053</v>
      </c>
      <c r="T10" s="74" t="n">
        <v>10151.0204826919</v>
      </c>
      <c r="U10" s="74" t="n">
        <v>10527.4222291802</v>
      </c>
      <c r="V10" s="74" t="n">
        <v>10921.6559171923</v>
      </c>
      <c r="W10" s="74" t="n">
        <v>0</v>
      </c>
      <c r="X10" s="74" t="n">
        <v>0</v>
      </c>
      <c r="Y10" s="74" t="n">
        <v>0</v>
      </c>
    </row>
    <row r="11" customFormat="false" ht="15.75" hidden="false" customHeight="false" outlineLevel="0" collapsed="false">
      <c r="B11" s="32" t="s">
        <v>223</v>
      </c>
      <c r="C11" s="58" t="s">
        <v>129</v>
      </c>
      <c r="F11" s="59" t="n">
        <f aca="false">F9-F10</f>
        <v>136118.797408</v>
      </c>
      <c r="G11" s="59" t="n">
        <f aca="false">G9-G10</f>
        <v>129556.389370196</v>
      </c>
      <c r="H11" s="59" t="n">
        <f aca="false">H9-H10</f>
        <v>122788.450338042</v>
      </c>
      <c r="I11" s="59" t="n">
        <f aca="false">I9-I10</f>
        <v>115805.127111847</v>
      </c>
      <c r="J11" s="59" t="n">
        <f aca="false">J9-J10</f>
        <v>108596.107197449</v>
      </c>
      <c r="K11" s="59" t="n">
        <f aca="false">K9-K10</f>
        <v>101150.59724796</v>
      </c>
      <c r="L11" s="59" t="n">
        <f aca="false">L9-L10</f>
        <v>93457.3004937563</v>
      </c>
      <c r="M11" s="59" t="n">
        <f aca="false">M9-M10</f>
        <v>85504.3931132366</v>
      </c>
      <c r="N11" s="59" t="n">
        <f aca="false">N9-N10</f>
        <v>77279.4994946347</v>
      </c>
      <c r="O11" s="59" t="n">
        <f aca="false">O9-O10</f>
        <v>68769.6663368309</v>
      </c>
      <c r="P11" s="59" t="n">
        <f aca="false">P9-P10</f>
        <v>59961.3355346733</v>
      </c>
      <c r="Q11" s="59" t="n">
        <f aca="false">Q9-Q10</f>
        <v>50840.3157917587</v>
      </c>
      <c r="R11" s="59" t="n">
        <f aca="false">R9-R10</f>
        <v>41391.7529009449</v>
      </c>
      <c r="S11" s="59" t="n">
        <f aca="false">S9-S10</f>
        <v>31600.0986300643</v>
      </c>
      <c r="T11" s="59" t="n">
        <f aca="false">T9-T10</f>
        <v>21449.0781473725</v>
      </c>
      <c r="U11" s="59" t="n">
        <f aca="false">U9-U10</f>
        <v>10921.6559181923</v>
      </c>
      <c r="V11" s="59" t="n">
        <f aca="false">V9-V10</f>
        <v>9.99994881567545E-007</v>
      </c>
      <c r="W11" s="59" t="n">
        <f aca="false">W9-W10</f>
        <v>9.99994881567545E-007</v>
      </c>
      <c r="X11" s="59" t="n">
        <f aca="false">X9-X10</f>
        <v>9.99994881567545E-007</v>
      </c>
      <c r="Y11" s="59" t="n">
        <f aca="false">Y9-Y10</f>
        <v>9.99994881567545E-007</v>
      </c>
    </row>
    <row r="12" customFormat="false" ht="15.75" hidden="false" customHeight="false" outlineLevel="0" collapsed="false">
      <c r="B12" s="32" t="s">
        <v>224</v>
      </c>
      <c r="C12" s="58" t="s">
        <v>129</v>
      </c>
      <c r="D12" s="25" t="n">
        <f aca="false">SUM(F12:Y12)</f>
        <v>74250.6706633757</v>
      </c>
      <c r="F12" s="59" t="n">
        <f aca="false">(F9-F10*(Assum!$F$39-1)/(2*Assum!$F$39))*Assum!$F$35</f>
        <v>7540.9813764032</v>
      </c>
      <c r="G12" s="59" t="n">
        <f aca="false">(G9-G10*(Assum!$F$39-1)/(2*Assum!$F$39))*Assum!$F$35</f>
        <v>7404.64734941782</v>
      </c>
      <c r="H12" s="59" t="n">
        <f aca="false">(H9-H10*(Assum!$F$39-1)/(2*Assum!$F$39))*Assum!$F$35</f>
        <v>7036.82003771588</v>
      </c>
      <c r="I12" s="59" t="n">
        <f aca="false">(I9-I10*(Assum!$F$39-1)/(2*Assum!$F$39))*Assum!$F$35</f>
        <v>6657.40160870333</v>
      </c>
      <c r="J12" s="59" t="n">
        <f aca="false">(J9-J10*(Assum!$F$39-1)/(2*Assum!$F$39))*Assum!$F$35</f>
        <v>6265.83665327468</v>
      </c>
      <c r="K12" s="59" t="n">
        <f aca="false">(K9-K10*(Assum!$F$39-1)/(2*Assum!$F$39))*Assum!$F$35</f>
        <v>5861.54386953803</v>
      </c>
      <c r="L12" s="59" t="n">
        <f aca="false">(L9-L10*(Assum!$F$39-1)/(2*Assum!$F$39))*Assum!$F$35</f>
        <v>5443.9148474684</v>
      </c>
      <c r="M12" s="59" t="n">
        <f aca="false">(M9-M10*(Assum!$F$39-1)/(2*Assum!$F$39))*Assum!$F$35</f>
        <v>5012.3127965238</v>
      </c>
      <c r="N12" s="59" t="n">
        <f aca="false">(N9-N10*(Assum!$F$39-1)/(2*Assum!$F$39))*Assum!$F$35</f>
        <v>4566.07121354685</v>
      </c>
      <c r="O12" s="59" t="n">
        <f aca="false">(O9-O10*(Assum!$F$39-1)/(2*Assum!$F$39))*Assum!$F$35</f>
        <v>4104.49248814939</v>
      </c>
      <c r="P12" s="59" t="n">
        <f aca="false">(P9-P10*(Assum!$F$39-1)/(2*Assum!$F$39))*Assum!$F$35</f>
        <v>3626.84644264561</v>
      </c>
      <c r="Q12" s="59" t="n">
        <f aca="false">(Q9-Q10*(Assum!$F$39-1)/(2*Assum!$F$39))*Assum!$F$35</f>
        <v>3132.36880346185</v>
      </c>
      <c r="R12" s="59" t="n">
        <f aca="false">(R9-R10*(Assum!$F$39-1)/(2*Assum!$F$39))*Assum!$F$35</f>
        <v>2620.25960080677</v>
      </c>
      <c r="S12" s="59" t="n">
        <f aca="false">(S9-S10*(Assum!$F$39-1)/(2*Assum!$F$39))*Assum!$F$35</f>
        <v>2089.6814932348</v>
      </c>
      <c r="T12" s="59" t="n">
        <f aca="false">(T9-T10*(Assum!$F$39-1)/(2*Assum!$F$39))*Assum!$F$35</f>
        <v>1539.75801357764</v>
      </c>
      <c r="U12" s="59" t="n">
        <f aca="false">(U9-U10*(Assum!$F$39-1)/(2*Assum!$F$39))*Assum!$F$35</f>
        <v>969.571732553216</v>
      </c>
      <c r="V12" s="59" t="n">
        <f aca="false">(V9-V10*(Assum!$F$39-1)/(2*Assum!$F$39))*Assum!$F$35</f>
        <v>378.162336188183</v>
      </c>
      <c r="W12" s="59" t="n">
        <f aca="false">(W9-W10*(Assum!$F$39-1)/(2*Assum!$F$39))*Assum!$F$35</f>
        <v>5.5399716438842E-008</v>
      </c>
      <c r="X12" s="59" t="n">
        <f aca="false">(X9-X10*(Assum!$F$39-1)/(2*Assum!$F$39))*Assum!$F$35</f>
        <v>5.5399716438842E-008</v>
      </c>
      <c r="Y12" s="59" t="n">
        <f aca="false">(Y9-Y10*(Assum!$F$39-1)/(2*Assum!$F$39))*Assum!$F$35</f>
        <v>5.5399716438842E-008</v>
      </c>
    </row>
    <row r="13" customFormat="false" ht="15.75" hidden="false" customHeight="false" outlineLevel="0" collapsed="false">
      <c r="B13" s="60" t="s">
        <v>225</v>
      </c>
      <c r="C13" s="63" t="s">
        <v>129</v>
      </c>
      <c r="D13" s="62" t="n">
        <f aca="false">SUM(F13:Y13)</f>
        <v>210369.468070376</v>
      </c>
      <c r="E13" s="64"/>
      <c r="F13" s="62" t="n">
        <f aca="false">F10+F12</f>
        <v>7540.9813764032</v>
      </c>
      <c r="G13" s="62" t="n">
        <f aca="false">G10+G12</f>
        <v>13967.0553872215</v>
      </c>
      <c r="H13" s="62" t="n">
        <f aca="false">H10+H12</f>
        <v>13804.7590698697</v>
      </c>
      <c r="I13" s="62" t="n">
        <f aca="false">I10+I12</f>
        <v>13640.7248348992</v>
      </c>
      <c r="J13" s="62" t="n">
        <f aca="false">J10+J12</f>
        <v>13474.8565676725</v>
      </c>
      <c r="K13" s="62" t="n">
        <f aca="false">K10+K12</f>
        <v>13307.0538190266</v>
      </c>
      <c r="L13" s="62" t="n">
        <f aca="false">L10+L12</f>
        <v>13137.2116016722</v>
      </c>
      <c r="M13" s="62" t="n">
        <f aca="false">M10+M12</f>
        <v>12965.2201770435</v>
      </c>
      <c r="N13" s="62" t="n">
        <f aca="false">N10+N12</f>
        <v>12790.9648321487</v>
      </c>
      <c r="O13" s="62" t="n">
        <f aca="false">O10+O12</f>
        <v>12614.3256459532</v>
      </c>
      <c r="P13" s="62" t="n">
        <f aca="false">P10+P12</f>
        <v>12435.1772448032</v>
      </c>
      <c r="Q13" s="62" t="n">
        <f aca="false">Q10+Q12</f>
        <v>12253.3885463765</v>
      </c>
      <c r="R13" s="62" t="n">
        <f aca="false">R10+R12</f>
        <v>12068.8224916206</v>
      </c>
      <c r="S13" s="62" t="n">
        <f aca="false">S10+S12</f>
        <v>11881.3357641153</v>
      </c>
      <c r="T13" s="62" t="n">
        <f aca="false">T10+T12</f>
        <v>11690.7784962695</v>
      </c>
      <c r="U13" s="62" t="n">
        <f aca="false">U10+U12</f>
        <v>11496.9939617334</v>
      </c>
      <c r="V13" s="62" t="n">
        <f aca="false">V10+V12</f>
        <v>11299.8182533805</v>
      </c>
      <c r="W13" s="62" t="n">
        <f aca="false">W10+W12</f>
        <v>5.5399716438842E-008</v>
      </c>
      <c r="X13" s="62" t="n">
        <f aca="false">X10+X12</f>
        <v>5.5399716438842E-008</v>
      </c>
      <c r="Y13" s="62" t="n">
        <f aca="false">Y10+Y12</f>
        <v>5.5399716438842E-008</v>
      </c>
    </row>
    <row r="15" customFormat="false" ht="17.15" hidden="false" customHeight="false" outlineLevel="0" collapsed="false">
      <c r="B15" s="38" t="s">
        <v>226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customFormat="false" ht="15.75" hidden="false" customHeight="false" outlineLevel="0" collapsed="false">
      <c r="B16" s="35" t="s">
        <v>227</v>
      </c>
      <c r="C16" s="58" t="s">
        <v>129</v>
      </c>
      <c r="F16" s="59" t="n">
        <f aca="false">IF(1&gt;=Assum!$F$36+Assum!$F$37,0,G13*Assum!$F$64/12)</f>
        <v>6983.52769361075</v>
      </c>
      <c r="G16" s="59" t="n">
        <f aca="false">IF(2&gt;=Assum!$F$36+Assum!$F$37,0,H13*Assum!$F$64/12)</f>
        <v>6902.37953493487</v>
      </c>
      <c r="H16" s="59" t="n">
        <f aca="false">IF(3&gt;=Assum!$F$36+Assum!$F$37,0,I13*Assum!$F$64/12)</f>
        <v>6820.3624174496</v>
      </c>
      <c r="I16" s="59" t="n">
        <f aca="false">IF(4&gt;=Assum!$F$36+Assum!$F$37,0,J13*Assum!$F$64/12)</f>
        <v>6737.42828383626</v>
      </c>
      <c r="J16" s="59" t="n">
        <f aca="false">IF(5&gt;=Assum!$F$36+Assum!$F$37,0,K13*Assum!$F$64/12)</f>
        <v>6653.52690951329</v>
      </c>
      <c r="K16" s="59" t="n">
        <f aca="false">IF(6&gt;=Assum!$F$36+Assum!$F$37,0,L13*Assum!$F$64/12)</f>
        <v>6568.6058008361</v>
      </c>
      <c r="L16" s="59" t="n">
        <f aca="false">IF(7&gt;=Assum!$F$36+Assum!$F$37,0,M13*Assum!$F$64/12)</f>
        <v>6482.61008852176</v>
      </c>
      <c r="M16" s="59" t="n">
        <f aca="false">IF(8&gt;=Assum!$F$36+Assum!$F$37,0,N13*Assum!$F$64/12)</f>
        <v>6395.48241607436</v>
      </c>
      <c r="N16" s="59" t="n">
        <f aca="false">IF(9&gt;=Assum!$F$36+Assum!$F$37,0,O13*Assum!$F$64/12)</f>
        <v>6307.16282297659</v>
      </c>
      <c r="O16" s="59" t="n">
        <f aca="false">IF(10&gt;=Assum!$F$36+Assum!$F$37,0,P13*Assum!$F$64/12)</f>
        <v>6217.5886224016</v>
      </c>
      <c r="P16" s="59" t="n">
        <f aca="false">IF(11&gt;=Assum!$F$36+Assum!$F$37,0,Q13*Assum!$F$64/12)</f>
        <v>6126.69427318825</v>
      </c>
      <c r="Q16" s="59" t="n">
        <f aca="false">IF(12&gt;=Assum!$F$36+Assum!$F$37,0,R13*Assum!$F$64/12)</f>
        <v>6034.4112458103</v>
      </c>
      <c r="R16" s="59" t="n">
        <f aca="false">IF(13&gt;=Assum!$F$36+Assum!$F$37,0,S13*Assum!$F$64/12)</f>
        <v>5940.66788205766</v>
      </c>
      <c r="S16" s="59" t="n">
        <f aca="false">IF(14&gt;=Assum!$F$36+Assum!$F$37,0,T13*Assum!$F$64/12)</f>
        <v>5845.38924813475</v>
      </c>
      <c r="T16" s="59" t="n">
        <f aca="false">IF(15&gt;=Assum!$F$36+Assum!$F$37,0,U13*Assum!$F$64/12)</f>
        <v>5748.49698086671</v>
      </c>
      <c r="U16" s="59" t="n">
        <f aca="false">IF(16&gt;=Assum!$F$36+Assum!$F$37,0,V13*Assum!$F$64/12)</f>
        <v>5649.90912669023</v>
      </c>
      <c r="V16" s="59" t="n">
        <f aca="false">IF(17&gt;=Assum!$F$36+Assum!$F$37,0,W13*Assum!$F$64/12)</f>
        <v>0</v>
      </c>
      <c r="W16" s="59" t="n">
        <f aca="false">IF(18&gt;=Assum!$F$36+Assum!$F$37,0,X13*Assum!$F$64/12)</f>
        <v>0</v>
      </c>
      <c r="X16" s="59" t="n">
        <f aca="false">IF(19&gt;=Assum!$F$36+Assum!$F$37,0,Y13*Assum!$F$64/12)</f>
        <v>0</v>
      </c>
      <c r="Y16" s="59" t="n">
        <f aca="false">IF(20&gt;=Assum!$F$36+Assum!$F$37,0,0*Assum!$F$64/12)</f>
        <v>0</v>
      </c>
    </row>
    <row r="17" customFormat="false" ht="15.75" hidden="false" customHeight="false" outlineLevel="0" collapsed="false">
      <c r="B17" s="35" t="s">
        <v>228</v>
      </c>
      <c r="C17" s="58" t="s">
        <v>129</v>
      </c>
      <c r="D17" s="25" t="n">
        <f aca="false">SUM(F17:Y17)</f>
        <v>-5000</v>
      </c>
      <c r="F17" s="59" t="n">
        <f aca="false">F16-Assum!$F$23</f>
        <v>1983.52769361075</v>
      </c>
      <c r="G17" s="59" t="n">
        <f aca="false">G16-F16</f>
        <v>-81.1481586758837</v>
      </c>
      <c r="H17" s="59" t="n">
        <f aca="false">H16-G16</f>
        <v>-82.017117485264</v>
      </c>
      <c r="I17" s="59" t="n">
        <f aca="false">I16-H16</f>
        <v>-82.9341336133412</v>
      </c>
      <c r="J17" s="59" t="n">
        <f aca="false">J16-I16</f>
        <v>-83.9013743229698</v>
      </c>
      <c r="K17" s="59" t="n">
        <f aca="false">K16-J16</f>
        <v>-84.9211086771893</v>
      </c>
      <c r="L17" s="59" t="n">
        <f aca="false">L16-K16</f>
        <v>-85.9957123143468</v>
      </c>
      <c r="M17" s="59" t="n">
        <f aca="false">M16-L16</f>
        <v>-87.1276724473946</v>
      </c>
      <c r="N17" s="59" t="n">
        <f aca="false">N16-M16</f>
        <v>-88.3195930977754</v>
      </c>
      <c r="O17" s="59" t="n">
        <f aca="false">O16-N16</f>
        <v>-89.5742005749926</v>
      </c>
      <c r="P17" s="59" t="n">
        <f aca="false">P16-O16</f>
        <v>-90.894349213344</v>
      </c>
      <c r="Q17" s="59" t="n">
        <f aca="false">Q16-P16</f>
        <v>-92.2830273779528</v>
      </c>
      <c r="R17" s="59" t="n">
        <f aca="false">R16-Q16</f>
        <v>-93.7433637526347</v>
      </c>
      <c r="S17" s="59" t="n">
        <f aca="false">S16-R16</f>
        <v>-95.2786339229124</v>
      </c>
      <c r="T17" s="59" t="n">
        <f aca="false">T16-S16</f>
        <v>-96.8922672680465</v>
      </c>
      <c r="U17" s="59" t="n">
        <f aca="false">U16-T16</f>
        <v>-98.5878541764714</v>
      </c>
      <c r="V17" s="59" t="n">
        <f aca="false">V16-U16</f>
        <v>-5649.90912669023</v>
      </c>
      <c r="W17" s="59" t="n">
        <f aca="false">W16-V16</f>
        <v>0</v>
      </c>
      <c r="X17" s="59" t="n">
        <f aca="false">X16-W16</f>
        <v>0</v>
      </c>
      <c r="Y17" s="59" t="n">
        <f aca="false">Y16-X16</f>
        <v>0</v>
      </c>
    </row>
    <row r="19" customFormat="false" ht="15.75" hidden="false" customHeight="false" outlineLevel="0" collapsed="false">
      <c r="B19" s="68" t="s">
        <v>229</v>
      </c>
      <c r="C19" s="58" t="s">
        <v>129</v>
      </c>
      <c r="D19" s="25" t="n">
        <f aca="false">Y11</f>
        <v>9.99994881567545E-007</v>
      </c>
      <c r="F19" s="25" t="str">
        <f aca="false">IF(ABS(D19)&lt;1,"완전상환 확인 (OK)","경고: 미상환 잔액 발생 — 원금상환 행 재산출 필요")</f>
        <v>완전상환 확인 (OK)</v>
      </c>
    </row>
    <row r="21" customFormat="false" ht="15.75" hidden="false" customHeight="false" outlineLevel="0" collapsed="false">
      <c r="B21" s="75" t="s">
        <v>230</v>
      </c>
    </row>
    <row r="22" customFormat="false" ht="15.75" hidden="false" customHeight="false" outlineLevel="0" collapsed="false">
      <c r="B22" s="75" t="s">
        <v>231</v>
      </c>
    </row>
    <row r="23" customFormat="false" ht="15.75" hidden="false" customHeight="false" outlineLevel="0" collapsed="false">
      <c r="B23" s="75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55" t="s">
        <v>233</v>
      </c>
    </row>
    <row r="4" customFormat="false" ht="15.75" hidden="false" customHeight="false" outlineLevel="0" collapsed="false">
      <c r="B4" s="13" t="s">
        <v>234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27" t="s">
        <v>73</v>
      </c>
      <c r="C6" s="28" t="s">
        <v>74</v>
      </c>
      <c r="D6" s="27" t="s">
        <v>75</v>
      </c>
      <c r="E6" s="27" t="s">
        <v>76</v>
      </c>
      <c r="F6" s="29" t="s">
        <v>77</v>
      </c>
      <c r="G6" s="29" t="s">
        <v>78</v>
      </c>
      <c r="H6" s="29" t="s">
        <v>79</v>
      </c>
      <c r="I6" s="29" t="s">
        <v>80</v>
      </c>
      <c r="J6" s="29" t="s">
        <v>81</v>
      </c>
      <c r="K6" s="29" t="s">
        <v>82</v>
      </c>
      <c r="L6" s="29" t="s">
        <v>83</v>
      </c>
      <c r="M6" s="29" t="s">
        <v>84</v>
      </c>
      <c r="N6" s="29" t="s">
        <v>85</v>
      </c>
      <c r="O6" s="29" t="s">
        <v>86</v>
      </c>
      <c r="P6" s="29" t="s">
        <v>87</v>
      </c>
      <c r="Q6" s="29" t="s">
        <v>88</v>
      </c>
      <c r="R6" s="29" t="s">
        <v>89</v>
      </c>
      <c r="S6" s="29" t="s">
        <v>90</v>
      </c>
      <c r="T6" s="29" t="s">
        <v>91</v>
      </c>
      <c r="U6" s="29" t="s">
        <v>92</v>
      </c>
      <c r="V6" s="29" t="s">
        <v>93</v>
      </c>
      <c r="W6" s="29" t="s">
        <v>94</v>
      </c>
      <c r="X6" s="29" t="s">
        <v>95</v>
      </c>
      <c r="Y6" s="29" t="s">
        <v>96</v>
      </c>
    </row>
    <row r="7" customFormat="false" ht="15.75" hidden="false" customHeight="false" outlineLevel="0" collapsed="false">
      <c r="E7" s="30" t="n">
        <v>2024</v>
      </c>
      <c r="F7" s="31" t="n">
        <v>2025</v>
      </c>
      <c r="G7" s="31" t="n">
        <v>2026</v>
      </c>
      <c r="H7" s="31" t="n">
        <v>2027</v>
      </c>
      <c r="I7" s="31" t="n">
        <v>2028</v>
      </c>
      <c r="J7" s="31" t="n">
        <v>2029</v>
      </c>
      <c r="K7" s="31" t="n">
        <v>2030</v>
      </c>
      <c r="L7" s="31" t="n">
        <v>2031</v>
      </c>
      <c r="M7" s="31" t="n">
        <v>2032</v>
      </c>
      <c r="N7" s="31" t="n">
        <v>2033</v>
      </c>
      <c r="O7" s="31" t="n">
        <v>2034</v>
      </c>
      <c r="P7" s="31" t="n">
        <v>2035</v>
      </c>
      <c r="Q7" s="31" t="n">
        <v>2036</v>
      </c>
      <c r="R7" s="31" t="n">
        <v>2037</v>
      </c>
      <c r="S7" s="31" t="n">
        <v>2038</v>
      </c>
      <c r="T7" s="31" t="n">
        <v>2039</v>
      </c>
      <c r="U7" s="31" t="n">
        <v>2040</v>
      </c>
      <c r="V7" s="31" t="n">
        <v>2041</v>
      </c>
      <c r="W7" s="31" t="n">
        <v>2042</v>
      </c>
      <c r="X7" s="31" t="n">
        <v>2043</v>
      </c>
      <c r="Y7" s="31" t="n">
        <v>2044</v>
      </c>
    </row>
    <row r="9" customFormat="false" ht="15.75" hidden="false" customHeight="false" outlineLevel="0" collapsed="false">
      <c r="B9" s="32" t="s">
        <v>97</v>
      </c>
      <c r="C9" s="58" t="s">
        <v>129</v>
      </c>
      <c r="D9" s="25" t="n">
        <f aca="false">SUM(F9:Y9)</f>
        <v>406418.266782918</v>
      </c>
      <c r="F9" s="33" t="n">
        <f aca="false">Revenue!F16</f>
        <v>21303.0880097184</v>
      </c>
      <c r="G9" s="33" t="n">
        <f aca="false">Revenue!G16</f>
        <v>21196.5725696698</v>
      </c>
      <c r="H9" s="33" t="n">
        <f aca="false">Revenue!H16</f>
        <v>21090.5897068215</v>
      </c>
      <c r="I9" s="33" t="n">
        <f aca="false">Revenue!I16</f>
        <v>20985.1367582874</v>
      </c>
      <c r="J9" s="33" t="n">
        <f aca="false">Revenue!J16</f>
        <v>20880.2110744959</v>
      </c>
      <c r="K9" s="33" t="n">
        <f aca="false">Revenue!K16</f>
        <v>20775.8100191234</v>
      </c>
      <c r="L9" s="33" t="n">
        <f aca="false">Revenue!L16</f>
        <v>20671.9309690278</v>
      </c>
      <c r="M9" s="33" t="n">
        <f aca="false">Revenue!M16</f>
        <v>20568.5713141827</v>
      </c>
      <c r="N9" s="33" t="n">
        <f aca="false">Revenue!N16</f>
        <v>20465.7284576118</v>
      </c>
      <c r="O9" s="33" t="n">
        <f aca="false">Revenue!O16</f>
        <v>20363.3998153237</v>
      </c>
      <c r="P9" s="33" t="n">
        <f aca="false">Revenue!P16</f>
        <v>20261.5828162471</v>
      </c>
      <c r="Q9" s="33" t="n">
        <f aca="false">Revenue!Q16</f>
        <v>20160.2749021659</v>
      </c>
      <c r="R9" s="33" t="n">
        <f aca="false">Revenue!R16</f>
        <v>20059.473527655</v>
      </c>
      <c r="S9" s="33" t="n">
        <f aca="false">Revenue!S16</f>
        <v>19959.1761600168</v>
      </c>
      <c r="T9" s="33" t="n">
        <f aca="false">Revenue!T16</f>
        <v>19859.3802792167</v>
      </c>
      <c r="U9" s="33" t="n">
        <f aca="false">Revenue!U16</f>
        <v>19760.0833778206</v>
      </c>
      <c r="V9" s="33" t="n">
        <f aca="false">Revenue!V16</f>
        <v>19661.2829609315</v>
      </c>
      <c r="W9" s="33" t="n">
        <f aca="false">Revenue!W16</f>
        <v>19562.9765461268</v>
      </c>
      <c r="X9" s="33" t="n">
        <f aca="false">Revenue!X16</f>
        <v>19465.1616633962</v>
      </c>
      <c r="Y9" s="33" t="n">
        <f aca="false">Revenue!Y16</f>
        <v>19367.8358550792</v>
      </c>
    </row>
    <row r="10" customFormat="false" ht="15.75" hidden="false" customHeight="false" outlineLevel="0" collapsed="false">
      <c r="B10" s="32" t="s">
        <v>98</v>
      </c>
      <c r="C10" s="58" t="s">
        <v>129</v>
      </c>
      <c r="D10" s="25" t="n">
        <f aca="false">SUM(F10:Y10)</f>
        <v>-106510.047409425</v>
      </c>
      <c r="F10" s="33" t="n">
        <f aca="false">-Opex!F12</f>
        <v>-4980</v>
      </c>
      <c r="G10" s="33" t="n">
        <f aca="false">-Opex!G12</f>
        <v>-5014.86</v>
      </c>
      <c r="H10" s="33" t="n">
        <f aca="false">-Opex!H12</f>
        <v>-5049.96402</v>
      </c>
      <c r="I10" s="33" t="n">
        <f aca="false">-Opex!I12</f>
        <v>-5085.31376814</v>
      </c>
      <c r="J10" s="33" t="n">
        <f aca="false">-Opex!J12</f>
        <v>-5120.91096451698</v>
      </c>
      <c r="K10" s="33" t="n">
        <f aca="false">-Opex!K12</f>
        <v>-5156.7573412686</v>
      </c>
      <c r="L10" s="33" t="n">
        <f aca="false">-Opex!L12</f>
        <v>-5192.85464265748</v>
      </c>
      <c r="M10" s="33" t="n">
        <f aca="false">-Opex!M12</f>
        <v>-5229.20462515608</v>
      </c>
      <c r="N10" s="33" t="n">
        <f aca="false">-Opex!N12</f>
        <v>-5265.80905753217</v>
      </c>
      <c r="O10" s="33" t="n">
        <f aca="false">-Opex!O12</f>
        <v>-5302.66972093489</v>
      </c>
      <c r="P10" s="33" t="n">
        <f aca="false">-Opex!P12</f>
        <v>-5339.78840898144</v>
      </c>
      <c r="Q10" s="33" t="n">
        <f aca="false">-Opex!Q12</f>
        <v>-5377.16692784431</v>
      </c>
      <c r="R10" s="33" t="n">
        <f aca="false">-Opex!R12</f>
        <v>-5414.80709633922</v>
      </c>
      <c r="S10" s="33" t="n">
        <f aca="false">-Opex!S12</f>
        <v>-5452.71074601359</v>
      </c>
      <c r="T10" s="33" t="n">
        <f aca="false">-Opex!T12</f>
        <v>-5490.87972123569</v>
      </c>
      <c r="U10" s="33" t="n">
        <f aca="false">-Opex!U12</f>
        <v>-5529.31587928434</v>
      </c>
      <c r="V10" s="33" t="n">
        <f aca="false">-Opex!V12</f>
        <v>-5568.02109043932</v>
      </c>
      <c r="W10" s="33" t="n">
        <f aca="false">-Opex!W12</f>
        <v>-5606.9972380724</v>
      </c>
      <c r="X10" s="33" t="n">
        <f aca="false">-Opex!X12</f>
        <v>-5646.24621873891</v>
      </c>
      <c r="Y10" s="33" t="n">
        <f aca="false">-Opex!Y12</f>
        <v>-5685.76994227008</v>
      </c>
    </row>
    <row r="11" customFormat="false" ht="15.75" hidden="false" customHeight="false" outlineLevel="0" collapsed="false">
      <c r="B11" s="76" t="s">
        <v>99</v>
      </c>
      <c r="C11" s="63" t="s">
        <v>129</v>
      </c>
      <c r="D11" s="62" t="n">
        <f aca="false">SUM(F11:Y11)</f>
        <v>299908.219373493</v>
      </c>
      <c r="E11" s="64"/>
      <c r="F11" s="62" t="n">
        <f aca="false">F9+F10</f>
        <v>16323.0880097184</v>
      </c>
      <c r="G11" s="62" t="n">
        <f aca="false">G9+G10</f>
        <v>16181.7125696698</v>
      </c>
      <c r="H11" s="62" t="n">
        <f aca="false">H9+H10</f>
        <v>16040.6256868215</v>
      </c>
      <c r="I11" s="62" t="n">
        <f aca="false">I9+I10</f>
        <v>15899.8229901474</v>
      </c>
      <c r="J11" s="62" t="n">
        <f aca="false">J9+J10</f>
        <v>15759.3001099789</v>
      </c>
      <c r="K11" s="62" t="n">
        <f aca="false">K9+K10</f>
        <v>15619.0526778548</v>
      </c>
      <c r="L11" s="62" t="n">
        <f aca="false">L9+L10</f>
        <v>15479.0763263703</v>
      </c>
      <c r="M11" s="62" t="n">
        <f aca="false">M9+M10</f>
        <v>15339.3666890266</v>
      </c>
      <c r="N11" s="62" t="n">
        <f aca="false">N9+N10</f>
        <v>15199.9194000796</v>
      </c>
      <c r="O11" s="62" t="n">
        <f aca="false">O9+O10</f>
        <v>15060.7300943888</v>
      </c>
      <c r="P11" s="62" t="n">
        <f aca="false">P9+P10</f>
        <v>14921.7944072657</v>
      </c>
      <c r="Q11" s="62" t="n">
        <f aca="false">Q9+Q10</f>
        <v>14783.1079743216</v>
      </c>
      <c r="R11" s="62" t="n">
        <f aca="false">R9+R10</f>
        <v>14644.6664313158</v>
      </c>
      <c r="S11" s="62" t="n">
        <f aca="false">S9+S10</f>
        <v>14506.4654140032</v>
      </c>
      <c r="T11" s="62" t="n">
        <f aca="false">T9+T10</f>
        <v>14368.500557981</v>
      </c>
      <c r="U11" s="62" t="n">
        <f aca="false">U9+U10</f>
        <v>14230.7674985363</v>
      </c>
      <c r="V11" s="62" t="n">
        <f aca="false">V9+V10</f>
        <v>14093.2618704922</v>
      </c>
      <c r="W11" s="62" t="n">
        <f aca="false">W9+W10</f>
        <v>13955.9793080544</v>
      </c>
      <c r="X11" s="62" t="n">
        <f aca="false">X9+X10</f>
        <v>13818.9154446573</v>
      </c>
      <c r="Y11" s="62" t="n">
        <f aca="false">Y9+Y10</f>
        <v>13682.0659128091</v>
      </c>
    </row>
    <row r="12" customFormat="false" ht="15.75" hidden="false" customHeight="false" outlineLevel="0" collapsed="false">
      <c r="B12" s="32" t="s">
        <v>235</v>
      </c>
      <c r="C12" s="58" t="s">
        <v>129</v>
      </c>
      <c r="D12" s="25" t="n">
        <f aca="false">SUM(F12:Y12)</f>
        <v>-138442.3575376</v>
      </c>
      <c r="F12" s="59" t="n">
        <f aca="false">IF(1&lt;=Assum!$F$57,-TIC_Funding!$D$25,0)</f>
        <v>-6922.11787688</v>
      </c>
      <c r="G12" s="59" t="n">
        <f aca="false">IF(2&lt;=Assum!$F$57,-TIC_Funding!$D$25,0)</f>
        <v>-6922.11787688</v>
      </c>
      <c r="H12" s="59" t="n">
        <f aca="false">IF(3&lt;=Assum!$F$57,-TIC_Funding!$D$25,0)</f>
        <v>-6922.11787688</v>
      </c>
      <c r="I12" s="59" t="n">
        <f aca="false">IF(4&lt;=Assum!$F$57,-TIC_Funding!$D$25,0)</f>
        <v>-6922.11787688</v>
      </c>
      <c r="J12" s="59" t="n">
        <f aca="false">IF(5&lt;=Assum!$F$57,-TIC_Funding!$D$25,0)</f>
        <v>-6922.11787688</v>
      </c>
      <c r="K12" s="59" t="n">
        <f aca="false">IF(6&lt;=Assum!$F$57,-TIC_Funding!$D$25,0)</f>
        <v>-6922.11787688</v>
      </c>
      <c r="L12" s="59" t="n">
        <f aca="false">IF(7&lt;=Assum!$F$57,-TIC_Funding!$D$25,0)</f>
        <v>-6922.11787688</v>
      </c>
      <c r="M12" s="59" t="n">
        <f aca="false">IF(8&lt;=Assum!$F$57,-TIC_Funding!$D$25,0)</f>
        <v>-6922.11787688</v>
      </c>
      <c r="N12" s="59" t="n">
        <f aca="false">IF(9&lt;=Assum!$F$57,-TIC_Funding!$D$25,0)</f>
        <v>-6922.11787688</v>
      </c>
      <c r="O12" s="59" t="n">
        <f aca="false">IF(10&lt;=Assum!$F$57,-TIC_Funding!$D$25,0)</f>
        <v>-6922.11787688</v>
      </c>
      <c r="P12" s="59" t="n">
        <f aca="false">IF(11&lt;=Assum!$F$57,-TIC_Funding!$D$25,0)</f>
        <v>-6922.11787688</v>
      </c>
      <c r="Q12" s="59" t="n">
        <f aca="false">IF(12&lt;=Assum!$F$57,-TIC_Funding!$D$25,0)</f>
        <v>-6922.11787688</v>
      </c>
      <c r="R12" s="59" t="n">
        <f aca="false">IF(13&lt;=Assum!$F$57,-TIC_Funding!$D$25,0)</f>
        <v>-6922.11787688</v>
      </c>
      <c r="S12" s="59" t="n">
        <f aca="false">IF(14&lt;=Assum!$F$57,-TIC_Funding!$D$25,0)</f>
        <v>-6922.11787688</v>
      </c>
      <c r="T12" s="59" t="n">
        <f aca="false">IF(15&lt;=Assum!$F$57,-TIC_Funding!$D$25,0)</f>
        <v>-6922.11787688</v>
      </c>
      <c r="U12" s="59" t="n">
        <f aca="false">IF(16&lt;=Assum!$F$57,-TIC_Funding!$D$25,0)</f>
        <v>-6922.11787688</v>
      </c>
      <c r="V12" s="59" t="n">
        <f aca="false">IF(17&lt;=Assum!$F$57,-TIC_Funding!$D$25,0)</f>
        <v>-6922.11787688</v>
      </c>
      <c r="W12" s="59" t="n">
        <f aca="false">IF(18&lt;=Assum!$F$57,-TIC_Funding!$D$25,0)</f>
        <v>-6922.11787688</v>
      </c>
      <c r="X12" s="59" t="n">
        <f aca="false">IF(19&lt;=Assum!$F$57,-TIC_Funding!$D$25,0)</f>
        <v>-6922.11787688</v>
      </c>
      <c r="Y12" s="59" t="n">
        <f aca="false">IF(20&lt;=Assum!$F$57,-TIC_Funding!$D$25,0)</f>
        <v>-6922.11787688</v>
      </c>
    </row>
    <row r="13" customFormat="false" ht="15.75" hidden="false" customHeight="false" outlineLevel="0" collapsed="false">
      <c r="B13" s="68" t="s">
        <v>236</v>
      </c>
      <c r="C13" s="58" t="s">
        <v>129</v>
      </c>
      <c r="D13" s="25" t="n">
        <f aca="false">SUM(F13:Y13)</f>
        <v>161465.861835893</v>
      </c>
      <c r="F13" s="25" t="n">
        <f aca="false">F11+F12</f>
        <v>9400.97013283841</v>
      </c>
      <c r="G13" s="25" t="n">
        <f aca="false">G11+G12</f>
        <v>9259.59469278982</v>
      </c>
      <c r="H13" s="25" t="n">
        <f aca="false">H11+H12</f>
        <v>9118.50780994147</v>
      </c>
      <c r="I13" s="25" t="n">
        <f aca="false">I11+I12</f>
        <v>8977.70511326736</v>
      </c>
      <c r="J13" s="25" t="n">
        <f aca="false">J11+J12</f>
        <v>8837.18223309894</v>
      </c>
      <c r="K13" s="25" t="n">
        <f aca="false">K11+K12</f>
        <v>8696.93480097485</v>
      </c>
      <c r="L13" s="25" t="n">
        <f aca="false">L11+L12</f>
        <v>8556.95844949035</v>
      </c>
      <c r="M13" s="25" t="n">
        <f aca="false">M11+M12</f>
        <v>8417.24881214661</v>
      </c>
      <c r="N13" s="25" t="n">
        <f aca="false">N11+N12</f>
        <v>8277.80152319961</v>
      </c>
      <c r="O13" s="25" t="n">
        <f aca="false">O11+O12</f>
        <v>8138.61221750882</v>
      </c>
      <c r="P13" s="25" t="n">
        <f aca="false">P11+P12</f>
        <v>7999.67653038566</v>
      </c>
      <c r="Q13" s="25" t="n">
        <f aca="false">Q11+Q12</f>
        <v>7860.99009744156</v>
      </c>
      <c r="R13" s="25" t="n">
        <f aca="false">R11+R12</f>
        <v>7722.54855443582</v>
      </c>
      <c r="S13" s="25" t="n">
        <f aca="false">S11+S12</f>
        <v>7584.34753712316</v>
      </c>
      <c r="T13" s="25" t="n">
        <f aca="false">T11+T12</f>
        <v>7446.38268110099</v>
      </c>
      <c r="U13" s="25" t="n">
        <f aca="false">U11+U12</f>
        <v>7308.64962165625</v>
      </c>
      <c r="V13" s="25" t="n">
        <f aca="false">V11+V12</f>
        <v>7171.14399361216</v>
      </c>
      <c r="W13" s="25" t="n">
        <f aca="false">W11+W12</f>
        <v>7033.86143117443</v>
      </c>
      <c r="X13" s="25" t="n">
        <f aca="false">X11+X12</f>
        <v>6896.79756777729</v>
      </c>
      <c r="Y13" s="25" t="n">
        <f aca="false">Y11+Y12</f>
        <v>6759.94803592914</v>
      </c>
    </row>
    <row r="14" customFormat="false" ht="15.75" hidden="false" customHeight="false" outlineLevel="0" collapsed="false">
      <c r="B14" s="32" t="s">
        <v>224</v>
      </c>
      <c r="C14" s="58" t="s">
        <v>129</v>
      </c>
      <c r="D14" s="25" t="n">
        <f aca="false">SUM(F14:Y14)</f>
        <v>-74250.6706633757</v>
      </c>
      <c r="F14" s="33" t="n">
        <f aca="false">-Debt!F12</f>
        <v>-7540.9813764032</v>
      </c>
      <c r="G14" s="33" t="n">
        <f aca="false">-Debt!G12</f>
        <v>-7404.64734941782</v>
      </c>
      <c r="H14" s="33" t="n">
        <f aca="false">-Debt!H12</f>
        <v>-7036.82003771588</v>
      </c>
      <c r="I14" s="33" t="n">
        <f aca="false">-Debt!I12</f>
        <v>-6657.40160870333</v>
      </c>
      <c r="J14" s="33" t="n">
        <f aca="false">-Debt!J12</f>
        <v>-6265.83665327468</v>
      </c>
      <c r="K14" s="33" t="n">
        <f aca="false">-Debt!K12</f>
        <v>-5861.54386953803</v>
      </c>
      <c r="L14" s="33" t="n">
        <f aca="false">-Debt!L12</f>
        <v>-5443.9148474684</v>
      </c>
      <c r="M14" s="33" t="n">
        <f aca="false">-Debt!M12</f>
        <v>-5012.3127965238</v>
      </c>
      <c r="N14" s="33" t="n">
        <f aca="false">-Debt!N12</f>
        <v>-4566.07121354685</v>
      </c>
      <c r="O14" s="33" t="n">
        <f aca="false">-Debt!O12</f>
        <v>-4104.49248814939</v>
      </c>
      <c r="P14" s="33" t="n">
        <f aca="false">-Debt!P12</f>
        <v>-3626.84644264561</v>
      </c>
      <c r="Q14" s="33" t="n">
        <f aca="false">-Debt!Q12</f>
        <v>-3132.36880346185</v>
      </c>
      <c r="R14" s="33" t="n">
        <f aca="false">-Debt!R12</f>
        <v>-2620.25960080677</v>
      </c>
      <c r="S14" s="33" t="n">
        <f aca="false">-Debt!S12</f>
        <v>-2089.6814932348</v>
      </c>
      <c r="T14" s="33" t="n">
        <f aca="false">-Debt!T12</f>
        <v>-1539.75801357764</v>
      </c>
      <c r="U14" s="33" t="n">
        <f aca="false">-Debt!U12</f>
        <v>-969.571732553216</v>
      </c>
      <c r="V14" s="33" t="n">
        <f aca="false">-Debt!V12</f>
        <v>-378.162336188183</v>
      </c>
      <c r="W14" s="33" t="n">
        <f aca="false">-Debt!W12</f>
        <v>-5.5399716438842E-008</v>
      </c>
      <c r="X14" s="33" t="n">
        <f aca="false">-Debt!X12</f>
        <v>-5.5399716438842E-008</v>
      </c>
      <c r="Y14" s="33" t="n">
        <f aca="false">-Debt!Y12</f>
        <v>-5.5399716438842E-008</v>
      </c>
    </row>
    <row r="15" customFormat="false" ht="15.75" hidden="false" customHeight="false" outlineLevel="0" collapsed="false">
      <c r="B15" s="68" t="s">
        <v>237</v>
      </c>
      <c r="C15" s="58" t="s">
        <v>129</v>
      </c>
      <c r="D15" s="25" t="n">
        <f aca="false">SUM(F15:Y15)</f>
        <v>87215.191172517</v>
      </c>
      <c r="F15" s="25" t="n">
        <f aca="false">F13+F14</f>
        <v>1859.98875643521</v>
      </c>
      <c r="G15" s="25" t="n">
        <f aca="false">G13+G14</f>
        <v>1854.947343372</v>
      </c>
      <c r="H15" s="25" t="n">
        <f aca="false">H13+H14</f>
        <v>2081.6877722256</v>
      </c>
      <c r="I15" s="25" t="n">
        <f aca="false">I13+I14</f>
        <v>2320.30350456403</v>
      </c>
      <c r="J15" s="25" t="n">
        <f aca="false">J13+J14</f>
        <v>2571.34557982426</v>
      </c>
      <c r="K15" s="25" t="n">
        <f aca="false">K13+K14</f>
        <v>2835.39093143682</v>
      </c>
      <c r="L15" s="25" t="n">
        <f aca="false">L13+L14</f>
        <v>3113.04360202195</v>
      </c>
      <c r="M15" s="25" t="n">
        <f aca="false">M13+M14</f>
        <v>3404.93601562281</v>
      </c>
      <c r="N15" s="25" t="n">
        <f aca="false">N13+N14</f>
        <v>3711.73030965275</v>
      </c>
      <c r="O15" s="25" t="n">
        <f aca="false">O13+O14</f>
        <v>4034.11972935943</v>
      </c>
      <c r="P15" s="25" t="n">
        <f aca="false">P13+P14</f>
        <v>4372.83008774005</v>
      </c>
      <c r="Q15" s="25" t="n">
        <f aca="false">Q13+Q14</f>
        <v>4728.62129397971</v>
      </c>
      <c r="R15" s="25" t="n">
        <f aca="false">R13+R14</f>
        <v>5102.28895362904</v>
      </c>
      <c r="S15" s="25" t="n">
        <f aca="false">S13+S14</f>
        <v>5494.66604388836</v>
      </c>
      <c r="T15" s="25" t="n">
        <f aca="false">T13+T14</f>
        <v>5906.62466752335</v>
      </c>
      <c r="U15" s="25" t="n">
        <f aca="false">U13+U14</f>
        <v>6339.07788910304</v>
      </c>
      <c r="V15" s="25" t="n">
        <f aca="false">V13+V14</f>
        <v>6792.98165742398</v>
      </c>
      <c r="W15" s="25" t="n">
        <f aca="false">W13+W14</f>
        <v>7033.86143111903</v>
      </c>
      <c r="X15" s="25" t="n">
        <f aca="false">X13+X14</f>
        <v>6896.79756772189</v>
      </c>
      <c r="Y15" s="25" t="n">
        <f aca="false">Y13+Y14</f>
        <v>6759.94803587374</v>
      </c>
    </row>
    <row r="16" customFormat="false" ht="15.75" hidden="false" customHeight="false" outlineLevel="0" collapsed="false">
      <c r="B16" s="32" t="s">
        <v>238</v>
      </c>
      <c r="C16" s="58" t="s">
        <v>129</v>
      </c>
      <c r="F16" s="59" t="n">
        <v>0</v>
      </c>
      <c r="G16" s="59" t="n">
        <f aca="false">F20</f>
        <v>0</v>
      </c>
      <c r="H16" s="59" t="n">
        <f aca="false">G20</f>
        <v>0</v>
      </c>
      <c r="I16" s="59" t="n">
        <f aca="false">H20</f>
        <v>0</v>
      </c>
      <c r="J16" s="59" t="n">
        <f aca="false">I20</f>
        <v>0</v>
      </c>
      <c r="K16" s="59" t="n">
        <f aca="false">J20</f>
        <v>0</v>
      </c>
      <c r="L16" s="59" t="n">
        <f aca="false">K20</f>
        <v>0</v>
      </c>
      <c r="M16" s="59" t="n">
        <f aca="false">L20</f>
        <v>0</v>
      </c>
      <c r="N16" s="59" t="n">
        <f aca="false">M20</f>
        <v>0</v>
      </c>
      <c r="O16" s="59" t="n">
        <f aca="false">N20</f>
        <v>0</v>
      </c>
      <c r="P16" s="59" t="n">
        <f aca="false">O20</f>
        <v>0</v>
      </c>
      <c r="Q16" s="59" t="n">
        <f aca="false">P20</f>
        <v>0</v>
      </c>
      <c r="R16" s="59" t="n">
        <f aca="false">Q20</f>
        <v>0</v>
      </c>
      <c r="S16" s="59" t="n">
        <f aca="false">R20</f>
        <v>0</v>
      </c>
      <c r="T16" s="59" t="n">
        <f aca="false">S20</f>
        <v>0</v>
      </c>
      <c r="U16" s="59" t="n">
        <f aca="false">T20</f>
        <v>0</v>
      </c>
      <c r="V16" s="59" t="n">
        <f aca="false">U20</f>
        <v>0</v>
      </c>
      <c r="W16" s="59" t="n">
        <f aca="false">V20</f>
        <v>0</v>
      </c>
      <c r="X16" s="59" t="n">
        <f aca="false">W20</f>
        <v>0</v>
      </c>
      <c r="Y16" s="59" t="n">
        <f aca="false">X20</f>
        <v>0</v>
      </c>
    </row>
    <row r="17" customFormat="false" ht="15.75" hidden="false" customHeight="false" outlineLevel="0" collapsed="false">
      <c r="B17" s="32" t="s">
        <v>239</v>
      </c>
      <c r="C17" s="58" t="s">
        <v>129</v>
      </c>
      <c r="F17" s="59" t="n">
        <f aca="false">MIN(MAX(0,F15)*Assum!$F$60,F16)</f>
        <v>0</v>
      </c>
      <c r="G17" s="59" t="n">
        <f aca="false">MIN(MAX(0,G15)*Assum!$F$60,G16)</f>
        <v>0</v>
      </c>
      <c r="H17" s="59" t="n">
        <f aca="false">MIN(MAX(0,H15)*Assum!$F$60,H16)</f>
        <v>0</v>
      </c>
      <c r="I17" s="59" t="n">
        <f aca="false">MIN(MAX(0,I15)*Assum!$F$60,I16)</f>
        <v>0</v>
      </c>
      <c r="J17" s="59" t="n">
        <f aca="false">MIN(MAX(0,J15)*Assum!$F$60,J16)</f>
        <v>0</v>
      </c>
      <c r="K17" s="59" t="n">
        <f aca="false">MIN(MAX(0,K15)*Assum!$F$60,K16)</f>
        <v>0</v>
      </c>
      <c r="L17" s="59" t="n">
        <f aca="false">MIN(MAX(0,L15)*Assum!$F$60,L16)</f>
        <v>0</v>
      </c>
      <c r="M17" s="59" t="n">
        <f aca="false">MIN(MAX(0,M15)*Assum!$F$60,M16)</f>
        <v>0</v>
      </c>
      <c r="N17" s="59" t="n">
        <f aca="false">MIN(MAX(0,N15)*Assum!$F$60,N16)</f>
        <v>0</v>
      </c>
      <c r="O17" s="59" t="n">
        <f aca="false">MIN(MAX(0,O15)*Assum!$F$60,O16)</f>
        <v>0</v>
      </c>
      <c r="P17" s="59" t="n">
        <f aca="false">MIN(MAX(0,P15)*Assum!$F$60,P16)</f>
        <v>0</v>
      </c>
      <c r="Q17" s="59" t="n">
        <f aca="false">MIN(MAX(0,Q15)*Assum!$F$60,Q16)</f>
        <v>0</v>
      </c>
      <c r="R17" s="59" t="n">
        <f aca="false">MIN(MAX(0,R15)*Assum!$F$60,R16)</f>
        <v>0</v>
      </c>
      <c r="S17" s="59" t="n">
        <f aca="false">MIN(MAX(0,S15)*Assum!$F$60,S16)</f>
        <v>0</v>
      </c>
      <c r="T17" s="59" t="n">
        <f aca="false">MIN(MAX(0,T15)*Assum!$F$60,T16)</f>
        <v>0</v>
      </c>
      <c r="U17" s="59" t="n">
        <f aca="false">MIN(MAX(0,U15)*Assum!$F$60,U16)</f>
        <v>0</v>
      </c>
      <c r="V17" s="59" t="n">
        <f aca="false">MIN(MAX(0,V15)*Assum!$F$60,V16)</f>
        <v>0</v>
      </c>
      <c r="W17" s="59" t="n">
        <f aca="false">MIN(MAX(0,W15)*Assum!$F$60,W16)</f>
        <v>0</v>
      </c>
      <c r="X17" s="59" t="n">
        <f aca="false">MIN(MAX(0,X15)*Assum!$F$60,X16)</f>
        <v>0</v>
      </c>
      <c r="Y17" s="59" t="n">
        <f aca="false">MIN(MAX(0,Y15)*Assum!$F$60,Y16)</f>
        <v>0</v>
      </c>
    </row>
    <row r="18" customFormat="false" ht="15.75" hidden="false" customHeight="false" outlineLevel="0" collapsed="false">
      <c r="B18" s="32" t="s">
        <v>240</v>
      </c>
      <c r="C18" s="58" t="s">
        <v>129</v>
      </c>
      <c r="F18" s="59" t="n">
        <f aca="false">MAX(0,F15-F17)</f>
        <v>1859.98875643521</v>
      </c>
      <c r="G18" s="59" t="n">
        <f aca="false">MAX(0,G15-G17)</f>
        <v>1854.947343372</v>
      </c>
      <c r="H18" s="59" t="n">
        <f aca="false">MAX(0,H15-H17)</f>
        <v>2081.6877722256</v>
      </c>
      <c r="I18" s="59" t="n">
        <f aca="false">MAX(0,I15-I17)</f>
        <v>2320.30350456403</v>
      </c>
      <c r="J18" s="59" t="n">
        <f aca="false">MAX(0,J15-J17)</f>
        <v>2571.34557982426</v>
      </c>
      <c r="K18" s="59" t="n">
        <f aca="false">MAX(0,K15-K17)</f>
        <v>2835.39093143682</v>
      </c>
      <c r="L18" s="59" t="n">
        <f aca="false">MAX(0,L15-L17)</f>
        <v>3113.04360202195</v>
      </c>
      <c r="M18" s="59" t="n">
        <f aca="false">MAX(0,M15-M17)</f>
        <v>3404.93601562281</v>
      </c>
      <c r="N18" s="59" t="n">
        <f aca="false">MAX(0,N15-N17)</f>
        <v>3711.73030965275</v>
      </c>
      <c r="O18" s="59" t="n">
        <f aca="false">MAX(0,O15-O17)</f>
        <v>4034.11972935943</v>
      </c>
      <c r="P18" s="59" t="n">
        <f aca="false">MAX(0,P15-P17)</f>
        <v>4372.83008774005</v>
      </c>
      <c r="Q18" s="59" t="n">
        <f aca="false">MAX(0,Q15-Q17)</f>
        <v>4728.62129397971</v>
      </c>
      <c r="R18" s="59" t="n">
        <f aca="false">MAX(0,R15-R17)</f>
        <v>5102.28895362904</v>
      </c>
      <c r="S18" s="59" t="n">
        <f aca="false">MAX(0,S15-S17)</f>
        <v>5494.66604388836</v>
      </c>
      <c r="T18" s="59" t="n">
        <f aca="false">MAX(0,T15-T17)</f>
        <v>5906.62466752335</v>
      </c>
      <c r="U18" s="59" t="n">
        <f aca="false">MAX(0,U15-U17)</f>
        <v>6339.07788910304</v>
      </c>
      <c r="V18" s="59" t="n">
        <f aca="false">MAX(0,V15-V17)</f>
        <v>6792.98165742398</v>
      </c>
      <c r="W18" s="59" t="n">
        <f aca="false">MAX(0,W15-W17)</f>
        <v>7033.86143111903</v>
      </c>
      <c r="X18" s="59" t="n">
        <f aca="false">MAX(0,X15-X17)</f>
        <v>6896.79756772189</v>
      </c>
      <c r="Y18" s="59" t="n">
        <f aca="false">MAX(0,Y15-Y17)</f>
        <v>6759.94803587374</v>
      </c>
    </row>
    <row r="19" customFormat="false" ht="15.75" hidden="false" customHeight="false" outlineLevel="0" collapsed="false">
      <c r="B19" s="32" t="s">
        <v>241</v>
      </c>
      <c r="C19" s="58" t="s">
        <v>129</v>
      </c>
      <c r="D19" s="25" t="n">
        <f aca="false">SUM(F19:Y19)</f>
        <v>16170.8863227782</v>
      </c>
      <c r="F19" s="59" t="n">
        <f aca="false">IF(Assum!$F$58=1,IF(F18&lt;=200,F18*0.09,IF(F18&lt;=20000,18+(F18-200)*0.19,3780+(F18-20000)*0.21)),F18*Assum!$F$59)</f>
        <v>333.397863722691</v>
      </c>
      <c r="G19" s="59" t="n">
        <f aca="false">IF(Assum!$F$58=1,IF(G18&lt;=200,G18*0.09,IF(G18&lt;=20000,18+(G18-200)*0.19,3780+(G18-20000)*0.21)),G18*Assum!$F$59)</f>
        <v>332.439995240679</v>
      </c>
      <c r="H19" s="59" t="n">
        <f aca="false">IF(Assum!$F$58=1,IF(H18&lt;=200,H18*0.09,IF(H18&lt;=20000,18+(H18-200)*0.19,3780+(H18-20000)*0.21)),H18*Assum!$F$59)</f>
        <v>375.520676722864</v>
      </c>
      <c r="I19" s="59" t="n">
        <f aca="false">IF(Assum!$F$58=1,IF(I18&lt;=200,I18*0.09,IF(I18&lt;=20000,18+(I18-200)*0.19,3780+(I18-20000)*0.21)),I18*Assum!$F$59)</f>
        <v>420.857665867167</v>
      </c>
      <c r="J19" s="59" t="n">
        <f aca="false">IF(Assum!$F$58=1,IF(J18&lt;=200,J18*0.09,IF(J18&lt;=20000,18+(J18-200)*0.19,3780+(J18-20000)*0.21)),J18*Assum!$F$59)</f>
        <v>468.55566016661</v>
      </c>
      <c r="K19" s="59" t="n">
        <f aca="false">IF(Assum!$F$58=1,IF(K18&lt;=200,K18*0.09,IF(K18&lt;=20000,18+(K18-200)*0.19,3780+(K18-20000)*0.21)),K18*Assum!$F$59)</f>
        <v>518.724276972996</v>
      </c>
      <c r="L19" s="59" t="n">
        <f aca="false">IF(Assum!$F$58=1,IF(L18&lt;=200,L18*0.09,IF(L18&lt;=20000,18+(L18-200)*0.19,3780+(L18-20000)*0.21)),L18*Assum!$F$59)</f>
        <v>571.47828438417</v>
      </c>
      <c r="M19" s="59" t="n">
        <f aca="false">IF(Assum!$F$58=1,IF(M18&lt;=200,M18*0.09,IF(M18&lt;=20000,18+(M18-200)*0.19,3780+(M18-20000)*0.21)),M18*Assum!$F$59)</f>
        <v>626.937842968334</v>
      </c>
      <c r="N19" s="59" t="n">
        <f aca="false">IF(Assum!$F$58=1,IF(N18&lt;=200,N18*0.09,IF(N18&lt;=20000,18+(N18-200)*0.19,3780+(N18-20000)*0.21)),N18*Assum!$F$59)</f>
        <v>685.228758834023</v>
      </c>
      <c r="O19" s="59" t="n">
        <f aca="false">IF(Assum!$F$58=1,IF(O18&lt;=200,O18*0.09,IF(O18&lt;=20000,18+(O18-200)*0.19,3780+(O18-20000)*0.21)),O18*Assum!$F$59)</f>
        <v>746.482748578292</v>
      </c>
      <c r="P19" s="59" t="n">
        <f aca="false">IF(Assum!$F$58=1,IF(P18&lt;=200,P18*0.09,IF(P18&lt;=20000,18+(P18-200)*0.19,3780+(P18-20000)*0.21)),P18*Assum!$F$59)</f>
        <v>810.837716670609</v>
      </c>
      <c r="Q19" s="59" t="n">
        <f aca="false">IF(Assum!$F$58=1,IF(Q18&lt;=200,Q18*0.09,IF(Q18&lt;=20000,18+(Q18-200)*0.19,3780+(Q18-20000)*0.21)),Q18*Assum!$F$59)</f>
        <v>878.438045856144</v>
      </c>
      <c r="R19" s="59" t="n">
        <f aca="false">IF(Assum!$F$58=1,IF(R18&lt;=200,R18*0.09,IF(R18&lt;=20000,18+(R18-200)*0.19,3780+(R18-20000)*0.21)),R18*Assum!$F$59)</f>
        <v>949.434901189518</v>
      </c>
      <c r="S19" s="59" t="n">
        <f aca="false">IF(Assum!$F$58=1,IF(S18&lt;=200,S18*0.09,IF(S18&lt;=20000,18+(S18-200)*0.19,3780+(S18-20000)*0.21)),S18*Assum!$F$59)</f>
        <v>1023.98654833879</v>
      </c>
      <c r="T19" s="59" t="n">
        <f aca="false">IF(Assum!$F$58=1,IF(T18&lt;=200,T18*0.09,IF(T18&lt;=20000,18+(T18-200)*0.19,3780+(T18-20000)*0.21)),T18*Assum!$F$59)</f>
        <v>1102.25868682944</v>
      </c>
      <c r="U19" s="59" t="n">
        <f aca="false">IF(Assum!$F$58=1,IF(U18&lt;=200,U18*0.09,IF(U18&lt;=20000,18+(U18-200)*0.19,3780+(U18-20000)*0.21)),U18*Assum!$F$59)</f>
        <v>1184.42479892958</v>
      </c>
      <c r="V19" s="59" t="n">
        <f aca="false">IF(Assum!$F$58=1,IF(V18&lt;=200,V18*0.09,IF(V18&lt;=20000,18+(V18-200)*0.19,3780+(V18-20000)*0.21)),V18*Assum!$F$59)</f>
        <v>1270.66651491056</v>
      </c>
      <c r="W19" s="59" t="n">
        <f aca="false">IF(Assum!$F$58=1,IF(W18&lt;=200,W18*0.09,IF(W18&lt;=20000,18+(W18-200)*0.19,3780+(W18-20000)*0.21)),W18*Assum!$F$59)</f>
        <v>1316.43367191262</v>
      </c>
      <c r="X19" s="59" t="n">
        <f aca="false">IF(Assum!$F$58=1,IF(X18&lt;=200,X18*0.09,IF(X18&lt;=20000,18+(X18-200)*0.19,3780+(X18-20000)*0.21)),X18*Assum!$F$59)</f>
        <v>1290.39153786716</v>
      </c>
      <c r="Y19" s="59" t="n">
        <f aca="false">IF(Assum!$F$58=1,IF(Y18&lt;=200,Y18*0.09,IF(Y18&lt;=20000,18+(Y18-200)*0.19,3780+(Y18-20000)*0.21)),Y18*Assum!$F$59)</f>
        <v>1264.39012681601</v>
      </c>
    </row>
    <row r="20" customFormat="false" ht="15.75" hidden="false" customHeight="false" outlineLevel="0" collapsed="false">
      <c r="B20" s="32" t="s">
        <v>242</v>
      </c>
      <c r="C20" s="58" t="s">
        <v>129</v>
      </c>
      <c r="F20" s="59" t="n">
        <f aca="false">F16-F17+MAX(0,-F15)</f>
        <v>0</v>
      </c>
      <c r="G20" s="59" t="n">
        <f aca="false">G16-G17+MAX(0,-G15)</f>
        <v>0</v>
      </c>
      <c r="H20" s="59" t="n">
        <f aca="false">H16-H17+MAX(0,-H15)</f>
        <v>0</v>
      </c>
      <c r="I20" s="59" t="n">
        <f aca="false">I16-I17+MAX(0,-I15)</f>
        <v>0</v>
      </c>
      <c r="J20" s="59" t="n">
        <f aca="false">J16-J17+MAX(0,-J15)</f>
        <v>0</v>
      </c>
      <c r="K20" s="59" t="n">
        <f aca="false">K16-K17+MAX(0,-K15)</f>
        <v>0</v>
      </c>
      <c r="L20" s="59" t="n">
        <f aca="false">L16-L17+MAX(0,-L15)</f>
        <v>0</v>
      </c>
      <c r="M20" s="59" t="n">
        <f aca="false">M16-M17+MAX(0,-M15)</f>
        <v>0</v>
      </c>
      <c r="N20" s="59" t="n">
        <f aca="false">N16-N17+MAX(0,-N15)</f>
        <v>0</v>
      </c>
      <c r="O20" s="59" t="n">
        <f aca="false">O16-O17+MAX(0,-O15)</f>
        <v>0</v>
      </c>
      <c r="P20" s="59" t="n">
        <f aca="false">P16-P17+MAX(0,-P15)</f>
        <v>0</v>
      </c>
      <c r="Q20" s="59" t="n">
        <f aca="false">Q16-Q17+MAX(0,-Q15)</f>
        <v>0</v>
      </c>
      <c r="R20" s="59" t="n">
        <f aca="false">R16-R17+MAX(0,-R15)</f>
        <v>0</v>
      </c>
      <c r="S20" s="59" t="n">
        <f aca="false">S16-S17+MAX(0,-S15)</f>
        <v>0</v>
      </c>
      <c r="T20" s="59" t="n">
        <f aca="false">T16-T17+MAX(0,-T15)</f>
        <v>0</v>
      </c>
      <c r="U20" s="59" t="n">
        <f aca="false">U16-U17+MAX(0,-U15)</f>
        <v>0</v>
      </c>
      <c r="V20" s="59" t="n">
        <f aca="false">V16-V17+MAX(0,-V15)</f>
        <v>0</v>
      </c>
      <c r="W20" s="59" t="n">
        <f aca="false">W16-W17+MAX(0,-W15)</f>
        <v>0</v>
      </c>
      <c r="X20" s="59" t="n">
        <f aca="false">X16-X17+MAX(0,-X15)</f>
        <v>0</v>
      </c>
      <c r="Y20" s="59" t="n">
        <f aca="false">Y16-Y17+MAX(0,-Y15)</f>
        <v>0</v>
      </c>
    </row>
    <row r="21" customFormat="false" ht="15.75" hidden="false" customHeight="false" outlineLevel="0" collapsed="false">
      <c r="B21" s="60" t="s">
        <v>100</v>
      </c>
      <c r="C21" s="63" t="s">
        <v>129</v>
      </c>
      <c r="D21" s="62" t="n">
        <f aca="false">SUM(F21:Y21)</f>
        <v>71044.3048497388</v>
      </c>
      <c r="E21" s="64"/>
      <c r="F21" s="62" t="n">
        <f aca="false">F15-F19</f>
        <v>1526.59089271252</v>
      </c>
      <c r="G21" s="62" t="n">
        <f aca="false">G15-G19</f>
        <v>1522.50734813132</v>
      </c>
      <c r="H21" s="62" t="n">
        <f aca="false">H15-H19</f>
        <v>1706.16709550273</v>
      </c>
      <c r="I21" s="62" t="n">
        <f aca="false">I15-I19</f>
        <v>1899.44583869687</v>
      </c>
      <c r="J21" s="62" t="n">
        <f aca="false">J15-J19</f>
        <v>2102.78991965765</v>
      </c>
      <c r="K21" s="62" t="n">
        <f aca="false">K15-K19</f>
        <v>2316.66665446382</v>
      </c>
      <c r="L21" s="62" t="n">
        <f aca="false">L15-L19</f>
        <v>2541.56531763778</v>
      </c>
      <c r="M21" s="62" t="n">
        <f aca="false">M15-M19</f>
        <v>2777.99817265448</v>
      </c>
      <c r="N21" s="62" t="n">
        <f aca="false">N15-N19</f>
        <v>3026.50155081873</v>
      </c>
      <c r="O21" s="62" t="n">
        <f aca="false">O15-O19</f>
        <v>3287.63698078114</v>
      </c>
      <c r="P21" s="62" t="n">
        <f aca="false">P15-P19</f>
        <v>3561.99237106944</v>
      </c>
      <c r="Q21" s="62" t="n">
        <f aca="false">Q15-Q19</f>
        <v>3850.18324812356</v>
      </c>
      <c r="R21" s="62" t="n">
        <f aca="false">R15-R19</f>
        <v>4152.85405243953</v>
      </c>
      <c r="S21" s="62" t="n">
        <f aca="false">S15-S19</f>
        <v>4470.67949554957</v>
      </c>
      <c r="T21" s="62" t="n">
        <f aca="false">T15-T19</f>
        <v>4804.36598069391</v>
      </c>
      <c r="U21" s="62" t="n">
        <f aca="false">U15-U19</f>
        <v>5154.65309017346</v>
      </c>
      <c r="V21" s="62" t="n">
        <f aca="false">V15-V19</f>
        <v>5522.31514251342</v>
      </c>
      <c r="W21" s="62" t="n">
        <f aca="false">W15-W19</f>
        <v>5717.42775920641</v>
      </c>
      <c r="X21" s="62" t="n">
        <f aca="false">X15-X19</f>
        <v>5606.40602985473</v>
      </c>
      <c r="Y21" s="62" t="n">
        <f aca="false">Y15-Y19</f>
        <v>5495.55790905773</v>
      </c>
    </row>
    <row r="23" customFormat="false" ht="15.75" hidden="false" customHeight="false" outlineLevel="0" collapsed="false">
      <c r="B23" s="35" t="s">
        <v>243</v>
      </c>
      <c r="C23" s="58" t="s">
        <v>112</v>
      </c>
      <c r="F23" s="65" t="n">
        <f aca="false">IFERROR(F11/F9,0)</f>
        <v>0.766231074211958</v>
      </c>
      <c r="G23" s="65" t="n">
        <f aca="false">IFERROR(G11/G9,0)</f>
        <v>0.763411750483861</v>
      </c>
      <c r="H23" s="65" t="n">
        <f aca="false">IFERROR(H11/H9,0)</f>
        <v>0.760558424861555</v>
      </c>
      <c r="I23" s="65" t="n">
        <f aca="false">IFERROR(I11/I9,0)</f>
        <v>0.757670687271946</v>
      </c>
      <c r="J23" s="65" t="n">
        <f aca="false">IFERROR(J11/J9,0)</f>
        <v>0.754748122696331</v>
      </c>
      <c r="K23" s="65" t="n">
        <f aca="false">IFERROR(K11/K9,0)</f>
        <v>0.751790311110759</v>
      </c>
      <c r="L23" s="65" t="n">
        <f aca="false">IFERROR(L11/L9,0)</f>
        <v>0.748796827425663</v>
      </c>
      <c r="M23" s="65" t="n">
        <f aca="false">IFERROR(M11/M9,0)</f>
        <v>0.745767241424767</v>
      </c>
      <c r="N23" s="65" t="n">
        <f aca="false">IFERROR(N11/N9,0)</f>
        <v>0.742701117703256</v>
      </c>
      <c r="O23" s="65" t="n">
        <f aca="false">IFERROR(O11/O9,0)</f>
        <v>0.739598015605205</v>
      </c>
      <c r="P23" s="65" t="n">
        <f aca="false">IFERROR(P11/P9,0)</f>
        <v>0.736457489160243</v>
      </c>
      <c r="Q23" s="65" t="n">
        <f aca="false">IFERROR(Q11/Q9,0)</f>
        <v>0.733279087019462</v>
      </c>
      <c r="R23" s="65" t="n">
        <f aca="false">IFERROR(R11/R9,0)</f>
        <v>0.730062352390551</v>
      </c>
      <c r="S23" s="65" t="n">
        <f aca="false">IFERROR(S11/S9,0)</f>
        <v>0.726806822972145</v>
      </c>
      <c r="T23" s="65" t="n">
        <f aca="false">IFERROR(T11/T9,0)</f>
        <v>0.723512030887387</v>
      </c>
      <c r="U23" s="65" t="n">
        <f aca="false">IFERROR(U11/U9,0)</f>
        <v>0.720177502616683</v>
      </c>
      <c r="V23" s="65" t="n">
        <f aca="false">IFERROR(V11/V9,0)</f>
        <v>0.716802758929648</v>
      </c>
      <c r="W23" s="65" t="n">
        <f aca="false">IFERROR(W11/W9,0)</f>
        <v>0.713387314816236</v>
      </c>
      <c r="X23" s="65" t="n">
        <f aca="false">IFERROR(X11/X9,0)</f>
        <v>0.709930679417035</v>
      </c>
      <c r="Y23" s="65" t="n">
        <f aca="false">IFERROR(Y11/Y9,0)</f>
        <v>0.706432355952718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55" t="s">
        <v>244</v>
      </c>
    </row>
    <row r="4" customFormat="false" ht="15.75" hidden="false" customHeight="false" outlineLevel="0" collapsed="false">
      <c r="B4" s="13" t="s">
        <v>245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27" t="s">
        <v>73</v>
      </c>
      <c r="C6" s="28" t="s">
        <v>74</v>
      </c>
      <c r="D6" s="27" t="s">
        <v>75</v>
      </c>
      <c r="E6" s="27" t="s">
        <v>76</v>
      </c>
      <c r="F6" s="29" t="s">
        <v>77</v>
      </c>
      <c r="G6" s="29" t="s">
        <v>78</v>
      </c>
      <c r="H6" s="29" t="s">
        <v>79</v>
      </c>
      <c r="I6" s="29" t="s">
        <v>80</v>
      </c>
      <c r="J6" s="29" t="s">
        <v>81</v>
      </c>
      <c r="K6" s="29" t="s">
        <v>82</v>
      </c>
      <c r="L6" s="29" t="s">
        <v>83</v>
      </c>
      <c r="M6" s="29" t="s">
        <v>84</v>
      </c>
      <c r="N6" s="29" t="s">
        <v>85</v>
      </c>
      <c r="O6" s="29" t="s">
        <v>86</v>
      </c>
      <c r="P6" s="29" t="s">
        <v>87</v>
      </c>
      <c r="Q6" s="29" t="s">
        <v>88</v>
      </c>
      <c r="R6" s="29" t="s">
        <v>89</v>
      </c>
      <c r="S6" s="29" t="s">
        <v>90</v>
      </c>
      <c r="T6" s="29" t="s">
        <v>91</v>
      </c>
      <c r="U6" s="29" t="s">
        <v>92</v>
      </c>
      <c r="V6" s="29" t="s">
        <v>93</v>
      </c>
      <c r="W6" s="29" t="s">
        <v>94</v>
      </c>
      <c r="X6" s="29" t="s">
        <v>95</v>
      </c>
      <c r="Y6" s="29" t="s">
        <v>96</v>
      </c>
    </row>
    <row r="7" customFormat="false" ht="15.75" hidden="false" customHeight="false" outlineLevel="0" collapsed="false">
      <c r="E7" s="30" t="n">
        <v>2024</v>
      </c>
      <c r="F7" s="31" t="n">
        <v>2025</v>
      </c>
      <c r="G7" s="31" t="n">
        <v>2026</v>
      </c>
      <c r="H7" s="31" t="n">
        <v>2027</v>
      </c>
      <c r="I7" s="31" t="n">
        <v>2028</v>
      </c>
      <c r="J7" s="31" t="n">
        <v>2029</v>
      </c>
      <c r="K7" s="31" t="n">
        <v>2030</v>
      </c>
      <c r="L7" s="31" t="n">
        <v>2031</v>
      </c>
      <c r="M7" s="31" t="n">
        <v>2032</v>
      </c>
      <c r="N7" s="31" t="n">
        <v>2033</v>
      </c>
      <c r="O7" s="31" t="n">
        <v>2034</v>
      </c>
      <c r="P7" s="31" t="n">
        <v>2035</v>
      </c>
      <c r="Q7" s="31" t="n">
        <v>2036</v>
      </c>
      <c r="R7" s="31" t="n">
        <v>2037</v>
      </c>
      <c r="S7" s="31" t="n">
        <v>2038</v>
      </c>
      <c r="T7" s="31" t="n">
        <v>2039</v>
      </c>
      <c r="U7" s="31" t="n">
        <v>2040</v>
      </c>
      <c r="V7" s="31" t="n">
        <v>2041</v>
      </c>
      <c r="W7" s="31" t="n">
        <v>2042</v>
      </c>
      <c r="X7" s="31" t="n">
        <v>2043</v>
      </c>
      <c r="Y7" s="31" t="n">
        <v>2044</v>
      </c>
    </row>
    <row r="9" customFormat="false" ht="15.75" hidden="false" customHeight="false" outlineLevel="0" collapsed="false">
      <c r="B9" s="35" t="s">
        <v>99</v>
      </c>
      <c r="C9" s="58" t="s">
        <v>129</v>
      </c>
      <c r="D9" s="25" t="n">
        <f aca="false">SUM(F9:Y9)</f>
        <v>299908.219373493</v>
      </c>
      <c r="F9" s="33" t="n">
        <f aca="false">'IS(Y)'!F11</f>
        <v>16323.0880097184</v>
      </c>
      <c r="G9" s="33" t="n">
        <f aca="false">'IS(Y)'!G11</f>
        <v>16181.7125696698</v>
      </c>
      <c r="H9" s="33" t="n">
        <f aca="false">'IS(Y)'!H11</f>
        <v>16040.6256868215</v>
      </c>
      <c r="I9" s="33" t="n">
        <f aca="false">'IS(Y)'!I11</f>
        <v>15899.8229901474</v>
      </c>
      <c r="J9" s="33" t="n">
        <f aca="false">'IS(Y)'!J11</f>
        <v>15759.3001099789</v>
      </c>
      <c r="K9" s="33" t="n">
        <f aca="false">'IS(Y)'!K11</f>
        <v>15619.0526778548</v>
      </c>
      <c r="L9" s="33" t="n">
        <f aca="false">'IS(Y)'!L11</f>
        <v>15479.0763263703</v>
      </c>
      <c r="M9" s="33" t="n">
        <f aca="false">'IS(Y)'!M11</f>
        <v>15339.3666890266</v>
      </c>
      <c r="N9" s="33" t="n">
        <f aca="false">'IS(Y)'!N11</f>
        <v>15199.9194000796</v>
      </c>
      <c r="O9" s="33" t="n">
        <f aca="false">'IS(Y)'!O11</f>
        <v>15060.7300943888</v>
      </c>
      <c r="P9" s="33" t="n">
        <f aca="false">'IS(Y)'!P11</f>
        <v>14921.7944072657</v>
      </c>
      <c r="Q9" s="33" t="n">
        <f aca="false">'IS(Y)'!Q11</f>
        <v>14783.1079743216</v>
      </c>
      <c r="R9" s="33" t="n">
        <f aca="false">'IS(Y)'!R11</f>
        <v>14644.6664313158</v>
      </c>
      <c r="S9" s="33" t="n">
        <f aca="false">'IS(Y)'!S11</f>
        <v>14506.4654140032</v>
      </c>
      <c r="T9" s="33" t="n">
        <f aca="false">'IS(Y)'!T11</f>
        <v>14368.500557981</v>
      </c>
      <c r="U9" s="33" t="n">
        <f aca="false">'IS(Y)'!U11</f>
        <v>14230.7674985363</v>
      </c>
      <c r="V9" s="33" t="n">
        <f aca="false">'IS(Y)'!V11</f>
        <v>14093.2618704922</v>
      </c>
      <c r="W9" s="33" t="n">
        <f aca="false">'IS(Y)'!W11</f>
        <v>13955.9793080544</v>
      </c>
      <c r="X9" s="33" t="n">
        <f aca="false">'IS(Y)'!X11</f>
        <v>13818.9154446573</v>
      </c>
      <c r="Y9" s="33" t="n">
        <f aca="false">'IS(Y)'!Y11</f>
        <v>13682.0659128091</v>
      </c>
    </row>
    <row r="10" customFormat="false" ht="15.75" hidden="false" customHeight="false" outlineLevel="0" collapsed="false">
      <c r="B10" s="32" t="s">
        <v>246</v>
      </c>
      <c r="C10" s="58" t="s">
        <v>129</v>
      </c>
      <c r="D10" s="25" t="n">
        <f aca="false">SUM(F10:Y10)</f>
        <v>-16170.8863227782</v>
      </c>
      <c r="F10" s="33" t="n">
        <f aca="false">-'IS(Y)'!F19</f>
        <v>-333.397863722691</v>
      </c>
      <c r="G10" s="33" t="n">
        <f aca="false">-'IS(Y)'!G19</f>
        <v>-332.439995240679</v>
      </c>
      <c r="H10" s="33" t="n">
        <f aca="false">-'IS(Y)'!H19</f>
        <v>-375.520676722864</v>
      </c>
      <c r="I10" s="33" t="n">
        <f aca="false">-'IS(Y)'!I19</f>
        <v>-420.857665867167</v>
      </c>
      <c r="J10" s="33" t="n">
        <f aca="false">-'IS(Y)'!J19</f>
        <v>-468.55566016661</v>
      </c>
      <c r="K10" s="33" t="n">
        <f aca="false">-'IS(Y)'!K19</f>
        <v>-518.724276972996</v>
      </c>
      <c r="L10" s="33" t="n">
        <f aca="false">-'IS(Y)'!L19</f>
        <v>-571.47828438417</v>
      </c>
      <c r="M10" s="33" t="n">
        <f aca="false">-'IS(Y)'!M19</f>
        <v>-626.937842968334</v>
      </c>
      <c r="N10" s="33" t="n">
        <f aca="false">-'IS(Y)'!N19</f>
        <v>-685.228758834023</v>
      </c>
      <c r="O10" s="33" t="n">
        <f aca="false">-'IS(Y)'!O19</f>
        <v>-746.482748578292</v>
      </c>
      <c r="P10" s="33" t="n">
        <f aca="false">-'IS(Y)'!P19</f>
        <v>-810.837716670609</v>
      </c>
      <c r="Q10" s="33" t="n">
        <f aca="false">-'IS(Y)'!Q19</f>
        <v>-878.438045856144</v>
      </c>
      <c r="R10" s="33" t="n">
        <f aca="false">-'IS(Y)'!R19</f>
        <v>-949.434901189518</v>
      </c>
      <c r="S10" s="33" t="n">
        <f aca="false">-'IS(Y)'!S19</f>
        <v>-1023.98654833879</v>
      </c>
      <c r="T10" s="33" t="n">
        <f aca="false">-'IS(Y)'!T19</f>
        <v>-1102.25868682944</v>
      </c>
      <c r="U10" s="33" t="n">
        <f aca="false">-'IS(Y)'!U19</f>
        <v>-1184.42479892958</v>
      </c>
      <c r="V10" s="33" t="n">
        <f aca="false">-'IS(Y)'!V19</f>
        <v>-1270.66651491056</v>
      </c>
      <c r="W10" s="33" t="n">
        <f aca="false">-'IS(Y)'!W19</f>
        <v>-1316.43367191262</v>
      </c>
      <c r="X10" s="33" t="n">
        <f aca="false">-'IS(Y)'!X19</f>
        <v>-1290.39153786716</v>
      </c>
      <c r="Y10" s="33" t="n">
        <f aca="false">-'IS(Y)'!Y19</f>
        <v>-1264.39012681601</v>
      </c>
    </row>
    <row r="11" customFormat="false" ht="15.75" hidden="false" customHeight="false" outlineLevel="0" collapsed="false">
      <c r="B11" s="76" t="s">
        <v>247</v>
      </c>
      <c r="C11" s="63" t="s">
        <v>129</v>
      </c>
      <c r="D11" s="62" t="n">
        <f aca="false">SUM(F11:Y11)</f>
        <v>283737.333050714</v>
      </c>
      <c r="E11" s="64"/>
      <c r="F11" s="62" t="n">
        <f aca="false">F9+F10</f>
        <v>15989.6901459957</v>
      </c>
      <c r="G11" s="62" t="n">
        <f aca="false">G9+G10</f>
        <v>15849.2725744291</v>
      </c>
      <c r="H11" s="62" t="n">
        <f aca="false">H9+H10</f>
        <v>15665.1050100986</v>
      </c>
      <c r="I11" s="62" t="n">
        <f aca="false">I9+I10</f>
        <v>15478.9653242802</v>
      </c>
      <c r="J11" s="62" t="n">
        <f aca="false">J9+J10</f>
        <v>15290.7444498123</v>
      </c>
      <c r="K11" s="62" t="n">
        <f aca="false">K9+K10</f>
        <v>15100.3284008818</v>
      </c>
      <c r="L11" s="62" t="n">
        <f aca="false">L9+L10</f>
        <v>14907.5980419862</v>
      </c>
      <c r="M11" s="62" t="n">
        <f aca="false">M9+M10</f>
        <v>14712.4288460583</v>
      </c>
      <c r="N11" s="62" t="n">
        <f aca="false">N9+N10</f>
        <v>14514.6906412456</v>
      </c>
      <c r="O11" s="62" t="n">
        <f aca="false">O9+O10</f>
        <v>14314.2473458105</v>
      </c>
      <c r="P11" s="62" t="n">
        <f aca="false">P9+P10</f>
        <v>14110.956690595</v>
      </c>
      <c r="Q11" s="62" t="n">
        <f aca="false">Q9+Q10</f>
        <v>13904.6699284654</v>
      </c>
      <c r="R11" s="62" t="n">
        <f aca="false">R9+R10</f>
        <v>13695.2315301263</v>
      </c>
      <c r="S11" s="62" t="n">
        <f aca="false">S9+S10</f>
        <v>13482.4788656644</v>
      </c>
      <c r="T11" s="62" t="n">
        <f aca="false">T9+T10</f>
        <v>13266.2418711515</v>
      </c>
      <c r="U11" s="62" t="n">
        <f aca="false">U9+U10</f>
        <v>13046.3426996067</v>
      </c>
      <c r="V11" s="62" t="n">
        <f aca="false">V9+V10</f>
        <v>12822.5953555816</v>
      </c>
      <c r="W11" s="62" t="n">
        <f aca="false">W9+W10</f>
        <v>12639.5456361418</v>
      </c>
      <c r="X11" s="62" t="n">
        <f aca="false">X9+X10</f>
        <v>12528.5239067901</v>
      </c>
      <c r="Y11" s="62" t="n">
        <f aca="false">Y9+Y10</f>
        <v>12417.6757859931</v>
      </c>
    </row>
    <row r="12" customFormat="false" ht="15.75" hidden="false" customHeight="false" outlineLevel="0" collapsed="false">
      <c r="B12" s="13" t="s">
        <v>248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customFormat="false" ht="15.75" hidden="false" customHeight="false" outlineLevel="0" collapsed="false">
      <c r="B13" s="32" t="s">
        <v>249</v>
      </c>
      <c r="C13" s="58" t="s">
        <v>129</v>
      </c>
      <c r="D13" s="25" t="n">
        <f aca="false">SUM(F13:Y13)</f>
        <v>-210369.468070376</v>
      </c>
      <c r="F13" s="33" t="n">
        <f aca="false">-Debt!F13</f>
        <v>-7540.9813764032</v>
      </c>
      <c r="G13" s="33" t="n">
        <f aca="false">-Debt!G13</f>
        <v>-13967.0553872215</v>
      </c>
      <c r="H13" s="33" t="n">
        <f aca="false">-Debt!H13</f>
        <v>-13804.7590698697</v>
      </c>
      <c r="I13" s="33" t="n">
        <f aca="false">-Debt!I13</f>
        <v>-13640.7248348992</v>
      </c>
      <c r="J13" s="33" t="n">
        <f aca="false">-Debt!J13</f>
        <v>-13474.8565676725</v>
      </c>
      <c r="K13" s="33" t="n">
        <f aca="false">-Debt!K13</f>
        <v>-13307.0538190266</v>
      </c>
      <c r="L13" s="33" t="n">
        <f aca="false">-Debt!L13</f>
        <v>-13137.2116016722</v>
      </c>
      <c r="M13" s="33" t="n">
        <f aca="false">-Debt!M13</f>
        <v>-12965.2201770435</v>
      </c>
      <c r="N13" s="33" t="n">
        <f aca="false">-Debt!N13</f>
        <v>-12790.9648321487</v>
      </c>
      <c r="O13" s="33" t="n">
        <f aca="false">-Debt!O13</f>
        <v>-12614.3256459532</v>
      </c>
      <c r="P13" s="33" t="n">
        <f aca="false">-Debt!P13</f>
        <v>-12435.1772448032</v>
      </c>
      <c r="Q13" s="33" t="n">
        <f aca="false">-Debt!Q13</f>
        <v>-12253.3885463765</v>
      </c>
      <c r="R13" s="33" t="n">
        <f aca="false">-Debt!R13</f>
        <v>-12068.8224916206</v>
      </c>
      <c r="S13" s="33" t="n">
        <f aca="false">-Debt!S13</f>
        <v>-11881.3357641153</v>
      </c>
      <c r="T13" s="33" t="n">
        <f aca="false">-Debt!T13</f>
        <v>-11690.7784962695</v>
      </c>
      <c r="U13" s="33" t="n">
        <f aca="false">-Debt!U13</f>
        <v>-11496.9939617334</v>
      </c>
      <c r="V13" s="33" t="n">
        <f aca="false">-Debt!V13</f>
        <v>-11299.8182533805</v>
      </c>
      <c r="W13" s="33" t="n">
        <f aca="false">-Debt!W13</f>
        <v>-5.5399716438842E-008</v>
      </c>
      <c r="X13" s="33" t="n">
        <f aca="false">-Debt!X13</f>
        <v>-5.5399716438842E-008</v>
      </c>
      <c r="Y13" s="33" t="n">
        <f aca="false">-Debt!Y13</f>
        <v>-5.5399716438842E-008</v>
      </c>
    </row>
    <row r="14" customFormat="false" ht="15.75" hidden="false" customHeight="false" outlineLevel="0" collapsed="false">
      <c r="B14" s="35" t="s">
        <v>250</v>
      </c>
      <c r="C14" s="58" t="s">
        <v>129</v>
      </c>
      <c r="D14" s="25" t="n">
        <f aca="false">SUM(F14:Y14)</f>
        <v>5000</v>
      </c>
      <c r="F14" s="33" t="n">
        <f aca="false">-Debt!F17</f>
        <v>-1983.52769361075</v>
      </c>
      <c r="G14" s="33" t="n">
        <f aca="false">-Debt!G17</f>
        <v>81.1481586758837</v>
      </c>
      <c r="H14" s="33" t="n">
        <f aca="false">-Debt!H17</f>
        <v>82.017117485264</v>
      </c>
      <c r="I14" s="33" t="n">
        <f aca="false">-Debt!I17</f>
        <v>82.9341336133412</v>
      </c>
      <c r="J14" s="33" t="n">
        <f aca="false">-Debt!J17</f>
        <v>83.9013743229698</v>
      </c>
      <c r="K14" s="33" t="n">
        <f aca="false">-Debt!K17</f>
        <v>84.9211086771893</v>
      </c>
      <c r="L14" s="33" t="n">
        <f aca="false">-Debt!L17</f>
        <v>85.9957123143468</v>
      </c>
      <c r="M14" s="33" t="n">
        <f aca="false">-Debt!M17</f>
        <v>87.1276724473946</v>
      </c>
      <c r="N14" s="33" t="n">
        <f aca="false">-Debt!N17</f>
        <v>88.3195930977754</v>
      </c>
      <c r="O14" s="33" t="n">
        <f aca="false">-Debt!O17</f>
        <v>89.5742005749926</v>
      </c>
      <c r="P14" s="33" t="n">
        <f aca="false">-Debt!P17</f>
        <v>90.894349213344</v>
      </c>
      <c r="Q14" s="33" t="n">
        <f aca="false">-Debt!Q17</f>
        <v>92.2830273779528</v>
      </c>
      <c r="R14" s="33" t="n">
        <f aca="false">-Debt!R17</f>
        <v>93.7433637526347</v>
      </c>
      <c r="S14" s="33" t="n">
        <f aca="false">-Debt!S17</f>
        <v>95.2786339229124</v>
      </c>
      <c r="T14" s="33" t="n">
        <f aca="false">-Debt!T17</f>
        <v>96.8922672680465</v>
      </c>
      <c r="U14" s="33" t="n">
        <f aca="false">-Debt!U17</f>
        <v>98.5878541764714</v>
      </c>
      <c r="V14" s="33" t="n">
        <f aca="false">-Debt!V17</f>
        <v>5649.90912669023</v>
      </c>
      <c r="W14" s="33" t="n">
        <f aca="false">-Debt!W17</f>
        <v>-0</v>
      </c>
      <c r="X14" s="33" t="n">
        <f aca="false">-Debt!X17</f>
        <v>-0</v>
      </c>
      <c r="Y14" s="33" t="n">
        <f aca="false">-Debt!Y17</f>
        <v>-0</v>
      </c>
    </row>
    <row r="15" customFormat="false" ht="15.75" hidden="false" customHeight="false" outlineLevel="0" collapsed="false">
      <c r="B15" s="32" t="s">
        <v>251</v>
      </c>
      <c r="C15" s="58" t="s">
        <v>129</v>
      </c>
      <c r="D15" s="25" t="n">
        <f aca="false">SUM(F15:Y15)</f>
        <v>-2000</v>
      </c>
      <c r="F15" s="59" t="n">
        <f aca="false">IF(1=Assum!$F$18,-Assum!$F$51,0)</f>
        <v>0</v>
      </c>
      <c r="G15" s="59" t="n">
        <f aca="false">IF(2=Assum!$F$18,-Assum!$F$51,0)</f>
        <v>0</v>
      </c>
      <c r="H15" s="59" t="n">
        <f aca="false">IF(3=Assum!$F$18,-Assum!$F$51,0)</f>
        <v>0</v>
      </c>
      <c r="I15" s="59" t="n">
        <f aca="false">IF(4=Assum!$F$18,-Assum!$F$51,0)</f>
        <v>0</v>
      </c>
      <c r="J15" s="59" t="n">
        <f aca="false">IF(5=Assum!$F$18,-Assum!$F$51,0)</f>
        <v>0</v>
      </c>
      <c r="K15" s="59" t="n">
        <f aca="false">IF(6=Assum!$F$18,-Assum!$F$51,0)</f>
        <v>0</v>
      </c>
      <c r="L15" s="59" t="n">
        <f aca="false">IF(7=Assum!$F$18,-Assum!$F$51,0)</f>
        <v>0</v>
      </c>
      <c r="M15" s="59" t="n">
        <f aca="false">IF(8=Assum!$F$18,-Assum!$F$51,0)</f>
        <v>0</v>
      </c>
      <c r="N15" s="59" t="n">
        <f aca="false">IF(9=Assum!$F$18,-Assum!$F$51,0)</f>
        <v>0</v>
      </c>
      <c r="O15" s="59" t="n">
        <f aca="false">IF(10=Assum!$F$18,-Assum!$F$51,0)</f>
        <v>0</v>
      </c>
      <c r="P15" s="59" t="n">
        <f aca="false">IF(11=Assum!$F$18,-Assum!$F$51,0)</f>
        <v>0</v>
      </c>
      <c r="Q15" s="59" t="n">
        <f aca="false">IF(12=Assum!$F$18,-Assum!$F$51,0)</f>
        <v>0</v>
      </c>
      <c r="R15" s="59" t="n">
        <f aca="false">IF(13=Assum!$F$18,-Assum!$F$51,0)</f>
        <v>0</v>
      </c>
      <c r="S15" s="59" t="n">
        <f aca="false">IF(14=Assum!$F$18,-Assum!$F$51,0)</f>
        <v>0</v>
      </c>
      <c r="T15" s="59" t="n">
        <f aca="false">IF(15=Assum!$F$18,-Assum!$F$51,0)</f>
        <v>0</v>
      </c>
      <c r="U15" s="59" t="n">
        <f aca="false">IF(16=Assum!$F$18,-Assum!$F$51,0)</f>
        <v>0</v>
      </c>
      <c r="V15" s="59" t="n">
        <f aca="false">IF(17=Assum!$F$18,-Assum!$F$51,0)</f>
        <v>0</v>
      </c>
      <c r="W15" s="59" t="n">
        <f aca="false">IF(18=Assum!$F$18,-Assum!$F$51,0)</f>
        <v>0</v>
      </c>
      <c r="X15" s="59" t="n">
        <f aca="false">IF(19=Assum!$F$18,-Assum!$F$51,0)</f>
        <v>0</v>
      </c>
      <c r="Y15" s="59" t="n">
        <f aca="false">IF(20=Assum!$F$18,-Assum!$F$51,0)</f>
        <v>-2000</v>
      </c>
    </row>
    <row r="17" customFormat="false" ht="15.75" hidden="false" customHeight="false" outlineLevel="0" collapsed="false">
      <c r="B17" s="60" t="s">
        <v>252</v>
      </c>
      <c r="C17" s="63" t="s">
        <v>129</v>
      </c>
      <c r="D17" s="62" t="n">
        <f aca="false">SUM(F17:Y17)</f>
        <v>76367.8649803388</v>
      </c>
      <c r="E17" s="64"/>
      <c r="F17" s="62" t="n">
        <f aca="false">F11+F13+F14+F15</f>
        <v>6465.18107598177</v>
      </c>
      <c r="G17" s="62" t="n">
        <f aca="false">G11+G13+G14+G15</f>
        <v>1963.36534588352</v>
      </c>
      <c r="H17" s="62" t="n">
        <f aca="false">H11+H13+H14+H15</f>
        <v>1942.36305771413</v>
      </c>
      <c r="I17" s="62" t="n">
        <f aca="false">I11+I13+I14+I15</f>
        <v>1921.17462299432</v>
      </c>
      <c r="J17" s="62" t="n">
        <f aca="false">J11+J13+J14+J15</f>
        <v>1899.78925646277</v>
      </c>
      <c r="K17" s="62" t="n">
        <f aca="false">K11+K13+K14+K15</f>
        <v>1878.19569053245</v>
      </c>
      <c r="L17" s="62" t="n">
        <f aca="false">L11+L13+L14+L15</f>
        <v>1856.38215262832</v>
      </c>
      <c r="M17" s="62" t="n">
        <f aca="false">M11+M13+M14+M15</f>
        <v>1834.33634146215</v>
      </c>
      <c r="N17" s="62" t="n">
        <f aca="false">N11+N13+N14+N15</f>
        <v>1812.04540219463</v>
      </c>
      <c r="O17" s="62" t="n">
        <f aca="false">O11+O13+O14+O15</f>
        <v>1789.49590043235</v>
      </c>
      <c r="P17" s="62" t="n">
        <f aca="false">P11+P13+P14+P15</f>
        <v>1766.6737950052</v>
      </c>
      <c r="Q17" s="62" t="n">
        <f aca="false">Q11+Q13+Q14+Q15</f>
        <v>1743.56440946686</v>
      </c>
      <c r="R17" s="62" t="n">
        <f aca="false">R11+R13+R14+R15</f>
        <v>1720.15240225833</v>
      </c>
      <c r="S17" s="62" t="n">
        <f aca="false">S11+S13+S14+S15</f>
        <v>1696.42173547196</v>
      </c>
      <c r="T17" s="62" t="n">
        <f aca="false">T11+T13+T14+T15</f>
        <v>1672.35564215009</v>
      </c>
      <c r="U17" s="62" t="n">
        <f aca="false">U11+U13+U14+U15</f>
        <v>1647.93659204974</v>
      </c>
      <c r="V17" s="62" t="n">
        <f aca="false">V11+V13+V14+V15</f>
        <v>7172.68622889137</v>
      </c>
      <c r="W17" s="62" t="n">
        <f aca="false">W11+W13+W14+W15</f>
        <v>12639.5456360864</v>
      </c>
      <c r="X17" s="62" t="n">
        <f aca="false">X11+X13+X14+X15</f>
        <v>12528.5239067347</v>
      </c>
      <c r="Y17" s="62" t="n">
        <f aca="false">Y11+Y13+Y14+Y15</f>
        <v>10417.6757859377</v>
      </c>
    </row>
    <row r="18" customFormat="false" ht="15.75" hidden="false" customHeight="false" outlineLevel="0" collapsed="false">
      <c r="B18" s="13" t="s">
        <v>253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customFormat="false" ht="15.75" hidden="false" customHeight="false" outlineLevel="0" collapsed="false">
      <c r="B19" s="68" t="s">
        <v>254</v>
      </c>
      <c r="C19" s="58" t="s">
        <v>129</v>
      </c>
      <c r="D19" s="25" t="n">
        <f aca="false">SUM(F19:Y19)</f>
        <v>76367.8649803388</v>
      </c>
      <c r="F19" s="25" t="n">
        <f aca="false">IF(AND(1&gt;=Assum!$F$67,IF(ISNUMBER(DSCR!F11),DSCR!F11,99)&gt;=Assum!$F$66),MAX(0,F21+F17-IF(1=Assum!$F$18,0,Assum!$F$65)),0)</f>
        <v>0</v>
      </c>
      <c r="G19" s="25" t="n">
        <f aca="false">IF(AND(2&gt;=Assum!$F$67,IF(ISNUMBER(DSCR!G11),DSCR!G11,99)&gt;=Assum!$F$66),MAX(0,G21+G17-IF(2=Assum!$F$18,0,Assum!$F$65)),0)</f>
        <v>7428.54642186528</v>
      </c>
      <c r="H19" s="25" t="n">
        <f aca="false">IF(AND(3&gt;=Assum!$F$67,IF(ISNUMBER(DSCR!H11),DSCR!H11,99)&gt;=Assum!$F$66),MAX(0,H21+H17-IF(3=Assum!$F$18,0,Assum!$F$65)),0)</f>
        <v>1942.36305771413</v>
      </c>
      <c r="I19" s="25" t="n">
        <f aca="false">IF(AND(4&gt;=Assum!$F$67,IF(ISNUMBER(DSCR!I11),DSCR!I11,99)&gt;=Assum!$F$66),MAX(0,I21+I17-IF(4=Assum!$F$18,0,Assum!$F$65)),0)</f>
        <v>1921.17462299432</v>
      </c>
      <c r="J19" s="25" t="n">
        <f aca="false">IF(AND(5&gt;=Assum!$F$67,IF(ISNUMBER(DSCR!J11),DSCR!J11,99)&gt;=Assum!$F$66),MAX(0,J21+J17-IF(5=Assum!$F$18,0,Assum!$F$65)),0)</f>
        <v>1899.78925646277</v>
      </c>
      <c r="K19" s="25" t="n">
        <f aca="false">IF(AND(6&gt;=Assum!$F$67,IF(ISNUMBER(DSCR!K11),DSCR!K11,99)&gt;=Assum!$F$66),MAX(0,K21+K17-IF(6=Assum!$F$18,0,Assum!$F$65)),0)</f>
        <v>1878.19569053245</v>
      </c>
      <c r="L19" s="25" t="n">
        <f aca="false">IF(AND(7&gt;=Assum!$F$67,IF(ISNUMBER(DSCR!L11),DSCR!L11,99)&gt;=Assum!$F$66),MAX(0,L21+L17-IF(7=Assum!$F$18,0,Assum!$F$65)),0)</f>
        <v>1856.38215262832</v>
      </c>
      <c r="M19" s="25" t="n">
        <f aca="false">IF(AND(8&gt;=Assum!$F$67,IF(ISNUMBER(DSCR!M11),DSCR!M11,99)&gt;=Assum!$F$66),MAX(0,M21+M17-IF(8=Assum!$F$18,0,Assum!$F$65)),0)</f>
        <v>1834.33634146215</v>
      </c>
      <c r="N19" s="25" t="n">
        <f aca="false">IF(AND(9&gt;=Assum!$F$67,IF(ISNUMBER(DSCR!N11),DSCR!N11,99)&gt;=Assum!$F$66),MAX(0,N21+N17-IF(9=Assum!$F$18,0,Assum!$F$65)),0)</f>
        <v>1812.04540219463</v>
      </c>
      <c r="O19" s="25" t="n">
        <f aca="false">IF(AND(10&gt;=Assum!$F$67,IF(ISNUMBER(DSCR!O11),DSCR!O11,99)&gt;=Assum!$F$66),MAX(0,O21+O17-IF(10=Assum!$F$18,0,Assum!$F$65)),0)</f>
        <v>1789.49590043235</v>
      </c>
      <c r="P19" s="25" t="n">
        <f aca="false">IF(AND(11&gt;=Assum!$F$67,IF(ISNUMBER(DSCR!P11),DSCR!P11,99)&gt;=Assum!$F$66),MAX(0,P21+P17-IF(11=Assum!$F$18,0,Assum!$F$65)),0)</f>
        <v>1766.6737950052</v>
      </c>
      <c r="Q19" s="25" t="n">
        <f aca="false">IF(AND(12&gt;=Assum!$F$67,IF(ISNUMBER(DSCR!Q11),DSCR!Q11,99)&gt;=Assum!$F$66),MAX(0,Q21+Q17-IF(12=Assum!$F$18,0,Assum!$F$65)),0)</f>
        <v>1743.56440946686</v>
      </c>
      <c r="R19" s="25" t="n">
        <f aca="false">IF(AND(13&gt;=Assum!$F$67,IF(ISNUMBER(DSCR!R11),DSCR!R11,99)&gt;=Assum!$F$66),MAX(0,R21+R17-IF(13=Assum!$F$18,0,Assum!$F$65)),0)</f>
        <v>1720.15240225833</v>
      </c>
      <c r="S19" s="25" t="n">
        <f aca="false">IF(AND(14&gt;=Assum!$F$67,IF(ISNUMBER(DSCR!S11),DSCR!S11,99)&gt;=Assum!$F$66),MAX(0,S21+S17-IF(14=Assum!$F$18,0,Assum!$F$65)),0)</f>
        <v>1696.42173547196</v>
      </c>
      <c r="T19" s="25" t="n">
        <f aca="false">IF(AND(15&gt;=Assum!$F$67,IF(ISNUMBER(DSCR!T11),DSCR!T11,99)&gt;=Assum!$F$66),MAX(0,T21+T17-IF(15=Assum!$F$18,0,Assum!$F$65)),0)</f>
        <v>1672.35564215009</v>
      </c>
      <c r="U19" s="25" t="n">
        <f aca="false">IF(AND(16&gt;=Assum!$F$67,IF(ISNUMBER(DSCR!U11),DSCR!U11,99)&gt;=Assum!$F$66),MAX(0,U21+U17-IF(16=Assum!$F$18,0,Assum!$F$65)),0)</f>
        <v>1647.93659204974</v>
      </c>
      <c r="V19" s="25" t="n">
        <f aca="false">IF(AND(17&gt;=Assum!$F$67,IF(ISNUMBER(DSCR!V11),DSCR!V11,99)&gt;=Assum!$F$66),MAX(0,V21+V17-IF(17=Assum!$F$18,0,Assum!$F$65)),0)</f>
        <v>7172.68622889137</v>
      </c>
      <c r="W19" s="25" t="n">
        <f aca="false">IF(AND(18&gt;=Assum!$F$67,IF(ISNUMBER(DSCR!W11),DSCR!W11,99)&gt;=Assum!$F$66),MAX(0,W21+W17-IF(18=Assum!$F$18,0,Assum!$F$65)),0)</f>
        <v>12639.5456360864</v>
      </c>
      <c r="X19" s="25" t="n">
        <f aca="false">IF(AND(19&gt;=Assum!$F$67,IF(ISNUMBER(DSCR!X11),DSCR!X11,99)&gt;=Assum!$F$66),MAX(0,X21+X17-IF(19=Assum!$F$18,0,Assum!$F$65)),0)</f>
        <v>12528.5239067347</v>
      </c>
      <c r="Y19" s="25" t="n">
        <f aca="false">IF(AND(20&gt;=Assum!$F$67,IF(ISNUMBER(DSCR!Y11),DSCR!Y11,99)&gt;=Assum!$F$66),MAX(0,Y21+Y17-IF(20=Assum!$F$18,0,Assum!$F$65)),0)</f>
        <v>11417.6757859377</v>
      </c>
    </row>
    <row r="21" customFormat="false" ht="15.75" hidden="false" customHeight="false" outlineLevel="0" collapsed="false">
      <c r="B21" s="32" t="s">
        <v>255</v>
      </c>
      <c r="C21" s="58" t="s">
        <v>129</v>
      </c>
      <c r="F21" s="59" t="n">
        <v>0</v>
      </c>
      <c r="G21" s="59" t="n">
        <f aca="false">F22</f>
        <v>6465.18107598177</v>
      </c>
      <c r="H21" s="59" t="n">
        <f aca="false">G22</f>
        <v>1000</v>
      </c>
      <c r="I21" s="59" t="n">
        <f aca="false">H22</f>
        <v>1000</v>
      </c>
      <c r="J21" s="59" t="n">
        <f aca="false">I22</f>
        <v>1000</v>
      </c>
      <c r="K21" s="59" t="n">
        <f aca="false">J22</f>
        <v>1000</v>
      </c>
      <c r="L21" s="59" t="n">
        <f aca="false">K22</f>
        <v>1000</v>
      </c>
      <c r="M21" s="59" t="n">
        <f aca="false">L22</f>
        <v>1000</v>
      </c>
      <c r="N21" s="59" t="n">
        <f aca="false">M22</f>
        <v>1000</v>
      </c>
      <c r="O21" s="59" t="n">
        <f aca="false">N22</f>
        <v>1000</v>
      </c>
      <c r="P21" s="59" t="n">
        <f aca="false">O22</f>
        <v>1000</v>
      </c>
      <c r="Q21" s="59" t="n">
        <f aca="false">P22</f>
        <v>1000</v>
      </c>
      <c r="R21" s="59" t="n">
        <f aca="false">Q22</f>
        <v>1000</v>
      </c>
      <c r="S21" s="59" t="n">
        <f aca="false">R22</f>
        <v>1000</v>
      </c>
      <c r="T21" s="59" t="n">
        <f aca="false">S22</f>
        <v>1000</v>
      </c>
      <c r="U21" s="59" t="n">
        <f aca="false">T22</f>
        <v>1000</v>
      </c>
      <c r="V21" s="59" t="n">
        <f aca="false">U22</f>
        <v>1000</v>
      </c>
      <c r="W21" s="59" t="n">
        <f aca="false">V22</f>
        <v>1000</v>
      </c>
      <c r="X21" s="59" t="n">
        <f aca="false">W22</f>
        <v>1000</v>
      </c>
      <c r="Y21" s="59" t="n">
        <f aca="false">X22</f>
        <v>1000</v>
      </c>
    </row>
    <row r="22" customFormat="false" ht="15.75" hidden="false" customHeight="false" outlineLevel="0" collapsed="false">
      <c r="B22" s="32" t="s">
        <v>256</v>
      </c>
      <c r="C22" s="58" t="s">
        <v>129</v>
      </c>
      <c r="F22" s="59" t="n">
        <f aca="false">F21+F17-F19</f>
        <v>6465.18107598177</v>
      </c>
      <c r="G22" s="59" t="n">
        <f aca="false">G21+G17-G19</f>
        <v>1000</v>
      </c>
      <c r="H22" s="59" t="n">
        <f aca="false">H21+H17-H19</f>
        <v>1000</v>
      </c>
      <c r="I22" s="59" t="n">
        <f aca="false">I21+I17-I19</f>
        <v>1000</v>
      </c>
      <c r="J22" s="59" t="n">
        <f aca="false">J21+J17-J19</f>
        <v>1000</v>
      </c>
      <c r="K22" s="59" t="n">
        <f aca="false">K21+K17-K19</f>
        <v>1000</v>
      </c>
      <c r="L22" s="59" t="n">
        <f aca="false">L21+L17-L19</f>
        <v>1000</v>
      </c>
      <c r="M22" s="59" t="n">
        <f aca="false">M21+M17-M19</f>
        <v>1000</v>
      </c>
      <c r="N22" s="59" t="n">
        <f aca="false">N21+N17-N19</f>
        <v>1000</v>
      </c>
      <c r="O22" s="59" t="n">
        <f aca="false">O21+O17-O19</f>
        <v>1000</v>
      </c>
      <c r="P22" s="59" t="n">
        <f aca="false">P21+P17-P19</f>
        <v>1000</v>
      </c>
      <c r="Q22" s="59" t="n">
        <f aca="false">Q21+Q17-Q19</f>
        <v>1000</v>
      </c>
      <c r="R22" s="59" t="n">
        <f aca="false">R21+R17-R19</f>
        <v>1000</v>
      </c>
      <c r="S22" s="59" t="n">
        <f aca="false">S21+S17-S19</f>
        <v>1000</v>
      </c>
      <c r="T22" s="59" t="n">
        <f aca="false">T21+T17-T19</f>
        <v>1000</v>
      </c>
      <c r="U22" s="59" t="n">
        <f aca="false">U21+U17-U19</f>
        <v>1000</v>
      </c>
      <c r="V22" s="59" t="n">
        <f aca="false">V21+V17-V19</f>
        <v>1000</v>
      </c>
      <c r="W22" s="59" t="n">
        <f aca="false">W21+W17-W19</f>
        <v>1000</v>
      </c>
      <c r="X22" s="59" t="n">
        <f aca="false">X21+X17-X19</f>
        <v>1000</v>
      </c>
      <c r="Y22" s="59" t="n">
        <f aca="false">Y21+Y17-Y19</f>
        <v>0</v>
      </c>
    </row>
    <row r="23" customFormat="false" ht="15.75" hidden="false" customHeight="false" outlineLevel="0" collapsed="false">
      <c r="B23" s="35" t="s">
        <v>257</v>
      </c>
      <c r="C23" s="58" t="s">
        <v>129</v>
      </c>
      <c r="F23" s="33" t="n">
        <f aca="false">Debt!F16</f>
        <v>6983.52769361075</v>
      </c>
      <c r="G23" s="33" t="n">
        <f aca="false">Debt!G16</f>
        <v>6902.37953493487</v>
      </c>
      <c r="H23" s="33" t="n">
        <f aca="false">Debt!H16</f>
        <v>6820.3624174496</v>
      </c>
      <c r="I23" s="33" t="n">
        <f aca="false">Debt!I16</f>
        <v>6737.42828383626</v>
      </c>
      <c r="J23" s="33" t="n">
        <f aca="false">Debt!J16</f>
        <v>6653.52690951329</v>
      </c>
      <c r="K23" s="33" t="n">
        <f aca="false">Debt!K16</f>
        <v>6568.6058008361</v>
      </c>
      <c r="L23" s="33" t="n">
        <f aca="false">Debt!L16</f>
        <v>6482.61008852176</v>
      </c>
      <c r="M23" s="33" t="n">
        <f aca="false">Debt!M16</f>
        <v>6395.48241607436</v>
      </c>
      <c r="N23" s="33" t="n">
        <f aca="false">Debt!N16</f>
        <v>6307.16282297659</v>
      </c>
      <c r="O23" s="33" t="n">
        <f aca="false">Debt!O16</f>
        <v>6217.5886224016</v>
      </c>
      <c r="P23" s="33" t="n">
        <f aca="false">Debt!P16</f>
        <v>6126.69427318825</v>
      </c>
      <c r="Q23" s="33" t="n">
        <f aca="false">Debt!Q16</f>
        <v>6034.4112458103</v>
      </c>
      <c r="R23" s="33" t="n">
        <f aca="false">Debt!R16</f>
        <v>5940.66788205766</v>
      </c>
      <c r="S23" s="33" t="n">
        <f aca="false">Debt!S16</f>
        <v>5845.38924813475</v>
      </c>
      <c r="T23" s="33" t="n">
        <f aca="false">Debt!T16</f>
        <v>5748.49698086671</v>
      </c>
      <c r="U23" s="33" t="n">
        <f aca="false">Debt!U16</f>
        <v>5649.90912669023</v>
      </c>
      <c r="V23" s="33" t="n">
        <f aca="false">Debt!V16</f>
        <v>0</v>
      </c>
      <c r="W23" s="33" t="n">
        <f aca="false">Debt!W16</f>
        <v>0</v>
      </c>
      <c r="X23" s="33" t="n">
        <f aca="false">Debt!X16</f>
        <v>0</v>
      </c>
      <c r="Y23" s="33" t="n">
        <f aca="false">Debt!Y16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55" t="s">
        <v>258</v>
      </c>
    </row>
    <row r="4" customFormat="false" ht="15.75" hidden="false" customHeight="false" outlineLevel="0" collapsed="false">
      <c r="B4" s="38" t="s">
        <v>27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27" t="s">
        <v>73</v>
      </c>
      <c r="C6" s="28" t="s">
        <v>74</v>
      </c>
      <c r="D6" s="27" t="s">
        <v>75</v>
      </c>
      <c r="E6" s="27" t="s">
        <v>76</v>
      </c>
      <c r="F6" s="29" t="s">
        <v>77</v>
      </c>
      <c r="G6" s="29" t="s">
        <v>78</v>
      </c>
      <c r="H6" s="29" t="s">
        <v>79</v>
      </c>
      <c r="I6" s="29" t="s">
        <v>80</v>
      </c>
      <c r="J6" s="29" t="s">
        <v>81</v>
      </c>
      <c r="K6" s="29" t="s">
        <v>82</v>
      </c>
      <c r="L6" s="29" t="s">
        <v>83</v>
      </c>
      <c r="M6" s="29" t="s">
        <v>84</v>
      </c>
      <c r="N6" s="29" t="s">
        <v>85</v>
      </c>
      <c r="O6" s="29" t="s">
        <v>86</v>
      </c>
      <c r="P6" s="29" t="s">
        <v>87</v>
      </c>
      <c r="Q6" s="29" t="s">
        <v>88</v>
      </c>
      <c r="R6" s="29" t="s">
        <v>89</v>
      </c>
      <c r="S6" s="29" t="s">
        <v>90</v>
      </c>
      <c r="T6" s="29" t="s">
        <v>91</v>
      </c>
      <c r="U6" s="29" t="s">
        <v>92</v>
      </c>
      <c r="V6" s="29" t="s">
        <v>93</v>
      </c>
      <c r="W6" s="29" t="s">
        <v>94</v>
      </c>
      <c r="X6" s="29" t="s">
        <v>95</v>
      </c>
      <c r="Y6" s="29" t="s">
        <v>96</v>
      </c>
    </row>
    <row r="7" customFormat="false" ht="15.75" hidden="false" customHeight="false" outlineLevel="0" collapsed="false">
      <c r="E7" s="30" t="n">
        <v>2024</v>
      </c>
      <c r="F7" s="31" t="n">
        <v>2025</v>
      </c>
      <c r="G7" s="31" t="n">
        <v>2026</v>
      </c>
      <c r="H7" s="31" t="n">
        <v>2027</v>
      </c>
      <c r="I7" s="31" t="n">
        <v>2028</v>
      </c>
      <c r="J7" s="31" t="n">
        <v>2029</v>
      </c>
      <c r="K7" s="31" t="n">
        <v>2030</v>
      </c>
      <c r="L7" s="31" t="n">
        <v>2031</v>
      </c>
      <c r="M7" s="31" t="n">
        <v>2032</v>
      </c>
      <c r="N7" s="31" t="n">
        <v>2033</v>
      </c>
      <c r="O7" s="31" t="n">
        <v>2034</v>
      </c>
      <c r="P7" s="31" t="n">
        <v>2035</v>
      </c>
      <c r="Q7" s="31" t="n">
        <v>2036</v>
      </c>
      <c r="R7" s="31" t="n">
        <v>2037</v>
      </c>
      <c r="S7" s="31" t="n">
        <v>2038</v>
      </c>
      <c r="T7" s="31" t="n">
        <v>2039</v>
      </c>
      <c r="U7" s="31" t="n">
        <v>2040</v>
      </c>
      <c r="V7" s="31" t="n">
        <v>2041</v>
      </c>
      <c r="W7" s="31" t="n">
        <v>2042</v>
      </c>
      <c r="X7" s="31" t="n">
        <v>2043</v>
      </c>
      <c r="Y7" s="31" t="n">
        <v>2044</v>
      </c>
    </row>
    <row r="9" customFormat="false" ht="15.75" hidden="false" customHeight="false" outlineLevel="0" collapsed="false">
      <c r="B9" s="35" t="s">
        <v>101</v>
      </c>
      <c r="C9" s="58" t="s">
        <v>129</v>
      </c>
      <c r="F9" s="33" t="n">
        <f aca="false">'CF(Y)'!F11</f>
        <v>15989.6901459957</v>
      </c>
      <c r="G9" s="33" t="n">
        <f aca="false">'CF(Y)'!G11</f>
        <v>15849.2725744291</v>
      </c>
      <c r="H9" s="33" t="n">
        <f aca="false">'CF(Y)'!H11</f>
        <v>15665.1050100986</v>
      </c>
      <c r="I9" s="33" t="n">
        <f aca="false">'CF(Y)'!I11</f>
        <v>15478.9653242802</v>
      </c>
      <c r="J9" s="33" t="n">
        <f aca="false">'CF(Y)'!J11</f>
        <v>15290.7444498123</v>
      </c>
      <c r="K9" s="33" t="n">
        <f aca="false">'CF(Y)'!K11</f>
        <v>15100.3284008818</v>
      </c>
      <c r="L9" s="33" t="n">
        <f aca="false">'CF(Y)'!L11</f>
        <v>14907.5980419862</v>
      </c>
      <c r="M9" s="33" t="n">
        <f aca="false">'CF(Y)'!M11</f>
        <v>14712.4288460583</v>
      </c>
      <c r="N9" s="33" t="n">
        <f aca="false">'CF(Y)'!N11</f>
        <v>14514.6906412456</v>
      </c>
      <c r="O9" s="33" t="n">
        <f aca="false">'CF(Y)'!O11</f>
        <v>14314.2473458105</v>
      </c>
      <c r="P9" s="33" t="n">
        <f aca="false">'CF(Y)'!P11</f>
        <v>14110.956690595</v>
      </c>
      <c r="Q9" s="33" t="n">
        <f aca="false">'CF(Y)'!Q11</f>
        <v>13904.6699284654</v>
      </c>
      <c r="R9" s="33" t="n">
        <f aca="false">'CF(Y)'!R11</f>
        <v>13695.2315301263</v>
      </c>
      <c r="S9" s="33" t="n">
        <f aca="false">'CF(Y)'!S11</f>
        <v>13482.4788656644</v>
      </c>
      <c r="T9" s="33" t="n">
        <f aca="false">'CF(Y)'!T11</f>
        <v>13266.2418711515</v>
      </c>
      <c r="U9" s="33" t="n">
        <f aca="false">'CF(Y)'!U11</f>
        <v>13046.3426996067</v>
      </c>
      <c r="V9" s="33" t="n">
        <f aca="false">'CF(Y)'!V11</f>
        <v>12822.5953555816</v>
      </c>
      <c r="W9" s="33" t="n">
        <f aca="false">'CF(Y)'!W11</f>
        <v>12639.5456361418</v>
      </c>
      <c r="X9" s="33" t="n">
        <f aca="false">'CF(Y)'!X11</f>
        <v>12528.5239067901</v>
      </c>
      <c r="Y9" s="33" t="n">
        <f aca="false">'CF(Y)'!Y11</f>
        <v>12417.6757859931</v>
      </c>
    </row>
    <row r="10" customFormat="false" ht="15.75" hidden="false" customHeight="false" outlineLevel="0" collapsed="false">
      <c r="B10" s="32" t="s">
        <v>102</v>
      </c>
      <c r="C10" s="58" t="s">
        <v>129</v>
      </c>
      <c r="F10" s="33" t="n">
        <f aca="false">Debt!F13</f>
        <v>7540.9813764032</v>
      </c>
      <c r="G10" s="33" t="n">
        <f aca="false">Debt!G13</f>
        <v>13967.0553872215</v>
      </c>
      <c r="H10" s="33" t="n">
        <f aca="false">Debt!H13</f>
        <v>13804.7590698697</v>
      </c>
      <c r="I10" s="33" t="n">
        <f aca="false">Debt!I13</f>
        <v>13640.7248348992</v>
      </c>
      <c r="J10" s="33" t="n">
        <f aca="false">Debt!J13</f>
        <v>13474.8565676725</v>
      </c>
      <c r="K10" s="33" t="n">
        <f aca="false">Debt!K13</f>
        <v>13307.0538190266</v>
      </c>
      <c r="L10" s="33" t="n">
        <f aca="false">Debt!L13</f>
        <v>13137.2116016722</v>
      </c>
      <c r="M10" s="33" t="n">
        <f aca="false">Debt!M13</f>
        <v>12965.2201770435</v>
      </c>
      <c r="N10" s="33" t="n">
        <f aca="false">Debt!N13</f>
        <v>12790.9648321487</v>
      </c>
      <c r="O10" s="33" t="n">
        <f aca="false">Debt!O13</f>
        <v>12614.3256459532</v>
      </c>
      <c r="P10" s="33" t="n">
        <f aca="false">Debt!P13</f>
        <v>12435.1772448032</v>
      </c>
      <c r="Q10" s="33" t="n">
        <f aca="false">Debt!Q13</f>
        <v>12253.3885463765</v>
      </c>
      <c r="R10" s="33" t="n">
        <f aca="false">Debt!R13</f>
        <v>12068.8224916206</v>
      </c>
      <c r="S10" s="33" t="n">
        <f aca="false">Debt!S13</f>
        <v>11881.3357641153</v>
      </c>
      <c r="T10" s="33" t="n">
        <f aca="false">Debt!T13</f>
        <v>11690.7784962695</v>
      </c>
      <c r="U10" s="33" t="n">
        <f aca="false">Debt!U13</f>
        <v>11496.9939617334</v>
      </c>
      <c r="V10" s="33" t="n">
        <f aca="false">Debt!V13</f>
        <v>11299.8182533805</v>
      </c>
      <c r="W10" s="33" t="n">
        <f aca="false">Debt!W13</f>
        <v>5.5399716438842E-008</v>
      </c>
      <c r="X10" s="33" t="n">
        <f aca="false">Debt!X13</f>
        <v>5.5399716438842E-008</v>
      </c>
      <c r="Y10" s="33" t="n">
        <f aca="false">Debt!Y13</f>
        <v>5.5399716438842E-008</v>
      </c>
    </row>
    <row r="11" customFormat="false" ht="15.75" hidden="false" customHeight="false" outlineLevel="0" collapsed="false">
      <c r="B11" s="60" t="s">
        <v>259</v>
      </c>
      <c r="C11" s="63" t="s">
        <v>151</v>
      </c>
      <c r="D11" s="64"/>
      <c r="E11" s="64"/>
      <c r="F11" s="77" t="n">
        <f aca="false">IF(F10&lt;=0.001,"-",F9/F10)</f>
        <v>2.12037258121731</v>
      </c>
      <c r="G11" s="77" t="n">
        <f aca="false">IF(G10&lt;=0.001,"-",G9/G10)</f>
        <v>1.13476120306143</v>
      </c>
      <c r="H11" s="77" t="n">
        <f aca="false">IF(H10&lt;=0.001,"-",H9/H10)</f>
        <v>1.13476120306143</v>
      </c>
      <c r="I11" s="77" t="n">
        <f aca="false">IF(I10&lt;=0.001,"-",I9/I10)</f>
        <v>1.13476120306143</v>
      </c>
      <c r="J11" s="77" t="n">
        <f aca="false">IF(J10&lt;=0.001,"-",J9/J10)</f>
        <v>1.13476120306143</v>
      </c>
      <c r="K11" s="77" t="n">
        <f aca="false">IF(K10&lt;=0.001,"-",K9/K10)</f>
        <v>1.13476120306143</v>
      </c>
      <c r="L11" s="77" t="n">
        <f aca="false">IF(L10&lt;=0.001,"-",L9/L10)</f>
        <v>1.13476120306143</v>
      </c>
      <c r="M11" s="77" t="n">
        <f aca="false">IF(M10&lt;=0.001,"-",M9/M10)</f>
        <v>1.13476120306143</v>
      </c>
      <c r="N11" s="77" t="n">
        <f aca="false">IF(N10&lt;=0.001,"-",N9/N10)</f>
        <v>1.13476120306143</v>
      </c>
      <c r="O11" s="77" t="n">
        <f aca="false">IF(O10&lt;=0.001,"-",O9/O10)</f>
        <v>1.13476120306143</v>
      </c>
      <c r="P11" s="77" t="n">
        <f aca="false">IF(P10&lt;=0.001,"-",P9/P10)</f>
        <v>1.13476120306143</v>
      </c>
      <c r="Q11" s="77" t="n">
        <f aca="false">IF(Q10&lt;=0.001,"-",Q9/Q10)</f>
        <v>1.13476120306144</v>
      </c>
      <c r="R11" s="77" t="n">
        <f aca="false">IF(R10&lt;=0.001,"-",R9/R10)</f>
        <v>1.13476120306144</v>
      </c>
      <c r="S11" s="77" t="n">
        <f aca="false">IF(S10&lt;=0.001,"-",S9/S10)</f>
        <v>1.13476120306144</v>
      </c>
      <c r="T11" s="77" t="n">
        <f aca="false">IF(T10&lt;=0.001,"-",T9/T10)</f>
        <v>1.13476120306144</v>
      </c>
      <c r="U11" s="77" t="n">
        <f aca="false">IF(U10&lt;=0.001,"-",U9/U10)</f>
        <v>1.13476120306144</v>
      </c>
      <c r="V11" s="77" t="n">
        <f aca="false">IF(V10&lt;=0.001,"-",V9/V10)</f>
        <v>1.13476120306144</v>
      </c>
      <c r="W11" s="77" t="str">
        <f aca="false">IF(W10&lt;=0.001,"-",W9/W10)</f>
        <v>-</v>
      </c>
      <c r="X11" s="77" t="str">
        <f aca="false">IF(X10&lt;=0.001,"-",X9/X10)</f>
        <v>-</v>
      </c>
      <c r="Y11" s="77" t="str">
        <f aca="false">IF(Y10&lt;=0.001,"-",Y9/Y10)</f>
        <v>-</v>
      </c>
    </row>
    <row r="13" customFormat="false" ht="15.75" hidden="false" customHeight="false" outlineLevel="0" collapsed="false">
      <c r="B13" s="68" t="s">
        <v>260</v>
      </c>
      <c r="C13" s="58" t="s">
        <v>151</v>
      </c>
      <c r="D13" s="78" t="n">
        <f aca="false">MIN(F11:Y11)</f>
        <v>1.13476120306143</v>
      </c>
    </row>
    <row r="14" customFormat="false" ht="15.75" hidden="false" customHeight="false" outlineLevel="0" collapsed="false">
      <c r="B14" s="68" t="s">
        <v>261</v>
      </c>
      <c r="C14" s="58" t="s">
        <v>151</v>
      </c>
      <c r="D14" s="78" t="n">
        <f aca="false">IFERROR(AVERAGE(F11:Y11),0)</f>
        <v>1.19273834295296</v>
      </c>
    </row>
    <row r="16" customFormat="false" ht="15.75" hidden="false" customHeight="false" outlineLevel="0" collapsed="false">
      <c r="B16" s="37" t="s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26" min="5" style="0" width="12"/>
  </cols>
  <sheetData>
    <row r="1" customFormat="false" ht="15.75" hidden="false" customHeight="false" outlineLevel="0" collapsed="false">
      <c r="A1" s="11" t="s">
        <v>0</v>
      </c>
    </row>
    <row r="2" customFormat="false" ht="15.75" hidden="false" customHeight="false" outlineLevel="0" collapsed="false">
      <c r="A2" s="55" t="s">
        <v>263</v>
      </c>
    </row>
    <row r="4" customFormat="false" ht="15.75" hidden="false" customHeight="false" outlineLevel="0" collapsed="false">
      <c r="B4" s="38" t="s">
        <v>264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.75" hidden="false" customHeight="false" outlineLevel="0" collapsed="false">
      <c r="B6" s="27" t="s">
        <v>73</v>
      </c>
      <c r="C6" s="28" t="s">
        <v>74</v>
      </c>
      <c r="D6" s="27" t="s">
        <v>75</v>
      </c>
      <c r="E6" s="27" t="s">
        <v>76</v>
      </c>
      <c r="F6" s="29" t="s">
        <v>77</v>
      </c>
      <c r="G6" s="29" t="s">
        <v>78</v>
      </c>
      <c r="H6" s="29" t="s">
        <v>79</v>
      </c>
      <c r="I6" s="29" t="s">
        <v>80</v>
      </c>
      <c r="J6" s="29" t="s">
        <v>81</v>
      </c>
      <c r="K6" s="29" t="s">
        <v>82</v>
      </c>
      <c r="L6" s="29" t="s">
        <v>83</v>
      </c>
      <c r="M6" s="29" t="s">
        <v>84</v>
      </c>
      <c r="N6" s="29" t="s">
        <v>85</v>
      </c>
      <c r="O6" s="29" t="s">
        <v>86</v>
      </c>
      <c r="P6" s="29" t="s">
        <v>87</v>
      </c>
      <c r="Q6" s="29" t="s">
        <v>88</v>
      </c>
      <c r="R6" s="29" t="s">
        <v>89</v>
      </c>
      <c r="S6" s="29" t="s">
        <v>90</v>
      </c>
      <c r="T6" s="29" t="s">
        <v>91</v>
      </c>
      <c r="U6" s="29" t="s">
        <v>92</v>
      </c>
      <c r="V6" s="29" t="s">
        <v>93</v>
      </c>
      <c r="W6" s="29" t="s">
        <v>94</v>
      </c>
      <c r="X6" s="29" t="s">
        <v>95</v>
      </c>
      <c r="Y6" s="29" t="s">
        <v>96</v>
      </c>
    </row>
    <row r="7" customFormat="false" ht="15.75" hidden="false" customHeight="false" outlineLevel="0" collapsed="false">
      <c r="E7" s="30" t="n">
        <v>2024</v>
      </c>
      <c r="F7" s="31" t="n">
        <v>2025</v>
      </c>
      <c r="G7" s="31" t="n">
        <v>2026</v>
      </c>
      <c r="H7" s="31" t="n">
        <v>2027</v>
      </c>
      <c r="I7" s="31" t="n">
        <v>2028</v>
      </c>
      <c r="J7" s="31" t="n">
        <v>2029</v>
      </c>
      <c r="K7" s="31" t="n">
        <v>2030</v>
      </c>
      <c r="L7" s="31" t="n">
        <v>2031</v>
      </c>
      <c r="M7" s="31" t="n">
        <v>2032</v>
      </c>
      <c r="N7" s="31" t="n">
        <v>2033</v>
      </c>
      <c r="O7" s="31" t="n">
        <v>2034</v>
      </c>
      <c r="P7" s="31" t="n">
        <v>2035</v>
      </c>
      <c r="Q7" s="31" t="n">
        <v>2036</v>
      </c>
      <c r="R7" s="31" t="n">
        <v>2037</v>
      </c>
      <c r="S7" s="31" t="n">
        <v>2038</v>
      </c>
      <c r="T7" s="31" t="n">
        <v>2039</v>
      </c>
      <c r="U7" s="31" t="n">
        <v>2040</v>
      </c>
      <c r="V7" s="31" t="n">
        <v>2041</v>
      </c>
      <c r="W7" s="31" t="n">
        <v>2042</v>
      </c>
      <c r="X7" s="31" t="n">
        <v>2043</v>
      </c>
      <c r="Y7" s="31" t="n">
        <v>2044</v>
      </c>
    </row>
    <row r="9" customFormat="false" ht="15.75" hidden="false" customHeight="false" outlineLevel="0" collapsed="false">
      <c r="B9" s="32" t="s">
        <v>198</v>
      </c>
      <c r="C9" s="58" t="s">
        <v>129</v>
      </c>
      <c r="E9" s="59" t="n">
        <f aca="false">-TIC_Funding!$D$10+Assum!$F$23</f>
        <v>-145728.797408</v>
      </c>
      <c r="F9" s="59" t="n">
        <v>0</v>
      </c>
      <c r="G9" s="59" t="n">
        <v>0</v>
      </c>
      <c r="H9" s="59" t="n">
        <v>0</v>
      </c>
      <c r="I9" s="59" t="n">
        <v>0</v>
      </c>
      <c r="J9" s="59" t="n">
        <v>0</v>
      </c>
      <c r="K9" s="59" t="n">
        <v>0</v>
      </c>
      <c r="L9" s="59" t="n">
        <v>0</v>
      </c>
      <c r="M9" s="59" t="n">
        <v>0</v>
      </c>
      <c r="N9" s="59" t="n">
        <v>0</v>
      </c>
      <c r="O9" s="59" t="n">
        <v>0</v>
      </c>
      <c r="P9" s="59" t="n">
        <v>0</v>
      </c>
      <c r="Q9" s="59" t="n">
        <v>0</v>
      </c>
      <c r="R9" s="59" t="n">
        <v>0</v>
      </c>
      <c r="S9" s="59" t="n">
        <v>0</v>
      </c>
      <c r="T9" s="59" t="n">
        <v>0</v>
      </c>
      <c r="U9" s="59" t="n">
        <v>0</v>
      </c>
      <c r="V9" s="59" t="n">
        <v>0</v>
      </c>
      <c r="W9" s="59" t="n">
        <v>0</v>
      </c>
      <c r="X9" s="59" t="n">
        <v>0</v>
      </c>
      <c r="Y9" s="59" t="n">
        <v>0</v>
      </c>
    </row>
    <row r="10" customFormat="false" ht="15.75" hidden="false" customHeight="false" outlineLevel="0" collapsed="false">
      <c r="B10" s="35" t="s">
        <v>99</v>
      </c>
      <c r="C10" s="58" t="s">
        <v>129</v>
      </c>
      <c r="E10" s="59" t="n">
        <v>0</v>
      </c>
      <c r="F10" s="33" t="n">
        <f aca="false">'IS(Y)'!F11</f>
        <v>16323.0880097184</v>
      </c>
      <c r="G10" s="33" t="n">
        <f aca="false">'IS(Y)'!G11</f>
        <v>16181.7125696698</v>
      </c>
      <c r="H10" s="33" t="n">
        <f aca="false">'IS(Y)'!H11</f>
        <v>16040.6256868215</v>
      </c>
      <c r="I10" s="33" t="n">
        <f aca="false">'IS(Y)'!I11</f>
        <v>15899.8229901474</v>
      </c>
      <c r="J10" s="33" t="n">
        <f aca="false">'IS(Y)'!J11</f>
        <v>15759.3001099789</v>
      </c>
      <c r="K10" s="33" t="n">
        <f aca="false">'IS(Y)'!K11</f>
        <v>15619.0526778548</v>
      </c>
      <c r="L10" s="33" t="n">
        <f aca="false">'IS(Y)'!L11</f>
        <v>15479.0763263703</v>
      </c>
      <c r="M10" s="33" t="n">
        <f aca="false">'IS(Y)'!M11</f>
        <v>15339.3666890266</v>
      </c>
      <c r="N10" s="33" t="n">
        <f aca="false">'IS(Y)'!N11</f>
        <v>15199.9194000796</v>
      </c>
      <c r="O10" s="33" t="n">
        <f aca="false">'IS(Y)'!O11</f>
        <v>15060.7300943888</v>
      </c>
      <c r="P10" s="33" t="n">
        <f aca="false">'IS(Y)'!P11</f>
        <v>14921.7944072657</v>
      </c>
      <c r="Q10" s="33" t="n">
        <f aca="false">'IS(Y)'!Q11</f>
        <v>14783.1079743216</v>
      </c>
      <c r="R10" s="33" t="n">
        <f aca="false">'IS(Y)'!R11</f>
        <v>14644.6664313158</v>
      </c>
      <c r="S10" s="33" t="n">
        <f aca="false">'IS(Y)'!S11</f>
        <v>14506.4654140032</v>
      </c>
      <c r="T10" s="33" t="n">
        <f aca="false">'IS(Y)'!T11</f>
        <v>14368.500557981</v>
      </c>
      <c r="U10" s="33" t="n">
        <f aca="false">'IS(Y)'!U11</f>
        <v>14230.7674985363</v>
      </c>
      <c r="V10" s="33" t="n">
        <f aca="false">'IS(Y)'!V11</f>
        <v>14093.2618704922</v>
      </c>
      <c r="W10" s="33" t="n">
        <f aca="false">'IS(Y)'!W11</f>
        <v>13955.9793080544</v>
      </c>
      <c r="X10" s="33" t="n">
        <f aca="false">'IS(Y)'!X11</f>
        <v>13818.9154446573</v>
      </c>
      <c r="Y10" s="33" t="n">
        <f aca="false">'IS(Y)'!Y11</f>
        <v>13682.0659128091</v>
      </c>
    </row>
    <row r="11" customFormat="false" ht="15.75" hidden="false" customHeight="false" outlineLevel="0" collapsed="false">
      <c r="B11" s="32" t="s">
        <v>265</v>
      </c>
      <c r="C11" s="58" t="s">
        <v>129</v>
      </c>
      <c r="E11" s="59" t="n">
        <v>0</v>
      </c>
      <c r="F11" s="33" t="n">
        <f aca="false">-'IS(Y)'!F19</f>
        <v>-333.397863722691</v>
      </c>
      <c r="G11" s="33" t="n">
        <f aca="false">-'IS(Y)'!G19</f>
        <v>-332.439995240679</v>
      </c>
      <c r="H11" s="33" t="n">
        <f aca="false">-'IS(Y)'!H19</f>
        <v>-375.520676722864</v>
      </c>
      <c r="I11" s="33" t="n">
        <f aca="false">-'IS(Y)'!I19</f>
        <v>-420.857665867167</v>
      </c>
      <c r="J11" s="33" t="n">
        <f aca="false">-'IS(Y)'!J19</f>
        <v>-468.55566016661</v>
      </c>
      <c r="K11" s="33" t="n">
        <f aca="false">-'IS(Y)'!K19</f>
        <v>-518.724276972996</v>
      </c>
      <c r="L11" s="33" t="n">
        <f aca="false">-'IS(Y)'!L19</f>
        <v>-571.47828438417</v>
      </c>
      <c r="M11" s="33" t="n">
        <f aca="false">-'IS(Y)'!M19</f>
        <v>-626.937842968334</v>
      </c>
      <c r="N11" s="33" t="n">
        <f aca="false">-'IS(Y)'!N19</f>
        <v>-685.228758834023</v>
      </c>
      <c r="O11" s="33" t="n">
        <f aca="false">-'IS(Y)'!O19</f>
        <v>-746.482748578292</v>
      </c>
      <c r="P11" s="33" t="n">
        <f aca="false">-'IS(Y)'!P19</f>
        <v>-810.837716670609</v>
      </c>
      <c r="Q11" s="33" t="n">
        <f aca="false">-'IS(Y)'!Q19</f>
        <v>-878.438045856144</v>
      </c>
      <c r="R11" s="33" t="n">
        <f aca="false">-'IS(Y)'!R19</f>
        <v>-949.434901189518</v>
      </c>
      <c r="S11" s="33" t="n">
        <f aca="false">-'IS(Y)'!S19</f>
        <v>-1023.98654833879</v>
      </c>
      <c r="T11" s="33" t="n">
        <f aca="false">-'IS(Y)'!T19</f>
        <v>-1102.25868682944</v>
      </c>
      <c r="U11" s="33" t="n">
        <f aca="false">-'IS(Y)'!U19</f>
        <v>-1184.42479892958</v>
      </c>
      <c r="V11" s="33" t="n">
        <f aca="false">-'IS(Y)'!V19</f>
        <v>-1270.66651491056</v>
      </c>
      <c r="W11" s="33" t="n">
        <f aca="false">-'IS(Y)'!W19</f>
        <v>-1316.43367191262</v>
      </c>
      <c r="X11" s="33" t="n">
        <f aca="false">-'IS(Y)'!X19</f>
        <v>-1290.39153786716</v>
      </c>
      <c r="Y11" s="33" t="n">
        <f aca="false">-'IS(Y)'!Y19</f>
        <v>-1264.39012681601</v>
      </c>
    </row>
    <row r="12" customFormat="false" ht="15.75" hidden="false" customHeight="false" outlineLevel="0" collapsed="false">
      <c r="B12" s="32" t="s">
        <v>251</v>
      </c>
      <c r="C12" s="58" t="s">
        <v>129</v>
      </c>
      <c r="E12" s="59" t="n">
        <v>0</v>
      </c>
      <c r="F12" s="33" t="n">
        <f aca="false">'CF(Y)'!F15</f>
        <v>0</v>
      </c>
      <c r="G12" s="33" t="n">
        <f aca="false">'CF(Y)'!G15</f>
        <v>0</v>
      </c>
      <c r="H12" s="33" t="n">
        <f aca="false">'CF(Y)'!H15</f>
        <v>0</v>
      </c>
      <c r="I12" s="33" t="n">
        <f aca="false">'CF(Y)'!I15</f>
        <v>0</v>
      </c>
      <c r="J12" s="33" t="n">
        <f aca="false">'CF(Y)'!J15</f>
        <v>0</v>
      </c>
      <c r="K12" s="33" t="n">
        <f aca="false">'CF(Y)'!K15</f>
        <v>0</v>
      </c>
      <c r="L12" s="33" t="n">
        <f aca="false">'CF(Y)'!L15</f>
        <v>0</v>
      </c>
      <c r="M12" s="33" t="n">
        <f aca="false">'CF(Y)'!M15</f>
        <v>0</v>
      </c>
      <c r="N12" s="33" t="n">
        <f aca="false">'CF(Y)'!N15</f>
        <v>0</v>
      </c>
      <c r="O12" s="33" t="n">
        <f aca="false">'CF(Y)'!O15</f>
        <v>0</v>
      </c>
      <c r="P12" s="33" t="n">
        <f aca="false">'CF(Y)'!P15</f>
        <v>0</v>
      </c>
      <c r="Q12" s="33" t="n">
        <f aca="false">'CF(Y)'!Q15</f>
        <v>0</v>
      </c>
      <c r="R12" s="33" t="n">
        <f aca="false">'CF(Y)'!R15</f>
        <v>0</v>
      </c>
      <c r="S12" s="33" t="n">
        <f aca="false">'CF(Y)'!S15</f>
        <v>0</v>
      </c>
      <c r="T12" s="33" t="n">
        <f aca="false">'CF(Y)'!T15</f>
        <v>0</v>
      </c>
      <c r="U12" s="33" t="n">
        <f aca="false">'CF(Y)'!U15</f>
        <v>0</v>
      </c>
      <c r="V12" s="33" t="n">
        <f aca="false">'CF(Y)'!V15</f>
        <v>0</v>
      </c>
      <c r="W12" s="33" t="n">
        <f aca="false">'CF(Y)'!W15</f>
        <v>0</v>
      </c>
      <c r="X12" s="33" t="n">
        <f aca="false">'CF(Y)'!X15</f>
        <v>0</v>
      </c>
      <c r="Y12" s="33" t="n">
        <f aca="false">'CF(Y)'!Y15</f>
        <v>-2000</v>
      </c>
    </row>
    <row r="13" customFormat="false" ht="15.75" hidden="false" customHeight="false" outlineLevel="0" collapsed="false">
      <c r="B13" s="76" t="s">
        <v>266</v>
      </c>
      <c r="C13" s="63" t="s">
        <v>129</v>
      </c>
      <c r="D13" s="64"/>
      <c r="E13" s="62" t="n">
        <f aca="false">SUM(E9:E12)</f>
        <v>-145728.797408</v>
      </c>
      <c r="F13" s="62" t="n">
        <f aca="false">SUM(F9:F12)</f>
        <v>15989.6901459957</v>
      </c>
      <c r="G13" s="62" t="n">
        <f aca="false">SUM(G9:G12)</f>
        <v>15849.2725744291</v>
      </c>
      <c r="H13" s="62" t="n">
        <f aca="false">SUM(H9:H12)</f>
        <v>15665.1050100986</v>
      </c>
      <c r="I13" s="62" t="n">
        <f aca="false">SUM(I9:I12)</f>
        <v>15478.9653242802</v>
      </c>
      <c r="J13" s="62" t="n">
        <f aca="false">SUM(J9:J12)</f>
        <v>15290.7444498123</v>
      </c>
      <c r="K13" s="62" t="n">
        <f aca="false">SUM(K9:K12)</f>
        <v>15100.3284008818</v>
      </c>
      <c r="L13" s="62" t="n">
        <f aca="false">SUM(L9:L12)</f>
        <v>14907.5980419862</v>
      </c>
      <c r="M13" s="62" t="n">
        <f aca="false">SUM(M9:M12)</f>
        <v>14712.4288460583</v>
      </c>
      <c r="N13" s="62" t="n">
        <f aca="false">SUM(N9:N12)</f>
        <v>14514.6906412456</v>
      </c>
      <c r="O13" s="62" t="n">
        <f aca="false">SUM(O9:O12)</f>
        <v>14314.2473458105</v>
      </c>
      <c r="P13" s="62" t="n">
        <f aca="false">SUM(P9:P12)</f>
        <v>14110.956690595</v>
      </c>
      <c r="Q13" s="62" t="n">
        <f aca="false">SUM(Q9:Q12)</f>
        <v>13904.6699284654</v>
      </c>
      <c r="R13" s="62" t="n">
        <f aca="false">SUM(R9:R12)</f>
        <v>13695.2315301263</v>
      </c>
      <c r="S13" s="62" t="n">
        <f aca="false">SUM(S9:S12)</f>
        <v>13482.4788656644</v>
      </c>
      <c r="T13" s="62" t="n">
        <f aca="false">SUM(T9:T12)</f>
        <v>13266.2418711515</v>
      </c>
      <c r="U13" s="62" t="n">
        <f aca="false">SUM(U9:U12)</f>
        <v>13046.3426996067</v>
      </c>
      <c r="V13" s="62" t="n">
        <f aca="false">SUM(V9:V12)</f>
        <v>12822.5953555816</v>
      </c>
      <c r="W13" s="62" t="n">
        <f aca="false">SUM(W9:W12)</f>
        <v>12639.5456361418</v>
      </c>
      <c r="X13" s="62" t="n">
        <f aca="false">SUM(X9:X12)</f>
        <v>12528.5239067901</v>
      </c>
      <c r="Y13" s="62" t="n">
        <f aca="false">SUM(Y9:Y12)</f>
        <v>10417.6757859931</v>
      </c>
    </row>
    <row r="15" customFormat="false" ht="15.75" hidden="false" customHeight="false" outlineLevel="0" collapsed="false">
      <c r="B15" s="34" t="s">
        <v>267</v>
      </c>
      <c r="C15" s="58" t="s">
        <v>112</v>
      </c>
      <c r="D15" s="79" t="n">
        <f aca="false">IRR(E13:Y13)</f>
        <v>0.0779422808320441</v>
      </c>
    </row>
    <row r="16" customFormat="false" ht="15.75" hidden="false" customHeight="false" outlineLevel="0" collapsed="false">
      <c r="B16" s="34" t="s">
        <v>268</v>
      </c>
      <c r="C16" s="58" t="s">
        <v>129</v>
      </c>
      <c r="D16" s="25" t="n">
        <f aca="false">NPV(Assum!$F$71,F13:Y13)+E13</f>
        <v>27240.1774446053</v>
      </c>
    </row>
    <row r="18" customFormat="false" ht="15.75" hidden="false" customHeight="false" outlineLevel="0" collapsed="false">
      <c r="B18" s="38" t="s">
        <v>269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20" customFormat="false" ht="15.75" hidden="false" customHeight="false" outlineLevel="0" collapsed="false">
      <c r="B20" s="32" t="s">
        <v>270</v>
      </c>
      <c r="C20" s="58" t="s">
        <v>129</v>
      </c>
      <c r="E20" s="59" t="n">
        <f aca="false">-TIC_Funding!$D$15</f>
        <v>-14610</v>
      </c>
      <c r="F20" s="59" t="n">
        <v>0</v>
      </c>
      <c r="G20" s="59" t="n">
        <v>0</v>
      </c>
      <c r="H20" s="59" t="n">
        <v>0</v>
      </c>
      <c r="I20" s="59" t="n">
        <v>0</v>
      </c>
      <c r="J20" s="59" t="n">
        <v>0</v>
      </c>
      <c r="K20" s="59" t="n">
        <v>0</v>
      </c>
      <c r="L20" s="59" t="n">
        <v>0</v>
      </c>
      <c r="M20" s="59" t="n">
        <v>0</v>
      </c>
      <c r="N20" s="59" t="n">
        <v>0</v>
      </c>
      <c r="O20" s="59" t="n">
        <v>0</v>
      </c>
      <c r="P20" s="59" t="n">
        <v>0</v>
      </c>
      <c r="Q20" s="59" t="n">
        <v>0</v>
      </c>
      <c r="R20" s="59" t="n">
        <v>0</v>
      </c>
      <c r="S20" s="59" t="n">
        <v>0</v>
      </c>
      <c r="T20" s="59" t="n">
        <v>0</v>
      </c>
      <c r="U20" s="59" t="n">
        <v>0</v>
      </c>
      <c r="V20" s="59" t="n">
        <v>0</v>
      </c>
      <c r="W20" s="59" t="n">
        <v>0</v>
      </c>
      <c r="X20" s="59" t="n">
        <v>0</v>
      </c>
      <c r="Y20" s="59" t="n">
        <v>0</v>
      </c>
    </row>
    <row r="21" customFormat="false" ht="15.75" hidden="false" customHeight="false" outlineLevel="0" collapsed="false">
      <c r="B21" s="35" t="s">
        <v>271</v>
      </c>
      <c r="C21" s="58" t="s">
        <v>129</v>
      </c>
      <c r="E21" s="59" t="n">
        <v>0</v>
      </c>
      <c r="F21" s="33" t="n">
        <f aca="false">'CF(Y)'!F17</f>
        <v>6465.18107598177</v>
      </c>
      <c r="G21" s="33" t="n">
        <f aca="false">'CF(Y)'!G17</f>
        <v>1963.36534588352</v>
      </c>
      <c r="H21" s="33" t="n">
        <f aca="false">'CF(Y)'!H17</f>
        <v>1942.36305771413</v>
      </c>
      <c r="I21" s="33" t="n">
        <f aca="false">'CF(Y)'!I17</f>
        <v>1921.17462299432</v>
      </c>
      <c r="J21" s="33" t="n">
        <f aca="false">'CF(Y)'!J17</f>
        <v>1899.78925646277</v>
      </c>
      <c r="K21" s="33" t="n">
        <f aca="false">'CF(Y)'!K17</f>
        <v>1878.19569053245</v>
      </c>
      <c r="L21" s="33" t="n">
        <f aca="false">'CF(Y)'!L17</f>
        <v>1856.38215262832</v>
      </c>
      <c r="M21" s="33" t="n">
        <f aca="false">'CF(Y)'!M17</f>
        <v>1834.33634146215</v>
      </c>
      <c r="N21" s="33" t="n">
        <f aca="false">'CF(Y)'!N17</f>
        <v>1812.04540219463</v>
      </c>
      <c r="O21" s="33" t="n">
        <f aca="false">'CF(Y)'!O17</f>
        <v>1789.49590043235</v>
      </c>
      <c r="P21" s="33" t="n">
        <f aca="false">'CF(Y)'!P17</f>
        <v>1766.6737950052</v>
      </c>
      <c r="Q21" s="33" t="n">
        <f aca="false">'CF(Y)'!Q17</f>
        <v>1743.56440946686</v>
      </c>
      <c r="R21" s="33" t="n">
        <f aca="false">'CF(Y)'!R17</f>
        <v>1720.15240225833</v>
      </c>
      <c r="S21" s="33" t="n">
        <f aca="false">'CF(Y)'!S17</f>
        <v>1696.42173547196</v>
      </c>
      <c r="T21" s="33" t="n">
        <f aca="false">'CF(Y)'!T17</f>
        <v>1672.35564215009</v>
      </c>
      <c r="U21" s="33" t="n">
        <f aca="false">'CF(Y)'!U17</f>
        <v>1647.93659204974</v>
      </c>
      <c r="V21" s="33" t="n">
        <f aca="false">'CF(Y)'!V17</f>
        <v>7172.68622889137</v>
      </c>
      <c r="W21" s="33" t="n">
        <f aca="false">'CF(Y)'!W17</f>
        <v>12639.5456360864</v>
      </c>
      <c r="X21" s="33" t="n">
        <f aca="false">'CF(Y)'!X17</f>
        <v>12528.5239067347</v>
      </c>
      <c r="Y21" s="33" t="n">
        <f aca="false">'CF(Y)'!Y17</f>
        <v>10417.6757859377</v>
      </c>
    </row>
    <row r="22" customFormat="false" ht="15.75" hidden="false" customHeight="false" outlineLevel="0" collapsed="false">
      <c r="B22" s="76" t="s">
        <v>272</v>
      </c>
      <c r="C22" s="63" t="s">
        <v>129</v>
      </c>
      <c r="D22" s="64"/>
      <c r="E22" s="62" t="n">
        <f aca="false">E20+E21</f>
        <v>-14610</v>
      </c>
      <c r="F22" s="62" t="n">
        <f aca="false">F20+F21</f>
        <v>6465.18107598177</v>
      </c>
      <c r="G22" s="62" t="n">
        <f aca="false">G20+G21</f>
        <v>1963.36534588352</v>
      </c>
      <c r="H22" s="62" t="n">
        <f aca="false">H20+H21</f>
        <v>1942.36305771413</v>
      </c>
      <c r="I22" s="62" t="n">
        <f aca="false">I20+I21</f>
        <v>1921.17462299432</v>
      </c>
      <c r="J22" s="62" t="n">
        <f aca="false">J20+J21</f>
        <v>1899.78925646277</v>
      </c>
      <c r="K22" s="62" t="n">
        <f aca="false">K20+K21</f>
        <v>1878.19569053245</v>
      </c>
      <c r="L22" s="62" t="n">
        <f aca="false">L20+L21</f>
        <v>1856.38215262832</v>
      </c>
      <c r="M22" s="62" t="n">
        <f aca="false">M20+M21</f>
        <v>1834.33634146215</v>
      </c>
      <c r="N22" s="62" t="n">
        <f aca="false">N20+N21</f>
        <v>1812.04540219463</v>
      </c>
      <c r="O22" s="62" t="n">
        <f aca="false">O20+O21</f>
        <v>1789.49590043235</v>
      </c>
      <c r="P22" s="62" t="n">
        <f aca="false">P20+P21</f>
        <v>1766.6737950052</v>
      </c>
      <c r="Q22" s="62" t="n">
        <f aca="false">Q20+Q21</f>
        <v>1743.56440946686</v>
      </c>
      <c r="R22" s="62" t="n">
        <f aca="false">R20+R21</f>
        <v>1720.15240225833</v>
      </c>
      <c r="S22" s="62" t="n">
        <f aca="false">S20+S21</f>
        <v>1696.42173547196</v>
      </c>
      <c r="T22" s="62" t="n">
        <f aca="false">T20+T21</f>
        <v>1672.35564215009</v>
      </c>
      <c r="U22" s="62" t="n">
        <f aca="false">U20+U21</f>
        <v>1647.93659204974</v>
      </c>
      <c r="V22" s="62" t="n">
        <f aca="false">V20+V21</f>
        <v>7172.68622889137</v>
      </c>
      <c r="W22" s="62" t="n">
        <f aca="false">W20+W21</f>
        <v>12639.5456360864</v>
      </c>
      <c r="X22" s="62" t="n">
        <f aca="false">X20+X21</f>
        <v>12528.5239067347</v>
      </c>
      <c r="Y22" s="62" t="n">
        <f aca="false">Y20+Y21</f>
        <v>10417.6757859377</v>
      </c>
    </row>
    <row r="24" customFormat="false" ht="15.75" hidden="false" customHeight="false" outlineLevel="0" collapsed="false">
      <c r="B24" s="32" t="s">
        <v>103</v>
      </c>
      <c r="C24" s="58" t="s">
        <v>129</v>
      </c>
      <c r="E24" s="59" t="n">
        <f aca="false">-TIC_Funding!$D$15</f>
        <v>-14610</v>
      </c>
      <c r="F24" s="33" t="n">
        <f aca="false">'CF(Y)'!F19</f>
        <v>0</v>
      </c>
      <c r="G24" s="33" t="n">
        <f aca="false">'CF(Y)'!G19</f>
        <v>7428.54642186528</v>
      </c>
      <c r="H24" s="33" t="n">
        <f aca="false">'CF(Y)'!H19</f>
        <v>1942.36305771413</v>
      </c>
      <c r="I24" s="33" t="n">
        <f aca="false">'CF(Y)'!I19</f>
        <v>1921.17462299432</v>
      </c>
      <c r="J24" s="33" t="n">
        <f aca="false">'CF(Y)'!J19</f>
        <v>1899.78925646277</v>
      </c>
      <c r="K24" s="33" t="n">
        <f aca="false">'CF(Y)'!K19</f>
        <v>1878.19569053245</v>
      </c>
      <c r="L24" s="33" t="n">
        <f aca="false">'CF(Y)'!L19</f>
        <v>1856.38215262832</v>
      </c>
      <c r="M24" s="33" t="n">
        <f aca="false">'CF(Y)'!M19</f>
        <v>1834.33634146215</v>
      </c>
      <c r="N24" s="33" t="n">
        <f aca="false">'CF(Y)'!N19</f>
        <v>1812.04540219463</v>
      </c>
      <c r="O24" s="33" t="n">
        <f aca="false">'CF(Y)'!O19</f>
        <v>1789.49590043235</v>
      </c>
      <c r="P24" s="33" t="n">
        <f aca="false">'CF(Y)'!P19</f>
        <v>1766.6737950052</v>
      </c>
      <c r="Q24" s="33" t="n">
        <f aca="false">'CF(Y)'!Q19</f>
        <v>1743.56440946686</v>
      </c>
      <c r="R24" s="33" t="n">
        <f aca="false">'CF(Y)'!R19</f>
        <v>1720.15240225833</v>
      </c>
      <c r="S24" s="33" t="n">
        <f aca="false">'CF(Y)'!S19</f>
        <v>1696.42173547196</v>
      </c>
      <c r="T24" s="33" t="n">
        <f aca="false">'CF(Y)'!T19</f>
        <v>1672.35564215009</v>
      </c>
      <c r="U24" s="33" t="n">
        <f aca="false">'CF(Y)'!U19</f>
        <v>1647.93659204974</v>
      </c>
      <c r="V24" s="33" t="n">
        <f aca="false">'CF(Y)'!V19</f>
        <v>7172.68622889137</v>
      </c>
      <c r="W24" s="33" t="n">
        <f aca="false">'CF(Y)'!W19</f>
        <v>12639.5456360864</v>
      </c>
      <c r="X24" s="33" t="n">
        <f aca="false">'CF(Y)'!X19</f>
        <v>12528.5239067347</v>
      </c>
      <c r="Y24" s="33" t="n">
        <f aca="false">'CF(Y)'!Y19</f>
        <v>11417.6757859377</v>
      </c>
    </row>
    <row r="26" customFormat="false" ht="15.75" hidden="false" customHeight="false" outlineLevel="0" collapsed="false">
      <c r="B26" s="34" t="s">
        <v>273</v>
      </c>
      <c r="C26" s="58" t="s">
        <v>112</v>
      </c>
      <c r="D26" s="79" t="n">
        <f aca="false">IRR(E22:Y22)</f>
        <v>0.19310569213854</v>
      </c>
    </row>
    <row r="27" customFormat="false" ht="15.75" hidden="false" customHeight="false" outlineLevel="0" collapsed="false">
      <c r="B27" s="34" t="s">
        <v>274</v>
      </c>
      <c r="C27" s="58" t="s">
        <v>112</v>
      </c>
      <c r="D27" s="79" t="n">
        <f aca="false">IRR(E24:Y24)</f>
        <v>0.173034647508992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2"/>
    <pageSetUpPr fitToPage="false"/>
  </sheetPr>
  <dimension ref="A1:Y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10" min="3" style="0" width="13"/>
  </cols>
  <sheetData>
    <row r="1" customFormat="false" ht="16.15" hidden="false" customHeight="false" outlineLevel="0" collapsed="false">
      <c r="A1" s="11" t="s">
        <v>0</v>
      </c>
    </row>
    <row r="2" customFormat="false" ht="15" hidden="false" customHeight="false" outlineLevel="0" collapsed="false">
      <c r="A2" s="55" t="s">
        <v>275</v>
      </c>
    </row>
    <row r="4" customFormat="false" ht="15" hidden="false" customHeight="false" outlineLevel="0" collapsed="false">
      <c r="B4" s="13" t="s">
        <v>111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6" customFormat="false" ht="15" hidden="false" customHeight="false" outlineLevel="0" collapsed="false">
      <c r="B6" s="56" t="s">
        <v>276</v>
      </c>
      <c r="C6" s="29" t="s">
        <v>269</v>
      </c>
      <c r="D6" s="29" t="s">
        <v>264</v>
      </c>
      <c r="E6" s="56" t="s">
        <v>277</v>
      </c>
      <c r="F6" s="29" t="s">
        <v>65</v>
      </c>
    </row>
    <row r="7" customFormat="false" ht="15" hidden="false" customHeight="false" outlineLevel="0" collapsed="false">
      <c r="B7" s="8" t="s">
        <v>278</v>
      </c>
      <c r="C7" s="70" t="n">
        <v>0.0781776512605451</v>
      </c>
      <c r="D7" s="70" t="n">
        <v>0.0613369748327878</v>
      </c>
      <c r="E7" s="80" t="n">
        <v>1.00531648151665</v>
      </c>
      <c r="F7" s="59" t="n">
        <v>7295.03656430279</v>
      </c>
    </row>
    <row r="8" customFormat="false" ht="15" hidden="false" customHeight="false" outlineLevel="0" collapsed="false">
      <c r="B8" s="8" t="s">
        <v>279</v>
      </c>
      <c r="C8" s="70" t="n">
        <v>0.13175596737003</v>
      </c>
      <c r="D8" s="70" t="n">
        <v>0.0697485848072988</v>
      </c>
      <c r="E8" s="80" t="n">
        <v>1.06970214107603</v>
      </c>
      <c r="F8" s="59" t="n">
        <v>17247.4462672126</v>
      </c>
    </row>
    <row r="9" customFormat="false" ht="15" hidden="false" customHeight="false" outlineLevel="0" collapsed="false">
      <c r="B9" s="8" t="s">
        <v>280</v>
      </c>
      <c r="C9" s="70" t="n">
        <v>0.193105692138536</v>
      </c>
      <c r="D9" s="70" t="n">
        <v>0.0779422808320452</v>
      </c>
      <c r="E9" s="80" t="n">
        <v>1.13476120306143</v>
      </c>
      <c r="F9" s="59" t="n">
        <v>27240.1774446055</v>
      </c>
    </row>
    <row r="10" customFormat="false" ht="15" hidden="false" customHeight="false" outlineLevel="0" collapsed="false">
      <c r="B10" s="8" t="s">
        <v>281</v>
      </c>
      <c r="C10" s="70" t="n">
        <v>0.260329144241619</v>
      </c>
      <c r="D10" s="70" t="n">
        <v>0.0859182972993219</v>
      </c>
      <c r="E10" s="80" t="n">
        <v>1.19980785154301</v>
      </c>
      <c r="F10" s="59" t="n">
        <v>37231.3209991142</v>
      </c>
    </row>
    <row r="11" customFormat="false" ht="15" hidden="false" customHeight="false" outlineLevel="0" collapsed="false">
      <c r="B11" s="8" t="s">
        <v>282</v>
      </c>
      <c r="C11" s="70" t="n">
        <v>0.329655971907127</v>
      </c>
      <c r="D11" s="70" t="n">
        <v>0.0936060708380196</v>
      </c>
      <c r="E11" s="80" t="n">
        <v>1.26402083754194</v>
      </c>
      <c r="F11" s="59" t="n">
        <v>47094.6786921396</v>
      </c>
    </row>
    <row r="14" customFormat="false" ht="15" hidden="false" customHeight="false" outlineLevel="0" collapsed="false">
      <c r="B14" s="13" t="s">
        <v>283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6" customFormat="false" ht="15" hidden="false" customHeight="false" outlineLevel="0" collapsed="false">
      <c r="B16" s="56" t="s">
        <v>276</v>
      </c>
      <c r="C16" s="29" t="s">
        <v>269</v>
      </c>
      <c r="D16" s="29" t="s">
        <v>264</v>
      </c>
      <c r="E16" s="56" t="s">
        <v>277</v>
      </c>
      <c r="F16" s="29" t="s">
        <v>65</v>
      </c>
    </row>
    <row r="17" customFormat="false" ht="15" hidden="false" customHeight="false" outlineLevel="0" collapsed="false">
      <c r="B17" s="8" t="s">
        <v>284</v>
      </c>
      <c r="C17" s="70" t="n">
        <v>0.267176175531861</v>
      </c>
      <c r="D17" s="70" t="n">
        <v>0.0761001648950951</v>
      </c>
      <c r="E17" s="80" t="n">
        <v>1.20682837692618</v>
      </c>
      <c r="F17" s="59" t="n">
        <v>25083.0042820683</v>
      </c>
    </row>
    <row r="18" customFormat="false" ht="15" hidden="false" customHeight="false" outlineLevel="0" collapsed="false">
      <c r="B18" s="8" t="s">
        <v>285</v>
      </c>
      <c r="C18" s="70" t="n">
        <v>0.228373994512167</v>
      </c>
      <c r="D18" s="70" t="n">
        <v>0.0770238697750015</v>
      </c>
      <c r="E18" s="80" t="n">
        <v>1.16943537166045</v>
      </c>
      <c r="F18" s="59" t="n">
        <v>26164.8182612124</v>
      </c>
    </row>
    <row r="19" customFormat="false" ht="15" hidden="false" customHeight="false" outlineLevel="0" collapsed="false">
      <c r="B19" s="8" t="s">
        <v>286</v>
      </c>
      <c r="C19" s="70" t="n">
        <v>0.193105692138536</v>
      </c>
      <c r="D19" s="70" t="n">
        <v>0.0779422808320452</v>
      </c>
      <c r="E19" s="80" t="n">
        <v>1.13476120306143</v>
      </c>
      <c r="F19" s="59" t="n">
        <v>27240.1774446055</v>
      </c>
    </row>
    <row r="20" customFormat="false" ht="15" hidden="false" customHeight="false" outlineLevel="0" collapsed="false">
      <c r="B20" s="8" t="s">
        <v>287</v>
      </c>
      <c r="C20" s="70" t="n">
        <v>0.161008850457356</v>
      </c>
      <c r="D20" s="70" t="n">
        <v>0.0788713476560773</v>
      </c>
      <c r="E20" s="80" t="n">
        <v>1.10198264562039</v>
      </c>
      <c r="F20" s="59" t="n">
        <v>28327.826151821</v>
      </c>
    </row>
    <row r="21" customFormat="false" ht="15" hidden="false" customHeight="false" outlineLevel="0" collapsed="false">
      <c r="B21" s="8" t="s">
        <v>288</v>
      </c>
      <c r="C21" s="70" t="n">
        <v>0.131698841087206</v>
      </c>
      <c r="D21" s="70" t="n">
        <v>0.0798278016995776</v>
      </c>
      <c r="E21" s="80" t="n">
        <v>1.0704254353931</v>
      </c>
      <c r="F21" s="59" t="n">
        <v>29447.4106966903</v>
      </c>
    </row>
    <row r="24" customFormat="false" ht="15" hidden="false" customHeight="false" outlineLevel="0" collapsed="false">
      <c r="B24" s="13" t="s">
        <v>289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6" customFormat="false" ht="15" hidden="false" customHeight="false" outlineLevel="0" collapsed="false">
      <c r="B26" s="56" t="s">
        <v>276</v>
      </c>
      <c r="C26" s="29" t="s">
        <v>269</v>
      </c>
      <c r="D26" s="29" t="s">
        <v>264</v>
      </c>
      <c r="E26" s="56" t="s">
        <v>277</v>
      </c>
      <c r="F26" s="29" t="s">
        <v>65</v>
      </c>
    </row>
    <row r="27" customFormat="false" ht="15" hidden="false" customHeight="false" outlineLevel="0" collapsed="false">
      <c r="B27" s="8" t="s">
        <v>290</v>
      </c>
      <c r="C27" s="70" t="n">
        <v>0.0781113759347395</v>
      </c>
      <c r="D27" s="70" t="n">
        <v>0.0613255779382927</v>
      </c>
      <c r="E27" s="80" t="n">
        <v>1.00523124032331</v>
      </c>
      <c r="F27" s="59" t="n">
        <v>7281.77828530629</v>
      </c>
    </row>
    <row r="28" customFormat="false" ht="15" hidden="false" customHeight="false" outlineLevel="0" collapsed="false">
      <c r="B28" s="8" t="s">
        <v>291</v>
      </c>
      <c r="C28" s="70" t="n">
        <v>0.132084469027829</v>
      </c>
      <c r="D28" s="70" t="n">
        <v>0.0697959321482266</v>
      </c>
      <c r="E28" s="80" t="n">
        <v>1.07007277013791</v>
      </c>
      <c r="F28" s="59" t="n">
        <v>17304.3719356007</v>
      </c>
    </row>
    <row r="29" customFormat="false" ht="15" hidden="false" customHeight="false" outlineLevel="0" collapsed="false">
      <c r="B29" s="8" t="s">
        <v>292</v>
      </c>
      <c r="C29" s="70" t="n">
        <v>0.193105692138536</v>
      </c>
      <c r="D29" s="70" t="n">
        <v>0.0779422808320452</v>
      </c>
      <c r="E29" s="80" t="n">
        <v>1.13476120306143</v>
      </c>
      <c r="F29" s="59" t="n">
        <v>27240.1774446055</v>
      </c>
    </row>
    <row r="30" customFormat="false" ht="15" hidden="false" customHeight="false" outlineLevel="0" collapsed="false">
      <c r="B30" s="8" t="s">
        <v>293</v>
      </c>
      <c r="C30" s="70" t="n">
        <v>0.259935059198147</v>
      </c>
      <c r="D30" s="70" t="n">
        <v>0.0858734278852161</v>
      </c>
      <c r="E30" s="80" t="n">
        <v>1.19943736396906</v>
      </c>
      <c r="F30" s="59" t="n">
        <v>37174.4134262933</v>
      </c>
    </row>
    <row r="31" customFormat="false" ht="15" hidden="false" customHeight="false" outlineLevel="0" collapsed="false">
      <c r="B31" s="8" t="s">
        <v>294</v>
      </c>
      <c r="C31" s="70" t="n">
        <v>0.329745679504492</v>
      </c>
      <c r="D31" s="70" t="n">
        <v>0.09361581727925</v>
      </c>
      <c r="E31" s="80" t="n">
        <v>1.26410315600038</v>
      </c>
      <c r="F31" s="59" t="n">
        <v>47107.3232701518</v>
      </c>
    </row>
    <row r="34" customFormat="false" ht="15" hidden="false" customHeight="false" outlineLevel="0" collapsed="false">
      <c r="B34" s="37" t="s">
        <v>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2026-08-06T10:46:22Z</dcterms:created>
  <dc:creator>재생E AI Agent — 재무모델 생성기</dc:creator>
  <dc:description/>
  <dc:language>en-US</dc:language>
  <cp:lastModifiedBy>Unknown</cp:lastModifiedBy>
  <dcterms:modified xsi:type="dcterms:W3CDTF">2026-08-06T10:46:22Z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