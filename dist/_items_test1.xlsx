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<sst xmlns="http://schemas.openxmlformats.org/spreadsheetml/2006/main" count="1368" uniqueCount="471">
  <si>
    <t>태양광 발전사업</t>
  </si>
  <si>
    <t>재무모델 v2 (분기·5트랜치) — 재생E AI Agent 자동생성 · 2026-09-22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</si>
  <si>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</si>
  <si>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</si>
  <si>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</si>
  <si>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</si>
  <si>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</si>
  <si>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</si>
  <si>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</si>
  <si>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</si>
  <si>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</si>
  <si>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</si>
  <si>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</si>
  <si>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</si>
  <si>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</si>
  <si>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</si>
  <si>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</si>
  <si>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</si>
  <si>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</si>
  <si>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</si>
  <si>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입력값 시트(노란 탭) 외의 모든 값은 수식입니다. 노란 셀을 고치면 세금·DSCR·배당·IRR 까지 전부 다시 계산됩니다. 회색 셀(거치·상환·방식·투입순서, DSRA 적립기준)은 스케줄의 모양을 정하는 값이라 화면에서 다시 생성해야 합니다. 각 계산 시트 맨 아래 "가정" 블록이 입력값 시트를 참조하는 유일한 곳입니다.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</si>
  <si>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</si>
  <si>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</si>
  <si>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</si>
  <si>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</si>
  <si>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</si>
  <si>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</si>
  <si>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</si>
  <si>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</si>
  <si>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</si>
  <si>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</si>
  <si>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</si>
  <si>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</si>
  <si>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</si>
  <si>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</si>
  <si>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</si>
  <si>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</si>
  <si>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</si>
  <si>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</si>
  <si>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</si>
  <si>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</si>
  <si>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</si>
  <si>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</si>
  <si>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</si>
  <si>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</si>
  <si>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</si>
  <si>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</si>
  <si>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</si>
  <si>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</si>
  <si>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</si>
  <si>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</si>
  <si>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</si>
  <si>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</si>
  <si>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</si>
  <si>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</si>
  <si>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</si>
  <si>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 비율(TIC 대비)[%]</t>
  </si>
  <si>
    <t>감가상각 내용연수[yr]</t>
  </si>
  <si>
    <t>철거비(복구충당부채)[억원]</t>
  </si>
  <si>
    <t>운영비 총액[억원/yr]</t>
  </si>
  <si>
    <t>운영비 에스컬레이션[%/yr]</t>
  </si>
  <si>
    <t>운영비 중 후순위 비중[%]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</si>
  <si>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</si>
  <si>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</si>
  <si>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</si>
  <si>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</si>
  <si>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</si>
  <si>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</si>
  <si>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</si>
  <si>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개시 운영연차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</si>
  <si>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</si>
  <si>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</si>
  <si>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</si>
  <si>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</si>
  <si>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</si>
  <si>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</si>
  <si>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판매단가 트랙 (PPA/SMP+REC 등)</t>
  </si>
  <si>
    <t>트랙</t>
  </si>
  <si>
    <t>비중[%]</t>
  </si>
  <si>
    <t>단가[원/kWh]</t>
  </si>
  <si>
    <t>에스컬레이션[%/yr]</t>
  </si>
  <si>
    <t>대금회수시차[개월]</t>
  </si>
  <si>
    <t>PPA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</si>
  <si>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</si>
  <si>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</si>
  <si>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</si>
  <si>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</si>
  <si>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</si>
  <si>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</si>
  <si>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</si>
  <si>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</si>
  <si>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투입순서</t>
  </si>
  <si>
    <t>선순위A</t>
  </si>
  <si>
    <t>선순위B</t>
  </si>
  <si>
    <t>선순위C</t>
  </si>
  <si>
    <t>선순위D</t>
  </si>
  <si>
    <t>후순위</t>
  </si>
  <si>
    <t>자본금</t>
  </si>
  <si>
    <t>총사업비 지출 스케줄 (건설 분기별 비중)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</si>
  <si>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</si>
  <si>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</si>
  <si>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</si>
  <si>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</si>
  <si>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</si>
  <si>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</si>
  <si>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</si>
  <si>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</si>
  <si>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</si>
  <si>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</si>
  <si>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</si>
  <si>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</si>
  <si>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</si>
  <si>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</si>
  <si>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</si>
  <si>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</si>
  <si>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</si>
  <si>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</si>
  <si>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</si>
  <si>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</si>
  <si>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</si>
  <si>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</si>
  <si>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</si>
  <si>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</si>
  <si>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</si>
  <si>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</si>
  <si>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</si>
  <si>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</si>
  <si>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</si>
  <si>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</si>
  <si>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</si>
  <si>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</si>
  <si>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</si>
  <si>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</si>
  <si>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</si>
  <si>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</si>
  <si>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</si>
  <si>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</si>
  <si>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</si>
  <si>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</si>
  <si>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</si>
  <si>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</si>
  <si>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</si>
  <si>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</si>
  <si>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</si>
  <si>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</si>
  <si>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</si>
  <si>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</si>
  <si>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</si>
  <si>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</si>
  <si>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</si>
  <si>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</si>
  <si>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</si>
  <si>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</si>
  <si>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</si>
  <si>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</si>
  <si>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</si>
  <si>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</si>
  <si>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</si>
  <si>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</si>
  <si>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</si>
  <si>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</si>
  <si>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</si>
  <si>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</si>
  <si>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</si>
  <si>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</si>
  <si>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</si>
  <si>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</si>
  <si>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</si>
  <si>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</si>
  <si>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</si>
  <si>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</si>
  <si>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</si>
  <si>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</si>
  <si>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</si>
  <si>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</si>
  <si>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</si>
  <si>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</si>
  <si>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</si>
  <si>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</si>
  <si>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</si>
  <si>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</si>
  <si>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</si>
  <si>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</si>
  <si>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</si>
  <si>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</si>
  <si>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</si>
  <si>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</si>
  <si>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</si>
  <si>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지출 비중</t>
  </si>
  <si>
    <t>[비율]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</si>
  <si>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</si>
  <si>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</si>
  <si>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</si>
  <si>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</si>
  <si>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</si>
  <si>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</si>
  <si>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</si>
  <si>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</si>
  <si>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</si>
  <si>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</si>
  <si>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</si>
  <si>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</si>
  <si>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</si>
  <si>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</si>
  <si>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※ 노란색 셀 = 여기서 고치면 다른 시트가 전부 따라 계산됩니다(재무모델링 관례). 이 시트 외의 모든 값은 이 시트를 참조하는 수식입니다.</t>
  </si>
  <si>
    <t>※ 회색 셀(거치·상환·방식·투입순서, DSRA 적립기준) = 스케줄의 "모양"을 정하는 값이라 열 구성을 다시 만들어야 합니다. 엑셀에서 고쳐도 상환 스케줄은 따라오지 않으니, 이 값들을 바꾸려면 화면(HTML)에서 고친 뒤 다시 생성하세요.</t>
  </si>
  <si>
    <t>자금조달 — 자본금 + 5개 트랜치</t>
  </si>
  <si>
    <t>금액[KRWm]</t>
  </si>
  <si>
    <t>건설금리</t>
  </si>
  <si>
    <t>운영금리</t>
  </si>
  <si>
    <t>상환개시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</si>
  <si>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</si>
  <si>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</si>
  <si>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</si>
  <si>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</si>
  <si>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</si>
  <si>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</si>
  <si>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</si>
  <si>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</si>
  <si>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총사업비 (항목별 금액 미입력)</t>
  </si>
  <si>
    <t>가정 (입력값 연결) — 이 시트의 계산이 쓰는 원천값</t>
  </si>
  <si>
    <t>값</t>
  </si>
  <si>
    <t>※ 입력값 시트는 여기서만 참조합니다(초록 글자 = 입력값 연결). 위의 분기 계산은 이 셀들만 참조하므로, 값을 바꾸려면 입력값 시트를 고치세요.</t>
  </si>
  <si>
    <t xml:space="preserve">  총사업비[억원]</t>
  </si>
  <si>
    <t>C8</t>
  </si>
  <si>
    <t>차입금 상환 스케줄 — 건설기간 인출 + 트랜치별 상환</t>
  </si>
  <si>
    <t>건설기간 자금조달 (인출·건설이자)</t>
  </si>
  <si>
    <t>공사비 지출</t>
  </si>
  <si>
    <t>[KRWm]</t>
  </si>
  <si>
    <t>DSRA 적립</t>
  </si>
  <si>
    <t xml:space="preserve">  선순위A 건설이자</t>
  </si>
  <si>
    <t xml:space="preserve">  선순위B 건설이자</t>
  </si>
  <si>
    <t xml:space="preserve">  선순위C 건설이자</t>
  </si>
  <si>
    <t xml:space="preserve">  선순위D 건설이자</t>
  </si>
  <si>
    <t xml:space="preserve">  후순위 건설이자</t>
  </si>
  <si>
    <t>건설이자 합계(당기)</t>
  </si>
  <si>
    <t>누적 소요액</t>
  </si>
  <si>
    <t xml:space="preserve">  자본금 누적인출</t>
  </si>
  <si>
    <t xml:space="preserve">  선순위A 누적인출</t>
  </si>
  <si>
    <t xml:space="preserve">  선순위B 누적인출</t>
  </si>
  <si>
    <t xml:space="preserve">  선순위C 누적인출</t>
  </si>
  <si>
    <t xml:space="preserve">  선순위D 누적인출</t>
  </si>
  <si>
    <t xml:space="preserve">  후순위 누적인출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</si>
  <si>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</si>
  <si>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</si>
  <si>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</si>
  <si>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</si>
  <si>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</si>
  <si>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</si>
  <si>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</si>
  <si>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인출 시작 가정 검증</t>
  </si>
  <si>
    <t>※ 미사용 트랜치(금액 0) — 인출·상환 없음</t>
  </si>
  <si>
    <t>전체 합계</t>
  </si>
  <si>
    <t>이자</t>
  </si>
  <si>
    <t>원리금(DS)</t>
  </si>
  <si>
    <t>DSRA 기초잔액</t>
  </si>
  <si>
    <t>DSRA 기말잔액</t>
  </si>
  <si>
    <t xml:space="preserve">  자기자본[억원]</t>
  </si>
  <si>
    <t>C9</t>
  </si>
  <si>
    <t xml:space="preserve">  선순위A · 금액[억원]</t>
  </si>
  <si>
    <t>C46</t>
  </si>
  <si>
    <t xml:space="preserve">  선순위A · 건설금리[%]</t>
  </si>
  <si>
    <t>D46</t>
  </si>
  <si>
    <t xml:space="preserve">  선순위A · 운영금리[%]</t>
  </si>
  <si>
    <t>E46</t>
  </si>
  <si>
    <t xml:space="preserve">  선순위B · 금액[억원]</t>
  </si>
  <si>
    <t>C47</t>
  </si>
  <si>
    <t xml:space="preserve">  선순위B · 건설금리[%]</t>
  </si>
  <si>
    <t>D47</t>
  </si>
  <si>
    <t xml:space="preserve">  선순위B · 운영금리[%]</t>
  </si>
  <si>
    <t>E47</t>
  </si>
  <si>
    <t xml:space="preserve">  선순위C · 금액[억원]</t>
  </si>
  <si>
    <t>C48</t>
  </si>
  <si>
    <t xml:space="preserve">  선순위C · 건설금리[%]</t>
  </si>
  <si>
    <t>D48</t>
  </si>
  <si>
    <t xml:space="preserve">  선순위C · 운영금리[%]</t>
  </si>
  <si>
    <t>E48</t>
  </si>
  <si>
    <t xml:space="preserve">  선순위D · 금액[억원]</t>
  </si>
  <si>
    <t>C49</t>
  </si>
  <si>
    <t xml:space="preserve">  선순위D · 건설금리[%]</t>
  </si>
  <si>
    <t>D49</t>
  </si>
  <si>
    <t xml:space="preserve">  선순위D · 운영금리[%]</t>
  </si>
  <si>
    <t>E49</t>
  </si>
  <si>
    <t xml:space="preserve">  후순위 · 금액[억원]</t>
  </si>
  <si>
    <t>C50</t>
  </si>
  <si>
    <t xml:space="preserve">  후순위 · 건설금리[%]</t>
  </si>
  <si>
    <t>D50</t>
  </si>
  <si>
    <t xml:space="preserve">  후순위 · 운영금리[%]</t>
  </si>
  <si>
    <t>E50</t>
  </si>
  <si>
    <t xml:space="preserve">  지출 비중</t>
  </si>
  <si>
    <t>입력값 57행</t>
  </si>
  <si>
    <t>영업수익 추정</t>
  </si>
  <si>
    <t>발전량 및 매출</t>
  </si>
  <si>
    <t>운영연차 (첫 해 = 0)</t>
  </si>
  <si>
    <t>[yr]</t>
  </si>
  <si>
    <t>발전 기간비중 (연간 = 1)</t>
  </si>
  <si>
    <t>[배]</t>
  </si>
  <si>
    <t>발전량</t>
  </si>
  <si>
    <t>[MWh]</t>
  </si>
  <si>
    <t xml:space="preserve">  PPA 판매단가</t>
  </si>
  <si>
    <t>[원/kWh]</t>
  </si>
  <si>
    <t xml:space="preserve">  PPA 매출</t>
  </si>
  <si>
    <t>판매단가 (가중평균)</t>
  </si>
  <si>
    <t>영업수익</t>
  </si>
  <si>
    <t>매출채권(A/R) 회수 시차</t>
  </si>
  <si>
    <t xml:space="preserve">  PPA 기말 미수금</t>
  </si>
  <si>
    <t>운전자본 증감(A/R)</t>
  </si>
  <si>
    <t>※ 20년 전체 합계는 0입니다(초기에 묶인 미수금을 마지막에 전액 회수). 다만 분기별로는 크게 움직여서 준공 직후 DSCR과 Equity IRR에 영향을 줍니다.</t>
  </si>
  <si>
    <t xml:space="preserve">  설비용량[MW]</t>
  </si>
  <si>
    <t>C7</t>
  </si>
  <si>
    <t xml:space="preserve">  발전량 열화율[%/yr]</t>
  </si>
  <si>
    <t>C12</t>
  </si>
  <si>
    <t xml:space="preserve">  소내소비율[%]</t>
  </si>
  <si>
    <t>C13</t>
  </si>
  <si>
    <t xml:space="preserve">  일조시간[h/day]</t>
  </si>
  <si>
    <t>C14</t>
  </si>
  <si>
    <t xml:space="preserve">  PPA · 비중[%]</t>
  </si>
  <si>
    <t>C41</t>
  </si>
  <si>
    <t xml:space="preserve">  PPA · 단가[원/kWh]</t>
  </si>
  <si>
    <t>D41</t>
  </si>
  <si>
    <t xml:space="preserve">  PPA · 에스컬레이션[%/yr]</t>
  </si>
  <si>
    <t>E41</t>
  </si>
  <si>
    <t xml:space="preserve">  PPA · 대금회수시차[개월]</t>
  </si>
  <si>
    <t>F41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</si>
  <si>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</si>
  <si>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</si>
  <si>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</si>
  <si>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</si>
  <si>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</si>
  <si>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</si>
  <si>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</si>
  <si>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</si>
  <si>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</si>
  <si>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</si>
  <si>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</si>
  <si>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</si>
  <si>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</si>
  <si>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</si>
  <si>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</si>
  <si>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</si>
  <si>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</si>
  <si>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</si>
  <si>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화면에서 운영비를 합계로만 입력해서 항목별 금액은 비어 있습니다 — 항목별로 입력하면 이 표에 실제 금액이 채워집니다.</t>
  </si>
  <si>
    <t xml:space="preserve">  운영비 총액[억원/yr]</t>
  </si>
  <si>
    <t>C18</t>
  </si>
  <si>
    <t xml:space="preserve">  운영비 에스컬레이션[%/yr]</t>
  </si>
  <si>
    <t>C19</t>
  </si>
  <si>
    <t xml:space="preserve">  운영비 중 후순위 비중[%]</t>
  </si>
  <si>
    <t>C20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</si>
  <si>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</si>
  <si>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</si>
  <si>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</si>
  <si>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</si>
  <si>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</si>
  <si>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</si>
  <si>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</si>
  <si>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</si>
  <si>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</si>
  <si>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</si>
  <si>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</si>
  <si>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</si>
  <si>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</si>
  <si>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</si>
  <si>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</si>
  <si>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</si>
  <si>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</si>
  <si>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</si>
  <si>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</si>
  <si>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</si>
  <si>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</si>
  <si>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</si>
  <si>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</si>
  <si>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</si>
  <si>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연도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</si>
  <si>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</si>
  <si>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</si>
  <si>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</si>
  <si>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</si>
  <si>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</si>
  <si>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</si>
  <si>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</si>
  <si>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</si>
  <si>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</si>
  <si>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</si>
  <si>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</si>
  <si>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</si>
  <si>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</si>
  <si>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</si>
  <si>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</si>
  <si>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</si>
  <si>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 xml:space="preserve">  상각대상 비율(TIC 대비)[%]</t>
  </si>
  <si>
    <t>C15</t>
  </si>
  <si>
    <t xml:space="preserve">  감가상각 내용연수[yr]</t>
  </si>
  <si>
    <t>C16</t>
  </si>
  <si>
    <t xml:space="preserve">  철거비(복구충당부채)[억원]</t>
  </si>
  <si>
    <t>C17</t>
  </si>
  <si>
    <t xml:space="preserve">  대리은행수수료(총액)[KRWm]</t>
  </si>
  <si>
    <t>C21</t>
  </si>
  <si>
    <t xml:space="preserve">  기타 비현금 세무손금(총액)[KRWm]</t>
  </si>
  <si>
    <t>C22</t>
  </si>
  <si>
    <t xml:space="preserve">  이월결손금 공제한도[%]</t>
  </si>
  <si>
    <t>C32</t>
  </si>
  <si>
    <t xml:space="preserve">  최저한세율[%]</t>
  </si>
  <si>
    <t>C33</t>
  </si>
  <si>
    <t xml:space="preserve">  통합투자세액공제율[%]</t>
  </si>
  <si>
    <t>C34</t>
  </si>
  <si>
    <t xml:space="preserve">  지방소득세율(법인세 대비)[%]</t>
  </si>
  <si>
    <t>C35</t>
  </si>
  <si>
    <t xml:space="preserve">  세액공제 농특세율[%]</t>
  </si>
  <si>
    <t>C36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</si>
  <si>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</si>
  <si>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</si>
  <si>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</si>
  <si>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</si>
  <si>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</si>
  <si>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</si>
  <si>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</si>
  <si>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</si>
  <si>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</si>
  <si>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</si>
  <si>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</si>
  <si>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</si>
  <si>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</si>
  <si>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</si>
  <si>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</si>
  <si>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</si>
  <si>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</si>
  <si>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</si>
  <si>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</si>
  <si>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</si>
  <si>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</si>
  <si>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</si>
  <si>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</si>
  <si>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</si>
  <si>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</si>
  <si>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</si>
  <si>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</si>
  <si>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</si>
  <si>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</si>
  <si>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</si>
  <si>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</si>
  <si>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</si>
  <si>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</si>
  <si>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</si>
  <si>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</si>
  <si>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</si>
  <si>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(누적 CFADS, 내부용)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</si>
  <si>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</si>
  <si>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</si>
  <si>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</si>
  <si>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</si>
  <si>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</si>
  <si>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</si>
  <si>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Project 현금흐름(세전)</t>
  </si>
  <si>
    <t>Equity 현금흐름(FCFE 기준)</t>
  </si>
  <si>
    <t>Equity 현금흐름(배당 기준)</t>
  </si>
  <si>
    <t>Investor 현금흐름</t>
  </si>
  <si>
    <t>Project IRR(세전)</t>
  </si>
  <si>
    <t>Project IRR(세후)</t>
  </si>
  <si>
    <t>Equity IRR(FCFE)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</si>
  <si>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</si>
  <si>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</si>
  <si>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</si>
  <si>
    <t xml:space="preserve">  최소 보유현금[억원]</t>
  </si>
  <si>
    <t>C25</t>
  </si>
  <si>
    <t xml:space="preserve">  배당 게이트 — 단순DSCR 최소치[x]</t>
  </si>
  <si>
    <t>C26</t>
  </si>
  <si>
    <t xml:space="preserve">  배당 게이트 — 누적DSCR 최소치[x]</t>
  </si>
  <si>
    <t>C27</t>
  </si>
  <si>
    <t xml:space="preserve">  배당 개시 운영연차</t>
  </si>
  <si>
    <t>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</si>
</sst>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20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  <font>
      <color rgb="FF9AA6A1"/>
      <sz val="8"/>
      <name val="맑은 고딕"/>
    </font>
    <font>
      <color rgb="FF1E7B34"/>
      <sz val="10"/>
      <name val="맑은 고딕"/>
    </font>
    <font>
      <b/>
      <sz val="9"/>
      <name val="맑은 고딕"/>
    </font>
    <font>
      <color rgb="FF6B7B76"/>
      <sz val="9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E8E8E8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1" fontId="11" fillId="4" borderId="0" xfId="0" applyNumberFormat="1" applyFont="1" applyFill="1"/>
    <xf numFmtId="170" fontId="11" fillId="3" borderId="0" xfId="0" applyNumberFormat="1" applyFont="1" applyFill="1"/>
    <xf numFmtId="1" fontId="11" fillId="3" borderId="0" xfId="0" applyNumberFormat="1" applyFont="1" applyFill="1"/>
    <xf numFmtId="0" fontId="12" fillId="5" borderId="0" xfId="0" applyFont="1" applyFill="1" applyAlignment="1">
      <alignment horizontal="center"/>
    </xf>
    <xf numFmtId="10" fontId="11" fillId="3" borderId="0" xfId="0" applyNumberFormat="1" applyFont="1" applyFill="1"/>
    <xf numFmtId="2" fontId="11" fillId="4" borderId="0" xfId="0" applyNumberFormat="1" applyFont="1" applyFill="1"/>
    <xf numFmtId="49" fontId="11" fillId="0" borderId="0" xfId="0" applyNumberFormat="1" applyFont="1"/>
    <xf numFmtId="165" fontId="11" fillId="0" borderId="0" xfId="0" applyNumberFormat="1" applyFont="1"/>
    <xf numFmtId="49" fontId="13" fillId="5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1" fontId="11" fillId="0" borderId="0" xfId="0" applyNumberFormat="1" applyFont="1"/>
    <xf numFmtId="171" fontId="11" fillId="3" borderId="0" xfId="0" applyNumberFormat="1" applyFont="1" applyFill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0" fillId="6" borderId="0" xfId="0" applyNumberFormat="1" applyFont="1" applyFill="1"/>
    <xf numFmtId="165" fontId="10" fillId="6" borderId="0" xfId="0" applyNumberFormat="1" applyFont="1" applyFill="1"/>
    <xf numFmtId="0" fontId="12" fillId="2" borderId="0" xfId="0" applyFont="1" applyFill="1"/>
    <xf numFmtId="0" fontId="16" fillId="0" borderId="0" xfId="0" applyFont="1"/>
    <xf numFmtId="165" fontId="17" fillId="0" borderId="0" xfId="0" applyNumberFormat="1" applyFont="1"/>
    <xf numFmtId="0" fontId="10" fillId="0" borderId="0" xfId="0" applyFont="1"/>
    <xf numFmtId="0" fontId="10" fillId="6" borderId="0" xfId="0" applyFont="1" applyFill="1"/>
    <xf numFmtId="0" fontId="0" fillId="6" borderId="0" xfId="0" applyFill="1"/>
    <xf numFmtId="49" fontId="18" fillId="0" borderId="0" xfId="0" applyNumberFormat="1" applyFont="1"/>
    <xf numFmtId="165" fontId="15" fillId="0" borderId="0" xfId="0" applyNumberFormat="1" applyFont="1"/>
    <xf numFmtId="0" fontId="14" fillId="6" borderId="0" xfId="0" applyFont="1" applyFill="1" applyAlignment="1">
      <alignment horizontal="center"/>
    </xf>
    <xf numFmtId="10" fontId="17" fillId="0" borderId="0" xfId="0" applyNumberFormat="1" applyFont="1"/>
    <xf numFmtId="171" fontId="17" fillId="0" borderId="0" xfId="0" applyNumberFormat="1" applyFont="1"/>
    <xf numFmtId="1" fontId="19" fillId="0" borderId="0" xfId="0" applyNumberFormat="1" applyFont="1"/>
    <xf numFmtId="170" fontId="19" fillId="0" borderId="0" xfId="0" applyNumberFormat="1" applyFont="1"/>
    <xf numFmtId="3" fontId="10" fillId="0" borderId="0" xfId="0" applyNumberFormat="1" applyFont="1"/>
    <xf numFmtId="167" fontId="11" fillId="0" borderId="0" xfId="0" applyNumberFormat="1" applyFont="1"/>
    <xf numFmtId="164" fontId="17" fillId="0" borderId="0" xfId="0" applyNumberFormat="1" applyFont="1"/>
    <xf numFmtId="2" fontId="17" fillId="0" borderId="0" xfId="0" applyNumberFormat="1" applyFont="1"/>
    <xf numFmtId="168" fontId="17" fillId="0" borderId="0" xfId="0" applyNumberFormat="1" applyFont="1"/>
    <xf numFmtId="167" fontId="17" fillId="0" borderId="0" xfId="0" applyNumberFormat="1" applyFont="1"/>
    <xf numFmtId="169" fontId="17" fillId="0" borderId="0" xfId="0" applyNumberFormat="1" applyFont="1"/>
    <xf numFmtId="0" fontId="14" fillId="2" borderId="0" xfId="0" applyFont="1" applyFill="1" applyAlignment="1">
      <alignment horizontal="center"/>
    </xf>
    <xf numFmtId="165" fontId="11" fillId="2" borderId="0" xfId="0" applyNumberFormat="1" applyFont="1" applyFill="1"/>
    <xf numFmtId="166" fontId="11" fillId="0" borderId="0" xfId="0" applyNumberFormat="1" applyFont="1"/>
    <xf numFmtId="170" fontId="17" fillId="0" borderId="0" xfId="0" applyNumberFormat="1" applyFont="1"/>
    <xf numFmtId="1" fontId="1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77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5" spans="2:2" x14ac:dyDescent="0.25"/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1410.69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>
        <v>154.8</v>
      </c>
    </row>
    <row r="11" spans="2:3" x14ac:dyDescent="0.25">
      <c r="B11" s="5" t="s">
        <v>52</v>
      </c>
      <c r="C11" s="21">
        <v>0</v>
      </c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21">
        <v>95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49.8</v>
      </c>
    </row>
    <row r="19" spans="2:3" x14ac:dyDescent="0.25">
      <c r="B19" s="5" t="s">
        <v>60</v>
      </c>
      <c r="C19" s="21">
        <v>0.7</v>
      </c>
    </row>
    <row r="20" spans="2:3" x14ac:dyDescent="0.25">
      <c r="B20" s="5" t="s">
        <v>61</v>
      </c>
      <c r="C20" s="21">
        <v>0</v>
      </c>
    </row>
    <row r="21" spans="2:3" x14ac:dyDescent="0.25">
      <c r="B21" s="5" t="s">
        <v>62</v>
      </c>
      <c r="C21" s="19">
        <v>0</v>
      </c>
    </row>
    <row r="22" spans="2:3" x14ac:dyDescent="0.25">
      <c r="B22" s="5" t="s">
        <v>63</v>
      </c>
      <c r="C22" s="19">
        <v>0</v>
      </c>
    </row>
    <row r="23" spans="2:3" x14ac:dyDescent="0.25">
      <c r="B23" s="5" t="s">
        <v>64</v>
      </c>
      <c r="C23" s="19">
        <v>50</v>
      </c>
    </row>
    <row r="24" spans="2:3" x14ac:dyDescent="0.25">
      <c r="B24" s="5" t="s">
        <v>65</v>
      </c>
      <c r="C24" s="24">
        <v>6</v>
      </c>
    </row>
    <row r="25" spans="2:3" x14ac:dyDescent="0.25">
      <c r="B25" s="5" t="s">
        <v>66</v>
      </c>
      <c r="C25" s="19">
        <v>10</v>
      </c>
    </row>
    <row r="26" spans="2:3" x14ac:dyDescent="0.25">
      <c r="B26" s="5" t="s">
        <v>67</v>
      </c>
      <c r="C26" s="25">
        <v>1.1</v>
      </c>
    </row>
    <row r="27" spans="2:3" x14ac:dyDescent="0.25">
      <c r="B27" s="5" t="s">
        <v>68</v>
      </c>
      <c r="C27" s="25">
        <v>1.15</v>
      </c>
    </row>
    <row r="28" spans="2:3" x14ac:dyDescent="0.25">
      <c r="B28" s="5" t="s">
        <v>69</v>
      </c>
      <c r="C28" s="26">
        <v>2</v>
      </c>
    </row>
    <row r="30" spans="2:91" x14ac:dyDescent="0.25">
      <c r="B30" s="9" t="s">
        <v>70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</row>
    <row r="31" spans="2:2" x14ac:dyDescent="0.25"/>
    <row r="32" spans="2:3" x14ac:dyDescent="0.25">
      <c r="B32" s="5" t="s">
        <v>71</v>
      </c>
      <c r="C32" s="21">
        <v>80</v>
      </c>
    </row>
    <row r="33" spans="2:3" x14ac:dyDescent="0.25">
      <c r="B33" s="5" t="s">
        <v>72</v>
      </c>
      <c r="C33" s="21">
        <v>0</v>
      </c>
    </row>
    <row r="34" spans="2:3" x14ac:dyDescent="0.25">
      <c r="B34" s="5" t="s">
        <v>73</v>
      </c>
      <c r="C34" s="21">
        <v>0</v>
      </c>
    </row>
    <row r="35" spans="2:3" x14ac:dyDescent="0.25">
      <c r="B35" s="5" t="s">
        <v>74</v>
      </c>
      <c r="C35" s="21">
        <v>10</v>
      </c>
    </row>
    <row r="36" spans="2:3" x14ac:dyDescent="0.25">
      <c r="B36" s="5" t="s">
        <v>75</v>
      </c>
      <c r="C36" s="21">
        <v>0</v>
      </c>
    </row>
    <row r="38" spans="2:91" x14ac:dyDescent="0.25">
      <c r="B38" s="9" t="s">
        <v>76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</row>
    <row r="40" spans="2:6" x14ac:dyDescent="0.25">
      <c r="B40" s="27" t="s">
        <v>77</v>
      </c>
      <c r="C40" s="27" t="s">
        <v>78</v>
      </c>
      <c r="D40" s="27" t="s">
        <v>79</v>
      </c>
      <c r="E40" s="27" t="s">
        <v>80</v>
      </c>
      <c r="F40" s="27" t="s">
        <v>81</v>
      </c>
    </row>
    <row r="41" spans="2:6" x14ac:dyDescent="0.25">
      <c r="B41" s="17" t="s">
        <v>82</v>
      </c>
      <c r="C41" s="21">
        <v>100</v>
      </c>
      <c r="D41" s="20">
        <v>154.8</v>
      </c>
      <c r="E41" s="21">
        <v>0</v>
      </c>
      <c r="F41" s="23">
        <v>1</v>
      </c>
    </row>
    <row r="43" spans="2:91" x14ac:dyDescent="0.25">
      <c r="B43" s="9" t="s">
        <v>83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</row>
    <row r="45" spans="2:9" x14ac:dyDescent="0.25">
      <c r="B45" s="27" t="s">
        <v>84</v>
      </c>
      <c r="C45" s="27" t="s">
        <v>85</v>
      </c>
      <c r="D45" s="27" t="s">
        <v>86</v>
      </c>
      <c r="E45" s="27" t="s">
        <v>87</v>
      </c>
      <c r="F45" s="27" t="s">
        <v>88</v>
      </c>
      <c r="G45" s="27" t="s">
        <v>89</v>
      </c>
      <c r="H45" s="27" t="s">
        <v>90</v>
      </c>
      <c r="I45" s="27" t="s">
        <v>91</v>
      </c>
    </row>
    <row r="46" spans="2:9" x14ac:dyDescent="0.25">
      <c r="B46" s="17" t="s">
        <v>92</v>
      </c>
      <c r="C46" s="19">
        <v>500</v>
      </c>
      <c r="D46" s="28">
        <v>0.055999999999999994</v>
      </c>
      <c r="E46" s="28">
        <v>0.055999999999999994</v>
      </c>
      <c r="F46" s="29">
        <v>2</v>
      </c>
      <c r="G46" s="29">
        <v>16</v>
      </c>
      <c r="H46" s="24">
        <v>1</v>
      </c>
      <c r="I46" s="24">
        <v>2</v>
      </c>
    </row>
    <row r="47" spans="2:9" x14ac:dyDescent="0.25">
      <c r="B47" s="17" t="s">
        <v>93</v>
      </c>
      <c r="C47" s="19">
        <v>500</v>
      </c>
      <c r="D47" s="28">
        <v>0.055</v>
      </c>
      <c r="E47" s="28">
        <v>0.055</v>
      </c>
      <c r="F47" s="29">
        <v>2</v>
      </c>
      <c r="G47" s="29">
        <v>16</v>
      </c>
      <c r="H47" s="24">
        <v>1</v>
      </c>
      <c r="I47" s="24">
        <v>2</v>
      </c>
    </row>
    <row r="48" spans="2:9" x14ac:dyDescent="0.25">
      <c r="B48" s="17" t="s">
        <v>94</v>
      </c>
      <c r="C48" s="19">
        <v>350</v>
      </c>
      <c r="D48" s="28">
        <v>0.055</v>
      </c>
      <c r="E48" s="28">
        <v>0.055</v>
      </c>
      <c r="F48" s="29">
        <v>1.25</v>
      </c>
      <c r="G48" s="29">
        <v>16</v>
      </c>
      <c r="H48" s="24">
        <v>1</v>
      </c>
      <c r="I48" s="24">
        <v>4</v>
      </c>
    </row>
    <row r="49" spans="2:9" x14ac:dyDescent="0.25">
      <c r="B49" s="17" t="s">
        <v>95</v>
      </c>
      <c r="C49" s="19">
        <v>0</v>
      </c>
      <c r="D49" s="28">
        <v>0.0225</v>
      </c>
      <c r="E49" s="28">
        <v>0.0225</v>
      </c>
      <c r="F49" s="29">
        <v>5</v>
      </c>
      <c r="G49" s="29">
        <v>10</v>
      </c>
      <c r="H49" s="24">
        <v>1</v>
      </c>
      <c r="I49" s="24">
        <v>3</v>
      </c>
    </row>
    <row r="50" spans="2:9" x14ac:dyDescent="0.25">
      <c r="B50" s="17" t="s">
        <v>96</v>
      </c>
      <c r="C50" s="19">
        <v>0</v>
      </c>
      <c r="D50" s="28">
        <v>0.0565</v>
      </c>
      <c r="E50" s="28">
        <v>0.0565</v>
      </c>
      <c r="F50" s="29">
        <v>15</v>
      </c>
      <c r="G50" s="29">
        <v>2.75</v>
      </c>
      <c r="H50" s="24">
        <v>1</v>
      </c>
      <c r="I50" s="24">
        <v>1</v>
      </c>
    </row>
    <row r="51" spans="2:9" x14ac:dyDescent="0.25">
      <c r="B51" s="30" t="s">
        <v>97</v>
      </c>
      <c r="C51" s="31">
        <f>C9</f>
      </c>
      <c r="I51" s="24">
        <v>1</v>
      </c>
    </row>
    <row r="53" spans="2:91" x14ac:dyDescent="0.25">
      <c r="B53" s="9" t="s">
        <v>98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5" spans="2:90" x14ac:dyDescent="0.25">
      <c r="B55" s="27" t="s">
        <v>99</v>
      </c>
      <c r="C55" s="27" t="s">
        <v>100</v>
      </c>
      <c r="D55" s="27" t="s">
        <v>101</v>
      </c>
      <c r="E55" s="32" t="s">
        <v>102</v>
      </c>
      <c r="F55" s="32" t="s">
        <v>103</v>
      </c>
      <c r="G55" s="32" t="s">
        <v>104</v>
      </c>
      <c r="H55" s="32" t="s">
        <v>105</v>
      </c>
      <c r="I55" s="32" t="s">
        <v>106</v>
      </c>
      <c r="J55" s="32" t="s">
        <v>107</v>
      </c>
      <c r="K55" s="32" t="s">
        <v>108</v>
      </c>
      <c r="L55" s="32" t="s">
        <v>109</v>
      </c>
      <c r="M55" s="32" t="s">
        <v>110</v>
      </c>
      <c r="N55" s="32" t="s">
        <v>111</v>
      </c>
      <c r="O55" s="32" t="s">
        <v>112</v>
      </c>
      <c r="P55" s="32" t="s">
        <v>113</v>
      </c>
      <c r="Q55" s="32" t="s">
        <v>114</v>
      </c>
      <c r="R55" s="32" t="s">
        <v>115</v>
      </c>
      <c r="S55" s="32" t="s">
        <v>116</v>
      </c>
      <c r="T55" s="32" t="s">
        <v>117</v>
      </c>
      <c r="U55" s="32" t="s">
        <v>118</v>
      </c>
      <c r="V55" s="32" t="s">
        <v>119</v>
      </c>
      <c r="W55" s="32" t="s">
        <v>120</v>
      </c>
      <c r="X55" s="32" t="s">
        <v>121</v>
      </c>
      <c r="Y55" s="32" t="s">
        <v>122</v>
      </c>
      <c r="Z55" s="32" t="s">
        <v>123</v>
      </c>
      <c r="AA55" s="32" t="s">
        <v>124</v>
      </c>
      <c r="AB55" s="32" t="s">
        <v>125</v>
      </c>
      <c r="AC55" s="32" t="s">
        <v>126</v>
      </c>
      <c r="AD55" s="32" t="s">
        <v>127</v>
      </c>
      <c r="AE55" s="32" t="s">
        <v>128</v>
      </c>
      <c r="AF55" s="32" t="s">
        <v>129</v>
      </c>
      <c r="AG55" s="32" t="s">
        <v>130</v>
      </c>
      <c r="AH55" s="32" t="s">
        <v>131</v>
      </c>
      <c r="AI55" s="32" t="s">
        <v>132</v>
      </c>
      <c r="AJ55" s="32" t="s">
        <v>133</v>
      </c>
      <c r="AK55" s="32" t="s">
        <v>134</v>
      </c>
      <c r="AL55" s="32" t="s">
        <v>135</v>
      </c>
      <c r="AM55" s="32" t="s">
        <v>136</v>
      </c>
      <c r="AN55" s="32" t="s">
        <v>137</v>
      </c>
      <c r="AO55" s="32" t="s">
        <v>138</v>
      </c>
      <c r="AP55" s="32" t="s">
        <v>139</v>
      </c>
      <c r="AQ55" s="32" t="s">
        <v>140</v>
      </c>
      <c r="AR55" s="32" t="s">
        <v>141</v>
      </c>
      <c r="AS55" s="32" t="s">
        <v>142</v>
      </c>
      <c r="AT55" s="32" t="s">
        <v>143</v>
      </c>
      <c r="AU55" s="32" t="s">
        <v>144</v>
      </c>
      <c r="AV55" s="32" t="s">
        <v>145</v>
      </c>
      <c r="AW55" s="32" t="s">
        <v>146</v>
      </c>
      <c r="AX55" s="32" t="s">
        <v>147</v>
      </c>
      <c r="AY55" s="32" t="s">
        <v>148</v>
      </c>
      <c r="AZ55" s="32" t="s">
        <v>149</v>
      </c>
      <c r="BA55" s="32" t="s">
        <v>150</v>
      </c>
      <c r="BB55" s="32" t="s">
        <v>151</v>
      </c>
      <c r="BC55" s="32" t="s">
        <v>152</v>
      </c>
      <c r="BD55" s="32" t="s">
        <v>153</v>
      </c>
      <c r="BE55" s="32" t="s">
        <v>154</v>
      </c>
      <c r="BF55" s="32" t="s">
        <v>155</v>
      </c>
      <c r="BG55" s="32" t="s">
        <v>156</v>
      </c>
      <c r="BH55" s="32" t="s">
        <v>157</v>
      </c>
      <c r="BI55" s="32" t="s">
        <v>158</v>
      </c>
      <c r="BJ55" s="32" t="s">
        <v>159</v>
      </c>
      <c r="BK55" s="32" t="s">
        <v>160</v>
      </c>
      <c r="BL55" s="32" t="s">
        <v>161</v>
      </c>
      <c r="BM55" s="32" t="s">
        <v>162</v>
      </c>
      <c r="BN55" s="32" t="s">
        <v>163</v>
      </c>
      <c r="BO55" s="32" t="s">
        <v>164</v>
      </c>
      <c r="BP55" s="32" t="s">
        <v>165</v>
      </c>
      <c r="BQ55" s="32" t="s">
        <v>166</v>
      </c>
      <c r="BR55" s="32" t="s">
        <v>167</v>
      </c>
      <c r="BS55" s="32" t="s">
        <v>168</v>
      </c>
      <c r="BT55" s="32" t="s">
        <v>169</v>
      </c>
      <c r="BU55" s="32" t="s">
        <v>170</v>
      </c>
      <c r="BV55" s="32" t="s">
        <v>171</v>
      </c>
      <c r="BW55" s="32" t="s">
        <v>172</v>
      </c>
      <c r="BX55" s="32" t="s">
        <v>173</v>
      </c>
      <c r="BY55" s="32" t="s">
        <v>174</v>
      </c>
      <c r="BZ55" s="32" t="s">
        <v>175</v>
      </c>
      <c r="CA55" s="32" t="s">
        <v>176</v>
      </c>
      <c r="CB55" s="32" t="s">
        <v>177</v>
      </c>
      <c r="CC55" s="32" t="s">
        <v>178</v>
      </c>
      <c r="CD55" s="32" t="s">
        <v>179</v>
      </c>
      <c r="CE55" s="32" t="s">
        <v>180</v>
      </c>
      <c r="CF55" s="32" t="s">
        <v>181</v>
      </c>
      <c r="CG55" s="32" t="s">
        <v>182</v>
      </c>
      <c r="CH55" s="32" t="s">
        <v>183</v>
      </c>
      <c r="CI55" s="32" t="s">
        <v>184</v>
      </c>
      <c r="CJ55" s="32" t="s">
        <v>185</v>
      </c>
      <c r="CK55" s="32" t="s">
        <v>186</v>
      </c>
      <c r="CL55" s="32" t="s">
        <v>187</v>
      </c>
    </row>
    <row r="57" spans="2:10" x14ac:dyDescent="0.25">
      <c r="B57" s="33" t="s">
        <v>188</v>
      </c>
      <c r="C57" s="34" t="s">
        <v>189</v>
      </c>
      <c r="D57" s="35">
        <f>SUM(E57:CL57)</f>
      </c>
      <c r="E57" s="36">
        <v>0.16666666666666669</v>
      </c>
      <c r="F57" s="36">
        <v>0.16666666666666669</v>
      </c>
      <c r="G57" s="36">
        <v>0.16666666666666669</v>
      </c>
      <c r="H57" s="36">
        <v>0.16666666666666669</v>
      </c>
      <c r="I57" s="36">
        <v>0.16666666666666669</v>
      </c>
      <c r="J57" s="36">
        <v>0.16666666666666669</v>
      </c>
    </row>
    <row r="59" spans="2:91" x14ac:dyDescent="0.25">
      <c r="B59" s="9" t="s">
        <v>190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</row>
    <row r="61" spans="2:3" x14ac:dyDescent="0.25">
      <c r="B61" s="27" t="s">
        <v>191</v>
      </c>
      <c r="C61" s="27" t="s">
        <v>85</v>
      </c>
    </row>
    <row r="62" spans="2:3" x14ac:dyDescent="0.25">
      <c r="B62" s="17" t="s">
        <v>192</v>
      </c>
      <c r="C62" s="19"/>
    </row>
    <row r="63" spans="2:3" x14ac:dyDescent="0.25">
      <c r="B63" s="17" t="s">
        <v>193</v>
      </c>
      <c r="C63" s="19"/>
    </row>
    <row r="64" spans="2:3" x14ac:dyDescent="0.25">
      <c r="B64" s="17" t="s">
        <v>194</v>
      </c>
      <c r="C64" s="19"/>
    </row>
    <row r="65" spans="2:3" x14ac:dyDescent="0.25">
      <c r="B65" s="17" t="s">
        <v>195</v>
      </c>
      <c r="C65" s="19"/>
    </row>
    <row r="66" spans="2:3" x14ac:dyDescent="0.25">
      <c r="B66" s="17" t="s">
        <v>196</v>
      </c>
      <c r="C66" s="19"/>
    </row>
    <row r="67" spans="2:3" x14ac:dyDescent="0.25">
      <c r="B67" s="17" t="s">
        <v>197</v>
      </c>
      <c r="C67" s="19"/>
    </row>
    <row r="68" spans="2:3" x14ac:dyDescent="0.25">
      <c r="B68" s="17" t="s">
        <v>198</v>
      </c>
      <c r="C68" s="19"/>
    </row>
    <row r="69" spans="2:3" x14ac:dyDescent="0.25">
      <c r="B69" s="17" t="s">
        <v>199</v>
      </c>
      <c r="C69" s="19"/>
    </row>
    <row r="70" spans="2:3" x14ac:dyDescent="0.25">
      <c r="B70" s="17" t="s">
        <v>200</v>
      </c>
      <c r="C70" s="19"/>
    </row>
    <row r="71" spans="2:3" x14ac:dyDescent="0.25">
      <c r="B71" s="17" t="s">
        <v>201</v>
      </c>
      <c r="C71" s="19"/>
    </row>
    <row r="72" spans="2:3" x14ac:dyDescent="0.25">
      <c r="B72" s="17" t="s">
        <v>202</v>
      </c>
      <c r="C72" s="19"/>
    </row>
    <row r="73" spans="2:3" x14ac:dyDescent="0.25">
      <c r="B73" s="17" t="s">
        <v>203</v>
      </c>
      <c r="C73" s="19"/>
    </row>
    <row r="76" spans="2:2" x14ac:dyDescent="0.25">
      <c r="B76" t="s">
        <v>204</v>
      </c>
    </row>
    <row r="77" spans="2:2" x14ac:dyDescent="0.25">
      <c r="B77" s="37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41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206</v>
      </c>
    </row>
    <row r="4" spans="2:91" x14ac:dyDescent="0.25">
      <c r="B4" s="9" t="s">
        <v>83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7" t="s">
        <v>84</v>
      </c>
      <c r="C6" s="27" t="s">
        <v>207</v>
      </c>
      <c r="D6" s="27" t="s">
        <v>91</v>
      </c>
      <c r="E6" s="27" t="s">
        <v>208</v>
      </c>
      <c r="F6" s="27" t="s">
        <v>209</v>
      </c>
      <c r="G6" s="27" t="s">
        <v>88</v>
      </c>
      <c r="H6" s="27" t="s">
        <v>89</v>
      </c>
      <c r="I6" s="27" t="s">
        <v>90</v>
      </c>
      <c r="J6" s="27" t="s">
        <v>210</v>
      </c>
    </row>
    <row r="7" spans="2:3" x14ac:dyDescent="0.25">
      <c r="B7" s="31" t="s">
        <v>97</v>
      </c>
      <c r="C7" s="31">
        <f>'입력값'!C9*100</f>
      </c>
    </row>
    <row r="8" spans="2:10" x14ac:dyDescent="0.25">
      <c r="B8" s="31" t="s">
        <v>92</v>
      </c>
      <c r="C8" s="31">
        <f>'입력값'!C46*100</f>
      </c>
      <c r="D8" s="38" t="s">
        <v>211</v>
      </c>
      <c r="E8" s="39">
        <f>'입력값'!D46</f>
      </c>
      <c r="F8" s="39">
        <f>'입력값'!E46</f>
      </c>
      <c r="G8" s="40">
        <f>'입력값'!F46</f>
      </c>
      <c r="H8" s="40">
        <f>'입력값'!G46</f>
      </c>
      <c r="I8" s="38">
        <f>'입력값'!H46</f>
      </c>
      <c r="J8" s="30" t="s">
        <v>111</v>
      </c>
    </row>
    <row r="9" spans="2:10" x14ac:dyDescent="0.25">
      <c r="B9" s="31" t="s">
        <v>93</v>
      </c>
      <c r="C9" s="31">
        <f>'입력값'!C47*100</f>
      </c>
      <c r="D9" s="38" t="s">
        <v>211</v>
      </c>
      <c r="E9" s="39">
        <f>'입력값'!D47</f>
      </c>
      <c r="F9" s="39">
        <f>'입력값'!E47</f>
      </c>
      <c r="G9" s="40">
        <f>'입력값'!F47</f>
      </c>
      <c r="H9" s="40">
        <f>'입력값'!G47</f>
      </c>
      <c r="I9" s="38">
        <f>'입력값'!H47</f>
      </c>
      <c r="J9" s="30" t="s">
        <v>111</v>
      </c>
    </row>
    <row r="10" spans="2:10" x14ac:dyDescent="0.25">
      <c r="B10" s="31" t="s">
        <v>94</v>
      </c>
      <c r="C10" s="31">
        <f>'입력값'!C48*100</f>
      </c>
      <c r="D10" s="38" t="s">
        <v>211</v>
      </c>
      <c r="E10" s="39">
        <f>'입력값'!D48</f>
      </c>
      <c r="F10" s="39">
        <f>'입력값'!E48</f>
      </c>
      <c r="G10" s="40">
        <f>'입력값'!F48</f>
      </c>
      <c r="H10" s="40">
        <f>'입력값'!G48</f>
      </c>
      <c r="I10" s="38">
        <f>'입력값'!H48</f>
      </c>
      <c r="J10" s="30" t="s">
        <v>111</v>
      </c>
    </row>
    <row r="11" spans="2:10" x14ac:dyDescent="0.25">
      <c r="B11" s="31" t="s">
        <v>95</v>
      </c>
      <c r="C11" s="31">
        <f>'입력값'!C49*100</f>
      </c>
      <c r="D11" s="38" t="s">
        <v>211</v>
      </c>
      <c r="E11" s="39">
        <f>'입력값'!D49</f>
      </c>
      <c r="F11" s="39">
        <f>'입력값'!E49</f>
      </c>
      <c r="G11" s="40">
        <f>'입력값'!F49</f>
      </c>
      <c r="H11" s="40">
        <f>'입력값'!G49</f>
      </c>
      <c r="I11" s="38">
        <f>'입력값'!H49</f>
      </c>
      <c r="J11" s="30" t="s">
        <v>212</v>
      </c>
    </row>
    <row r="12" spans="2:10" x14ac:dyDescent="0.25">
      <c r="B12" s="31" t="s">
        <v>96</v>
      </c>
      <c r="C12" s="31">
        <f>'입력값'!C50*100</f>
      </c>
      <c r="D12" s="38" t="s">
        <v>211</v>
      </c>
      <c r="E12" s="39">
        <f>'입력값'!D50</f>
      </c>
      <c r="F12" s="39">
        <f>'입력값'!E50</f>
      </c>
      <c r="G12" s="40">
        <f>'입력값'!F50</f>
      </c>
      <c r="H12" s="40">
        <f>'입력값'!G50</f>
      </c>
      <c r="I12" s="38">
        <f>'입력값'!H50</f>
      </c>
      <c r="J12" s="30" t="s">
        <v>212</v>
      </c>
    </row>
    <row r="13" spans="2:3" x14ac:dyDescent="0.25">
      <c r="B13" s="41" t="s">
        <v>213</v>
      </c>
      <c r="C13" s="42">
        <f>C8+C9+C10+C11+C12</f>
      </c>
    </row>
    <row r="15" spans="2:91" x14ac:dyDescent="0.25">
      <c r="B15" s="9" t="s">
        <v>214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1" t="s">
        <v>215</v>
      </c>
      <c r="C17" s="31">
        <f>'Debt'!D15</f>
      </c>
    </row>
    <row r="18" spans="2:3" x14ac:dyDescent="0.25">
      <c r="B18" s="31" t="s">
        <v>216</v>
      </c>
      <c r="C18" s="31">
        <f>$D$41*100+'Debt'!D15</f>
      </c>
    </row>
    <row r="19" spans="2:3" x14ac:dyDescent="0.25">
      <c r="B19" s="31" t="s">
        <v>217</v>
      </c>
      <c r="C19" s="31">
        <f>'입력값'!C8*100</f>
      </c>
    </row>
    <row r="21" spans="2:91" x14ac:dyDescent="0.25">
      <c r="B21" s="9" t="s">
        <v>218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7" t="s">
        <v>191</v>
      </c>
      <c r="C23" s="27" t="s">
        <v>207</v>
      </c>
    </row>
    <row r="24" spans="2:2" x14ac:dyDescent="0.25">
      <c r="B24" s="30">
        <f>'입력값'!B62</f>
      </c>
    </row>
    <row r="25" spans="2:2" x14ac:dyDescent="0.25">
      <c r="B25" s="30">
        <f>'입력값'!B63</f>
      </c>
    </row>
    <row r="26" spans="2:2" x14ac:dyDescent="0.25">
      <c r="B26" s="30">
        <f>'입력값'!B64</f>
      </c>
    </row>
    <row r="27" spans="2:2" x14ac:dyDescent="0.25">
      <c r="B27" s="30">
        <f>'입력값'!B65</f>
      </c>
    </row>
    <row r="28" spans="2:2" x14ac:dyDescent="0.25">
      <c r="B28" s="30">
        <f>'입력값'!B66</f>
      </c>
    </row>
    <row r="29" spans="2:2" x14ac:dyDescent="0.25">
      <c r="B29" s="30">
        <f>'입력값'!B67</f>
      </c>
    </row>
    <row r="30" spans="2:2" x14ac:dyDescent="0.25">
      <c r="B30" s="30">
        <f>'입력값'!B68</f>
      </c>
    </row>
    <row r="31" spans="2:2" x14ac:dyDescent="0.25">
      <c r="B31" s="30">
        <f>'입력값'!B69</f>
      </c>
    </row>
    <row r="32" spans="2:2" x14ac:dyDescent="0.25">
      <c r="B32" s="30">
        <f>'입력값'!B70</f>
      </c>
    </row>
    <row r="33" spans="2:2" x14ac:dyDescent="0.25">
      <c r="B33" s="30">
        <f>'입력값'!B71</f>
      </c>
    </row>
    <row r="34" spans="2:2" x14ac:dyDescent="0.25">
      <c r="B34" s="30">
        <f>'입력값'!B72</f>
      </c>
    </row>
    <row r="35" spans="2:2" x14ac:dyDescent="0.25">
      <c r="B35" s="30">
        <f>'입력값'!B73</f>
      </c>
    </row>
    <row r="36" spans="2:3" x14ac:dyDescent="0.25">
      <c r="B36" s="41" t="s">
        <v>219</v>
      </c>
      <c r="C36" s="42">
        <f>'입력값'!C8*100</f>
      </c>
    </row>
    <row r="39" spans="2:91" x14ac:dyDescent="0.25">
      <c r="B39" s="9" t="s">
        <v>220</v>
      </c>
      <c r="C39" s="10"/>
      <c r="D39" s="43" t="s">
        <v>221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</row>
    <row r="40" spans="2:2" x14ac:dyDescent="0.25">
      <c r="B40" s="37" t="s">
        <v>222</v>
      </c>
    </row>
    <row r="41" spans="2:4" x14ac:dyDescent="0.25">
      <c r="B41" s="33" t="s">
        <v>223</v>
      </c>
      <c r="C41" s="44" t="s">
        <v>224</v>
      </c>
      <c r="D41" s="45">
        <f>'입력값'!C8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05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225</v>
      </c>
    </row>
    <row r="4" spans="2:91" x14ac:dyDescent="0.25">
      <c r="B4" s="9" t="s">
        <v>226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99</v>
      </c>
      <c r="C6" s="27" t="s">
        <v>100</v>
      </c>
      <c r="D6" s="27" t="s">
        <v>101</v>
      </c>
      <c r="E6" s="32" t="s">
        <v>102</v>
      </c>
      <c r="F6" s="32" t="s">
        <v>103</v>
      </c>
      <c r="G6" s="32" t="s">
        <v>104</v>
      </c>
      <c r="H6" s="32" t="s">
        <v>105</v>
      </c>
      <c r="I6" s="32" t="s">
        <v>106</v>
      </c>
      <c r="J6" s="32" t="s">
        <v>107</v>
      </c>
      <c r="K6" s="32" t="s">
        <v>108</v>
      </c>
      <c r="L6" s="32" t="s">
        <v>109</v>
      </c>
      <c r="M6" s="32" t="s">
        <v>110</v>
      </c>
      <c r="N6" s="32" t="s">
        <v>111</v>
      </c>
      <c r="O6" s="32" t="s">
        <v>112</v>
      </c>
      <c r="P6" s="32" t="s">
        <v>113</v>
      </c>
      <c r="Q6" s="32" t="s">
        <v>114</v>
      </c>
      <c r="R6" s="32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2" t="s">
        <v>121</v>
      </c>
      <c r="Y6" s="32" t="s">
        <v>122</v>
      </c>
      <c r="Z6" s="32" t="s">
        <v>123</v>
      </c>
      <c r="AA6" s="32" t="s">
        <v>124</v>
      </c>
      <c r="AB6" s="32" t="s">
        <v>125</v>
      </c>
      <c r="AC6" s="32" t="s">
        <v>126</v>
      </c>
      <c r="AD6" s="32" t="s">
        <v>127</v>
      </c>
      <c r="AE6" s="32" t="s">
        <v>128</v>
      </c>
      <c r="AF6" s="32" t="s">
        <v>129</v>
      </c>
      <c r="AG6" s="32" t="s">
        <v>130</v>
      </c>
      <c r="AH6" s="32" t="s">
        <v>131</v>
      </c>
      <c r="AI6" s="32" t="s">
        <v>132</v>
      </c>
      <c r="AJ6" s="32" t="s">
        <v>133</v>
      </c>
      <c r="AK6" s="32" t="s">
        <v>134</v>
      </c>
      <c r="AL6" s="32" t="s">
        <v>135</v>
      </c>
      <c r="AM6" s="32" t="s">
        <v>136</v>
      </c>
      <c r="AN6" s="32" t="s">
        <v>137</v>
      </c>
      <c r="AO6" s="32" t="s">
        <v>138</v>
      </c>
      <c r="AP6" s="32" t="s">
        <v>139</v>
      </c>
      <c r="AQ6" s="32" t="s">
        <v>140</v>
      </c>
      <c r="AR6" s="32" t="s">
        <v>141</v>
      </c>
      <c r="AS6" s="32" t="s">
        <v>142</v>
      </c>
      <c r="AT6" s="32" t="s">
        <v>143</v>
      </c>
      <c r="AU6" s="32" t="s">
        <v>144</v>
      </c>
      <c r="AV6" s="32" t="s">
        <v>145</v>
      </c>
      <c r="AW6" s="32" t="s">
        <v>146</v>
      </c>
      <c r="AX6" s="32" t="s">
        <v>147</v>
      </c>
      <c r="AY6" s="32" t="s">
        <v>148</v>
      </c>
      <c r="AZ6" s="32" t="s">
        <v>149</v>
      </c>
      <c r="BA6" s="32" t="s">
        <v>150</v>
      </c>
      <c r="BB6" s="32" t="s">
        <v>151</v>
      </c>
      <c r="BC6" s="32" t="s">
        <v>152</v>
      </c>
      <c r="BD6" s="32" t="s">
        <v>153</v>
      </c>
      <c r="BE6" s="32" t="s">
        <v>154</v>
      </c>
      <c r="BF6" s="32" t="s">
        <v>155</v>
      </c>
      <c r="BG6" s="32" t="s">
        <v>156</v>
      </c>
      <c r="BH6" s="32" t="s">
        <v>157</v>
      </c>
      <c r="BI6" s="32" t="s">
        <v>158</v>
      </c>
      <c r="BJ6" s="32" t="s">
        <v>159</v>
      </c>
      <c r="BK6" s="32" t="s">
        <v>160</v>
      </c>
      <c r="BL6" s="32" t="s">
        <v>161</v>
      </c>
      <c r="BM6" s="32" t="s">
        <v>162</v>
      </c>
      <c r="BN6" s="32" t="s">
        <v>163</v>
      </c>
      <c r="BO6" s="32" t="s">
        <v>164</v>
      </c>
      <c r="BP6" s="32" t="s">
        <v>165</v>
      </c>
      <c r="BQ6" s="32" t="s">
        <v>166</v>
      </c>
      <c r="BR6" s="32" t="s">
        <v>167</v>
      </c>
      <c r="BS6" s="32" t="s">
        <v>168</v>
      </c>
      <c r="BT6" s="32" t="s">
        <v>169</v>
      </c>
      <c r="BU6" s="32" t="s">
        <v>170</v>
      </c>
      <c r="BV6" s="32" t="s">
        <v>171</v>
      </c>
      <c r="BW6" s="32" t="s">
        <v>172</v>
      </c>
      <c r="BX6" s="32" t="s">
        <v>173</v>
      </c>
      <c r="BY6" s="32" t="s">
        <v>174</v>
      </c>
      <c r="BZ6" s="32" t="s">
        <v>175</v>
      </c>
      <c r="CA6" s="32" t="s">
        <v>176</v>
      </c>
      <c r="CB6" s="32" t="s">
        <v>177</v>
      </c>
      <c r="CC6" s="32" t="s">
        <v>178</v>
      </c>
      <c r="CD6" s="32" t="s">
        <v>179</v>
      </c>
      <c r="CE6" s="32" t="s">
        <v>180</v>
      </c>
      <c r="CF6" s="32" t="s">
        <v>181</v>
      </c>
      <c r="CG6" s="32" t="s">
        <v>182</v>
      </c>
      <c r="CH6" s="32" t="s">
        <v>183</v>
      </c>
      <c r="CI6" s="32" t="s">
        <v>184</v>
      </c>
      <c r="CJ6" s="32" t="s">
        <v>185</v>
      </c>
      <c r="CK6" s="32" t="s">
        <v>186</v>
      </c>
      <c r="CL6" s="32" t="s">
        <v>187</v>
      </c>
    </row>
    <row r="8" spans="2:90" x14ac:dyDescent="0.25">
      <c r="B8" s="33" t="s">
        <v>227</v>
      </c>
      <c r="C8" s="34" t="s">
        <v>228</v>
      </c>
      <c r="D8" s="31">
        <f>SUM(E8:CL8)</f>
      </c>
      <c r="E8" s="31">
        <f>E105*$D$88*100</f>
      </c>
      <c r="F8" s="31">
        <f>F105*$D$88*100</f>
      </c>
      <c r="G8" s="31">
        <f>G105*$D$88*100</f>
      </c>
      <c r="H8" s="31">
        <f>H105*$D$88*100</f>
      </c>
      <c r="I8" s="31">
        <f>I105*$D$88*100</f>
      </c>
      <c r="J8" s="31">
        <f>J105*$D$88*100</f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0</v>
      </c>
      <c r="BD8" s="31">
        <v>0</v>
      </c>
      <c r="BE8" s="31">
        <v>0</v>
      </c>
      <c r="BF8" s="31">
        <v>0</v>
      </c>
      <c r="BG8" s="31">
        <v>0</v>
      </c>
      <c r="BH8" s="31">
        <v>0</v>
      </c>
      <c r="BI8" s="31">
        <v>0</v>
      </c>
      <c r="BJ8" s="31">
        <v>0</v>
      </c>
      <c r="BK8" s="31">
        <v>0</v>
      </c>
      <c r="BL8" s="31">
        <v>0</v>
      </c>
      <c r="BM8" s="31">
        <v>0</v>
      </c>
      <c r="BN8" s="31">
        <v>0</v>
      </c>
      <c r="BO8" s="31">
        <v>0</v>
      </c>
      <c r="BP8" s="31">
        <v>0</v>
      </c>
      <c r="BQ8" s="31">
        <v>0</v>
      </c>
      <c r="BR8" s="31">
        <v>0</v>
      </c>
      <c r="BS8" s="31">
        <v>0</v>
      </c>
      <c r="BT8" s="31">
        <v>0</v>
      </c>
      <c r="BU8" s="31">
        <v>0</v>
      </c>
      <c r="BV8" s="31">
        <v>0</v>
      </c>
      <c r="BW8" s="31">
        <v>0</v>
      </c>
      <c r="BX8" s="31">
        <v>0</v>
      </c>
      <c r="BY8" s="31">
        <v>0</v>
      </c>
      <c r="BZ8" s="31">
        <v>0</v>
      </c>
      <c r="CA8" s="31">
        <v>0</v>
      </c>
      <c r="CB8" s="31">
        <v>0</v>
      </c>
      <c r="CC8" s="31">
        <v>0</v>
      </c>
      <c r="CD8" s="31">
        <v>0</v>
      </c>
      <c r="CE8" s="31">
        <v>0</v>
      </c>
      <c r="CF8" s="31">
        <v>0</v>
      </c>
      <c r="CG8" s="31">
        <v>0</v>
      </c>
      <c r="CH8" s="31">
        <v>0</v>
      </c>
      <c r="CI8" s="31">
        <v>0</v>
      </c>
      <c r="CJ8" s="31">
        <v>0</v>
      </c>
      <c r="CK8" s="31">
        <v>0</v>
      </c>
      <c r="CL8" s="31">
        <v>0</v>
      </c>
    </row>
    <row r="9" spans="2:90" x14ac:dyDescent="0.25">
      <c r="B9" s="33" t="s">
        <v>229</v>
      </c>
      <c r="C9" s="34" t="s">
        <v>228</v>
      </c>
      <c r="D9" s="31">
        <f>SUM(E9:CL9)</f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f>'입력값'!C23*100</f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31">
        <v>0</v>
      </c>
      <c r="BO9" s="31">
        <v>0</v>
      </c>
      <c r="BP9" s="31">
        <v>0</v>
      </c>
      <c r="BQ9" s="31">
        <v>0</v>
      </c>
      <c r="BR9" s="31">
        <v>0</v>
      </c>
      <c r="BS9" s="31">
        <v>0</v>
      </c>
      <c r="BT9" s="31">
        <v>0</v>
      </c>
      <c r="BU9" s="31">
        <v>0</v>
      </c>
      <c r="BV9" s="31">
        <v>0</v>
      </c>
      <c r="BW9" s="31">
        <v>0</v>
      </c>
      <c r="BX9" s="31">
        <v>0</v>
      </c>
      <c r="BY9" s="31">
        <v>0</v>
      </c>
      <c r="BZ9" s="31">
        <v>0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1">
        <v>0</v>
      </c>
    </row>
    <row r="10" spans="2:90" x14ac:dyDescent="0.25">
      <c r="B10" s="33" t="s">
        <v>230</v>
      </c>
      <c r="C10" s="34" t="s">
        <v>228</v>
      </c>
      <c r="D10" s="31">
        <f>SUM(E10:CL10)</f>
      </c>
      <c r="E10" s="31">
        <v>0</v>
      </c>
      <c r="F10" s="31">
        <f>E18*$D$91/4</f>
      </c>
      <c r="G10" s="31">
        <f>F18*$D$91/4</f>
      </c>
      <c r="H10" s="31">
        <f>G18*$D$91/4</f>
      </c>
      <c r="I10" s="31">
        <f>H18*$D$91/4</f>
      </c>
      <c r="J10" s="31">
        <f>I18*$D$91/4</f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31">
        <v>0</v>
      </c>
      <c r="AZ10" s="31">
        <v>0</v>
      </c>
      <c r="BA10" s="31">
        <v>0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0</v>
      </c>
      <c r="BK10" s="31">
        <v>0</v>
      </c>
      <c r="BL10" s="31">
        <v>0</v>
      </c>
      <c r="BM10" s="31">
        <v>0</v>
      </c>
      <c r="BN10" s="31">
        <v>0</v>
      </c>
      <c r="BO10" s="31">
        <v>0</v>
      </c>
      <c r="BP10" s="31">
        <v>0</v>
      </c>
      <c r="BQ10" s="31">
        <v>0</v>
      </c>
      <c r="BR10" s="31">
        <v>0</v>
      </c>
      <c r="BS10" s="31">
        <v>0</v>
      </c>
      <c r="BT10" s="31">
        <v>0</v>
      </c>
      <c r="BU10" s="31">
        <v>0</v>
      </c>
      <c r="BV10" s="31">
        <v>0</v>
      </c>
      <c r="BW10" s="31">
        <v>0</v>
      </c>
      <c r="BX10" s="31">
        <v>0</v>
      </c>
      <c r="BY10" s="31">
        <v>0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</v>
      </c>
      <c r="CI10" s="31">
        <v>0</v>
      </c>
      <c r="CJ10" s="31">
        <v>0</v>
      </c>
      <c r="CK10" s="31">
        <v>0</v>
      </c>
      <c r="CL10" s="31">
        <v>0</v>
      </c>
    </row>
    <row r="11" spans="2:90" x14ac:dyDescent="0.25">
      <c r="B11" s="33" t="s">
        <v>231</v>
      </c>
      <c r="C11" s="34" t="s">
        <v>228</v>
      </c>
      <c r="D11" s="31">
        <f>SUM(E11:CL11)</f>
      </c>
      <c r="E11" s="31">
        <v>0</v>
      </c>
      <c r="F11" s="31">
        <f>E19*$D$94/4</f>
      </c>
      <c r="G11" s="31">
        <f>F19*$D$94/4</f>
      </c>
      <c r="H11" s="31">
        <f>G19*$D$94/4</f>
      </c>
      <c r="I11" s="31">
        <f>H19*$D$94/4</f>
      </c>
      <c r="J11" s="31">
        <f>I19*$D$94/4</f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31">
        <v>0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1">
        <v>0</v>
      </c>
    </row>
    <row r="12" spans="2:90" x14ac:dyDescent="0.25">
      <c r="B12" s="33" t="s">
        <v>232</v>
      </c>
      <c r="C12" s="34" t="s">
        <v>228</v>
      </c>
      <c r="D12" s="31">
        <f>SUM(E12:CL12)</f>
      </c>
      <c r="E12" s="31">
        <v>0</v>
      </c>
      <c r="F12" s="31">
        <f>E20*$D$97/4</f>
      </c>
      <c r="G12" s="31">
        <f>F20*$D$97/4</f>
      </c>
      <c r="H12" s="31">
        <f>G20*$D$97/4</f>
      </c>
      <c r="I12" s="31">
        <f>H20*$D$97/4</f>
      </c>
      <c r="J12" s="31">
        <f>I20*$D$97/4</f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0</v>
      </c>
      <c r="AV12" s="31">
        <v>0</v>
      </c>
      <c r="AW12" s="31">
        <v>0</v>
      </c>
      <c r="AX12" s="31">
        <v>0</v>
      </c>
      <c r="AY12" s="31">
        <v>0</v>
      </c>
      <c r="AZ12" s="31">
        <v>0</v>
      </c>
      <c r="BA12" s="31">
        <v>0</v>
      </c>
      <c r="BB12" s="31">
        <v>0</v>
      </c>
      <c r="BC12" s="31">
        <v>0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1">
        <v>0</v>
      </c>
      <c r="BP12" s="31">
        <v>0</v>
      </c>
      <c r="BQ12" s="31">
        <v>0</v>
      </c>
      <c r="BR12" s="31">
        <v>0</v>
      </c>
      <c r="BS12" s="31">
        <v>0</v>
      </c>
      <c r="BT12" s="31">
        <v>0</v>
      </c>
      <c r="BU12" s="31">
        <v>0</v>
      </c>
      <c r="BV12" s="31">
        <v>0</v>
      </c>
      <c r="BW12" s="31">
        <v>0</v>
      </c>
      <c r="BX12" s="31">
        <v>0</v>
      </c>
      <c r="BY12" s="31">
        <v>0</v>
      </c>
      <c r="BZ12" s="31">
        <v>0</v>
      </c>
      <c r="CA12" s="31">
        <v>0</v>
      </c>
      <c r="CB12" s="31">
        <v>0</v>
      </c>
      <c r="CC12" s="31">
        <v>0</v>
      </c>
      <c r="CD12" s="31">
        <v>0</v>
      </c>
      <c r="CE12" s="31">
        <v>0</v>
      </c>
      <c r="CF12" s="31">
        <v>0</v>
      </c>
      <c r="CG12" s="31">
        <v>0</v>
      </c>
      <c r="CH12" s="31">
        <v>0</v>
      </c>
      <c r="CI12" s="31">
        <v>0</v>
      </c>
      <c r="CJ12" s="31">
        <v>0</v>
      </c>
      <c r="CK12" s="31">
        <v>0</v>
      </c>
      <c r="CL12" s="31">
        <v>0</v>
      </c>
    </row>
    <row r="13" spans="2:90" x14ac:dyDescent="0.25">
      <c r="B13" s="33" t="s">
        <v>233</v>
      </c>
      <c r="C13" s="34" t="s">
        <v>228</v>
      </c>
      <c r="D13" s="31">
        <f>SUM(E13:CL13)</f>
      </c>
      <c r="E13" s="31">
        <v>0</v>
      </c>
      <c r="F13" s="31">
        <f>E21*$D$100/4</f>
      </c>
      <c r="G13" s="31">
        <f>F21*$D$100/4</f>
      </c>
      <c r="H13" s="31">
        <f>G21*$D$100/4</f>
      </c>
      <c r="I13" s="31">
        <f>H21*$D$100/4</f>
      </c>
      <c r="J13" s="31">
        <f>I21*$D$100/4</f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>
        <v>0</v>
      </c>
      <c r="BO13" s="31">
        <v>0</v>
      </c>
      <c r="BP13" s="31">
        <v>0</v>
      </c>
      <c r="BQ13" s="31">
        <v>0</v>
      </c>
      <c r="BR13" s="31">
        <v>0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0</v>
      </c>
      <c r="BY13" s="31">
        <v>0</v>
      </c>
      <c r="BZ13" s="31">
        <v>0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1">
        <v>0</v>
      </c>
    </row>
    <row r="14" spans="2:90" x14ac:dyDescent="0.25">
      <c r="B14" s="33" t="s">
        <v>234</v>
      </c>
      <c r="C14" s="34" t="s">
        <v>228</v>
      </c>
      <c r="D14" s="31">
        <f>SUM(E14:CL14)</f>
      </c>
      <c r="E14" s="31">
        <v>0</v>
      </c>
      <c r="F14" s="31">
        <f>E22*$D$103/4</f>
      </c>
      <c r="G14" s="31">
        <f>F22*$D$103/4</f>
      </c>
      <c r="H14" s="31">
        <f>G22*$D$103/4</f>
      </c>
      <c r="I14" s="31">
        <f>H22*$D$103/4</f>
      </c>
      <c r="J14" s="31">
        <f>I22*$D$103/4</f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1">
        <v>0</v>
      </c>
      <c r="BP14" s="31">
        <v>0</v>
      </c>
      <c r="BQ14" s="31">
        <v>0</v>
      </c>
      <c r="BR14" s="31">
        <v>0</v>
      </c>
      <c r="BS14" s="31">
        <v>0</v>
      </c>
      <c r="BT14" s="31">
        <v>0</v>
      </c>
      <c r="BU14" s="31">
        <v>0</v>
      </c>
      <c r="BV14" s="31">
        <v>0</v>
      </c>
      <c r="BW14" s="31">
        <v>0</v>
      </c>
      <c r="BX14" s="31">
        <v>0</v>
      </c>
      <c r="BY14" s="31">
        <v>0</v>
      </c>
      <c r="BZ14" s="31">
        <v>0</v>
      </c>
      <c r="CA14" s="31">
        <v>0</v>
      </c>
      <c r="CB14" s="31">
        <v>0</v>
      </c>
      <c r="CC14" s="31">
        <v>0</v>
      </c>
      <c r="CD14" s="31">
        <v>0</v>
      </c>
      <c r="CE14" s="31">
        <v>0</v>
      </c>
      <c r="CF14" s="31">
        <v>0</v>
      </c>
      <c r="CG14" s="31">
        <v>0</v>
      </c>
      <c r="CH14" s="31">
        <v>0</v>
      </c>
      <c r="CI14" s="31">
        <v>0</v>
      </c>
      <c r="CJ14" s="31">
        <v>0</v>
      </c>
      <c r="CK14" s="31">
        <v>0</v>
      </c>
      <c r="CL14" s="31">
        <v>0</v>
      </c>
    </row>
    <row r="15" spans="2:90" x14ac:dyDescent="0.25">
      <c r="B15" s="46" t="s">
        <v>235</v>
      </c>
      <c r="C15" s="34" t="s">
        <v>228</v>
      </c>
      <c r="D15" s="14">
        <f>SUM(E15:CL15)</f>
      </c>
      <c r="E15" s="14">
        <f>E10+E11+E12+E13+E14</f>
      </c>
      <c r="F15" s="14">
        <f>F10+F11+F12+F13+F14</f>
      </c>
      <c r="G15" s="14">
        <f>G10+G11+G12+G13+G14</f>
      </c>
      <c r="H15" s="14">
        <f>H10+H11+H12+H13+H14</f>
      </c>
      <c r="I15" s="14">
        <f>I10+I11+I12+I13+I14</f>
      </c>
      <c r="J15" s="14">
        <f>J10+J11+J12+J13+J14</f>
      </c>
      <c r="K15" s="14">
        <f>K10+K11+K12+K13+K14</f>
      </c>
      <c r="L15" s="14">
        <f>L10+L11+L12+L13+L14</f>
      </c>
      <c r="M15" s="14">
        <f>M10+M11+M12+M13+M14</f>
      </c>
      <c r="N15" s="14">
        <f>N10+N11+N12+N13+N14</f>
      </c>
      <c r="O15" s="14">
        <f>O10+O11+O12+O13+O14</f>
      </c>
      <c r="P15" s="14">
        <f>P10+P11+P12+P13+P14</f>
      </c>
      <c r="Q15" s="14">
        <f>Q10+Q11+Q12+Q13+Q14</f>
      </c>
      <c r="R15" s="14">
        <f>R10+R11+R12+R13+R14</f>
      </c>
      <c r="S15" s="14">
        <f>S10+S11+S12+S13+S14</f>
      </c>
      <c r="T15" s="14">
        <f>T10+T11+T12+T13+T14</f>
      </c>
      <c r="U15" s="14">
        <f>U10+U11+U12+U13+U14</f>
      </c>
      <c r="V15" s="14">
        <f>V10+V11+V12+V13+V14</f>
      </c>
      <c r="W15" s="14">
        <f>W10+W11+W12+W13+W14</f>
      </c>
      <c r="X15" s="14">
        <f>X10+X11+X12+X13+X14</f>
      </c>
      <c r="Y15" s="14">
        <f>Y10+Y11+Y12+Y13+Y14</f>
      </c>
      <c r="Z15" s="14">
        <f>Z10+Z11+Z12+Z13+Z14</f>
      </c>
      <c r="AA15" s="14">
        <f>AA10+AA11+AA12+AA13+AA14</f>
      </c>
      <c r="AB15" s="14">
        <f>AB10+AB11+AB12+AB13+AB14</f>
      </c>
      <c r="AC15" s="14">
        <f>AC10+AC11+AC12+AC13+AC14</f>
      </c>
      <c r="AD15" s="14">
        <f>AD10+AD11+AD12+AD13+AD14</f>
      </c>
      <c r="AE15" s="14">
        <f>AE10+AE11+AE12+AE13+AE14</f>
      </c>
      <c r="AF15" s="14">
        <f>AF10+AF11+AF12+AF13+AF14</f>
      </c>
      <c r="AG15" s="14">
        <f>AG10+AG11+AG12+AG13+AG14</f>
      </c>
      <c r="AH15" s="14">
        <f>AH10+AH11+AH12+AH13+AH14</f>
      </c>
      <c r="AI15" s="14">
        <f>AI10+AI11+AI12+AI13+AI14</f>
      </c>
      <c r="AJ15" s="14">
        <f>AJ10+AJ11+AJ12+AJ13+AJ14</f>
      </c>
      <c r="AK15" s="14">
        <f>AK10+AK11+AK12+AK13+AK14</f>
      </c>
      <c r="AL15" s="14">
        <f>AL10+AL11+AL12+AL13+AL14</f>
      </c>
      <c r="AM15" s="14">
        <f>AM10+AM11+AM12+AM13+AM14</f>
      </c>
      <c r="AN15" s="14">
        <f>AN10+AN11+AN12+AN13+AN14</f>
      </c>
      <c r="AO15" s="14">
        <f>AO10+AO11+AO12+AO13+AO14</f>
      </c>
      <c r="AP15" s="14">
        <f>AP10+AP11+AP12+AP13+AP14</f>
      </c>
      <c r="AQ15" s="14">
        <f>AQ10+AQ11+AQ12+AQ13+AQ14</f>
      </c>
      <c r="AR15" s="14">
        <f>AR10+AR11+AR12+AR13+AR14</f>
      </c>
      <c r="AS15" s="14">
        <f>AS10+AS11+AS12+AS13+AS14</f>
      </c>
      <c r="AT15" s="14">
        <f>AT10+AT11+AT12+AT13+AT14</f>
      </c>
      <c r="AU15" s="14">
        <f>AU10+AU11+AU12+AU13+AU14</f>
      </c>
      <c r="AV15" s="14">
        <f>AV10+AV11+AV12+AV13+AV14</f>
      </c>
      <c r="AW15" s="14">
        <f>AW10+AW11+AW12+AW13+AW14</f>
      </c>
      <c r="AX15" s="14">
        <f>AX10+AX11+AX12+AX13+AX14</f>
      </c>
      <c r="AY15" s="14">
        <f>AY10+AY11+AY12+AY13+AY14</f>
      </c>
      <c r="AZ15" s="14">
        <f>AZ10+AZ11+AZ12+AZ13+AZ14</f>
      </c>
      <c r="BA15" s="14">
        <f>BA10+BA11+BA12+BA13+BA14</f>
      </c>
      <c r="BB15" s="14">
        <f>BB10+BB11+BB12+BB13+BB14</f>
      </c>
      <c r="BC15" s="14">
        <f>BC10+BC11+BC12+BC13+BC14</f>
      </c>
      <c r="BD15" s="14">
        <f>BD10+BD11+BD12+BD13+BD14</f>
      </c>
      <c r="BE15" s="14">
        <f>BE10+BE11+BE12+BE13+BE14</f>
      </c>
      <c r="BF15" s="14">
        <f>BF10+BF11+BF12+BF13+BF14</f>
      </c>
      <c r="BG15" s="14">
        <f>BG10+BG11+BG12+BG13+BG14</f>
      </c>
      <c r="BH15" s="14">
        <f>BH10+BH11+BH12+BH13+BH14</f>
      </c>
      <c r="BI15" s="14">
        <f>BI10+BI11+BI12+BI13+BI14</f>
      </c>
      <c r="BJ15" s="14">
        <f>BJ10+BJ11+BJ12+BJ13+BJ14</f>
      </c>
      <c r="BK15" s="14">
        <f>BK10+BK11+BK12+BK13+BK14</f>
      </c>
      <c r="BL15" s="14">
        <f>BL10+BL11+BL12+BL13+BL14</f>
      </c>
      <c r="BM15" s="14">
        <f>BM10+BM11+BM12+BM13+BM14</f>
      </c>
      <c r="BN15" s="14">
        <f>BN10+BN11+BN12+BN13+BN14</f>
      </c>
      <c r="BO15" s="14">
        <f>BO10+BO11+BO12+BO13+BO14</f>
      </c>
      <c r="BP15" s="14">
        <f>BP10+BP11+BP12+BP13+BP14</f>
      </c>
      <c r="BQ15" s="14">
        <f>BQ10+BQ11+BQ12+BQ13+BQ14</f>
      </c>
      <c r="BR15" s="14">
        <f>BR10+BR11+BR12+BR13+BR14</f>
      </c>
      <c r="BS15" s="14">
        <f>BS10+BS11+BS12+BS13+BS14</f>
      </c>
      <c r="BT15" s="14">
        <f>BT10+BT11+BT12+BT13+BT14</f>
      </c>
      <c r="BU15" s="14">
        <f>BU10+BU11+BU12+BU13+BU14</f>
      </c>
      <c r="BV15" s="14">
        <f>BV10+BV11+BV12+BV13+BV14</f>
      </c>
      <c r="BW15" s="14">
        <f>BW10+BW11+BW12+BW13+BW14</f>
      </c>
      <c r="BX15" s="14">
        <f>BX10+BX11+BX12+BX13+BX14</f>
      </c>
      <c r="BY15" s="14">
        <f>BY10+BY11+BY12+BY13+BY14</f>
      </c>
      <c r="BZ15" s="14">
        <f>BZ10+BZ11+BZ12+BZ13+BZ14</f>
      </c>
      <c r="CA15" s="14">
        <f>CA10+CA11+CA12+CA13+CA14</f>
      </c>
      <c r="CB15" s="14">
        <f>CB10+CB11+CB12+CB13+CB14</f>
      </c>
      <c r="CC15" s="14">
        <f>CC10+CC11+CC12+CC13+CC14</f>
      </c>
      <c r="CD15" s="14">
        <f>CD10+CD11+CD12+CD13+CD14</f>
      </c>
      <c r="CE15" s="14">
        <f>CE10+CE11+CE12+CE13+CE14</f>
      </c>
      <c r="CF15" s="14">
        <f>CF10+CF11+CF12+CF13+CF14</f>
      </c>
      <c r="CG15" s="14">
        <f>CG10+CG11+CG12+CG13+CG14</f>
      </c>
      <c r="CH15" s="14">
        <f>CH10+CH11+CH12+CH13+CH14</f>
      </c>
      <c r="CI15" s="14">
        <f>CI10+CI11+CI12+CI13+CI14</f>
      </c>
      <c r="CJ15" s="14">
        <f>CJ10+CJ11+CJ12+CJ13+CJ14</f>
      </c>
      <c r="CK15" s="14">
        <f>CK10+CK11+CK12+CK13+CK14</f>
      </c>
      <c r="CL15" s="14">
        <f>CL10+CL11+CL12+CL13+CL14</f>
      </c>
    </row>
    <row r="16" spans="2:90" x14ac:dyDescent="0.25">
      <c r="B16" s="33" t="s">
        <v>236</v>
      </c>
      <c r="C16" s="34" t="s">
        <v>228</v>
      </c>
      <c r="E16" s="31">
        <f>E8+E9+E15</f>
      </c>
      <c r="F16" s="31">
        <f>E16+F8+F9+F15</f>
      </c>
      <c r="G16" s="31">
        <f>F16+G8+G9+G15</f>
      </c>
      <c r="H16" s="31">
        <f>G16+H8+H9+H15</f>
      </c>
      <c r="I16" s="31">
        <f>H16+I8+I9+I15</f>
      </c>
      <c r="J16" s="31">
        <f>I16+J8+J9+J15</f>
      </c>
      <c r="K16" s="31">
        <f>J16+K8+K9+K15</f>
      </c>
      <c r="L16" s="31">
        <f>K16+L8+L9+L15</f>
      </c>
      <c r="M16" s="31">
        <f>L16+M8+M9+M15</f>
      </c>
      <c r="N16" s="31">
        <f>M16+N8+N9+N15</f>
      </c>
      <c r="O16" s="31">
        <f>N16+O8+O9+O15</f>
      </c>
      <c r="P16" s="31">
        <f>O16+P8+P9+P15</f>
      </c>
      <c r="Q16" s="31">
        <f>P16+Q8+Q9+Q15</f>
      </c>
      <c r="R16" s="31">
        <f>Q16+R8+R9+R15</f>
      </c>
      <c r="S16" s="31">
        <f>R16+S8+S9+S15</f>
      </c>
      <c r="T16" s="31">
        <f>S16+T8+T9+T15</f>
      </c>
      <c r="U16" s="31">
        <f>T16+U8+U9+U15</f>
      </c>
      <c r="V16" s="31">
        <f>U16+V8+V9+V15</f>
      </c>
      <c r="W16" s="31">
        <f>V16+W8+W9+W15</f>
      </c>
      <c r="X16" s="31">
        <f>W16+X8+X9+X15</f>
      </c>
      <c r="Y16" s="31">
        <f>X16+Y8+Y9+Y15</f>
      </c>
      <c r="Z16" s="31">
        <f>Y16+Z8+Z9+Z15</f>
      </c>
      <c r="AA16" s="31">
        <f>Z16+AA8+AA9+AA15</f>
      </c>
      <c r="AB16" s="31">
        <f>AA16+AB8+AB9+AB15</f>
      </c>
      <c r="AC16" s="31">
        <f>AB16+AC8+AC9+AC15</f>
      </c>
      <c r="AD16" s="31">
        <f>AC16+AD8+AD9+AD15</f>
      </c>
      <c r="AE16" s="31">
        <f>AD16+AE8+AE9+AE15</f>
      </c>
      <c r="AF16" s="31">
        <f>AE16+AF8+AF9+AF15</f>
      </c>
      <c r="AG16" s="31">
        <f>AF16+AG8+AG9+AG15</f>
      </c>
      <c r="AH16" s="31">
        <f>AG16+AH8+AH9+AH15</f>
      </c>
      <c r="AI16" s="31">
        <f>AH16+AI8+AI9+AI15</f>
      </c>
      <c r="AJ16" s="31">
        <f>AI16+AJ8+AJ9+AJ15</f>
      </c>
      <c r="AK16" s="31">
        <f>AJ16+AK8+AK9+AK15</f>
      </c>
      <c r="AL16" s="31">
        <f>AK16+AL8+AL9+AL15</f>
      </c>
      <c r="AM16" s="31">
        <f>AL16+AM8+AM9+AM15</f>
      </c>
      <c r="AN16" s="31">
        <f>AM16+AN8+AN9+AN15</f>
      </c>
      <c r="AO16" s="31">
        <f>AN16+AO8+AO9+AO15</f>
      </c>
      <c r="AP16" s="31">
        <f>AO16+AP8+AP9+AP15</f>
      </c>
      <c r="AQ16" s="31">
        <f>AP16+AQ8+AQ9+AQ15</f>
      </c>
      <c r="AR16" s="31">
        <f>AQ16+AR8+AR9+AR15</f>
      </c>
      <c r="AS16" s="31">
        <f>AR16+AS8+AS9+AS15</f>
      </c>
      <c r="AT16" s="31">
        <f>AS16+AT8+AT9+AT15</f>
      </c>
      <c r="AU16" s="31">
        <f>AT16+AU8+AU9+AU15</f>
      </c>
      <c r="AV16" s="31">
        <f>AU16+AV8+AV9+AV15</f>
      </c>
      <c r="AW16" s="31">
        <f>AV16+AW8+AW9+AW15</f>
      </c>
      <c r="AX16" s="31">
        <f>AW16+AX8+AX9+AX15</f>
      </c>
      <c r="AY16" s="31">
        <f>AX16+AY8+AY9+AY15</f>
      </c>
      <c r="AZ16" s="31">
        <f>AY16+AZ8+AZ9+AZ15</f>
      </c>
      <c r="BA16" s="31">
        <f>AZ16+BA8+BA9+BA15</f>
      </c>
      <c r="BB16" s="31">
        <f>BA16+BB8+BB9+BB15</f>
      </c>
      <c r="BC16" s="31">
        <f>BB16+BC8+BC9+BC15</f>
      </c>
      <c r="BD16" s="31">
        <f>BC16+BD8+BD9+BD15</f>
      </c>
      <c r="BE16" s="31">
        <f>BD16+BE8+BE9+BE15</f>
      </c>
      <c r="BF16" s="31">
        <f>BE16+BF8+BF9+BF15</f>
      </c>
      <c r="BG16" s="31">
        <f>BF16+BG8+BG9+BG15</f>
      </c>
      <c r="BH16" s="31">
        <f>BG16+BH8+BH9+BH15</f>
      </c>
      <c r="BI16" s="31">
        <f>BH16+BI8+BI9+BI15</f>
      </c>
      <c r="BJ16" s="31">
        <f>BI16+BJ8+BJ9+BJ15</f>
      </c>
      <c r="BK16" s="31">
        <f>BJ16+BK8+BK9+BK15</f>
      </c>
      <c r="BL16" s="31">
        <f>BK16+BL8+BL9+BL15</f>
      </c>
      <c r="BM16" s="31">
        <f>BL16+BM8+BM9+BM15</f>
      </c>
      <c r="BN16" s="31">
        <f>BM16+BN8+BN9+BN15</f>
      </c>
      <c r="BO16" s="31">
        <f>BN16+BO8+BO9+BO15</f>
      </c>
      <c r="BP16" s="31">
        <f>BO16+BP8+BP9+BP15</f>
      </c>
      <c r="BQ16" s="31">
        <f>BP16+BQ8+BQ9+BQ15</f>
      </c>
      <c r="BR16" s="31">
        <f>BQ16+BR8+BR9+BR15</f>
      </c>
      <c r="BS16" s="31">
        <f>BR16+BS8+BS9+BS15</f>
      </c>
      <c r="BT16" s="31">
        <f>BS16+BT8+BT9+BT15</f>
      </c>
      <c r="BU16" s="31">
        <f>BT16+BU8+BU9+BU15</f>
      </c>
      <c r="BV16" s="31">
        <f>BU16+BV8+BV9+BV15</f>
      </c>
      <c r="BW16" s="31">
        <f>BV16+BW8+BW9+BW15</f>
      </c>
      <c r="BX16" s="31">
        <f>BW16+BX8+BX9+BX15</f>
      </c>
      <c r="BY16" s="31">
        <f>BX16+BY8+BY9+BY15</f>
      </c>
      <c r="BZ16" s="31">
        <f>BY16+BZ8+BZ9+BZ15</f>
      </c>
      <c r="CA16" s="31">
        <f>BZ16+CA8+CA9+CA15</f>
      </c>
      <c r="CB16" s="31">
        <f>CA16+CB8+CB9+CB15</f>
      </c>
      <c r="CC16" s="31">
        <f>CB16+CC8+CC9+CC15</f>
      </c>
      <c r="CD16" s="31">
        <f>CC16+CD8+CD9+CD15</f>
      </c>
      <c r="CE16" s="31">
        <f>CD16+CE8+CE9+CE15</f>
      </c>
      <c r="CF16" s="31">
        <f>CE16+CF8+CF9+CF15</f>
      </c>
      <c r="CG16" s="31">
        <f>CF16+CG8+CG9+CG15</f>
      </c>
      <c r="CH16" s="31">
        <f>CG16+CH8+CH9+CH15</f>
      </c>
      <c r="CI16" s="31">
        <f>CH16+CI8+CI9+CI15</f>
      </c>
      <c r="CJ16" s="31">
        <f>CI16+CJ8+CJ9+CJ15</f>
      </c>
      <c r="CK16" s="31">
        <f>CJ16+CK8+CK9+CK15</f>
      </c>
      <c r="CL16" s="31">
        <f>CK16+CL8+CL9+CL15</f>
      </c>
    </row>
    <row r="17" spans="2:90" x14ac:dyDescent="0.25">
      <c r="B17" s="33" t="s">
        <v>237</v>
      </c>
      <c r="C17" s="34" t="s">
        <v>228</v>
      </c>
      <c r="E17" s="31">
        <f>MIN(MAX(E16-(0),0),$D$89*100+$D$102*100)*($D$89*100)/IF(($D$89*100+$D$102*100)=0,1,$D$89*100+$D$102*100)</f>
      </c>
      <c r="F17" s="31">
        <f>MIN(MAX(F16-(0),0),$D$89*100+$D$102*100)*($D$89*100)/IF(($D$89*100+$D$102*100)=0,1,$D$89*100+$D$102*100)</f>
      </c>
      <c r="G17" s="31">
        <f>MIN(MAX(G16-(0),0),$D$89*100+$D$102*100)*($D$89*100)/IF(($D$89*100+$D$102*100)=0,1,$D$89*100+$D$102*100)</f>
      </c>
      <c r="H17" s="31">
        <f>MIN(MAX(H16-(0),0),$D$89*100+$D$102*100)*($D$89*100)/IF(($D$89*100+$D$102*100)=0,1,$D$89*100+$D$102*100)</f>
      </c>
      <c r="I17" s="31">
        <f>MIN(MAX(I16-(0),0),$D$89*100+$D$102*100)*($D$89*100)/IF(($D$89*100+$D$102*100)=0,1,$D$89*100+$D$102*100)</f>
      </c>
      <c r="J17" s="31">
        <f>MIN(MAX(J16-(0),0),$D$89*100+$D$102*100)*($D$89*100)/IF(($D$89*100+$D$102*100)=0,1,$D$89*100+$D$102*100)</f>
      </c>
      <c r="K17" s="31">
        <f>MIN(MAX(K16-(0),0),$D$89*100+$D$102*100)*($D$89*100)/IF(($D$89*100+$D$102*100)=0,1,$D$89*100+$D$102*100)</f>
      </c>
      <c r="L17" s="31">
        <f>MIN(MAX(L16-(0),0),$D$89*100+$D$102*100)*($D$89*100)/IF(($D$89*100+$D$102*100)=0,1,$D$89*100+$D$102*100)</f>
      </c>
      <c r="M17" s="31">
        <f>MIN(MAX(M16-(0),0),$D$89*100+$D$102*100)*($D$89*100)/IF(($D$89*100+$D$102*100)=0,1,$D$89*100+$D$102*100)</f>
      </c>
      <c r="N17" s="31">
        <f>MIN(MAX(N16-(0),0),$D$89*100+$D$102*100)*($D$89*100)/IF(($D$89*100+$D$102*100)=0,1,$D$89*100+$D$102*100)</f>
      </c>
      <c r="O17" s="31">
        <f>MIN(MAX(O16-(0),0),$D$89*100+$D$102*100)*($D$89*100)/IF(($D$89*100+$D$102*100)=0,1,$D$89*100+$D$102*100)</f>
      </c>
      <c r="P17" s="31">
        <f>MIN(MAX(P16-(0),0),$D$89*100+$D$102*100)*($D$89*100)/IF(($D$89*100+$D$102*100)=0,1,$D$89*100+$D$102*100)</f>
      </c>
      <c r="Q17" s="31">
        <f>MIN(MAX(Q16-(0),0),$D$89*100+$D$102*100)*($D$89*100)/IF(($D$89*100+$D$102*100)=0,1,$D$89*100+$D$102*100)</f>
      </c>
      <c r="R17" s="31">
        <f>MIN(MAX(R16-(0),0),$D$89*100+$D$102*100)*($D$89*100)/IF(($D$89*100+$D$102*100)=0,1,$D$89*100+$D$102*100)</f>
      </c>
      <c r="S17" s="31">
        <f>MIN(MAX(S16-(0),0),$D$89*100+$D$102*100)*($D$89*100)/IF(($D$89*100+$D$102*100)=0,1,$D$89*100+$D$102*100)</f>
      </c>
      <c r="T17" s="31">
        <f>MIN(MAX(T16-(0),0),$D$89*100+$D$102*100)*($D$89*100)/IF(($D$89*100+$D$102*100)=0,1,$D$89*100+$D$102*100)</f>
      </c>
      <c r="U17" s="31">
        <f>MIN(MAX(U16-(0),0),$D$89*100+$D$102*100)*($D$89*100)/IF(($D$89*100+$D$102*100)=0,1,$D$89*100+$D$102*100)</f>
      </c>
      <c r="V17" s="31">
        <f>MIN(MAX(V16-(0),0),$D$89*100+$D$102*100)*($D$89*100)/IF(($D$89*100+$D$102*100)=0,1,$D$89*100+$D$102*100)</f>
      </c>
      <c r="W17" s="31">
        <f>MIN(MAX(W16-(0),0),$D$89*100+$D$102*100)*($D$89*100)/IF(($D$89*100+$D$102*100)=0,1,$D$89*100+$D$102*100)</f>
      </c>
      <c r="X17" s="31">
        <f>MIN(MAX(X16-(0),0),$D$89*100+$D$102*100)*($D$89*100)/IF(($D$89*100+$D$102*100)=0,1,$D$89*100+$D$102*100)</f>
      </c>
      <c r="Y17" s="31">
        <f>MIN(MAX(Y16-(0),0),$D$89*100+$D$102*100)*($D$89*100)/IF(($D$89*100+$D$102*100)=0,1,$D$89*100+$D$102*100)</f>
      </c>
      <c r="Z17" s="31">
        <f>MIN(MAX(Z16-(0),0),$D$89*100+$D$102*100)*($D$89*100)/IF(($D$89*100+$D$102*100)=0,1,$D$89*100+$D$102*100)</f>
      </c>
      <c r="AA17" s="31">
        <f>MIN(MAX(AA16-(0),0),$D$89*100+$D$102*100)*($D$89*100)/IF(($D$89*100+$D$102*100)=0,1,$D$89*100+$D$102*100)</f>
      </c>
      <c r="AB17" s="31">
        <f>MIN(MAX(AB16-(0),0),$D$89*100+$D$102*100)*($D$89*100)/IF(($D$89*100+$D$102*100)=0,1,$D$89*100+$D$102*100)</f>
      </c>
      <c r="AC17" s="31">
        <f>MIN(MAX(AC16-(0),0),$D$89*100+$D$102*100)*($D$89*100)/IF(($D$89*100+$D$102*100)=0,1,$D$89*100+$D$102*100)</f>
      </c>
      <c r="AD17" s="31">
        <f>MIN(MAX(AD16-(0),0),$D$89*100+$D$102*100)*($D$89*100)/IF(($D$89*100+$D$102*100)=0,1,$D$89*100+$D$102*100)</f>
      </c>
      <c r="AE17" s="31">
        <f>MIN(MAX(AE16-(0),0),$D$89*100+$D$102*100)*($D$89*100)/IF(($D$89*100+$D$102*100)=0,1,$D$89*100+$D$102*100)</f>
      </c>
      <c r="AF17" s="31">
        <f>MIN(MAX(AF16-(0),0),$D$89*100+$D$102*100)*($D$89*100)/IF(($D$89*100+$D$102*100)=0,1,$D$89*100+$D$102*100)</f>
      </c>
      <c r="AG17" s="31">
        <f>MIN(MAX(AG16-(0),0),$D$89*100+$D$102*100)*($D$89*100)/IF(($D$89*100+$D$102*100)=0,1,$D$89*100+$D$102*100)</f>
      </c>
      <c r="AH17" s="31">
        <f>MIN(MAX(AH16-(0),0),$D$89*100+$D$102*100)*($D$89*100)/IF(($D$89*100+$D$102*100)=0,1,$D$89*100+$D$102*100)</f>
      </c>
      <c r="AI17" s="31">
        <f>MIN(MAX(AI16-(0),0),$D$89*100+$D$102*100)*($D$89*100)/IF(($D$89*100+$D$102*100)=0,1,$D$89*100+$D$102*100)</f>
      </c>
      <c r="AJ17" s="31">
        <f>MIN(MAX(AJ16-(0),0),$D$89*100+$D$102*100)*($D$89*100)/IF(($D$89*100+$D$102*100)=0,1,$D$89*100+$D$102*100)</f>
      </c>
      <c r="AK17" s="31">
        <f>MIN(MAX(AK16-(0),0),$D$89*100+$D$102*100)*($D$89*100)/IF(($D$89*100+$D$102*100)=0,1,$D$89*100+$D$102*100)</f>
      </c>
      <c r="AL17" s="31">
        <f>MIN(MAX(AL16-(0),0),$D$89*100+$D$102*100)*($D$89*100)/IF(($D$89*100+$D$102*100)=0,1,$D$89*100+$D$102*100)</f>
      </c>
      <c r="AM17" s="31">
        <f>MIN(MAX(AM16-(0),0),$D$89*100+$D$102*100)*($D$89*100)/IF(($D$89*100+$D$102*100)=0,1,$D$89*100+$D$102*100)</f>
      </c>
      <c r="AN17" s="31">
        <f>MIN(MAX(AN16-(0),0),$D$89*100+$D$102*100)*($D$89*100)/IF(($D$89*100+$D$102*100)=0,1,$D$89*100+$D$102*100)</f>
      </c>
      <c r="AO17" s="31">
        <f>MIN(MAX(AO16-(0),0),$D$89*100+$D$102*100)*($D$89*100)/IF(($D$89*100+$D$102*100)=0,1,$D$89*100+$D$102*100)</f>
      </c>
      <c r="AP17" s="31">
        <f>MIN(MAX(AP16-(0),0),$D$89*100+$D$102*100)*($D$89*100)/IF(($D$89*100+$D$102*100)=0,1,$D$89*100+$D$102*100)</f>
      </c>
      <c r="AQ17" s="31">
        <f>MIN(MAX(AQ16-(0),0),$D$89*100+$D$102*100)*($D$89*100)/IF(($D$89*100+$D$102*100)=0,1,$D$89*100+$D$102*100)</f>
      </c>
      <c r="AR17" s="31">
        <f>MIN(MAX(AR16-(0),0),$D$89*100+$D$102*100)*($D$89*100)/IF(($D$89*100+$D$102*100)=0,1,$D$89*100+$D$102*100)</f>
      </c>
      <c r="AS17" s="31">
        <f>MIN(MAX(AS16-(0),0),$D$89*100+$D$102*100)*($D$89*100)/IF(($D$89*100+$D$102*100)=0,1,$D$89*100+$D$102*100)</f>
      </c>
      <c r="AT17" s="31">
        <f>MIN(MAX(AT16-(0),0),$D$89*100+$D$102*100)*($D$89*100)/IF(($D$89*100+$D$102*100)=0,1,$D$89*100+$D$102*100)</f>
      </c>
      <c r="AU17" s="31">
        <f>MIN(MAX(AU16-(0),0),$D$89*100+$D$102*100)*($D$89*100)/IF(($D$89*100+$D$102*100)=0,1,$D$89*100+$D$102*100)</f>
      </c>
      <c r="AV17" s="31">
        <f>MIN(MAX(AV16-(0),0),$D$89*100+$D$102*100)*($D$89*100)/IF(($D$89*100+$D$102*100)=0,1,$D$89*100+$D$102*100)</f>
      </c>
      <c r="AW17" s="31">
        <f>MIN(MAX(AW16-(0),0),$D$89*100+$D$102*100)*($D$89*100)/IF(($D$89*100+$D$102*100)=0,1,$D$89*100+$D$102*100)</f>
      </c>
      <c r="AX17" s="31">
        <f>MIN(MAX(AX16-(0),0),$D$89*100+$D$102*100)*($D$89*100)/IF(($D$89*100+$D$102*100)=0,1,$D$89*100+$D$102*100)</f>
      </c>
      <c r="AY17" s="31">
        <f>MIN(MAX(AY16-(0),0),$D$89*100+$D$102*100)*($D$89*100)/IF(($D$89*100+$D$102*100)=0,1,$D$89*100+$D$102*100)</f>
      </c>
      <c r="AZ17" s="31">
        <f>MIN(MAX(AZ16-(0),0),$D$89*100+$D$102*100)*($D$89*100)/IF(($D$89*100+$D$102*100)=0,1,$D$89*100+$D$102*100)</f>
      </c>
      <c r="BA17" s="31">
        <f>MIN(MAX(BA16-(0),0),$D$89*100+$D$102*100)*($D$89*100)/IF(($D$89*100+$D$102*100)=0,1,$D$89*100+$D$102*100)</f>
      </c>
      <c r="BB17" s="31">
        <f>MIN(MAX(BB16-(0),0),$D$89*100+$D$102*100)*($D$89*100)/IF(($D$89*100+$D$102*100)=0,1,$D$89*100+$D$102*100)</f>
      </c>
      <c r="BC17" s="31">
        <f>MIN(MAX(BC16-(0),0),$D$89*100+$D$102*100)*($D$89*100)/IF(($D$89*100+$D$102*100)=0,1,$D$89*100+$D$102*100)</f>
      </c>
      <c r="BD17" s="31">
        <f>MIN(MAX(BD16-(0),0),$D$89*100+$D$102*100)*($D$89*100)/IF(($D$89*100+$D$102*100)=0,1,$D$89*100+$D$102*100)</f>
      </c>
      <c r="BE17" s="31">
        <f>MIN(MAX(BE16-(0),0),$D$89*100+$D$102*100)*($D$89*100)/IF(($D$89*100+$D$102*100)=0,1,$D$89*100+$D$102*100)</f>
      </c>
      <c r="BF17" s="31">
        <f>MIN(MAX(BF16-(0),0),$D$89*100+$D$102*100)*($D$89*100)/IF(($D$89*100+$D$102*100)=0,1,$D$89*100+$D$102*100)</f>
      </c>
      <c r="BG17" s="31">
        <f>MIN(MAX(BG16-(0),0),$D$89*100+$D$102*100)*($D$89*100)/IF(($D$89*100+$D$102*100)=0,1,$D$89*100+$D$102*100)</f>
      </c>
      <c r="BH17" s="31">
        <f>MIN(MAX(BH16-(0),0),$D$89*100+$D$102*100)*($D$89*100)/IF(($D$89*100+$D$102*100)=0,1,$D$89*100+$D$102*100)</f>
      </c>
      <c r="BI17" s="31">
        <f>MIN(MAX(BI16-(0),0),$D$89*100+$D$102*100)*($D$89*100)/IF(($D$89*100+$D$102*100)=0,1,$D$89*100+$D$102*100)</f>
      </c>
      <c r="BJ17" s="31">
        <f>MIN(MAX(BJ16-(0),0),$D$89*100+$D$102*100)*($D$89*100)/IF(($D$89*100+$D$102*100)=0,1,$D$89*100+$D$102*100)</f>
      </c>
      <c r="BK17" s="31">
        <f>MIN(MAX(BK16-(0),0),$D$89*100+$D$102*100)*($D$89*100)/IF(($D$89*100+$D$102*100)=0,1,$D$89*100+$D$102*100)</f>
      </c>
      <c r="BL17" s="31">
        <f>MIN(MAX(BL16-(0),0),$D$89*100+$D$102*100)*($D$89*100)/IF(($D$89*100+$D$102*100)=0,1,$D$89*100+$D$102*100)</f>
      </c>
      <c r="BM17" s="31">
        <f>MIN(MAX(BM16-(0),0),$D$89*100+$D$102*100)*($D$89*100)/IF(($D$89*100+$D$102*100)=0,1,$D$89*100+$D$102*100)</f>
      </c>
      <c r="BN17" s="31">
        <f>MIN(MAX(BN16-(0),0),$D$89*100+$D$102*100)*($D$89*100)/IF(($D$89*100+$D$102*100)=0,1,$D$89*100+$D$102*100)</f>
      </c>
      <c r="BO17" s="31">
        <f>MIN(MAX(BO16-(0),0),$D$89*100+$D$102*100)*($D$89*100)/IF(($D$89*100+$D$102*100)=0,1,$D$89*100+$D$102*100)</f>
      </c>
      <c r="BP17" s="31">
        <f>MIN(MAX(BP16-(0),0),$D$89*100+$D$102*100)*($D$89*100)/IF(($D$89*100+$D$102*100)=0,1,$D$89*100+$D$102*100)</f>
      </c>
      <c r="BQ17" s="31">
        <f>MIN(MAX(BQ16-(0),0),$D$89*100+$D$102*100)*($D$89*100)/IF(($D$89*100+$D$102*100)=0,1,$D$89*100+$D$102*100)</f>
      </c>
      <c r="BR17" s="31">
        <f>MIN(MAX(BR16-(0),0),$D$89*100+$D$102*100)*($D$89*100)/IF(($D$89*100+$D$102*100)=0,1,$D$89*100+$D$102*100)</f>
      </c>
      <c r="BS17" s="31">
        <f>MIN(MAX(BS16-(0),0),$D$89*100+$D$102*100)*($D$89*100)/IF(($D$89*100+$D$102*100)=0,1,$D$89*100+$D$102*100)</f>
      </c>
      <c r="BT17" s="31">
        <f>MIN(MAX(BT16-(0),0),$D$89*100+$D$102*100)*($D$89*100)/IF(($D$89*100+$D$102*100)=0,1,$D$89*100+$D$102*100)</f>
      </c>
      <c r="BU17" s="31">
        <f>MIN(MAX(BU16-(0),0),$D$89*100+$D$102*100)*($D$89*100)/IF(($D$89*100+$D$102*100)=0,1,$D$89*100+$D$102*100)</f>
      </c>
      <c r="BV17" s="31">
        <f>MIN(MAX(BV16-(0),0),$D$89*100+$D$102*100)*($D$89*100)/IF(($D$89*100+$D$102*100)=0,1,$D$89*100+$D$102*100)</f>
      </c>
      <c r="BW17" s="31">
        <f>MIN(MAX(BW16-(0),0),$D$89*100+$D$102*100)*($D$89*100)/IF(($D$89*100+$D$102*100)=0,1,$D$89*100+$D$102*100)</f>
      </c>
      <c r="BX17" s="31">
        <f>MIN(MAX(BX16-(0),0),$D$89*100+$D$102*100)*($D$89*100)/IF(($D$89*100+$D$102*100)=0,1,$D$89*100+$D$102*100)</f>
      </c>
      <c r="BY17" s="31">
        <f>MIN(MAX(BY16-(0),0),$D$89*100+$D$102*100)*($D$89*100)/IF(($D$89*100+$D$102*100)=0,1,$D$89*100+$D$102*100)</f>
      </c>
      <c r="BZ17" s="31">
        <f>MIN(MAX(BZ16-(0),0),$D$89*100+$D$102*100)*($D$89*100)/IF(($D$89*100+$D$102*100)=0,1,$D$89*100+$D$102*100)</f>
      </c>
      <c r="CA17" s="31">
        <f>MIN(MAX(CA16-(0),0),$D$89*100+$D$102*100)*($D$89*100)/IF(($D$89*100+$D$102*100)=0,1,$D$89*100+$D$102*100)</f>
      </c>
      <c r="CB17" s="31">
        <f>MIN(MAX(CB16-(0),0),$D$89*100+$D$102*100)*($D$89*100)/IF(($D$89*100+$D$102*100)=0,1,$D$89*100+$D$102*100)</f>
      </c>
      <c r="CC17" s="31">
        <f>MIN(MAX(CC16-(0),0),$D$89*100+$D$102*100)*($D$89*100)/IF(($D$89*100+$D$102*100)=0,1,$D$89*100+$D$102*100)</f>
      </c>
      <c r="CD17" s="31">
        <f>MIN(MAX(CD16-(0),0),$D$89*100+$D$102*100)*($D$89*100)/IF(($D$89*100+$D$102*100)=0,1,$D$89*100+$D$102*100)</f>
      </c>
      <c r="CE17" s="31">
        <f>MIN(MAX(CE16-(0),0),$D$89*100+$D$102*100)*($D$89*100)/IF(($D$89*100+$D$102*100)=0,1,$D$89*100+$D$102*100)</f>
      </c>
      <c r="CF17" s="31">
        <f>MIN(MAX(CF16-(0),0),$D$89*100+$D$102*100)*($D$89*100)/IF(($D$89*100+$D$102*100)=0,1,$D$89*100+$D$102*100)</f>
      </c>
      <c r="CG17" s="31">
        <f>MIN(MAX(CG16-(0),0),$D$89*100+$D$102*100)*($D$89*100)/IF(($D$89*100+$D$102*100)=0,1,$D$89*100+$D$102*100)</f>
      </c>
      <c r="CH17" s="31">
        <f>MIN(MAX(CH16-(0),0),$D$89*100+$D$102*100)*($D$89*100)/IF(($D$89*100+$D$102*100)=0,1,$D$89*100+$D$102*100)</f>
      </c>
      <c r="CI17" s="31">
        <f>MIN(MAX(CI16-(0),0),$D$89*100+$D$102*100)*($D$89*100)/IF(($D$89*100+$D$102*100)=0,1,$D$89*100+$D$102*100)</f>
      </c>
      <c r="CJ17" s="31">
        <f>MIN(MAX(CJ16-(0),0),$D$89*100+$D$102*100)*($D$89*100)/IF(($D$89*100+$D$102*100)=0,1,$D$89*100+$D$102*100)</f>
      </c>
      <c r="CK17" s="31">
        <f>MIN(MAX(CK16-(0),0),$D$89*100+$D$102*100)*($D$89*100)/IF(($D$89*100+$D$102*100)=0,1,$D$89*100+$D$102*100)</f>
      </c>
      <c r="CL17" s="31">
        <f>MIN(MAX(CL16-(0),0),$D$89*100+$D$102*100)*($D$89*100)/IF(($D$89*100+$D$102*100)=0,1,$D$89*100+$D$102*100)</f>
      </c>
    </row>
    <row r="18" spans="2:90" x14ac:dyDescent="0.25">
      <c r="B18" s="33" t="s">
        <v>238</v>
      </c>
      <c r="C18" s="34" t="s">
        <v>228</v>
      </c>
      <c r="E18" s="31">
        <f>MIN(MAX(E16-($D$89*100+$D$102*100),0),$D$90*100+$D$93*100)*($D$90*100)/IF(($D$90*100+$D$93*100)=0,1,$D$90*100+$D$93*100)</f>
      </c>
      <c r="F18" s="31">
        <f>MIN(MAX(F16-($D$89*100+$D$102*100),0),$D$90*100+$D$93*100)*($D$90*100)/IF(($D$90*100+$D$93*100)=0,1,$D$90*100+$D$93*100)</f>
      </c>
      <c r="G18" s="31">
        <f>MIN(MAX(G16-($D$89*100+$D$102*100),0),$D$90*100+$D$93*100)*($D$90*100)/IF(($D$90*100+$D$93*100)=0,1,$D$90*100+$D$93*100)</f>
      </c>
      <c r="H18" s="31">
        <f>MIN(MAX(H16-($D$89*100+$D$102*100),0),$D$90*100+$D$93*100)*($D$90*100)/IF(($D$90*100+$D$93*100)=0,1,$D$90*100+$D$93*100)</f>
      </c>
      <c r="I18" s="31">
        <f>MIN(MAX(I16-($D$89*100+$D$102*100),0),$D$90*100+$D$93*100)*($D$90*100)/IF(($D$90*100+$D$93*100)=0,1,$D$90*100+$D$93*100)</f>
      </c>
      <c r="J18" s="31">
        <f>MIN(MAX(J16-($D$89*100+$D$102*100),0),$D$90*100+$D$93*100)*($D$90*100)/IF(($D$90*100+$D$93*100)=0,1,$D$90*100+$D$93*100)</f>
      </c>
      <c r="K18" s="31">
        <f>MIN(MAX(K16-($D$89*100+$D$102*100),0),$D$90*100+$D$93*100)*($D$90*100)/IF(($D$90*100+$D$93*100)=0,1,$D$90*100+$D$93*100)</f>
      </c>
      <c r="L18" s="31">
        <f>MIN(MAX(L16-($D$89*100+$D$102*100),0),$D$90*100+$D$93*100)*($D$90*100)/IF(($D$90*100+$D$93*100)=0,1,$D$90*100+$D$93*100)</f>
      </c>
      <c r="M18" s="31">
        <f>MIN(MAX(M16-($D$89*100+$D$102*100),0),$D$90*100+$D$93*100)*($D$90*100)/IF(($D$90*100+$D$93*100)=0,1,$D$90*100+$D$93*100)</f>
      </c>
      <c r="N18" s="31">
        <f>MIN(MAX(N16-($D$89*100+$D$102*100),0),$D$90*100+$D$93*100)*($D$90*100)/IF(($D$90*100+$D$93*100)=0,1,$D$90*100+$D$93*100)</f>
      </c>
      <c r="O18" s="31">
        <f>MIN(MAX(O16-($D$89*100+$D$102*100),0),$D$90*100+$D$93*100)*($D$90*100)/IF(($D$90*100+$D$93*100)=0,1,$D$90*100+$D$93*100)</f>
      </c>
      <c r="P18" s="31">
        <f>MIN(MAX(P16-($D$89*100+$D$102*100),0),$D$90*100+$D$93*100)*($D$90*100)/IF(($D$90*100+$D$93*100)=0,1,$D$90*100+$D$93*100)</f>
      </c>
      <c r="Q18" s="31">
        <f>MIN(MAX(Q16-($D$89*100+$D$102*100),0),$D$90*100+$D$93*100)*($D$90*100)/IF(($D$90*100+$D$93*100)=0,1,$D$90*100+$D$93*100)</f>
      </c>
      <c r="R18" s="31">
        <f>MIN(MAX(R16-($D$89*100+$D$102*100),0),$D$90*100+$D$93*100)*($D$90*100)/IF(($D$90*100+$D$93*100)=0,1,$D$90*100+$D$93*100)</f>
      </c>
      <c r="S18" s="31">
        <f>MIN(MAX(S16-($D$89*100+$D$102*100),0),$D$90*100+$D$93*100)*($D$90*100)/IF(($D$90*100+$D$93*100)=0,1,$D$90*100+$D$93*100)</f>
      </c>
      <c r="T18" s="31">
        <f>MIN(MAX(T16-($D$89*100+$D$102*100),0),$D$90*100+$D$93*100)*($D$90*100)/IF(($D$90*100+$D$93*100)=0,1,$D$90*100+$D$93*100)</f>
      </c>
      <c r="U18" s="31">
        <f>MIN(MAX(U16-($D$89*100+$D$102*100),0),$D$90*100+$D$93*100)*($D$90*100)/IF(($D$90*100+$D$93*100)=0,1,$D$90*100+$D$93*100)</f>
      </c>
      <c r="V18" s="31">
        <f>MIN(MAX(V16-($D$89*100+$D$102*100),0),$D$90*100+$D$93*100)*($D$90*100)/IF(($D$90*100+$D$93*100)=0,1,$D$90*100+$D$93*100)</f>
      </c>
      <c r="W18" s="31">
        <f>MIN(MAX(W16-($D$89*100+$D$102*100),0),$D$90*100+$D$93*100)*($D$90*100)/IF(($D$90*100+$D$93*100)=0,1,$D$90*100+$D$93*100)</f>
      </c>
      <c r="X18" s="31">
        <f>MIN(MAX(X16-($D$89*100+$D$102*100),0),$D$90*100+$D$93*100)*($D$90*100)/IF(($D$90*100+$D$93*100)=0,1,$D$90*100+$D$93*100)</f>
      </c>
      <c r="Y18" s="31">
        <f>MIN(MAX(Y16-($D$89*100+$D$102*100),0),$D$90*100+$D$93*100)*($D$90*100)/IF(($D$90*100+$D$93*100)=0,1,$D$90*100+$D$93*100)</f>
      </c>
      <c r="Z18" s="31">
        <f>MIN(MAX(Z16-($D$89*100+$D$102*100),0),$D$90*100+$D$93*100)*($D$90*100)/IF(($D$90*100+$D$93*100)=0,1,$D$90*100+$D$93*100)</f>
      </c>
      <c r="AA18" s="31">
        <f>MIN(MAX(AA16-($D$89*100+$D$102*100),0),$D$90*100+$D$93*100)*($D$90*100)/IF(($D$90*100+$D$93*100)=0,1,$D$90*100+$D$93*100)</f>
      </c>
      <c r="AB18" s="31">
        <f>MIN(MAX(AB16-($D$89*100+$D$102*100),0),$D$90*100+$D$93*100)*($D$90*100)/IF(($D$90*100+$D$93*100)=0,1,$D$90*100+$D$93*100)</f>
      </c>
      <c r="AC18" s="31">
        <f>MIN(MAX(AC16-($D$89*100+$D$102*100),0),$D$90*100+$D$93*100)*($D$90*100)/IF(($D$90*100+$D$93*100)=0,1,$D$90*100+$D$93*100)</f>
      </c>
      <c r="AD18" s="31">
        <f>MIN(MAX(AD16-($D$89*100+$D$102*100),0),$D$90*100+$D$93*100)*($D$90*100)/IF(($D$90*100+$D$93*100)=0,1,$D$90*100+$D$93*100)</f>
      </c>
      <c r="AE18" s="31">
        <f>MIN(MAX(AE16-($D$89*100+$D$102*100),0),$D$90*100+$D$93*100)*($D$90*100)/IF(($D$90*100+$D$93*100)=0,1,$D$90*100+$D$93*100)</f>
      </c>
      <c r="AF18" s="31">
        <f>MIN(MAX(AF16-($D$89*100+$D$102*100),0),$D$90*100+$D$93*100)*($D$90*100)/IF(($D$90*100+$D$93*100)=0,1,$D$90*100+$D$93*100)</f>
      </c>
      <c r="AG18" s="31">
        <f>MIN(MAX(AG16-($D$89*100+$D$102*100),0),$D$90*100+$D$93*100)*($D$90*100)/IF(($D$90*100+$D$93*100)=0,1,$D$90*100+$D$93*100)</f>
      </c>
      <c r="AH18" s="31">
        <f>MIN(MAX(AH16-($D$89*100+$D$102*100),0),$D$90*100+$D$93*100)*($D$90*100)/IF(($D$90*100+$D$93*100)=0,1,$D$90*100+$D$93*100)</f>
      </c>
      <c r="AI18" s="31">
        <f>MIN(MAX(AI16-($D$89*100+$D$102*100),0),$D$90*100+$D$93*100)*($D$90*100)/IF(($D$90*100+$D$93*100)=0,1,$D$90*100+$D$93*100)</f>
      </c>
      <c r="AJ18" s="31">
        <f>MIN(MAX(AJ16-($D$89*100+$D$102*100),0),$D$90*100+$D$93*100)*($D$90*100)/IF(($D$90*100+$D$93*100)=0,1,$D$90*100+$D$93*100)</f>
      </c>
      <c r="AK18" s="31">
        <f>MIN(MAX(AK16-($D$89*100+$D$102*100),0),$D$90*100+$D$93*100)*($D$90*100)/IF(($D$90*100+$D$93*100)=0,1,$D$90*100+$D$93*100)</f>
      </c>
      <c r="AL18" s="31">
        <f>MIN(MAX(AL16-($D$89*100+$D$102*100),0),$D$90*100+$D$93*100)*($D$90*100)/IF(($D$90*100+$D$93*100)=0,1,$D$90*100+$D$93*100)</f>
      </c>
      <c r="AM18" s="31">
        <f>MIN(MAX(AM16-($D$89*100+$D$102*100),0),$D$90*100+$D$93*100)*($D$90*100)/IF(($D$90*100+$D$93*100)=0,1,$D$90*100+$D$93*100)</f>
      </c>
      <c r="AN18" s="31">
        <f>MIN(MAX(AN16-($D$89*100+$D$102*100),0),$D$90*100+$D$93*100)*($D$90*100)/IF(($D$90*100+$D$93*100)=0,1,$D$90*100+$D$93*100)</f>
      </c>
      <c r="AO18" s="31">
        <f>MIN(MAX(AO16-($D$89*100+$D$102*100),0),$D$90*100+$D$93*100)*($D$90*100)/IF(($D$90*100+$D$93*100)=0,1,$D$90*100+$D$93*100)</f>
      </c>
      <c r="AP18" s="31">
        <f>MIN(MAX(AP16-($D$89*100+$D$102*100),0),$D$90*100+$D$93*100)*($D$90*100)/IF(($D$90*100+$D$93*100)=0,1,$D$90*100+$D$93*100)</f>
      </c>
      <c r="AQ18" s="31">
        <f>MIN(MAX(AQ16-($D$89*100+$D$102*100),0),$D$90*100+$D$93*100)*($D$90*100)/IF(($D$90*100+$D$93*100)=0,1,$D$90*100+$D$93*100)</f>
      </c>
      <c r="AR18" s="31">
        <f>MIN(MAX(AR16-($D$89*100+$D$102*100),0),$D$90*100+$D$93*100)*($D$90*100)/IF(($D$90*100+$D$93*100)=0,1,$D$90*100+$D$93*100)</f>
      </c>
      <c r="AS18" s="31">
        <f>MIN(MAX(AS16-($D$89*100+$D$102*100),0),$D$90*100+$D$93*100)*($D$90*100)/IF(($D$90*100+$D$93*100)=0,1,$D$90*100+$D$93*100)</f>
      </c>
      <c r="AT18" s="31">
        <f>MIN(MAX(AT16-($D$89*100+$D$102*100),0),$D$90*100+$D$93*100)*($D$90*100)/IF(($D$90*100+$D$93*100)=0,1,$D$90*100+$D$93*100)</f>
      </c>
      <c r="AU18" s="31">
        <f>MIN(MAX(AU16-($D$89*100+$D$102*100),0),$D$90*100+$D$93*100)*($D$90*100)/IF(($D$90*100+$D$93*100)=0,1,$D$90*100+$D$93*100)</f>
      </c>
      <c r="AV18" s="31">
        <f>MIN(MAX(AV16-($D$89*100+$D$102*100),0),$D$90*100+$D$93*100)*($D$90*100)/IF(($D$90*100+$D$93*100)=0,1,$D$90*100+$D$93*100)</f>
      </c>
      <c r="AW18" s="31">
        <f>MIN(MAX(AW16-($D$89*100+$D$102*100),0),$D$90*100+$D$93*100)*($D$90*100)/IF(($D$90*100+$D$93*100)=0,1,$D$90*100+$D$93*100)</f>
      </c>
      <c r="AX18" s="31">
        <f>MIN(MAX(AX16-($D$89*100+$D$102*100),0),$D$90*100+$D$93*100)*($D$90*100)/IF(($D$90*100+$D$93*100)=0,1,$D$90*100+$D$93*100)</f>
      </c>
      <c r="AY18" s="31">
        <f>MIN(MAX(AY16-($D$89*100+$D$102*100),0),$D$90*100+$D$93*100)*($D$90*100)/IF(($D$90*100+$D$93*100)=0,1,$D$90*100+$D$93*100)</f>
      </c>
      <c r="AZ18" s="31">
        <f>MIN(MAX(AZ16-($D$89*100+$D$102*100),0),$D$90*100+$D$93*100)*($D$90*100)/IF(($D$90*100+$D$93*100)=0,1,$D$90*100+$D$93*100)</f>
      </c>
      <c r="BA18" s="31">
        <f>MIN(MAX(BA16-($D$89*100+$D$102*100),0),$D$90*100+$D$93*100)*($D$90*100)/IF(($D$90*100+$D$93*100)=0,1,$D$90*100+$D$93*100)</f>
      </c>
      <c r="BB18" s="31">
        <f>MIN(MAX(BB16-($D$89*100+$D$102*100),0),$D$90*100+$D$93*100)*($D$90*100)/IF(($D$90*100+$D$93*100)=0,1,$D$90*100+$D$93*100)</f>
      </c>
      <c r="BC18" s="31">
        <f>MIN(MAX(BC16-($D$89*100+$D$102*100),0),$D$90*100+$D$93*100)*($D$90*100)/IF(($D$90*100+$D$93*100)=0,1,$D$90*100+$D$93*100)</f>
      </c>
      <c r="BD18" s="31">
        <f>MIN(MAX(BD16-($D$89*100+$D$102*100),0),$D$90*100+$D$93*100)*($D$90*100)/IF(($D$90*100+$D$93*100)=0,1,$D$90*100+$D$93*100)</f>
      </c>
      <c r="BE18" s="31">
        <f>MIN(MAX(BE16-($D$89*100+$D$102*100),0),$D$90*100+$D$93*100)*($D$90*100)/IF(($D$90*100+$D$93*100)=0,1,$D$90*100+$D$93*100)</f>
      </c>
      <c r="BF18" s="31">
        <f>MIN(MAX(BF16-($D$89*100+$D$102*100),0),$D$90*100+$D$93*100)*($D$90*100)/IF(($D$90*100+$D$93*100)=0,1,$D$90*100+$D$93*100)</f>
      </c>
      <c r="BG18" s="31">
        <f>MIN(MAX(BG16-($D$89*100+$D$102*100),0),$D$90*100+$D$93*100)*($D$90*100)/IF(($D$90*100+$D$93*100)=0,1,$D$90*100+$D$93*100)</f>
      </c>
      <c r="BH18" s="31">
        <f>MIN(MAX(BH16-($D$89*100+$D$102*100),0),$D$90*100+$D$93*100)*($D$90*100)/IF(($D$90*100+$D$93*100)=0,1,$D$90*100+$D$93*100)</f>
      </c>
      <c r="BI18" s="31">
        <f>MIN(MAX(BI16-($D$89*100+$D$102*100),0),$D$90*100+$D$93*100)*($D$90*100)/IF(($D$90*100+$D$93*100)=0,1,$D$90*100+$D$93*100)</f>
      </c>
      <c r="BJ18" s="31">
        <f>MIN(MAX(BJ16-($D$89*100+$D$102*100),0),$D$90*100+$D$93*100)*($D$90*100)/IF(($D$90*100+$D$93*100)=0,1,$D$90*100+$D$93*100)</f>
      </c>
      <c r="BK18" s="31">
        <f>MIN(MAX(BK16-($D$89*100+$D$102*100),0),$D$90*100+$D$93*100)*($D$90*100)/IF(($D$90*100+$D$93*100)=0,1,$D$90*100+$D$93*100)</f>
      </c>
      <c r="BL18" s="31">
        <f>MIN(MAX(BL16-($D$89*100+$D$102*100),0),$D$90*100+$D$93*100)*($D$90*100)/IF(($D$90*100+$D$93*100)=0,1,$D$90*100+$D$93*100)</f>
      </c>
      <c r="BM18" s="31">
        <f>MIN(MAX(BM16-($D$89*100+$D$102*100),0),$D$90*100+$D$93*100)*($D$90*100)/IF(($D$90*100+$D$93*100)=0,1,$D$90*100+$D$93*100)</f>
      </c>
      <c r="BN18" s="31">
        <f>MIN(MAX(BN16-($D$89*100+$D$102*100),0),$D$90*100+$D$93*100)*($D$90*100)/IF(($D$90*100+$D$93*100)=0,1,$D$90*100+$D$93*100)</f>
      </c>
      <c r="BO18" s="31">
        <f>MIN(MAX(BO16-($D$89*100+$D$102*100),0),$D$90*100+$D$93*100)*($D$90*100)/IF(($D$90*100+$D$93*100)=0,1,$D$90*100+$D$93*100)</f>
      </c>
      <c r="BP18" s="31">
        <f>MIN(MAX(BP16-($D$89*100+$D$102*100),0),$D$90*100+$D$93*100)*($D$90*100)/IF(($D$90*100+$D$93*100)=0,1,$D$90*100+$D$93*100)</f>
      </c>
      <c r="BQ18" s="31">
        <f>MIN(MAX(BQ16-($D$89*100+$D$102*100),0),$D$90*100+$D$93*100)*($D$90*100)/IF(($D$90*100+$D$93*100)=0,1,$D$90*100+$D$93*100)</f>
      </c>
      <c r="BR18" s="31">
        <f>MIN(MAX(BR16-($D$89*100+$D$102*100),0),$D$90*100+$D$93*100)*($D$90*100)/IF(($D$90*100+$D$93*100)=0,1,$D$90*100+$D$93*100)</f>
      </c>
      <c r="BS18" s="31">
        <f>MIN(MAX(BS16-($D$89*100+$D$102*100),0),$D$90*100+$D$93*100)*($D$90*100)/IF(($D$90*100+$D$93*100)=0,1,$D$90*100+$D$93*100)</f>
      </c>
      <c r="BT18" s="31">
        <f>MIN(MAX(BT16-($D$89*100+$D$102*100),0),$D$90*100+$D$93*100)*($D$90*100)/IF(($D$90*100+$D$93*100)=0,1,$D$90*100+$D$93*100)</f>
      </c>
      <c r="BU18" s="31">
        <f>MIN(MAX(BU16-($D$89*100+$D$102*100),0),$D$90*100+$D$93*100)*($D$90*100)/IF(($D$90*100+$D$93*100)=0,1,$D$90*100+$D$93*100)</f>
      </c>
      <c r="BV18" s="31">
        <f>MIN(MAX(BV16-($D$89*100+$D$102*100),0),$D$90*100+$D$93*100)*($D$90*100)/IF(($D$90*100+$D$93*100)=0,1,$D$90*100+$D$93*100)</f>
      </c>
      <c r="BW18" s="31">
        <f>MIN(MAX(BW16-($D$89*100+$D$102*100),0),$D$90*100+$D$93*100)*($D$90*100)/IF(($D$90*100+$D$93*100)=0,1,$D$90*100+$D$93*100)</f>
      </c>
      <c r="BX18" s="31">
        <f>MIN(MAX(BX16-($D$89*100+$D$102*100),0),$D$90*100+$D$93*100)*($D$90*100)/IF(($D$90*100+$D$93*100)=0,1,$D$90*100+$D$93*100)</f>
      </c>
      <c r="BY18" s="31">
        <f>MIN(MAX(BY16-($D$89*100+$D$102*100),0),$D$90*100+$D$93*100)*($D$90*100)/IF(($D$90*100+$D$93*100)=0,1,$D$90*100+$D$93*100)</f>
      </c>
      <c r="BZ18" s="31">
        <f>MIN(MAX(BZ16-($D$89*100+$D$102*100),0),$D$90*100+$D$93*100)*($D$90*100)/IF(($D$90*100+$D$93*100)=0,1,$D$90*100+$D$93*100)</f>
      </c>
      <c r="CA18" s="31">
        <f>MIN(MAX(CA16-($D$89*100+$D$102*100),0),$D$90*100+$D$93*100)*($D$90*100)/IF(($D$90*100+$D$93*100)=0,1,$D$90*100+$D$93*100)</f>
      </c>
      <c r="CB18" s="31">
        <f>MIN(MAX(CB16-($D$89*100+$D$102*100),0),$D$90*100+$D$93*100)*($D$90*100)/IF(($D$90*100+$D$93*100)=0,1,$D$90*100+$D$93*100)</f>
      </c>
      <c r="CC18" s="31">
        <f>MIN(MAX(CC16-($D$89*100+$D$102*100),0),$D$90*100+$D$93*100)*($D$90*100)/IF(($D$90*100+$D$93*100)=0,1,$D$90*100+$D$93*100)</f>
      </c>
      <c r="CD18" s="31">
        <f>MIN(MAX(CD16-($D$89*100+$D$102*100),0),$D$90*100+$D$93*100)*($D$90*100)/IF(($D$90*100+$D$93*100)=0,1,$D$90*100+$D$93*100)</f>
      </c>
      <c r="CE18" s="31">
        <f>MIN(MAX(CE16-($D$89*100+$D$102*100),0),$D$90*100+$D$93*100)*($D$90*100)/IF(($D$90*100+$D$93*100)=0,1,$D$90*100+$D$93*100)</f>
      </c>
      <c r="CF18" s="31">
        <f>MIN(MAX(CF16-($D$89*100+$D$102*100),0),$D$90*100+$D$93*100)*($D$90*100)/IF(($D$90*100+$D$93*100)=0,1,$D$90*100+$D$93*100)</f>
      </c>
      <c r="CG18" s="31">
        <f>MIN(MAX(CG16-($D$89*100+$D$102*100),0),$D$90*100+$D$93*100)*($D$90*100)/IF(($D$90*100+$D$93*100)=0,1,$D$90*100+$D$93*100)</f>
      </c>
      <c r="CH18" s="31">
        <f>MIN(MAX(CH16-($D$89*100+$D$102*100),0),$D$90*100+$D$93*100)*($D$90*100)/IF(($D$90*100+$D$93*100)=0,1,$D$90*100+$D$93*100)</f>
      </c>
      <c r="CI18" s="31">
        <f>MIN(MAX(CI16-($D$89*100+$D$102*100),0),$D$90*100+$D$93*100)*($D$90*100)/IF(($D$90*100+$D$93*100)=0,1,$D$90*100+$D$93*100)</f>
      </c>
      <c r="CJ18" s="31">
        <f>MIN(MAX(CJ16-($D$89*100+$D$102*100),0),$D$90*100+$D$93*100)*($D$90*100)/IF(($D$90*100+$D$93*100)=0,1,$D$90*100+$D$93*100)</f>
      </c>
      <c r="CK18" s="31">
        <f>MIN(MAX(CK16-($D$89*100+$D$102*100),0),$D$90*100+$D$93*100)*($D$90*100)/IF(($D$90*100+$D$93*100)=0,1,$D$90*100+$D$93*100)</f>
      </c>
      <c r="CL18" s="31">
        <f>MIN(MAX(CL16-($D$89*100+$D$102*100),0),$D$90*100+$D$93*100)*($D$90*100)/IF(($D$90*100+$D$93*100)=0,1,$D$90*100+$D$93*100)</f>
      </c>
    </row>
    <row r="19" spans="2:90" x14ac:dyDescent="0.25">
      <c r="B19" s="33" t="s">
        <v>239</v>
      </c>
      <c r="C19" s="34" t="s">
        <v>228</v>
      </c>
      <c r="E19" s="31">
        <f>MIN(MAX(E16-($D$89*100+$D$102*100),0),$D$90*100+$D$93*100)*($D$93*100)/IF(($D$90*100+$D$93*100)=0,1,$D$90*100+$D$93*100)</f>
      </c>
      <c r="F19" s="31">
        <f>MIN(MAX(F16-($D$89*100+$D$102*100),0),$D$90*100+$D$93*100)*($D$93*100)/IF(($D$90*100+$D$93*100)=0,1,$D$90*100+$D$93*100)</f>
      </c>
      <c r="G19" s="31">
        <f>MIN(MAX(G16-($D$89*100+$D$102*100),0),$D$90*100+$D$93*100)*($D$93*100)/IF(($D$90*100+$D$93*100)=0,1,$D$90*100+$D$93*100)</f>
      </c>
      <c r="H19" s="31">
        <f>MIN(MAX(H16-($D$89*100+$D$102*100),0),$D$90*100+$D$93*100)*($D$93*100)/IF(($D$90*100+$D$93*100)=0,1,$D$90*100+$D$93*100)</f>
      </c>
      <c r="I19" s="31">
        <f>MIN(MAX(I16-($D$89*100+$D$102*100),0),$D$90*100+$D$93*100)*($D$93*100)/IF(($D$90*100+$D$93*100)=0,1,$D$90*100+$D$93*100)</f>
      </c>
      <c r="J19" s="31">
        <f>MIN(MAX(J16-($D$89*100+$D$102*100),0),$D$90*100+$D$93*100)*($D$93*100)/IF(($D$90*100+$D$93*100)=0,1,$D$90*100+$D$93*100)</f>
      </c>
      <c r="K19" s="31">
        <f>MIN(MAX(K16-($D$89*100+$D$102*100),0),$D$90*100+$D$93*100)*($D$93*100)/IF(($D$90*100+$D$93*100)=0,1,$D$90*100+$D$93*100)</f>
      </c>
      <c r="L19" s="31">
        <f>MIN(MAX(L16-($D$89*100+$D$102*100),0),$D$90*100+$D$93*100)*($D$93*100)/IF(($D$90*100+$D$93*100)=0,1,$D$90*100+$D$93*100)</f>
      </c>
      <c r="M19" s="31">
        <f>MIN(MAX(M16-($D$89*100+$D$102*100),0),$D$90*100+$D$93*100)*($D$93*100)/IF(($D$90*100+$D$93*100)=0,1,$D$90*100+$D$93*100)</f>
      </c>
      <c r="N19" s="31">
        <f>MIN(MAX(N16-($D$89*100+$D$102*100),0),$D$90*100+$D$93*100)*($D$93*100)/IF(($D$90*100+$D$93*100)=0,1,$D$90*100+$D$93*100)</f>
      </c>
      <c r="O19" s="31">
        <f>MIN(MAX(O16-($D$89*100+$D$102*100),0),$D$90*100+$D$93*100)*($D$93*100)/IF(($D$90*100+$D$93*100)=0,1,$D$90*100+$D$93*100)</f>
      </c>
      <c r="P19" s="31">
        <f>MIN(MAX(P16-($D$89*100+$D$102*100),0),$D$90*100+$D$93*100)*($D$93*100)/IF(($D$90*100+$D$93*100)=0,1,$D$90*100+$D$93*100)</f>
      </c>
      <c r="Q19" s="31">
        <f>MIN(MAX(Q16-($D$89*100+$D$102*100),0),$D$90*100+$D$93*100)*($D$93*100)/IF(($D$90*100+$D$93*100)=0,1,$D$90*100+$D$93*100)</f>
      </c>
      <c r="R19" s="31">
        <f>MIN(MAX(R16-($D$89*100+$D$102*100),0),$D$90*100+$D$93*100)*($D$93*100)/IF(($D$90*100+$D$93*100)=0,1,$D$90*100+$D$93*100)</f>
      </c>
      <c r="S19" s="31">
        <f>MIN(MAX(S16-($D$89*100+$D$102*100),0),$D$90*100+$D$93*100)*($D$93*100)/IF(($D$90*100+$D$93*100)=0,1,$D$90*100+$D$93*100)</f>
      </c>
      <c r="T19" s="31">
        <f>MIN(MAX(T16-($D$89*100+$D$102*100),0),$D$90*100+$D$93*100)*($D$93*100)/IF(($D$90*100+$D$93*100)=0,1,$D$90*100+$D$93*100)</f>
      </c>
      <c r="U19" s="31">
        <f>MIN(MAX(U16-($D$89*100+$D$102*100),0),$D$90*100+$D$93*100)*($D$93*100)/IF(($D$90*100+$D$93*100)=0,1,$D$90*100+$D$93*100)</f>
      </c>
      <c r="V19" s="31">
        <f>MIN(MAX(V16-($D$89*100+$D$102*100),0),$D$90*100+$D$93*100)*($D$93*100)/IF(($D$90*100+$D$93*100)=0,1,$D$90*100+$D$93*100)</f>
      </c>
      <c r="W19" s="31">
        <f>MIN(MAX(W16-($D$89*100+$D$102*100),0),$D$90*100+$D$93*100)*($D$93*100)/IF(($D$90*100+$D$93*100)=0,1,$D$90*100+$D$93*100)</f>
      </c>
      <c r="X19" s="31">
        <f>MIN(MAX(X16-($D$89*100+$D$102*100),0),$D$90*100+$D$93*100)*($D$93*100)/IF(($D$90*100+$D$93*100)=0,1,$D$90*100+$D$93*100)</f>
      </c>
      <c r="Y19" s="31">
        <f>MIN(MAX(Y16-($D$89*100+$D$102*100),0),$D$90*100+$D$93*100)*($D$93*100)/IF(($D$90*100+$D$93*100)=0,1,$D$90*100+$D$93*100)</f>
      </c>
      <c r="Z19" s="31">
        <f>MIN(MAX(Z16-($D$89*100+$D$102*100),0),$D$90*100+$D$93*100)*($D$93*100)/IF(($D$90*100+$D$93*100)=0,1,$D$90*100+$D$93*100)</f>
      </c>
      <c r="AA19" s="31">
        <f>MIN(MAX(AA16-($D$89*100+$D$102*100),0),$D$90*100+$D$93*100)*($D$93*100)/IF(($D$90*100+$D$93*100)=0,1,$D$90*100+$D$93*100)</f>
      </c>
      <c r="AB19" s="31">
        <f>MIN(MAX(AB16-($D$89*100+$D$102*100),0),$D$90*100+$D$93*100)*($D$93*100)/IF(($D$90*100+$D$93*100)=0,1,$D$90*100+$D$93*100)</f>
      </c>
      <c r="AC19" s="31">
        <f>MIN(MAX(AC16-($D$89*100+$D$102*100),0),$D$90*100+$D$93*100)*($D$93*100)/IF(($D$90*100+$D$93*100)=0,1,$D$90*100+$D$93*100)</f>
      </c>
      <c r="AD19" s="31">
        <f>MIN(MAX(AD16-($D$89*100+$D$102*100),0),$D$90*100+$D$93*100)*($D$93*100)/IF(($D$90*100+$D$93*100)=0,1,$D$90*100+$D$93*100)</f>
      </c>
      <c r="AE19" s="31">
        <f>MIN(MAX(AE16-($D$89*100+$D$102*100),0),$D$90*100+$D$93*100)*($D$93*100)/IF(($D$90*100+$D$93*100)=0,1,$D$90*100+$D$93*100)</f>
      </c>
      <c r="AF19" s="31">
        <f>MIN(MAX(AF16-($D$89*100+$D$102*100),0),$D$90*100+$D$93*100)*($D$93*100)/IF(($D$90*100+$D$93*100)=0,1,$D$90*100+$D$93*100)</f>
      </c>
      <c r="AG19" s="31">
        <f>MIN(MAX(AG16-($D$89*100+$D$102*100),0),$D$90*100+$D$93*100)*($D$93*100)/IF(($D$90*100+$D$93*100)=0,1,$D$90*100+$D$93*100)</f>
      </c>
      <c r="AH19" s="31">
        <f>MIN(MAX(AH16-($D$89*100+$D$102*100),0),$D$90*100+$D$93*100)*($D$93*100)/IF(($D$90*100+$D$93*100)=0,1,$D$90*100+$D$93*100)</f>
      </c>
      <c r="AI19" s="31">
        <f>MIN(MAX(AI16-($D$89*100+$D$102*100),0),$D$90*100+$D$93*100)*($D$93*100)/IF(($D$90*100+$D$93*100)=0,1,$D$90*100+$D$93*100)</f>
      </c>
      <c r="AJ19" s="31">
        <f>MIN(MAX(AJ16-($D$89*100+$D$102*100),0),$D$90*100+$D$93*100)*($D$93*100)/IF(($D$90*100+$D$93*100)=0,1,$D$90*100+$D$93*100)</f>
      </c>
      <c r="AK19" s="31">
        <f>MIN(MAX(AK16-($D$89*100+$D$102*100),0),$D$90*100+$D$93*100)*($D$93*100)/IF(($D$90*100+$D$93*100)=0,1,$D$90*100+$D$93*100)</f>
      </c>
      <c r="AL19" s="31">
        <f>MIN(MAX(AL16-($D$89*100+$D$102*100),0),$D$90*100+$D$93*100)*($D$93*100)/IF(($D$90*100+$D$93*100)=0,1,$D$90*100+$D$93*100)</f>
      </c>
      <c r="AM19" s="31">
        <f>MIN(MAX(AM16-($D$89*100+$D$102*100),0),$D$90*100+$D$93*100)*($D$93*100)/IF(($D$90*100+$D$93*100)=0,1,$D$90*100+$D$93*100)</f>
      </c>
      <c r="AN19" s="31">
        <f>MIN(MAX(AN16-($D$89*100+$D$102*100),0),$D$90*100+$D$93*100)*($D$93*100)/IF(($D$90*100+$D$93*100)=0,1,$D$90*100+$D$93*100)</f>
      </c>
      <c r="AO19" s="31">
        <f>MIN(MAX(AO16-($D$89*100+$D$102*100),0),$D$90*100+$D$93*100)*($D$93*100)/IF(($D$90*100+$D$93*100)=0,1,$D$90*100+$D$93*100)</f>
      </c>
      <c r="AP19" s="31">
        <f>MIN(MAX(AP16-($D$89*100+$D$102*100),0),$D$90*100+$D$93*100)*($D$93*100)/IF(($D$90*100+$D$93*100)=0,1,$D$90*100+$D$93*100)</f>
      </c>
      <c r="AQ19" s="31">
        <f>MIN(MAX(AQ16-($D$89*100+$D$102*100),0),$D$90*100+$D$93*100)*($D$93*100)/IF(($D$90*100+$D$93*100)=0,1,$D$90*100+$D$93*100)</f>
      </c>
      <c r="AR19" s="31">
        <f>MIN(MAX(AR16-($D$89*100+$D$102*100),0),$D$90*100+$D$93*100)*($D$93*100)/IF(($D$90*100+$D$93*100)=0,1,$D$90*100+$D$93*100)</f>
      </c>
      <c r="AS19" s="31">
        <f>MIN(MAX(AS16-($D$89*100+$D$102*100),0),$D$90*100+$D$93*100)*($D$93*100)/IF(($D$90*100+$D$93*100)=0,1,$D$90*100+$D$93*100)</f>
      </c>
      <c r="AT19" s="31">
        <f>MIN(MAX(AT16-($D$89*100+$D$102*100),0),$D$90*100+$D$93*100)*($D$93*100)/IF(($D$90*100+$D$93*100)=0,1,$D$90*100+$D$93*100)</f>
      </c>
      <c r="AU19" s="31">
        <f>MIN(MAX(AU16-($D$89*100+$D$102*100),0),$D$90*100+$D$93*100)*($D$93*100)/IF(($D$90*100+$D$93*100)=0,1,$D$90*100+$D$93*100)</f>
      </c>
      <c r="AV19" s="31">
        <f>MIN(MAX(AV16-($D$89*100+$D$102*100),0),$D$90*100+$D$93*100)*($D$93*100)/IF(($D$90*100+$D$93*100)=0,1,$D$90*100+$D$93*100)</f>
      </c>
      <c r="AW19" s="31">
        <f>MIN(MAX(AW16-($D$89*100+$D$102*100),0),$D$90*100+$D$93*100)*($D$93*100)/IF(($D$90*100+$D$93*100)=0,1,$D$90*100+$D$93*100)</f>
      </c>
      <c r="AX19" s="31">
        <f>MIN(MAX(AX16-($D$89*100+$D$102*100),0),$D$90*100+$D$93*100)*($D$93*100)/IF(($D$90*100+$D$93*100)=0,1,$D$90*100+$D$93*100)</f>
      </c>
      <c r="AY19" s="31">
        <f>MIN(MAX(AY16-($D$89*100+$D$102*100),0),$D$90*100+$D$93*100)*($D$93*100)/IF(($D$90*100+$D$93*100)=0,1,$D$90*100+$D$93*100)</f>
      </c>
      <c r="AZ19" s="31">
        <f>MIN(MAX(AZ16-($D$89*100+$D$102*100),0),$D$90*100+$D$93*100)*($D$93*100)/IF(($D$90*100+$D$93*100)=0,1,$D$90*100+$D$93*100)</f>
      </c>
      <c r="BA19" s="31">
        <f>MIN(MAX(BA16-($D$89*100+$D$102*100),0),$D$90*100+$D$93*100)*($D$93*100)/IF(($D$90*100+$D$93*100)=0,1,$D$90*100+$D$93*100)</f>
      </c>
      <c r="BB19" s="31">
        <f>MIN(MAX(BB16-($D$89*100+$D$102*100),0),$D$90*100+$D$93*100)*($D$93*100)/IF(($D$90*100+$D$93*100)=0,1,$D$90*100+$D$93*100)</f>
      </c>
      <c r="BC19" s="31">
        <f>MIN(MAX(BC16-($D$89*100+$D$102*100),0),$D$90*100+$D$93*100)*($D$93*100)/IF(($D$90*100+$D$93*100)=0,1,$D$90*100+$D$93*100)</f>
      </c>
      <c r="BD19" s="31">
        <f>MIN(MAX(BD16-($D$89*100+$D$102*100),0),$D$90*100+$D$93*100)*($D$93*100)/IF(($D$90*100+$D$93*100)=0,1,$D$90*100+$D$93*100)</f>
      </c>
      <c r="BE19" s="31">
        <f>MIN(MAX(BE16-($D$89*100+$D$102*100),0),$D$90*100+$D$93*100)*($D$93*100)/IF(($D$90*100+$D$93*100)=0,1,$D$90*100+$D$93*100)</f>
      </c>
      <c r="BF19" s="31">
        <f>MIN(MAX(BF16-($D$89*100+$D$102*100),0),$D$90*100+$D$93*100)*($D$93*100)/IF(($D$90*100+$D$93*100)=0,1,$D$90*100+$D$93*100)</f>
      </c>
      <c r="BG19" s="31">
        <f>MIN(MAX(BG16-($D$89*100+$D$102*100),0),$D$90*100+$D$93*100)*($D$93*100)/IF(($D$90*100+$D$93*100)=0,1,$D$90*100+$D$93*100)</f>
      </c>
      <c r="BH19" s="31">
        <f>MIN(MAX(BH16-($D$89*100+$D$102*100),0),$D$90*100+$D$93*100)*($D$93*100)/IF(($D$90*100+$D$93*100)=0,1,$D$90*100+$D$93*100)</f>
      </c>
      <c r="BI19" s="31">
        <f>MIN(MAX(BI16-($D$89*100+$D$102*100),0),$D$90*100+$D$93*100)*($D$93*100)/IF(($D$90*100+$D$93*100)=0,1,$D$90*100+$D$93*100)</f>
      </c>
      <c r="BJ19" s="31">
        <f>MIN(MAX(BJ16-($D$89*100+$D$102*100),0),$D$90*100+$D$93*100)*($D$93*100)/IF(($D$90*100+$D$93*100)=0,1,$D$90*100+$D$93*100)</f>
      </c>
      <c r="BK19" s="31">
        <f>MIN(MAX(BK16-($D$89*100+$D$102*100),0),$D$90*100+$D$93*100)*($D$93*100)/IF(($D$90*100+$D$93*100)=0,1,$D$90*100+$D$93*100)</f>
      </c>
      <c r="BL19" s="31">
        <f>MIN(MAX(BL16-($D$89*100+$D$102*100),0),$D$90*100+$D$93*100)*($D$93*100)/IF(($D$90*100+$D$93*100)=0,1,$D$90*100+$D$93*100)</f>
      </c>
      <c r="BM19" s="31">
        <f>MIN(MAX(BM16-($D$89*100+$D$102*100),0),$D$90*100+$D$93*100)*($D$93*100)/IF(($D$90*100+$D$93*100)=0,1,$D$90*100+$D$93*100)</f>
      </c>
      <c r="BN19" s="31">
        <f>MIN(MAX(BN16-($D$89*100+$D$102*100),0),$D$90*100+$D$93*100)*($D$93*100)/IF(($D$90*100+$D$93*100)=0,1,$D$90*100+$D$93*100)</f>
      </c>
      <c r="BO19" s="31">
        <f>MIN(MAX(BO16-($D$89*100+$D$102*100),0),$D$90*100+$D$93*100)*($D$93*100)/IF(($D$90*100+$D$93*100)=0,1,$D$90*100+$D$93*100)</f>
      </c>
      <c r="BP19" s="31">
        <f>MIN(MAX(BP16-($D$89*100+$D$102*100),0),$D$90*100+$D$93*100)*($D$93*100)/IF(($D$90*100+$D$93*100)=0,1,$D$90*100+$D$93*100)</f>
      </c>
      <c r="BQ19" s="31">
        <f>MIN(MAX(BQ16-($D$89*100+$D$102*100),0),$D$90*100+$D$93*100)*($D$93*100)/IF(($D$90*100+$D$93*100)=0,1,$D$90*100+$D$93*100)</f>
      </c>
      <c r="BR19" s="31">
        <f>MIN(MAX(BR16-($D$89*100+$D$102*100),0),$D$90*100+$D$93*100)*($D$93*100)/IF(($D$90*100+$D$93*100)=0,1,$D$90*100+$D$93*100)</f>
      </c>
      <c r="BS19" s="31">
        <f>MIN(MAX(BS16-($D$89*100+$D$102*100),0),$D$90*100+$D$93*100)*($D$93*100)/IF(($D$90*100+$D$93*100)=0,1,$D$90*100+$D$93*100)</f>
      </c>
      <c r="BT19" s="31">
        <f>MIN(MAX(BT16-($D$89*100+$D$102*100),0),$D$90*100+$D$93*100)*($D$93*100)/IF(($D$90*100+$D$93*100)=0,1,$D$90*100+$D$93*100)</f>
      </c>
      <c r="BU19" s="31">
        <f>MIN(MAX(BU16-($D$89*100+$D$102*100),0),$D$90*100+$D$93*100)*($D$93*100)/IF(($D$90*100+$D$93*100)=0,1,$D$90*100+$D$93*100)</f>
      </c>
      <c r="BV19" s="31">
        <f>MIN(MAX(BV16-($D$89*100+$D$102*100),0),$D$90*100+$D$93*100)*($D$93*100)/IF(($D$90*100+$D$93*100)=0,1,$D$90*100+$D$93*100)</f>
      </c>
      <c r="BW19" s="31">
        <f>MIN(MAX(BW16-($D$89*100+$D$102*100),0),$D$90*100+$D$93*100)*($D$93*100)/IF(($D$90*100+$D$93*100)=0,1,$D$90*100+$D$93*100)</f>
      </c>
      <c r="BX19" s="31">
        <f>MIN(MAX(BX16-($D$89*100+$D$102*100),0),$D$90*100+$D$93*100)*($D$93*100)/IF(($D$90*100+$D$93*100)=0,1,$D$90*100+$D$93*100)</f>
      </c>
      <c r="BY19" s="31">
        <f>MIN(MAX(BY16-($D$89*100+$D$102*100),0),$D$90*100+$D$93*100)*($D$93*100)/IF(($D$90*100+$D$93*100)=0,1,$D$90*100+$D$93*100)</f>
      </c>
      <c r="BZ19" s="31">
        <f>MIN(MAX(BZ16-($D$89*100+$D$102*100),0),$D$90*100+$D$93*100)*($D$93*100)/IF(($D$90*100+$D$93*100)=0,1,$D$90*100+$D$93*100)</f>
      </c>
      <c r="CA19" s="31">
        <f>MIN(MAX(CA16-($D$89*100+$D$102*100),0),$D$90*100+$D$93*100)*($D$93*100)/IF(($D$90*100+$D$93*100)=0,1,$D$90*100+$D$93*100)</f>
      </c>
      <c r="CB19" s="31">
        <f>MIN(MAX(CB16-($D$89*100+$D$102*100),0),$D$90*100+$D$93*100)*($D$93*100)/IF(($D$90*100+$D$93*100)=0,1,$D$90*100+$D$93*100)</f>
      </c>
      <c r="CC19" s="31">
        <f>MIN(MAX(CC16-($D$89*100+$D$102*100),0),$D$90*100+$D$93*100)*($D$93*100)/IF(($D$90*100+$D$93*100)=0,1,$D$90*100+$D$93*100)</f>
      </c>
      <c r="CD19" s="31">
        <f>MIN(MAX(CD16-($D$89*100+$D$102*100),0),$D$90*100+$D$93*100)*($D$93*100)/IF(($D$90*100+$D$93*100)=0,1,$D$90*100+$D$93*100)</f>
      </c>
      <c r="CE19" s="31">
        <f>MIN(MAX(CE16-($D$89*100+$D$102*100),0),$D$90*100+$D$93*100)*($D$93*100)/IF(($D$90*100+$D$93*100)=0,1,$D$90*100+$D$93*100)</f>
      </c>
      <c r="CF19" s="31">
        <f>MIN(MAX(CF16-($D$89*100+$D$102*100),0),$D$90*100+$D$93*100)*($D$93*100)/IF(($D$90*100+$D$93*100)=0,1,$D$90*100+$D$93*100)</f>
      </c>
      <c r="CG19" s="31">
        <f>MIN(MAX(CG16-($D$89*100+$D$102*100),0),$D$90*100+$D$93*100)*($D$93*100)/IF(($D$90*100+$D$93*100)=0,1,$D$90*100+$D$93*100)</f>
      </c>
      <c r="CH19" s="31">
        <f>MIN(MAX(CH16-($D$89*100+$D$102*100),0),$D$90*100+$D$93*100)*($D$93*100)/IF(($D$90*100+$D$93*100)=0,1,$D$90*100+$D$93*100)</f>
      </c>
      <c r="CI19" s="31">
        <f>MIN(MAX(CI16-($D$89*100+$D$102*100),0),$D$90*100+$D$93*100)*($D$93*100)/IF(($D$90*100+$D$93*100)=0,1,$D$90*100+$D$93*100)</f>
      </c>
      <c r="CJ19" s="31">
        <f>MIN(MAX(CJ16-($D$89*100+$D$102*100),0),$D$90*100+$D$93*100)*($D$93*100)/IF(($D$90*100+$D$93*100)=0,1,$D$90*100+$D$93*100)</f>
      </c>
      <c r="CK19" s="31">
        <f>MIN(MAX(CK16-($D$89*100+$D$102*100),0),$D$90*100+$D$93*100)*($D$93*100)/IF(($D$90*100+$D$93*100)=0,1,$D$90*100+$D$93*100)</f>
      </c>
      <c r="CL19" s="31">
        <f>MIN(MAX(CL16-($D$89*100+$D$102*100),0),$D$90*100+$D$93*100)*($D$93*100)/IF(($D$90*100+$D$93*100)=0,1,$D$90*100+$D$93*100)</f>
      </c>
    </row>
    <row r="20" spans="2:90" x14ac:dyDescent="0.25">
      <c r="B20" s="33" t="s">
        <v>240</v>
      </c>
      <c r="C20" s="34" t="s">
        <v>228</v>
      </c>
      <c r="E20" s="31">
        <f>MIN(MAX(E16-($D$89*100+$D$90*100+$D$93*100+$D$99*100+$D$102*100),0),$D$96*100)*($D$96*100)/IF(($D$96*100)=0,1,$D$96*100)</f>
      </c>
      <c r="F20" s="31">
        <f>MIN(MAX(F16-($D$89*100+$D$90*100+$D$93*100+$D$99*100+$D$102*100),0),$D$96*100)*($D$96*100)/IF(($D$96*100)=0,1,$D$96*100)</f>
      </c>
      <c r="G20" s="31">
        <f>MIN(MAX(G16-($D$89*100+$D$90*100+$D$93*100+$D$99*100+$D$102*100),0),$D$96*100)*($D$96*100)/IF(($D$96*100)=0,1,$D$96*100)</f>
      </c>
      <c r="H20" s="31">
        <f>MIN(MAX(H16-($D$89*100+$D$90*100+$D$93*100+$D$99*100+$D$102*100),0),$D$96*100)*($D$96*100)/IF(($D$96*100)=0,1,$D$96*100)</f>
      </c>
      <c r="I20" s="31">
        <f>MIN(MAX(I16-($D$89*100+$D$90*100+$D$93*100+$D$99*100+$D$102*100),0),$D$96*100)*($D$96*100)/IF(($D$96*100)=0,1,$D$96*100)</f>
      </c>
      <c r="J20" s="31">
        <f>MIN(MAX(J16-($D$89*100+$D$90*100+$D$93*100+$D$99*100+$D$102*100),0),$D$96*100)*($D$96*100)/IF(($D$96*100)=0,1,$D$96*100)</f>
      </c>
      <c r="K20" s="31">
        <f>MIN(MAX(K16-($D$89*100+$D$90*100+$D$93*100+$D$99*100+$D$102*100),0),$D$96*100)*($D$96*100)/IF(($D$96*100)=0,1,$D$96*100)</f>
      </c>
      <c r="L20" s="31">
        <f>MIN(MAX(L16-($D$89*100+$D$90*100+$D$93*100+$D$99*100+$D$102*100),0),$D$96*100)*($D$96*100)/IF(($D$96*100)=0,1,$D$96*100)</f>
      </c>
      <c r="M20" s="31">
        <f>MIN(MAX(M16-($D$89*100+$D$90*100+$D$93*100+$D$99*100+$D$102*100),0),$D$96*100)*($D$96*100)/IF(($D$96*100)=0,1,$D$96*100)</f>
      </c>
      <c r="N20" s="31">
        <f>MIN(MAX(N16-($D$89*100+$D$90*100+$D$93*100+$D$99*100+$D$102*100),0),$D$96*100)*($D$96*100)/IF(($D$96*100)=0,1,$D$96*100)</f>
      </c>
      <c r="O20" s="31">
        <f>MIN(MAX(O16-($D$89*100+$D$90*100+$D$93*100+$D$99*100+$D$102*100),0),$D$96*100)*($D$96*100)/IF(($D$96*100)=0,1,$D$96*100)</f>
      </c>
      <c r="P20" s="31">
        <f>MIN(MAX(P16-($D$89*100+$D$90*100+$D$93*100+$D$99*100+$D$102*100),0),$D$96*100)*($D$96*100)/IF(($D$96*100)=0,1,$D$96*100)</f>
      </c>
      <c r="Q20" s="31">
        <f>MIN(MAX(Q16-($D$89*100+$D$90*100+$D$93*100+$D$99*100+$D$102*100),0),$D$96*100)*($D$96*100)/IF(($D$96*100)=0,1,$D$96*100)</f>
      </c>
      <c r="R20" s="31">
        <f>MIN(MAX(R16-($D$89*100+$D$90*100+$D$93*100+$D$99*100+$D$102*100),0),$D$96*100)*($D$96*100)/IF(($D$96*100)=0,1,$D$96*100)</f>
      </c>
      <c r="S20" s="31">
        <f>MIN(MAX(S16-($D$89*100+$D$90*100+$D$93*100+$D$99*100+$D$102*100),0),$D$96*100)*($D$96*100)/IF(($D$96*100)=0,1,$D$96*100)</f>
      </c>
      <c r="T20" s="31">
        <f>MIN(MAX(T16-($D$89*100+$D$90*100+$D$93*100+$D$99*100+$D$102*100),0),$D$96*100)*($D$96*100)/IF(($D$96*100)=0,1,$D$96*100)</f>
      </c>
      <c r="U20" s="31">
        <f>MIN(MAX(U16-($D$89*100+$D$90*100+$D$93*100+$D$99*100+$D$102*100),0),$D$96*100)*($D$96*100)/IF(($D$96*100)=0,1,$D$96*100)</f>
      </c>
      <c r="V20" s="31">
        <f>MIN(MAX(V16-($D$89*100+$D$90*100+$D$93*100+$D$99*100+$D$102*100),0),$D$96*100)*($D$96*100)/IF(($D$96*100)=0,1,$D$96*100)</f>
      </c>
      <c r="W20" s="31">
        <f>MIN(MAX(W16-($D$89*100+$D$90*100+$D$93*100+$D$99*100+$D$102*100),0),$D$96*100)*($D$96*100)/IF(($D$96*100)=0,1,$D$96*100)</f>
      </c>
      <c r="X20" s="31">
        <f>MIN(MAX(X16-($D$89*100+$D$90*100+$D$93*100+$D$99*100+$D$102*100),0),$D$96*100)*($D$96*100)/IF(($D$96*100)=0,1,$D$96*100)</f>
      </c>
      <c r="Y20" s="31">
        <f>MIN(MAX(Y16-($D$89*100+$D$90*100+$D$93*100+$D$99*100+$D$102*100),0),$D$96*100)*($D$96*100)/IF(($D$96*100)=0,1,$D$96*100)</f>
      </c>
      <c r="Z20" s="31">
        <f>MIN(MAX(Z16-($D$89*100+$D$90*100+$D$93*100+$D$99*100+$D$102*100),0),$D$96*100)*($D$96*100)/IF(($D$96*100)=0,1,$D$96*100)</f>
      </c>
      <c r="AA20" s="31">
        <f>MIN(MAX(AA16-($D$89*100+$D$90*100+$D$93*100+$D$99*100+$D$102*100),0),$D$96*100)*($D$96*100)/IF(($D$96*100)=0,1,$D$96*100)</f>
      </c>
      <c r="AB20" s="31">
        <f>MIN(MAX(AB16-($D$89*100+$D$90*100+$D$93*100+$D$99*100+$D$102*100),0),$D$96*100)*($D$96*100)/IF(($D$96*100)=0,1,$D$96*100)</f>
      </c>
      <c r="AC20" s="31">
        <f>MIN(MAX(AC16-($D$89*100+$D$90*100+$D$93*100+$D$99*100+$D$102*100),0),$D$96*100)*($D$96*100)/IF(($D$96*100)=0,1,$D$96*100)</f>
      </c>
      <c r="AD20" s="31">
        <f>MIN(MAX(AD16-($D$89*100+$D$90*100+$D$93*100+$D$99*100+$D$102*100),0),$D$96*100)*($D$96*100)/IF(($D$96*100)=0,1,$D$96*100)</f>
      </c>
      <c r="AE20" s="31">
        <f>MIN(MAX(AE16-($D$89*100+$D$90*100+$D$93*100+$D$99*100+$D$102*100),0),$D$96*100)*($D$96*100)/IF(($D$96*100)=0,1,$D$96*100)</f>
      </c>
      <c r="AF20" s="31">
        <f>MIN(MAX(AF16-($D$89*100+$D$90*100+$D$93*100+$D$99*100+$D$102*100),0),$D$96*100)*($D$96*100)/IF(($D$96*100)=0,1,$D$96*100)</f>
      </c>
      <c r="AG20" s="31">
        <f>MIN(MAX(AG16-($D$89*100+$D$90*100+$D$93*100+$D$99*100+$D$102*100),0),$D$96*100)*($D$96*100)/IF(($D$96*100)=0,1,$D$96*100)</f>
      </c>
      <c r="AH20" s="31">
        <f>MIN(MAX(AH16-($D$89*100+$D$90*100+$D$93*100+$D$99*100+$D$102*100),0),$D$96*100)*($D$96*100)/IF(($D$96*100)=0,1,$D$96*100)</f>
      </c>
      <c r="AI20" s="31">
        <f>MIN(MAX(AI16-($D$89*100+$D$90*100+$D$93*100+$D$99*100+$D$102*100),0),$D$96*100)*($D$96*100)/IF(($D$96*100)=0,1,$D$96*100)</f>
      </c>
      <c r="AJ20" s="31">
        <f>MIN(MAX(AJ16-($D$89*100+$D$90*100+$D$93*100+$D$99*100+$D$102*100),0),$D$96*100)*($D$96*100)/IF(($D$96*100)=0,1,$D$96*100)</f>
      </c>
      <c r="AK20" s="31">
        <f>MIN(MAX(AK16-($D$89*100+$D$90*100+$D$93*100+$D$99*100+$D$102*100),0),$D$96*100)*($D$96*100)/IF(($D$96*100)=0,1,$D$96*100)</f>
      </c>
      <c r="AL20" s="31">
        <f>MIN(MAX(AL16-($D$89*100+$D$90*100+$D$93*100+$D$99*100+$D$102*100),0),$D$96*100)*($D$96*100)/IF(($D$96*100)=0,1,$D$96*100)</f>
      </c>
      <c r="AM20" s="31">
        <f>MIN(MAX(AM16-($D$89*100+$D$90*100+$D$93*100+$D$99*100+$D$102*100),0),$D$96*100)*($D$96*100)/IF(($D$96*100)=0,1,$D$96*100)</f>
      </c>
      <c r="AN20" s="31">
        <f>MIN(MAX(AN16-($D$89*100+$D$90*100+$D$93*100+$D$99*100+$D$102*100),0),$D$96*100)*($D$96*100)/IF(($D$96*100)=0,1,$D$96*100)</f>
      </c>
      <c r="AO20" s="31">
        <f>MIN(MAX(AO16-($D$89*100+$D$90*100+$D$93*100+$D$99*100+$D$102*100),0),$D$96*100)*($D$96*100)/IF(($D$96*100)=0,1,$D$96*100)</f>
      </c>
      <c r="AP20" s="31">
        <f>MIN(MAX(AP16-($D$89*100+$D$90*100+$D$93*100+$D$99*100+$D$102*100),0),$D$96*100)*($D$96*100)/IF(($D$96*100)=0,1,$D$96*100)</f>
      </c>
      <c r="AQ20" s="31">
        <f>MIN(MAX(AQ16-($D$89*100+$D$90*100+$D$93*100+$D$99*100+$D$102*100),0),$D$96*100)*($D$96*100)/IF(($D$96*100)=0,1,$D$96*100)</f>
      </c>
      <c r="AR20" s="31">
        <f>MIN(MAX(AR16-($D$89*100+$D$90*100+$D$93*100+$D$99*100+$D$102*100),0),$D$96*100)*($D$96*100)/IF(($D$96*100)=0,1,$D$96*100)</f>
      </c>
      <c r="AS20" s="31">
        <f>MIN(MAX(AS16-($D$89*100+$D$90*100+$D$93*100+$D$99*100+$D$102*100),0),$D$96*100)*($D$96*100)/IF(($D$96*100)=0,1,$D$96*100)</f>
      </c>
      <c r="AT20" s="31">
        <f>MIN(MAX(AT16-($D$89*100+$D$90*100+$D$93*100+$D$99*100+$D$102*100),0),$D$96*100)*($D$96*100)/IF(($D$96*100)=0,1,$D$96*100)</f>
      </c>
      <c r="AU20" s="31">
        <f>MIN(MAX(AU16-($D$89*100+$D$90*100+$D$93*100+$D$99*100+$D$102*100),0),$D$96*100)*($D$96*100)/IF(($D$96*100)=0,1,$D$96*100)</f>
      </c>
      <c r="AV20" s="31">
        <f>MIN(MAX(AV16-($D$89*100+$D$90*100+$D$93*100+$D$99*100+$D$102*100),0),$D$96*100)*($D$96*100)/IF(($D$96*100)=0,1,$D$96*100)</f>
      </c>
      <c r="AW20" s="31">
        <f>MIN(MAX(AW16-($D$89*100+$D$90*100+$D$93*100+$D$99*100+$D$102*100),0),$D$96*100)*($D$96*100)/IF(($D$96*100)=0,1,$D$96*100)</f>
      </c>
      <c r="AX20" s="31">
        <f>MIN(MAX(AX16-($D$89*100+$D$90*100+$D$93*100+$D$99*100+$D$102*100),0),$D$96*100)*($D$96*100)/IF(($D$96*100)=0,1,$D$96*100)</f>
      </c>
      <c r="AY20" s="31">
        <f>MIN(MAX(AY16-($D$89*100+$D$90*100+$D$93*100+$D$99*100+$D$102*100),0),$D$96*100)*($D$96*100)/IF(($D$96*100)=0,1,$D$96*100)</f>
      </c>
      <c r="AZ20" s="31">
        <f>MIN(MAX(AZ16-($D$89*100+$D$90*100+$D$93*100+$D$99*100+$D$102*100),0),$D$96*100)*($D$96*100)/IF(($D$96*100)=0,1,$D$96*100)</f>
      </c>
      <c r="BA20" s="31">
        <f>MIN(MAX(BA16-($D$89*100+$D$90*100+$D$93*100+$D$99*100+$D$102*100),0),$D$96*100)*($D$96*100)/IF(($D$96*100)=0,1,$D$96*100)</f>
      </c>
      <c r="BB20" s="31">
        <f>MIN(MAX(BB16-($D$89*100+$D$90*100+$D$93*100+$D$99*100+$D$102*100),0),$D$96*100)*($D$96*100)/IF(($D$96*100)=0,1,$D$96*100)</f>
      </c>
      <c r="BC20" s="31">
        <f>MIN(MAX(BC16-($D$89*100+$D$90*100+$D$93*100+$D$99*100+$D$102*100),0),$D$96*100)*($D$96*100)/IF(($D$96*100)=0,1,$D$96*100)</f>
      </c>
      <c r="BD20" s="31">
        <f>MIN(MAX(BD16-($D$89*100+$D$90*100+$D$93*100+$D$99*100+$D$102*100),0),$D$96*100)*($D$96*100)/IF(($D$96*100)=0,1,$D$96*100)</f>
      </c>
      <c r="BE20" s="31">
        <f>MIN(MAX(BE16-($D$89*100+$D$90*100+$D$93*100+$D$99*100+$D$102*100),0),$D$96*100)*($D$96*100)/IF(($D$96*100)=0,1,$D$96*100)</f>
      </c>
      <c r="BF20" s="31">
        <f>MIN(MAX(BF16-($D$89*100+$D$90*100+$D$93*100+$D$99*100+$D$102*100),0),$D$96*100)*($D$96*100)/IF(($D$96*100)=0,1,$D$96*100)</f>
      </c>
      <c r="BG20" s="31">
        <f>MIN(MAX(BG16-($D$89*100+$D$90*100+$D$93*100+$D$99*100+$D$102*100),0),$D$96*100)*($D$96*100)/IF(($D$96*100)=0,1,$D$96*100)</f>
      </c>
      <c r="BH20" s="31">
        <f>MIN(MAX(BH16-($D$89*100+$D$90*100+$D$93*100+$D$99*100+$D$102*100),0),$D$96*100)*($D$96*100)/IF(($D$96*100)=0,1,$D$96*100)</f>
      </c>
      <c r="BI20" s="31">
        <f>MIN(MAX(BI16-($D$89*100+$D$90*100+$D$93*100+$D$99*100+$D$102*100),0),$D$96*100)*($D$96*100)/IF(($D$96*100)=0,1,$D$96*100)</f>
      </c>
      <c r="BJ20" s="31">
        <f>MIN(MAX(BJ16-($D$89*100+$D$90*100+$D$93*100+$D$99*100+$D$102*100),0),$D$96*100)*($D$96*100)/IF(($D$96*100)=0,1,$D$96*100)</f>
      </c>
      <c r="BK20" s="31">
        <f>MIN(MAX(BK16-($D$89*100+$D$90*100+$D$93*100+$D$99*100+$D$102*100),0),$D$96*100)*($D$96*100)/IF(($D$96*100)=0,1,$D$96*100)</f>
      </c>
      <c r="BL20" s="31">
        <f>MIN(MAX(BL16-($D$89*100+$D$90*100+$D$93*100+$D$99*100+$D$102*100),0),$D$96*100)*($D$96*100)/IF(($D$96*100)=0,1,$D$96*100)</f>
      </c>
      <c r="BM20" s="31">
        <f>MIN(MAX(BM16-($D$89*100+$D$90*100+$D$93*100+$D$99*100+$D$102*100),0),$D$96*100)*($D$96*100)/IF(($D$96*100)=0,1,$D$96*100)</f>
      </c>
      <c r="BN20" s="31">
        <f>MIN(MAX(BN16-($D$89*100+$D$90*100+$D$93*100+$D$99*100+$D$102*100),0),$D$96*100)*($D$96*100)/IF(($D$96*100)=0,1,$D$96*100)</f>
      </c>
      <c r="BO20" s="31">
        <f>MIN(MAX(BO16-($D$89*100+$D$90*100+$D$93*100+$D$99*100+$D$102*100),0),$D$96*100)*($D$96*100)/IF(($D$96*100)=0,1,$D$96*100)</f>
      </c>
      <c r="BP20" s="31">
        <f>MIN(MAX(BP16-($D$89*100+$D$90*100+$D$93*100+$D$99*100+$D$102*100),0),$D$96*100)*($D$96*100)/IF(($D$96*100)=0,1,$D$96*100)</f>
      </c>
      <c r="BQ20" s="31">
        <f>MIN(MAX(BQ16-($D$89*100+$D$90*100+$D$93*100+$D$99*100+$D$102*100),0),$D$96*100)*($D$96*100)/IF(($D$96*100)=0,1,$D$96*100)</f>
      </c>
      <c r="BR20" s="31">
        <f>MIN(MAX(BR16-($D$89*100+$D$90*100+$D$93*100+$D$99*100+$D$102*100),0),$D$96*100)*($D$96*100)/IF(($D$96*100)=0,1,$D$96*100)</f>
      </c>
      <c r="BS20" s="31">
        <f>MIN(MAX(BS16-($D$89*100+$D$90*100+$D$93*100+$D$99*100+$D$102*100),0),$D$96*100)*($D$96*100)/IF(($D$96*100)=0,1,$D$96*100)</f>
      </c>
      <c r="BT20" s="31">
        <f>MIN(MAX(BT16-($D$89*100+$D$90*100+$D$93*100+$D$99*100+$D$102*100),0),$D$96*100)*($D$96*100)/IF(($D$96*100)=0,1,$D$96*100)</f>
      </c>
      <c r="BU20" s="31">
        <f>MIN(MAX(BU16-($D$89*100+$D$90*100+$D$93*100+$D$99*100+$D$102*100),0),$D$96*100)*($D$96*100)/IF(($D$96*100)=0,1,$D$96*100)</f>
      </c>
      <c r="BV20" s="31">
        <f>MIN(MAX(BV16-($D$89*100+$D$90*100+$D$93*100+$D$99*100+$D$102*100),0),$D$96*100)*($D$96*100)/IF(($D$96*100)=0,1,$D$96*100)</f>
      </c>
      <c r="BW20" s="31">
        <f>MIN(MAX(BW16-($D$89*100+$D$90*100+$D$93*100+$D$99*100+$D$102*100),0),$D$96*100)*($D$96*100)/IF(($D$96*100)=0,1,$D$96*100)</f>
      </c>
      <c r="BX20" s="31">
        <f>MIN(MAX(BX16-($D$89*100+$D$90*100+$D$93*100+$D$99*100+$D$102*100),0),$D$96*100)*($D$96*100)/IF(($D$96*100)=0,1,$D$96*100)</f>
      </c>
      <c r="BY20" s="31">
        <f>MIN(MAX(BY16-($D$89*100+$D$90*100+$D$93*100+$D$99*100+$D$102*100),0),$D$96*100)*($D$96*100)/IF(($D$96*100)=0,1,$D$96*100)</f>
      </c>
      <c r="BZ20" s="31">
        <f>MIN(MAX(BZ16-($D$89*100+$D$90*100+$D$93*100+$D$99*100+$D$102*100),0),$D$96*100)*($D$96*100)/IF(($D$96*100)=0,1,$D$96*100)</f>
      </c>
      <c r="CA20" s="31">
        <f>MIN(MAX(CA16-($D$89*100+$D$90*100+$D$93*100+$D$99*100+$D$102*100),0),$D$96*100)*($D$96*100)/IF(($D$96*100)=0,1,$D$96*100)</f>
      </c>
      <c r="CB20" s="31">
        <f>MIN(MAX(CB16-($D$89*100+$D$90*100+$D$93*100+$D$99*100+$D$102*100),0),$D$96*100)*($D$96*100)/IF(($D$96*100)=0,1,$D$96*100)</f>
      </c>
      <c r="CC20" s="31">
        <f>MIN(MAX(CC16-($D$89*100+$D$90*100+$D$93*100+$D$99*100+$D$102*100),0),$D$96*100)*($D$96*100)/IF(($D$96*100)=0,1,$D$96*100)</f>
      </c>
      <c r="CD20" s="31">
        <f>MIN(MAX(CD16-($D$89*100+$D$90*100+$D$93*100+$D$99*100+$D$102*100),0),$D$96*100)*($D$96*100)/IF(($D$96*100)=0,1,$D$96*100)</f>
      </c>
      <c r="CE20" s="31">
        <f>MIN(MAX(CE16-($D$89*100+$D$90*100+$D$93*100+$D$99*100+$D$102*100),0),$D$96*100)*($D$96*100)/IF(($D$96*100)=0,1,$D$96*100)</f>
      </c>
      <c r="CF20" s="31">
        <f>MIN(MAX(CF16-($D$89*100+$D$90*100+$D$93*100+$D$99*100+$D$102*100),0),$D$96*100)*($D$96*100)/IF(($D$96*100)=0,1,$D$96*100)</f>
      </c>
      <c r="CG20" s="31">
        <f>MIN(MAX(CG16-($D$89*100+$D$90*100+$D$93*100+$D$99*100+$D$102*100),0),$D$96*100)*($D$96*100)/IF(($D$96*100)=0,1,$D$96*100)</f>
      </c>
      <c r="CH20" s="31">
        <f>MIN(MAX(CH16-($D$89*100+$D$90*100+$D$93*100+$D$99*100+$D$102*100),0),$D$96*100)*($D$96*100)/IF(($D$96*100)=0,1,$D$96*100)</f>
      </c>
      <c r="CI20" s="31">
        <f>MIN(MAX(CI16-($D$89*100+$D$90*100+$D$93*100+$D$99*100+$D$102*100),0),$D$96*100)*($D$96*100)/IF(($D$96*100)=0,1,$D$96*100)</f>
      </c>
      <c r="CJ20" s="31">
        <f>MIN(MAX(CJ16-($D$89*100+$D$90*100+$D$93*100+$D$99*100+$D$102*100),0),$D$96*100)*($D$96*100)/IF(($D$96*100)=0,1,$D$96*100)</f>
      </c>
      <c r="CK20" s="31">
        <f>MIN(MAX(CK16-($D$89*100+$D$90*100+$D$93*100+$D$99*100+$D$102*100),0),$D$96*100)*($D$96*100)/IF(($D$96*100)=0,1,$D$96*100)</f>
      </c>
      <c r="CL20" s="31">
        <f>MIN(MAX(CL16-($D$89*100+$D$90*100+$D$93*100+$D$99*100+$D$102*100),0),$D$96*100)*($D$96*100)/IF(($D$96*100)=0,1,$D$96*100)</f>
      </c>
    </row>
    <row r="21" spans="2:90" x14ac:dyDescent="0.25">
      <c r="B21" s="33" t="s">
        <v>241</v>
      </c>
      <c r="C21" s="34" t="s">
        <v>228</v>
      </c>
      <c r="E21" s="31">
        <f>MIN(MAX(E16-($D$89*100+$D$90*100+$D$93*100+$D$102*100),0),$D$99*100)*($D$99*100)/IF(($D$99*100)=0,1,$D$99*100)</f>
      </c>
      <c r="F21" s="31">
        <f>MIN(MAX(F16-($D$89*100+$D$90*100+$D$93*100+$D$102*100),0),$D$99*100)*($D$99*100)/IF(($D$99*100)=0,1,$D$99*100)</f>
      </c>
      <c r="G21" s="31">
        <f>MIN(MAX(G16-($D$89*100+$D$90*100+$D$93*100+$D$102*100),0),$D$99*100)*($D$99*100)/IF(($D$99*100)=0,1,$D$99*100)</f>
      </c>
      <c r="H21" s="31">
        <f>MIN(MAX(H16-($D$89*100+$D$90*100+$D$93*100+$D$102*100),0),$D$99*100)*($D$99*100)/IF(($D$99*100)=0,1,$D$99*100)</f>
      </c>
      <c r="I21" s="31">
        <f>MIN(MAX(I16-($D$89*100+$D$90*100+$D$93*100+$D$102*100),0),$D$99*100)*($D$99*100)/IF(($D$99*100)=0,1,$D$99*100)</f>
      </c>
      <c r="J21" s="31">
        <f>MIN(MAX(J16-($D$89*100+$D$90*100+$D$93*100+$D$102*100),0),$D$99*100)*($D$99*100)/IF(($D$99*100)=0,1,$D$99*100)</f>
      </c>
      <c r="K21" s="31">
        <f>MIN(MAX(K16-($D$89*100+$D$90*100+$D$93*100+$D$102*100),0),$D$99*100)*($D$99*100)/IF(($D$99*100)=0,1,$D$99*100)</f>
      </c>
      <c r="L21" s="31">
        <f>MIN(MAX(L16-($D$89*100+$D$90*100+$D$93*100+$D$102*100),0),$D$99*100)*($D$99*100)/IF(($D$99*100)=0,1,$D$99*100)</f>
      </c>
      <c r="M21" s="31">
        <f>MIN(MAX(M16-($D$89*100+$D$90*100+$D$93*100+$D$102*100),0),$D$99*100)*($D$99*100)/IF(($D$99*100)=0,1,$D$99*100)</f>
      </c>
      <c r="N21" s="31">
        <f>MIN(MAX(N16-($D$89*100+$D$90*100+$D$93*100+$D$102*100),0),$D$99*100)*($D$99*100)/IF(($D$99*100)=0,1,$D$99*100)</f>
      </c>
      <c r="O21" s="31">
        <f>MIN(MAX(O16-($D$89*100+$D$90*100+$D$93*100+$D$102*100),0),$D$99*100)*($D$99*100)/IF(($D$99*100)=0,1,$D$99*100)</f>
      </c>
      <c r="P21" s="31">
        <f>MIN(MAX(P16-($D$89*100+$D$90*100+$D$93*100+$D$102*100),0),$D$99*100)*($D$99*100)/IF(($D$99*100)=0,1,$D$99*100)</f>
      </c>
      <c r="Q21" s="31">
        <f>MIN(MAX(Q16-($D$89*100+$D$90*100+$D$93*100+$D$102*100),0),$D$99*100)*($D$99*100)/IF(($D$99*100)=0,1,$D$99*100)</f>
      </c>
      <c r="R21" s="31">
        <f>MIN(MAX(R16-($D$89*100+$D$90*100+$D$93*100+$D$102*100),0),$D$99*100)*($D$99*100)/IF(($D$99*100)=0,1,$D$99*100)</f>
      </c>
      <c r="S21" s="31">
        <f>MIN(MAX(S16-($D$89*100+$D$90*100+$D$93*100+$D$102*100),0),$D$99*100)*($D$99*100)/IF(($D$99*100)=0,1,$D$99*100)</f>
      </c>
      <c r="T21" s="31">
        <f>MIN(MAX(T16-($D$89*100+$D$90*100+$D$93*100+$D$102*100),0),$D$99*100)*($D$99*100)/IF(($D$99*100)=0,1,$D$99*100)</f>
      </c>
      <c r="U21" s="31">
        <f>MIN(MAX(U16-($D$89*100+$D$90*100+$D$93*100+$D$102*100),0),$D$99*100)*($D$99*100)/IF(($D$99*100)=0,1,$D$99*100)</f>
      </c>
      <c r="V21" s="31">
        <f>MIN(MAX(V16-($D$89*100+$D$90*100+$D$93*100+$D$102*100),0),$D$99*100)*($D$99*100)/IF(($D$99*100)=0,1,$D$99*100)</f>
      </c>
      <c r="W21" s="31">
        <f>MIN(MAX(W16-($D$89*100+$D$90*100+$D$93*100+$D$102*100),0),$D$99*100)*($D$99*100)/IF(($D$99*100)=0,1,$D$99*100)</f>
      </c>
      <c r="X21" s="31">
        <f>MIN(MAX(X16-($D$89*100+$D$90*100+$D$93*100+$D$102*100),0),$D$99*100)*($D$99*100)/IF(($D$99*100)=0,1,$D$99*100)</f>
      </c>
      <c r="Y21" s="31">
        <f>MIN(MAX(Y16-($D$89*100+$D$90*100+$D$93*100+$D$102*100),0),$D$99*100)*($D$99*100)/IF(($D$99*100)=0,1,$D$99*100)</f>
      </c>
      <c r="Z21" s="31">
        <f>MIN(MAX(Z16-($D$89*100+$D$90*100+$D$93*100+$D$102*100),0),$D$99*100)*($D$99*100)/IF(($D$99*100)=0,1,$D$99*100)</f>
      </c>
      <c r="AA21" s="31">
        <f>MIN(MAX(AA16-($D$89*100+$D$90*100+$D$93*100+$D$102*100),0),$D$99*100)*($D$99*100)/IF(($D$99*100)=0,1,$D$99*100)</f>
      </c>
      <c r="AB21" s="31">
        <f>MIN(MAX(AB16-($D$89*100+$D$90*100+$D$93*100+$D$102*100),0),$D$99*100)*($D$99*100)/IF(($D$99*100)=0,1,$D$99*100)</f>
      </c>
      <c r="AC21" s="31">
        <f>MIN(MAX(AC16-($D$89*100+$D$90*100+$D$93*100+$D$102*100),0),$D$99*100)*($D$99*100)/IF(($D$99*100)=0,1,$D$99*100)</f>
      </c>
      <c r="AD21" s="31">
        <f>MIN(MAX(AD16-($D$89*100+$D$90*100+$D$93*100+$D$102*100),0),$D$99*100)*($D$99*100)/IF(($D$99*100)=0,1,$D$99*100)</f>
      </c>
      <c r="AE21" s="31">
        <f>MIN(MAX(AE16-($D$89*100+$D$90*100+$D$93*100+$D$102*100),0),$D$99*100)*($D$99*100)/IF(($D$99*100)=0,1,$D$99*100)</f>
      </c>
      <c r="AF21" s="31">
        <f>MIN(MAX(AF16-($D$89*100+$D$90*100+$D$93*100+$D$102*100),0),$D$99*100)*($D$99*100)/IF(($D$99*100)=0,1,$D$99*100)</f>
      </c>
      <c r="AG21" s="31">
        <f>MIN(MAX(AG16-($D$89*100+$D$90*100+$D$93*100+$D$102*100),0),$D$99*100)*($D$99*100)/IF(($D$99*100)=0,1,$D$99*100)</f>
      </c>
      <c r="AH21" s="31">
        <f>MIN(MAX(AH16-($D$89*100+$D$90*100+$D$93*100+$D$102*100),0),$D$99*100)*($D$99*100)/IF(($D$99*100)=0,1,$D$99*100)</f>
      </c>
      <c r="AI21" s="31">
        <f>MIN(MAX(AI16-($D$89*100+$D$90*100+$D$93*100+$D$102*100),0),$D$99*100)*($D$99*100)/IF(($D$99*100)=0,1,$D$99*100)</f>
      </c>
      <c r="AJ21" s="31">
        <f>MIN(MAX(AJ16-($D$89*100+$D$90*100+$D$93*100+$D$102*100),0),$D$99*100)*($D$99*100)/IF(($D$99*100)=0,1,$D$99*100)</f>
      </c>
      <c r="AK21" s="31">
        <f>MIN(MAX(AK16-($D$89*100+$D$90*100+$D$93*100+$D$102*100),0),$D$99*100)*($D$99*100)/IF(($D$99*100)=0,1,$D$99*100)</f>
      </c>
      <c r="AL21" s="31">
        <f>MIN(MAX(AL16-($D$89*100+$D$90*100+$D$93*100+$D$102*100),0),$D$99*100)*($D$99*100)/IF(($D$99*100)=0,1,$D$99*100)</f>
      </c>
      <c r="AM21" s="31">
        <f>MIN(MAX(AM16-($D$89*100+$D$90*100+$D$93*100+$D$102*100),0),$D$99*100)*($D$99*100)/IF(($D$99*100)=0,1,$D$99*100)</f>
      </c>
      <c r="AN21" s="31">
        <f>MIN(MAX(AN16-($D$89*100+$D$90*100+$D$93*100+$D$102*100),0),$D$99*100)*($D$99*100)/IF(($D$99*100)=0,1,$D$99*100)</f>
      </c>
      <c r="AO21" s="31">
        <f>MIN(MAX(AO16-($D$89*100+$D$90*100+$D$93*100+$D$102*100),0),$D$99*100)*($D$99*100)/IF(($D$99*100)=0,1,$D$99*100)</f>
      </c>
      <c r="AP21" s="31">
        <f>MIN(MAX(AP16-($D$89*100+$D$90*100+$D$93*100+$D$102*100),0),$D$99*100)*($D$99*100)/IF(($D$99*100)=0,1,$D$99*100)</f>
      </c>
      <c r="AQ21" s="31">
        <f>MIN(MAX(AQ16-($D$89*100+$D$90*100+$D$93*100+$D$102*100),0),$D$99*100)*($D$99*100)/IF(($D$99*100)=0,1,$D$99*100)</f>
      </c>
      <c r="AR21" s="31">
        <f>MIN(MAX(AR16-($D$89*100+$D$90*100+$D$93*100+$D$102*100),0),$D$99*100)*($D$99*100)/IF(($D$99*100)=0,1,$D$99*100)</f>
      </c>
      <c r="AS21" s="31">
        <f>MIN(MAX(AS16-($D$89*100+$D$90*100+$D$93*100+$D$102*100),0),$D$99*100)*($D$99*100)/IF(($D$99*100)=0,1,$D$99*100)</f>
      </c>
      <c r="AT21" s="31">
        <f>MIN(MAX(AT16-($D$89*100+$D$90*100+$D$93*100+$D$102*100),0),$D$99*100)*($D$99*100)/IF(($D$99*100)=0,1,$D$99*100)</f>
      </c>
      <c r="AU21" s="31">
        <f>MIN(MAX(AU16-($D$89*100+$D$90*100+$D$93*100+$D$102*100),0),$D$99*100)*($D$99*100)/IF(($D$99*100)=0,1,$D$99*100)</f>
      </c>
      <c r="AV21" s="31">
        <f>MIN(MAX(AV16-($D$89*100+$D$90*100+$D$93*100+$D$102*100),0),$D$99*100)*($D$99*100)/IF(($D$99*100)=0,1,$D$99*100)</f>
      </c>
      <c r="AW21" s="31">
        <f>MIN(MAX(AW16-($D$89*100+$D$90*100+$D$93*100+$D$102*100),0),$D$99*100)*($D$99*100)/IF(($D$99*100)=0,1,$D$99*100)</f>
      </c>
      <c r="AX21" s="31">
        <f>MIN(MAX(AX16-($D$89*100+$D$90*100+$D$93*100+$D$102*100),0),$D$99*100)*($D$99*100)/IF(($D$99*100)=0,1,$D$99*100)</f>
      </c>
      <c r="AY21" s="31">
        <f>MIN(MAX(AY16-($D$89*100+$D$90*100+$D$93*100+$D$102*100),0),$D$99*100)*($D$99*100)/IF(($D$99*100)=0,1,$D$99*100)</f>
      </c>
      <c r="AZ21" s="31">
        <f>MIN(MAX(AZ16-($D$89*100+$D$90*100+$D$93*100+$D$102*100),0),$D$99*100)*($D$99*100)/IF(($D$99*100)=0,1,$D$99*100)</f>
      </c>
      <c r="BA21" s="31">
        <f>MIN(MAX(BA16-($D$89*100+$D$90*100+$D$93*100+$D$102*100),0),$D$99*100)*($D$99*100)/IF(($D$99*100)=0,1,$D$99*100)</f>
      </c>
      <c r="BB21" s="31">
        <f>MIN(MAX(BB16-($D$89*100+$D$90*100+$D$93*100+$D$102*100),0),$D$99*100)*($D$99*100)/IF(($D$99*100)=0,1,$D$99*100)</f>
      </c>
      <c r="BC21" s="31">
        <f>MIN(MAX(BC16-($D$89*100+$D$90*100+$D$93*100+$D$102*100),0),$D$99*100)*($D$99*100)/IF(($D$99*100)=0,1,$D$99*100)</f>
      </c>
      <c r="BD21" s="31">
        <f>MIN(MAX(BD16-($D$89*100+$D$90*100+$D$93*100+$D$102*100),0),$D$99*100)*($D$99*100)/IF(($D$99*100)=0,1,$D$99*100)</f>
      </c>
      <c r="BE21" s="31">
        <f>MIN(MAX(BE16-($D$89*100+$D$90*100+$D$93*100+$D$102*100),0),$D$99*100)*($D$99*100)/IF(($D$99*100)=0,1,$D$99*100)</f>
      </c>
      <c r="BF21" s="31">
        <f>MIN(MAX(BF16-($D$89*100+$D$90*100+$D$93*100+$D$102*100),0),$D$99*100)*($D$99*100)/IF(($D$99*100)=0,1,$D$99*100)</f>
      </c>
      <c r="BG21" s="31">
        <f>MIN(MAX(BG16-($D$89*100+$D$90*100+$D$93*100+$D$102*100),0),$D$99*100)*($D$99*100)/IF(($D$99*100)=0,1,$D$99*100)</f>
      </c>
      <c r="BH21" s="31">
        <f>MIN(MAX(BH16-($D$89*100+$D$90*100+$D$93*100+$D$102*100),0),$D$99*100)*($D$99*100)/IF(($D$99*100)=0,1,$D$99*100)</f>
      </c>
      <c r="BI21" s="31">
        <f>MIN(MAX(BI16-($D$89*100+$D$90*100+$D$93*100+$D$102*100),0),$D$99*100)*($D$99*100)/IF(($D$99*100)=0,1,$D$99*100)</f>
      </c>
      <c r="BJ21" s="31">
        <f>MIN(MAX(BJ16-($D$89*100+$D$90*100+$D$93*100+$D$102*100),0),$D$99*100)*($D$99*100)/IF(($D$99*100)=0,1,$D$99*100)</f>
      </c>
      <c r="BK21" s="31">
        <f>MIN(MAX(BK16-($D$89*100+$D$90*100+$D$93*100+$D$102*100),0),$D$99*100)*($D$99*100)/IF(($D$99*100)=0,1,$D$99*100)</f>
      </c>
      <c r="BL21" s="31">
        <f>MIN(MAX(BL16-($D$89*100+$D$90*100+$D$93*100+$D$102*100),0),$D$99*100)*($D$99*100)/IF(($D$99*100)=0,1,$D$99*100)</f>
      </c>
      <c r="BM21" s="31">
        <f>MIN(MAX(BM16-($D$89*100+$D$90*100+$D$93*100+$D$102*100),0),$D$99*100)*($D$99*100)/IF(($D$99*100)=0,1,$D$99*100)</f>
      </c>
      <c r="BN21" s="31">
        <f>MIN(MAX(BN16-($D$89*100+$D$90*100+$D$93*100+$D$102*100),0),$D$99*100)*($D$99*100)/IF(($D$99*100)=0,1,$D$99*100)</f>
      </c>
      <c r="BO21" s="31">
        <f>MIN(MAX(BO16-($D$89*100+$D$90*100+$D$93*100+$D$102*100),0),$D$99*100)*($D$99*100)/IF(($D$99*100)=0,1,$D$99*100)</f>
      </c>
      <c r="BP21" s="31">
        <f>MIN(MAX(BP16-($D$89*100+$D$90*100+$D$93*100+$D$102*100),0),$D$99*100)*($D$99*100)/IF(($D$99*100)=0,1,$D$99*100)</f>
      </c>
      <c r="BQ21" s="31">
        <f>MIN(MAX(BQ16-($D$89*100+$D$90*100+$D$93*100+$D$102*100),0),$D$99*100)*($D$99*100)/IF(($D$99*100)=0,1,$D$99*100)</f>
      </c>
      <c r="BR21" s="31">
        <f>MIN(MAX(BR16-($D$89*100+$D$90*100+$D$93*100+$D$102*100),0),$D$99*100)*($D$99*100)/IF(($D$99*100)=0,1,$D$99*100)</f>
      </c>
      <c r="BS21" s="31">
        <f>MIN(MAX(BS16-($D$89*100+$D$90*100+$D$93*100+$D$102*100),0),$D$99*100)*($D$99*100)/IF(($D$99*100)=0,1,$D$99*100)</f>
      </c>
      <c r="BT21" s="31">
        <f>MIN(MAX(BT16-($D$89*100+$D$90*100+$D$93*100+$D$102*100),0),$D$99*100)*($D$99*100)/IF(($D$99*100)=0,1,$D$99*100)</f>
      </c>
      <c r="BU21" s="31">
        <f>MIN(MAX(BU16-($D$89*100+$D$90*100+$D$93*100+$D$102*100),0),$D$99*100)*($D$99*100)/IF(($D$99*100)=0,1,$D$99*100)</f>
      </c>
      <c r="BV21" s="31">
        <f>MIN(MAX(BV16-($D$89*100+$D$90*100+$D$93*100+$D$102*100),0),$D$99*100)*($D$99*100)/IF(($D$99*100)=0,1,$D$99*100)</f>
      </c>
      <c r="BW21" s="31">
        <f>MIN(MAX(BW16-($D$89*100+$D$90*100+$D$93*100+$D$102*100),0),$D$99*100)*($D$99*100)/IF(($D$99*100)=0,1,$D$99*100)</f>
      </c>
      <c r="BX21" s="31">
        <f>MIN(MAX(BX16-($D$89*100+$D$90*100+$D$93*100+$D$102*100),0),$D$99*100)*($D$99*100)/IF(($D$99*100)=0,1,$D$99*100)</f>
      </c>
      <c r="BY21" s="31">
        <f>MIN(MAX(BY16-($D$89*100+$D$90*100+$D$93*100+$D$102*100),0),$D$99*100)*($D$99*100)/IF(($D$99*100)=0,1,$D$99*100)</f>
      </c>
      <c r="BZ21" s="31">
        <f>MIN(MAX(BZ16-($D$89*100+$D$90*100+$D$93*100+$D$102*100),0),$D$99*100)*($D$99*100)/IF(($D$99*100)=0,1,$D$99*100)</f>
      </c>
      <c r="CA21" s="31">
        <f>MIN(MAX(CA16-($D$89*100+$D$90*100+$D$93*100+$D$102*100),0),$D$99*100)*($D$99*100)/IF(($D$99*100)=0,1,$D$99*100)</f>
      </c>
      <c r="CB21" s="31">
        <f>MIN(MAX(CB16-($D$89*100+$D$90*100+$D$93*100+$D$102*100),0),$D$99*100)*($D$99*100)/IF(($D$99*100)=0,1,$D$99*100)</f>
      </c>
      <c r="CC21" s="31">
        <f>MIN(MAX(CC16-($D$89*100+$D$90*100+$D$93*100+$D$102*100),0),$D$99*100)*($D$99*100)/IF(($D$99*100)=0,1,$D$99*100)</f>
      </c>
      <c r="CD21" s="31">
        <f>MIN(MAX(CD16-($D$89*100+$D$90*100+$D$93*100+$D$102*100),0),$D$99*100)*($D$99*100)/IF(($D$99*100)=0,1,$D$99*100)</f>
      </c>
      <c r="CE21" s="31">
        <f>MIN(MAX(CE16-($D$89*100+$D$90*100+$D$93*100+$D$102*100),0),$D$99*100)*($D$99*100)/IF(($D$99*100)=0,1,$D$99*100)</f>
      </c>
      <c r="CF21" s="31">
        <f>MIN(MAX(CF16-($D$89*100+$D$90*100+$D$93*100+$D$102*100),0),$D$99*100)*($D$99*100)/IF(($D$99*100)=0,1,$D$99*100)</f>
      </c>
      <c r="CG21" s="31">
        <f>MIN(MAX(CG16-($D$89*100+$D$90*100+$D$93*100+$D$102*100),0),$D$99*100)*($D$99*100)/IF(($D$99*100)=0,1,$D$99*100)</f>
      </c>
      <c r="CH21" s="31">
        <f>MIN(MAX(CH16-($D$89*100+$D$90*100+$D$93*100+$D$102*100),0),$D$99*100)*($D$99*100)/IF(($D$99*100)=0,1,$D$99*100)</f>
      </c>
      <c r="CI21" s="31">
        <f>MIN(MAX(CI16-($D$89*100+$D$90*100+$D$93*100+$D$102*100),0),$D$99*100)*($D$99*100)/IF(($D$99*100)=0,1,$D$99*100)</f>
      </c>
      <c r="CJ21" s="31">
        <f>MIN(MAX(CJ16-($D$89*100+$D$90*100+$D$93*100+$D$102*100),0),$D$99*100)*($D$99*100)/IF(($D$99*100)=0,1,$D$99*100)</f>
      </c>
      <c r="CK21" s="31">
        <f>MIN(MAX(CK16-($D$89*100+$D$90*100+$D$93*100+$D$102*100),0),$D$99*100)*($D$99*100)/IF(($D$99*100)=0,1,$D$99*100)</f>
      </c>
      <c r="CL21" s="31">
        <f>MIN(MAX(CL16-($D$89*100+$D$90*100+$D$93*100+$D$102*100),0),$D$99*100)*($D$99*100)/IF(($D$99*100)=0,1,$D$99*100)</f>
      </c>
    </row>
    <row r="22" spans="2:90" x14ac:dyDescent="0.25">
      <c r="B22" s="33" t="s">
        <v>242</v>
      </c>
      <c r="C22" s="34" t="s">
        <v>228</v>
      </c>
      <c r="E22" s="31">
        <f>MIN(MAX(E16-(0),0),$D$89*100+$D$102*100)*($D$102*100)/IF(($D$89*100+$D$102*100)=0,1,$D$89*100+$D$102*100)</f>
      </c>
      <c r="F22" s="31">
        <f>MIN(MAX(F16-(0),0),$D$89*100+$D$102*100)*($D$102*100)/IF(($D$89*100+$D$102*100)=0,1,$D$89*100+$D$102*100)</f>
      </c>
      <c r="G22" s="31">
        <f>MIN(MAX(G16-(0),0),$D$89*100+$D$102*100)*($D$102*100)/IF(($D$89*100+$D$102*100)=0,1,$D$89*100+$D$102*100)</f>
      </c>
      <c r="H22" s="31">
        <f>MIN(MAX(H16-(0),0),$D$89*100+$D$102*100)*($D$102*100)/IF(($D$89*100+$D$102*100)=0,1,$D$89*100+$D$102*100)</f>
      </c>
      <c r="I22" s="31">
        <f>MIN(MAX(I16-(0),0),$D$89*100+$D$102*100)*($D$102*100)/IF(($D$89*100+$D$102*100)=0,1,$D$89*100+$D$102*100)</f>
      </c>
      <c r="J22" s="31">
        <f>MIN(MAX(J16-(0),0),$D$89*100+$D$102*100)*($D$102*100)/IF(($D$89*100+$D$102*100)=0,1,$D$89*100+$D$102*100)</f>
      </c>
      <c r="K22" s="31">
        <f>MIN(MAX(K16-(0),0),$D$89*100+$D$102*100)*($D$102*100)/IF(($D$89*100+$D$102*100)=0,1,$D$89*100+$D$102*100)</f>
      </c>
      <c r="L22" s="31">
        <f>MIN(MAX(L16-(0),0),$D$89*100+$D$102*100)*($D$102*100)/IF(($D$89*100+$D$102*100)=0,1,$D$89*100+$D$102*100)</f>
      </c>
      <c r="M22" s="31">
        <f>MIN(MAX(M16-(0),0),$D$89*100+$D$102*100)*($D$102*100)/IF(($D$89*100+$D$102*100)=0,1,$D$89*100+$D$102*100)</f>
      </c>
      <c r="N22" s="31">
        <f>MIN(MAX(N16-(0),0),$D$89*100+$D$102*100)*($D$102*100)/IF(($D$89*100+$D$102*100)=0,1,$D$89*100+$D$102*100)</f>
      </c>
      <c r="O22" s="31">
        <f>MIN(MAX(O16-(0),0),$D$89*100+$D$102*100)*($D$102*100)/IF(($D$89*100+$D$102*100)=0,1,$D$89*100+$D$102*100)</f>
      </c>
      <c r="P22" s="31">
        <f>MIN(MAX(P16-(0),0),$D$89*100+$D$102*100)*($D$102*100)/IF(($D$89*100+$D$102*100)=0,1,$D$89*100+$D$102*100)</f>
      </c>
      <c r="Q22" s="31">
        <f>MIN(MAX(Q16-(0),0),$D$89*100+$D$102*100)*($D$102*100)/IF(($D$89*100+$D$102*100)=0,1,$D$89*100+$D$102*100)</f>
      </c>
      <c r="R22" s="31">
        <f>MIN(MAX(R16-(0),0),$D$89*100+$D$102*100)*($D$102*100)/IF(($D$89*100+$D$102*100)=0,1,$D$89*100+$D$102*100)</f>
      </c>
      <c r="S22" s="31">
        <f>MIN(MAX(S16-(0),0),$D$89*100+$D$102*100)*($D$102*100)/IF(($D$89*100+$D$102*100)=0,1,$D$89*100+$D$102*100)</f>
      </c>
      <c r="T22" s="31">
        <f>MIN(MAX(T16-(0),0),$D$89*100+$D$102*100)*($D$102*100)/IF(($D$89*100+$D$102*100)=0,1,$D$89*100+$D$102*100)</f>
      </c>
      <c r="U22" s="31">
        <f>MIN(MAX(U16-(0),0),$D$89*100+$D$102*100)*($D$102*100)/IF(($D$89*100+$D$102*100)=0,1,$D$89*100+$D$102*100)</f>
      </c>
      <c r="V22" s="31">
        <f>MIN(MAX(V16-(0),0),$D$89*100+$D$102*100)*($D$102*100)/IF(($D$89*100+$D$102*100)=0,1,$D$89*100+$D$102*100)</f>
      </c>
      <c r="W22" s="31">
        <f>MIN(MAX(W16-(0),0),$D$89*100+$D$102*100)*($D$102*100)/IF(($D$89*100+$D$102*100)=0,1,$D$89*100+$D$102*100)</f>
      </c>
      <c r="X22" s="31">
        <f>MIN(MAX(X16-(0),0),$D$89*100+$D$102*100)*($D$102*100)/IF(($D$89*100+$D$102*100)=0,1,$D$89*100+$D$102*100)</f>
      </c>
      <c r="Y22" s="31">
        <f>MIN(MAX(Y16-(0),0),$D$89*100+$D$102*100)*($D$102*100)/IF(($D$89*100+$D$102*100)=0,1,$D$89*100+$D$102*100)</f>
      </c>
      <c r="Z22" s="31">
        <f>MIN(MAX(Z16-(0),0),$D$89*100+$D$102*100)*($D$102*100)/IF(($D$89*100+$D$102*100)=0,1,$D$89*100+$D$102*100)</f>
      </c>
      <c r="AA22" s="31">
        <f>MIN(MAX(AA16-(0),0),$D$89*100+$D$102*100)*($D$102*100)/IF(($D$89*100+$D$102*100)=0,1,$D$89*100+$D$102*100)</f>
      </c>
      <c r="AB22" s="31">
        <f>MIN(MAX(AB16-(0),0),$D$89*100+$D$102*100)*($D$102*100)/IF(($D$89*100+$D$102*100)=0,1,$D$89*100+$D$102*100)</f>
      </c>
      <c r="AC22" s="31">
        <f>MIN(MAX(AC16-(0),0),$D$89*100+$D$102*100)*($D$102*100)/IF(($D$89*100+$D$102*100)=0,1,$D$89*100+$D$102*100)</f>
      </c>
      <c r="AD22" s="31">
        <f>MIN(MAX(AD16-(0),0),$D$89*100+$D$102*100)*($D$102*100)/IF(($D$89*100+$D$102*100)=0,1,$D$89*100+$D$102*100)</f>
      </c>
      <c r="AE22" s="31">
        <f>MIN(MAX(AE16-(0),0),$D$89*100+$D$102*100)*($D$102*100)/IF(($D$89*100+$D$102*100)=0,1,$D$89*100+$D$102*100)</f>
      </c>
      <c r="AF22" s="31">
        <f>MIN(MAX(AF16-(0),0),$D$89*100+$D$102*100)*($D$102*100)/IF(($D$89*100+$D$102*100)=0,1,$D$89*100+$D$102*100)</f>
      </c>
      <c r="AG22" s="31">
        <f>MIN(MAX(AG16-(0),0),$D$89*100+$D$102*100)*($D$102*100)/IF(($D$89*100+$D$102*100)=0,1,$D$89*100+$D$102*100)</f>
      </c>
      <c r="AH22" s="31">
        <f>MIN(MAX(AH16-(0),0),$D$89*100+$D$102*100)*($D$102*100)/IF(($D$89*100+$D$102*100)=0,1,$D$89*100+$D$102*100)</f>
      </c>
      <c r="AI22" s="31">
        <f>MIN(MAX(AI16-(0),0),$D$89*100+$D$102*100)*($D$102*100)/IF(($D$89*100+$D$102*100)=0,1,$D$89*100+$D$102*100)</f>
      </c>
      <c r="AJ22" s="31">
        <f>MIN(MAX(AJ16-(0),0),$D$89*100+$D$102*100)*($D$102*100)/IF(($D$89*100+$D$102*100)=0,1,$D$89*100+$D$102*100)</f>
      </c>
      <c r="AK22" s="31">
        <f>MIN(MAX(AK16-(0),0),$D$89*100+$D$102*100)*($D$102*100)/IF(($D$89*100+$D$102*100)=0,1,$D$89*100+$D$102*100)</f>
      </c>
      <c r="AL22" s="31">
        <f>MIN(MAX(AL16-(0),0),$D$89*100+$D$102*100)*($D$102*100)/IF(($D$89*100+$D$102*100)=0,1,$D$89*100+$D$102*100)</f>
      </c>
      <c r="AM22" s="31">
        <f>MIN(MAX(AM16-(0),0),$D$89*100+$D$102*100)*($D$102*100)/IF(($D$89*100+$D$102*100)=0,1,$D$89*100+$D$102*100)</f>
      </c>
      <c r="AN22" s="31">
        <f>MIN(MAX(AN16-(0),0),$D$89*100+$D$102*100)*($D$102*100)/IF(($D$89*100+$D$102*100)=0,1,$D$89*100+$D$102*100)</f>
      </c>
      <c r="AO22" s="31">
        <f>MIN(MAX(AO16-(0),0),$D$89*100+$D$102*100)*($D$102*100)/IF(($D$89*100+$D$102*100)=0,1,$D$89*100+$D$102*100)</f>
      </c>
      <c r="AP22" s="31">
        <f>MIN(MAX(AP16-(0),0),$D$89*100+$D$102*100)*($D$102*100)/IF(($D$89*100+$D$102*100)=0,1,$D$89*100+$D$102*100)</f>
      </c>
      <c r="AQ22" s="31">
        <f>MIN(MAX(AQ16-(0),0),$D$89*100+$D$102*100)*($D$102*100)/IF(($D$89*100+$D$102*100)=0,1,$D$89*100+$D$102*100)</f>
      </c>
      <c r="AR22" s="31">
        <f>MIN(MAX(AR16-(0),0),$D$89*100+$D$102*100)*($D$102*100)/IF(($D$89*100+$D$102*100)=0,1,$D$89*100+$D$102*100)</f>
      </c>
      <c r="AS22" s="31">
        <f>MIN(MAX(AS16-(0),0),$D$89*100+$D$102*100)*($D$102*100)/IF(($D$89*100+$D$102*100)=0,1,$D$89*100+$D$102*100)</f>
      </c>
      <c r="AT22" s="31">
        <f>MIN(MAX(AT16-(0),0),$D$89*100+$D$102*100)*($D$102*100)/IF(($D$89*100+$D$102*100)=0,1,$D$89*100+$D$102*100)</f>
      </c>
      <c r="AU22" s="31">
        <f>MIN(MAX(AU16-(0),0),$D$89*100+$D$102*100)*($D$102*100)/IF(($D$89*100+$D$102*100)=0,1,$D$89*100+$D$102*100)</f>
      </c>
      <c r="AV22" s="31">
        <f>MIN(MAX(AV16-(0),0),$D$89*100+$D$102*100)*($D$102*100)/IF(($D$89*100+$D$102*100)=0,1,$D$89*100+$D$102*100)</f>
      </c>
      <c r="AW22" s="31">
        <f>MIN(MAX(AW16-(0),0),$D$89*100+$D$102*100)*($D$102*100)/IF(($D$89*100+$D$102*100)=0,1,$D$89*100+$D$102*100)</f>
      </c>
      <c r="AX22" s="31">
        <f>MIN(MAX(AX16-(0),0),$D$89*100+$D$102*100)*($D$102*100)/IF(($D$89*100+$D$102*100)=0,1,$D$89*100+$D$102*100)</f>
      </c>
      <c r="AY22" s="31">
        <f>MIN(MAX(AY16-(0),0),$D$89*100+$D$102*100)*($D$102*100)/IF(($D$89*100+$D$102*100)=0,1,$D$89*100+$D$102*100)</f>
      </c>
      <c r="AZ22" s="31">
        <f>MIN(MAX(AZ16-(0),0),$D$89*100+$D$102*100)*($D$102*100)/IF(($D$89*100+$D$102*100)=0,1,$D$89*100+$D$102*100)</f>
      </c>
      <c r="BA22" s="31">
        <f>MIN(MAX(BA16-(0),0),$D$89*100+$D$102*100)*($D$102*100)/IF(($D$89*100+$D$102*100)=0,1,$D$89*100+$D$102*100)</f>
      </c>
      <c r="BB22" s="31">
        <f>MIN(MAX(BB16-(0),0),$D$89*100+$D$102*100)*($D$102*100)/IF(($D$89*100+$D$102*100)=0,1,$D$89*100+$D$102*100)</f>
      </c>
      <c r="BC22" s="31">
        <f>MIN(MAX(BC16-(0),0),$D$89*100+$D$102*100)*($D$102*100)/IF(($D$89*100+$D$102*100)=0,1,$D$89*100+$D$102*100)</f>
      </c>
      <c r="BD22" s="31">
        <f>MIN(MAX(BD16-(0),0),$D$89*100+$D$102*100)*($D$102*100)/IF(($D$89*100+$D$102*100)=0,1,$D$89*100+$D$102*100)</f>
      </c>
      <c r="BE22" s="31">
        <f>MIN(MAX(BE16-(0),0),$D$89*100+$D$102*100)*($D$102*100)/IF(($D$89*100+$D$102*100)=0,1,$D$89*100+$D$102*100)</f>
      </c>
      <c r="BF22" s="31">
        <f>MIN(MAX(BF16-(0),0),$D$89*100+$D$102*100)*($D$102*100)/IF(($D$89*100+$D$102*100)=0,1,$D$89*100+$D$102*100)</f>
      </c>
      <c r="BG22" s="31">
        <f>MIN(MAX(BG16-(0),0),$D$89*100+$D$102*100)*($D$102*100)/IF(($D$89*100+$D$102*100)=0,1,$D$89*100+$D$102*100)</f>
      </c>
      <c r="BH22" s="31">
        <f>MIN(MAX(BH16-(0),0),$D$89*100+$D$102*100)*($D$102*100)/IF(($D$89*100+$D$102*100)=0,1,$D$89*100+$D$102*100)</f>
      </c>
      <c r="BI22" s="31">
        <f>MIN(MAX(BI16-(0),0),$D$89*100+$D$102*100)*($D$102*100)/IF(($D$89*100+$D$102*100)=0,1,$D$89*100+$D$102*100)</f>
      </c>
      <c r="BJ22" s="31">
        <f>MIN(MAX(BJ16-(0),0),$D$89*100+$D$102*100)*($D$102*100)/IF(($D$89*100+$D$102*100)=0,1,$D$89*100+$D$102*100)</f>
      </c>
      <c r="BK22" s="31">
        <f>MIN(MAX(BK16-(0),0),$D$89*100+$D$102*100)*($D$102*100)/IF(($D$89*100+$D$102*100)=0,1,$D$89*100+$D$102*100)</f>
      </c>
      <c r="BL22" s="31">
        <f>MIN(MAX(BL16-(0),0),$D$89*100+$D$102*100)*($D$102*100)/IF(($D$89*100+$D$102*100)=0,1,$D$89*100+$D$102*100)</f>
      </c>
      <c r="BM22" s="31">
        <f>MIN(MAX(BM16-(0),0),$D$89*100+$D$102*100)*($D$102*100)/IF(($D$89*100+$D$102*100)=0,1,$D$89*100+$D$102*100)</f>
      </c>
      <c r="BN22" s="31">
        <f>MIN(MAX(BN16-(0),0),$D$89*100+$D$102*100)*($D$102*100)/IF(($D$89*100+$D$102*100)=0,1,$D$89*100+$D$102*100)</f>
      </c>
      <c r="BO22" s="31">
        <f>MIN(MAX(BO16-(0),0),$D$89*100+$D$102*100)*($D$102*100)/IF(($D$89*100+$D$102*100)=0,1,$D$89*100+$D$102*100)</f>
      </c>
      <c r="BP22" s="31">
        <f>MIN(MAX(BP16-(0),0),$D$89*100+$D$102*100)*($D$102*100)/IF(($D$89*100+$D$102*100)=0,1,$D$89*100+$D$102*100)</f>
      </c>
      <c r="BQ22" s="31">
        <f>MIN(MAX(BQ16-(0),0),$D$89*100+$D$102*100)*($D$102*100)/IF(($D$89*100+$D$102*100)=0,1,$D$89*100+$D$102*100)</f>
      </c>
      <c r="BR22" s="31">
        <f>MIN(MAX(BR16-(0),0),$D$89*100+$D$102*100)*($D$102*100)/IF(($D$89*100+$D$102*100)=0,1,$D$89*100+$D$102*100)</f>
      </c>
      <c r="BS22" s="31">
        <f>MIN(MAX(BS16-(0),0),$D$89*100+$D$102*100)*($D$102*100)/IF(($D$89*100+$D$102*100)=0,1,$D$89*100+$D$102*100)</f>
      </c>
      <c r="BT22" s="31">
        <f>MIN(MAX(BT16-(0),0),$D$89*100+$D$102*100)*($D$102*100)/IF(($D$89*100+$D$102*100)=0,1,$D$89*100+$D$102*100)</f>
      </c>
      <c r="BU22" s="31">
        <f>MIN(MAX(BU16-(0),0),$D$89*100+$D$102*100)*($D$102*100)/IF(($D$89*100+$D$102*100)=0,1,$D$89*100+$D$102*100)</f>
      </c>
      <c r="BV22" s="31">
        <f>MIN(MAX(BV16-(0),0),$D$89*100+$D$102*100)*($D$102*100)/IF(($D$89*100+$D$102*100)=0,1,$D$89*100+$D$102*100)</f>
      </c>
      <c r="BW22" s="31">
        <f>MIN(MAX(BW16-(0),0),$D$89*100+$D$102*100)*($D$102*100)/IF(($D$89*100+$D$102*100)=0,1,$D$89*100+$D$102*100)</f>
      </c>
      <c r="BX22" s="31">
        <f>MIN(MAX(BX16-(0),0),$D$89*100+$D$102*100)*($D$102*100)/IF(($D$89*100+$D$102*100)=0,1,$D$89*100+$D$102*100)</f>
      </c>
      <c r="BY22" s="31">
        <f>MIN(MAX(BY16-(0),0),$D$89*100+$D$102*100)*($D$102*100)/IF(($D$89*100+$D$102*100)=0,1,$D$89*100+$D$102*100)</f>
      </c>
      <c r="BZ22" s="31">
        <f>MIN(MAX(BZ16-(0),0),$D$89*100+$D$102*100)*($D$102*100)/IF(($D$89*100+$D$102*100)=0,1,$D$89*100+$D$102*100)</f>
      </c>
      <c r="CA22" s="31">
        <f>MIN(MAX(CA16-(0),0),$D$89*100+$D$102*100)*($D$102*100)/IF(($D$89*100+$D$102*100)=0,1,$D$89*100+$D$102*100)</f>
      </c>
      <c r="CB22" s="31">
        <f>MIN(MAX(CB16-(0),0),$D$89*100+$D$102*100)*($D$102*100)/IF(($D$89*100+$D$102*100)=0,1,$D$89*100+$D$102*100)</f>
      </c>
      <c r="CC22" s="31">
        <f>MIN(MAX(CC16-(0),0),$D$89*100+$D$102*100)*($D$102*100)/IF(($D$89*100+$D$102*100)=0,1,$D$89*100+$D$102*100)</f>
      </c>
      <c r="CD22" s="31">
        <f>MIN(MAX(CD16-(0),0),$D$89*100+$D$102*100)*($D$102*100)/IF(($D$89*100+$D$102*100)=0,1,$D$89*100+$D$102*100)</f>
      </c>
      <c r="CE22" s="31">
        <f>MIN(MAX(CE16-(0),0),$D$89*100+$D$102*100)*($D$102*100)/IF(($D$89*100+$D$102*100)=0,1,$D$89*100+$D$102*100)</f>
      </c>
      <c r="CF22" s="31">
        <f>MIN(MAX(CF16-(0),0),$D$89*100+$D$102*100)*($D$102*100)/IF(($D$89*100+$D$102*100)=0,1,$D$89*100+$D$102*100)</f>
      </c>
      <c r="CG22" s="31">
        <f>MIN(MAX(CG16-(0),0),$D$89*100+$D$102*100)*($D$102*100)/IF(($D$89*100+$D$102*100)=0,1,$D$89*100+$D$102*100)</f>
      </c>
      <c r="CH22" s="31">
        <f>MIN(MAX(CH16-(0),0),$D$89*100+$D$102*100)*($D$102*100)/IF(($D$89*100+$D$102*100)=0,1,$D$89*100+$D$102*100)</f>
      </c>
      <c r="CI22" s="31">
        <f>MIN(MAX(CI16-(0),0),$D$89*100+$D$102*100)*($D$102*100)/IF(($D$89*100+$D$102*100)=0,1,$D$89*100+$D$102*100)</f>
      </c>
      <c r="CJ22" s="31">
        <f>MIN(MAX(CJ16-(0),0),$D$89*100+$D$102*100)*($D$102*100)/IF(($D$89*100+$D$102*100)=0,1,$D$89*100+$D$102*100)</f>
      </c>
      <c r="CK22" s="31">
        <f>MIN(MAX(CK16-(0),0),$D$89*100+$D$102*100)*($D$102*100)/IF(($D$89*100+$D$102*100)=0,1,$D$89*100+$D$102*100)</f>
      </c>
      <c r="CL22" s="31">
        <f>MIN(MAX(CL16-(0),0),$D$89*100+$D$102*100)*($D$102*100)/IF(($D$89*100+$D$102*100)=0,1,$D$89*100+$D$102*100)</f>
      </c>
    </row>
    <row r="25" spans="2:91" x14ac:dyDescent="0.25">
      <c r="B25" s="9" t="s">
        <v>243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</row>
    <row r="27" spans="2:90" x14ac:dyDescent="0.25">
      <c r="B27" s="27" t="s">
        <v>99</v>
      </c>
      <c r="C27" s="27" t="s">
        <v>100</v>
      </c>
      <c r="D27" s="27" t="s">
        <v>101</v>
      </c>
      <c r="E27" s="32" t="s">
        <v>102</v>
      </c>
      <c r="F27" s="32" t="s">
        <v>103</v>
      </c>
      <c r="G27" s="32" t="s">
        <v>104</v>
      </c>
      <c r="H27" s="32" t="s">
        <v>105</v>
      </c>
      <c r="I27" s="32" t="s">
        <v>106</v>
      </c>
      <c r="J27" s="32" t="s">
        <v>107</v>
      </c>
      <c r="K27" s="32" t="s">
        <v>108</v>
      </c>
      <c r="L27" s="32" t="s">
        <v>109</v>
      </c>
      <c r="M27" s="32" t="s">
        <v>110</v>
      </c>
      <c r="N27" s="32" t="s">
        <v>111</v>
      </c>
      <c r="O27" s="32" t="s">
        <v>112</v>
      </c>
      <c r="P27" s="32" t="s">
        <v>113</v>
      </c>
      <c r="Q27" s="32" t="s">
        <v>114</v>
      </c>
      <c r="R27" s="32" t="s">
        <v>115</v>
      </c>
      <c r="S27" s="32" t="s">
        <v>116</v>
      </c>
      <c r="T27" s="32" t="s">
        <v>117</v>
      </c>
      <c r="U27" s="32" t="s">
        <v>118</v>
      </c>
      <c r="V27" s="32" t="s">
        <v>119</v>
      </c>
      <c r="W27" s="32" t="s">
        <v>120</v>
      </c>
      <c r="X27" s="32" t="s">
        <v>121</v>
      </c>
      <c r="Y27" s="32" t="s">
        <v>122</v>
      </c>
      <c r="Z27" s="32" t="s">
        <v>123</v>
      </c>
      <c r="AA27" s="32" t="s">
        <v>124</v>
      </c>
      <c r="AB27" s="32" t="s">
        <v>125</v>
      </c>
      <c r="AC27" s="32" t="s">
        <v>126</v>
      </c>
      <c r="AD27" s="32" t="s">
        <v>127</v>
      </c>
      <c r="AE27" s="32" t="s">
        <v>128</v>
      </c>
      <c r="AF27" s="32" t="s">
        <v>129</v>
      </c>
      <c r="AG27" s="32" t="s">
        <v>130</v>
      </c>
      <c r="AH27" s="32" t="s">
        <v>131</v>
      </c>
      <c r="AI27" s="32" t="s">
        <v>132</v>
      </c>
      <c r="AJ27" s="32" t="s">
        <v>133</v>
      </c>
      <c r="AK27" s="32" t="s">
        <v>134</v>
      </c>
      <c r="AL27" s="32" t="s">
        <v>135</v>
      </c>
      <c r="AM27" s="32" t="s">
        <v>136</v>
      </c>
      <c r="AN27" s="32" t="s">
        <v>137</v>
      </c>
      <c r="AO27" s="32" t="s">
        <v>138</v>
      </c>
      <c r="AP27" s="32" t="s">
        <v>139</v>
      </c>
      <c r="AQ27" s="32" t="s">
        <v>140</v>
      </c>
      <c r="AR27" s="32" t="s">
        <v>141</v>
      </c>
      <c r="AS27" s="32" t="s">
        <v>142</v>
      </c>
      <c r="AT27" s="32" t="s">
        <v>143</v>
      </c>
      <c r="AU27" s="32" t="s">
        <v>144</v>
      </c>
      <c r="AV27" s="32" t="s">
        <v>145</v>
      </c>
      <c r="AW27" s="32" t="s">
        <v>146</v>
      </c>
      <c r="AX27" s="32" t="s">
        <v>147</v>
      </c>
      <c r="AY27" s="32" t="s">
        <v>148</v>
      </c>
      <c r="AZ27" s="32" t="s">
        <v>149</v>
      </c>
      <c r="BA27" s="32" t="s">
        <v>150</v>
      </c>
      <c r="BB27" s="32" t="s">
        <v>151</v>
      </c>
      <c r="BC27" s="32" t="s">
        <v>152</v>
      </c>
      <c r="BD27" s="32" t="s">
        <v>153</v>
      </c>
      <c r="BE27" s="32" t="s">
        <v>154</v>
      </c>
      <c r="BF27" s="32" t="s">
        <v>155</v>
      </c>
      <c r="BG27" s="32" t="s">
        <v>156</v>
      </c>
      <c r="BH27" s="32" t="s">
        <v>157</v>
      </c>
      <c r="BI27" s="32" t="s">
        <v>158</v>
      </c>
      <c r="BJ27" s="32" t="s">
        <v>159</v>
      </c>
      <c r="BK27" s="32" t="s">
        <v>160</v>
      </c>
      <c r="BL27" s="32" t="s">
        <v>161</v>
      </c>
      <c r="BM27" s="32" t="s">
        <v>162</v>
      </c>
      <c r="BN27" s="32" t="s">
        <v>163</v>
      </c>
      <c r="BO27" s="32" t="s">
        <v>164</v>
      </c>
      <c r="BP27" s="32" t="s">
        <v>165</v>
      </c>
      <c r="BQ27" s="32" t="s">
        <v>166</v>
      </c>
      <c r="BR27" s="32" t="s">
        <v>167</v>
      </c>
      <c r="BS27" s="32" t="s">
        <v>168</v>
      </c>
      <c r="BT27" s="32" t="s">
        <v>169</v>
      </c>
      <c r="BU27" s="32" t="s">
        <v>170</v>
      </c>
      <c r="BV27" s="32" t="s">
        <v>171</v>
      </c>
      <c r="BW27" s="32" t="s">
        <v>172</v>
      </c>
      <c r="BX27" s="32" t="s">
        <v>173</v>
      </c>
      <c r="BY27" s="32" t="s">
        <v>174</v>
      </c>
      <c r="BZ27" s="32" t="s">
        <v>175</v>
      </c>
      <c r="CA27" s="32" t="s">
        <v>176</v>
      </c>
      <c r="CB27" s="32" t="s">
        <v>177</v>
      </c>
      <c r="CC27" s="32" t="s">
        <v>178</v>
      </c>
      <c r="CD27" s="32" t="s">
        <v>179</v>
      </c>
      <c r="CE27" s="32" t="s">
        <v>180</v>
      </c>
      <c r="CF27" s="32" t="s">
        <v>181</v>
      </c>
      <c r="CG27" s="32" t="s">
        <v>182</v>
      </c>
      <c r="CH27" s="32" t="s">
        <v>183</v>
      </c>
      <c r="CI27" s="32" t="s">
        <v>184</v>
      </c>
      <c r="CJ27" s="32" t="s">
        <v>185</v>
      </c>
      <c r="CK27" s="32" t="s">
        <v>186</v>
      </c>
      <c r="CL27" s="32" t="s">
        <v>187</v>
      </c>
    </row>
    <row r="29" spans="2:91" x14ac:dyDescent="0.25">
      <c r="B29" s="47" t="s">
        <v>92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</row>
    <row r="30" spans="2:90" x14ac:dyDescent="0.25">
      <c r="B30" s="33" t="s">
        <v>244</v>
      </c>
      <c r="C30" s="34" t="s">
        <v>228</v>
      </c>
      <c r="E30" s="31">
        <v>0</v>
      </c>
      <c r="F30" s="31">
        <f>E35</f>
      </c>
      <c r="G30" s="31">
        <f>F35</f>
      </c>
      <c r="H30" s="31">
        <f>G35</f>
      </c>
      <c r="I30" s="31">
        <f>H35</f>
      </c>
      <c r="J30" s="31">
        <f>I35</f>
      </c>
      <c r="K30" s="31">
        <f>J35</f>
      </c>
      <c r="L30" s="31">
        <f>K35</f>
      </c>
      <c r="M30" s="31">
        <f>L35</f>
      </c>
      <c r="N30" s="31">
        <f>M35</f>
      </c>
      <c r="O30" s="31">
        <f>N35</f>
      </c>
      <c r="P30" s="31">
        <f>O35</f>
      </c>
      <c r="Q30" s="31">
        <f>P35</f>
      </c>
      <c r="R30" s="31">
        <f>Q35</f>
      </c>
      <c r="S30" s="31">
        <f>R35</f>
      </c>
      <c r="T30" s="31">
        <f>S35</f>
      </c>
      <c r="U30" s="31">
        <f>T35</f>
      </c>
      <c r="V30" s="31">
        <f>U35</f>
      </c>
      <c r="W30" s="31">
        <f>V35</f>
      </c>
      <c r="X30" s="31">
        <f>W35</f>
      </c>
      <c r="Y30" s="31">
        <f>X35</f>
      </c>
      <c r="Z30" s="31">
        <f>Y35</f>
      </c>
      <c r="AA30" s="31">
        <f>Z35</f>
      </c>
      <c r="AB30" s="31">
        <f>AA35</f>
      </c>
      <c r="AC30" s="31">
        <f>AB35</f>
      </c>
      <c r="AD30" s="31">
        <f>AC35</f>
      </c>
      <c r="AE30" s="31">
        <f>AD35</f>
      </c>
      <c r="AF30" s="31">
        <f>AE35</f>
      </c>
      <c r="AG30" s="31">
        <f>AF35</f>
      </c>
      <c r="AH30" s="31">
        <f>AG35</f>
      </c>
      <c r="AI30" s="31">
        <f>AH35</f>
      </c>
      <c r="AJ30" s="31">
        <f>AI35</f>
      </c>
      <c r="AK30" s="31">
        <f>AJ35</f>
      </c>
      <c r="AL30" s="31">
        <f>AK35</f>
      </c>
      <c r="AM30" s="31">
        <f>AL35</f>
      </c>
      <c r="AN30" s="31">
        <f>AM35</f>
      </c>
      <c r="AO30" s="31">
        <f>AN35</f>
      </c>
      <c r="AP30" s="31">
        <f>AO35</f>
      </c>
      <c r="AQ30" s="31">
        <f>AP35</f>
      </c>
      <c r="AR30" s="31">
        <f>AQ35</f>
      </c>
      <c r="AS30" s="31">
        <f>AR35</f>
      </c>
      <c r="AT30" s="31">
        <f>AS35</f>
      </c>
      <c r="AU30" s="31">
        <f>AT35</f>
      </c>
      <c r="AV30" s="31">
        <f>AU35</f>
      </c>
      <c r="AW30" s="31">
        <f>AV35</f>
      </c>
      <c r="AX30" s="31">
        <f>AW35</f>
      </c>
      <c r="AY30" s="31">
        <f>AX35</f>
      </c>
      <c r="AZ30" s="31">
        <f>AY35</f>
      </c>
      <c r="BA30" s="31">
        <f>AZ35</f>
      </c>
      <c r="BB30" s="31">
        <f>BA35</f>
      </c>
      <c r="BC30" s="31">
        <f>BB35</f>
      </c>
      <c r="BD30" s="31">
        <f>BC35</f>
      </c>
      <c r="BE30" s="31">
        <f>BD35</f>
      </c>
      <c r="BF30" s="31">
        <f>BE35</f>
      </c>
      <c r="BG30" s="31">
        <f>BF35</f>
      </c>
      <c r="BH30" s="31">
        <f>BG35</f>
      </c>
      <c r="BI30" s="31">
        <f>BH35</f>
      </c>
      <c r="BJ30" s="31">
        <f>BI35</f>
      </c>
      <c r="BK30" s="31">
        <f>BJ35</f>
      </c>
      <c r="BL30" s="31">
        <f>BK35</f>
      </c>
      <c r="BM30" s="31">
        <f>BL35</f>
      </c>
      <c r="BN30" s="31">
        <f>BM35</f>
      </c>
      <c r="BO30" s="31">
        <f>BN35</f>
      </c>
      <c r="BP30" s="31">
        <f>BO35</f>
      </c>
      <c r="BQ30" s="31">
        <f>BP35</f>
      </c>
      <c r="BR30" s="31">
        <f>BQ35</f>
      </c>
      <c r="BS30" s="31">
        <f>BR35</f>
      </c>
      <c r="BT30" s="31">
        <f>BS35</f>
      </c>
      <c r="BU30" s="31">
        <f>BT35</f>
      </c>
      <c r="BV30" s="31">
        <f>BU35</f>
      </c>
      <c r="BW30" s="31">
        <f>BV35</f>
      </c>
      <c r="BX30" s="31">
        <f>BW35</f>
      </c>
      <c r="BY30" s="31">
        <f>BX35</f>
      </c>
      <c r="BZ30" s="31">
        <f>BY35</f>
      </c>
      <c r="CA30" s="31">
        <f>BZ35</f>
      </c>
      <c r="CB30" s="31">
        <f>CA35</f>
      </c>
      <c r="CC30" s="31">
        <f>CB35</f>
      </c>
      <c r="CD30" s="31">
        <f>CC35</f>
      </c>
      <c r="CE30" s="31">
        <f>CD35</f>
      </c>
      <c r="CF30" s="31">
        <f>CE35</f>
      </c>
      <c r="CG30" s="31">
        <f>CF35</f>
      </c>
      <c r="CH30" s="31">
        <f>CG35</f>
      </c>
      <c r="CI30" s="31">
        <f>CH35</f>
      </c>
      <c r="CJ30" s="31">
        <f>CI35</f>
      </c>
      <c r="CK30" s="31">
        <f>CJ35</f>
      </c>
      <c r="CL30" s="31">
        <f>CK35</f>
      </c>
    </row>
    <row r="31" spans="2:90" x14ac:dyDescent="0.25">
      <c r="B31" s="33" t="s">
        <v>245</v>
      </c>
      <c r="C31" s="34" t="s">
        <v>228</v>
      </c>
      <c r="D31" s="31">
        <f>SUM(E31:CL31)</f>
      </c>
      <c r="E31" s="31">
        <f>E18</f>
      </c>
      <c r="F31" s="31">
        <f>F18-E18</f>
      </c>
      <c r="G31" s="31">
        <f>G18-F18</f>
      </c>
      <c r="H31" s="31">
        <f>H18-G18</f>
      </c>
      <c r="I31" s="31">
        <f>I18-H18</f>
      </c>
      <c r="J31" s="31">
        <f>J18-I18</f>
      </c>
      <c r="K31" s="31">
        <f>K18-J18</f>
      </c>
      <c r="L31" s="31">
        <f>L18-K18</f>
      </c>
      <c r="M31" s="31">
        <f>M18-L18</f>
      </c>
      <c r="N31" s="31">
        <f>N18-M18</f>
      </c>
      <c r="O31" s="31">
        <f>O18-N18</f>
      </c>
      <c r="P31" s="31">
        <f>P18-O18</f>
      </c>
      <c r="Q31" s="31">
        <f>Q18-P18</f>
      </c>
      <c r="R31" s="31">
        <f>R18-Q18</f>
      </c>
      <c r="S31" s="31">
        <f>S18-R18</f>
      </c>
      <c r="T31" s="31">
        <f>T18-S18</f>
      </c>
      <c r="U31" s="31">
        <f>U18-T18</f>
      </c>
      <c r="V31" s="31">
        <f>V18-U18</f>
      </c>
      <c r="W31" s="31">
        <f>W18-V18</f>
      </c>
      <c r="X31" s="31">
        <f>X18-W18</f>
      </c>
      <c r="Y31" s="31">
        <f>Y18-X18</f>
      </c>
      <c r="Z31" s="31">
        <f>Z18-Y18</f>
      </c>
      <c r="AA31" s="31">
        <f>AA18-Z18</f>
      </c>
      <c r="AB31" s="31">
        <f>AB18-AA18</f>
      </c>
      <c r="AC31" s="31">
        <f>AC18-AB18</f>
      </c>
      <c r="AD31" s="31">
        <f>AD18-AC18</f>
      </c>
      <c r="AE31" s="31">
        <f>AE18-AD18</f>
      </c>
      <c r="AF31" s="31">
        <f>AF18-AE18</f>
      </c>
      <c r="AG31" s="31">
        <f>AG18-AF18</f>
      </c>
      <c r="AH31" s="31">
        <f>AH18-AG18</f>
      </c>
      <c r="AI31" s="31">
        <f>AI18-AH18</f>
      </c>
      <c r="AJ31" s="31">
        <f>AJ18-AI18</f>
      </c>
      <c r="AK31" s="31">
        <f>AK18-AJ18</f>
      </c>
      <c r="AL31" s="31">
        <f>AL18-AK18</f>
      </c>
      <c r="AM31" s="31">
        <f>AM18-AL18</f>
      </c>
      <c r="AN31" s="31">
        <f>AN18-AM18</f>
      </c>
      <c r="AO31" s="31">
        <f>AO18-AN18</f>
      </c>
      <c r="AP31" s="31">
        <f>AP18-AO18</f>
      </c>
      <c r="AQ31" s="31">
        <f>AQ18-AP18</f>
      </c>
      <c r="AR31" s="31">
        <f>AR18-AQ18</f>
      </c>
      <c r="AS31" s="31">
        <f>AS18-AR18</f>
      </c>
      <c r="AT31" s="31">
        <f>AT18-AS18</f>
      </c>
      <c r="AU31" s="31">
        <f>AU18-AT18</f>
      </c>
      <c r="AV31" s="31">
        <f>AV18-AU18</f>
      </c>
      <c r="AW31" s="31">
        <f>AW18-AV18</f>
      </c>
      <c r="AX31" s="31">
        <f>AX18-AW18</f>
      </c>
      <c r="AY31" s="31">
        <f>AY18-AX18</f>
      </c>
      <c r="AZ31" s="31">
        <f>AZ18-AY18</f>
      </c>
      <c r="BA31" s="31">
        <f>BA18-AZ18</f>
      </c>
      <c r="BB31" s="31">
        <f>BB18-BA18</f>
      </c>
      <c r="BC31" s="31">
        <f>BC18-BB18</f>
      </c>
      <c r="BD31" s="31">
        <f>BD18-BC18</f>
      </c>
      <c r="BE31" s="31">
        <f>BE18-BD18</f>
      </c>
      <c r="BF31" s="31">
        <f>BF18-BE18</f>
      </c>
      <c r="BG31" s="31">
        <f>BG18-BF18</f>
      </c>
      <c r="BH31" s="31">
        <f>BH18-BG18</f>
      </c>
      <c r="BI31" s="31">
        <f>BI18-BH18</f>
      </c>
      <c r="BJ31" s="31">
        <f>BJ18-BI18</f>
      </c>
      <c r="BK31" s="31">
        <f>BK18-BJ18</f>
      </c>
      <c r="BL31" s="31">
        <f>BL18-BK18</f>
      </c>
      <c r="BM31" s="31">
        <f>BM18-BL18</f>
      </c>
      <c r="BN31" s="31">
        <f>BN18-BM18</f>
      </c>
      <c r="BO31" s="31">
        <f>BO18-BN18</f>
      </c>
      <c r="BP31" s="31">
        <f>BP18-BO18</f>
      </c>
      <c r="BQ31" s="31">
        <f>BQ18-BP18</f>
      </c>
      <c r="BR31" s="31">
        <f>BR18-BQ18</f>
      </c>
      <c r="BS31" s="31">
        <f>BS18-BR18</f>
      </c>
      <c r="BT31" s="31">
        <f>BT18-BS18</f>
      </c>
      <c r="BU31" s="31">
        <f>BU18-BT18</f>
      </c>
      <c r="BV31" s="31">
        <f>BV18-BU18</f>
      </c>
      <c r="BW31" s="31">
        <f>BW18-BV18</f>
      </c>
      <c r="BX31" s="31">
        <f>BX18-BW18</f>
      </c>
      <c r="BY31" s="31">
        <f>BY18-BX18</f>
      </c>
      <c r="BZ31" s="31">
        <f>BZ18-BY18</f>
      </c>
      <c r="CA31" s="31">
        <f>CA18-BZ18</f>
      </c>
      <c r="CB31" s="31">
        <f>CB18-CA18</f>
      </c>
      <c r="CC31" s="31">
        <f>CC18-CB18</f>
      </c>
      <c r="CD31" s="31">
        <f>CD18-CC18</f>
      </c>
      <c r="CE31" s="31">
        <f>CE18-CD18</f>
      </c>
      <c r="CF31" s="31">
        <f>CF18-CE18</f>
      </c>
      <c r="CG31" s="31">
        <f>CG18-CF18</f>
      </c>
      <c r="CH31" s="31">
        <f>CH18-CG18</f>
      </c>
      <c r="CI31" s="31">
        <f>CI18-CH18</f>
      </c>
      <c r="CJ31" s="31">
        <f>CJ18-CI18</f>
      </c>
      <c r="CK31" s="31">
        <f>CK18-CJ18</f>
      </c>
      <c r="CL31" s="31">
        <f>CL18-CK18</f>
      </c>
    </row>
    <row r="32" spans="2:90" x14ac:dyDescent="0.25">
      <c r="B32" s="33" t="s">
        <v>214</v>
      </c>
      <c r="C32" s="34" t="s">
        <v>228</v>
      </c>
      <c r="D32" s="31">
        <f>SUM(E32:CL32)</f>
      </c>
      <c r="E32" s="31">
        <f>E10</f>
      </c>
      <c r="F32" s="31">
        <f>F10</f>
      </c>
      <c r="G32" s="31">
        <f>G10</f>
      </c>
      <c r="H32" s="31">
        <f>H10</f>
      </c>
      <c r="I32" s="31">
        <f>I10</f>
      </c>
      <c r="J32" s="31">
        <f>J10</f>
      </c>
      <c r="K32" s="31">
        <f>K10</f>
      </c>
      <c r="L32" s="31">
        <f>L10</f>
      </c>
      <c r="M32" s="31">
        <f>M10</f>
      </c>
      <c r="N32" s="31">
        <f>N10</f>
      </c>
      <c r="O32" s="31">
        <f>O10</f>
      </c>
      <c r="P32" s="31">
        <f>P10</f>
      </c>
      <c r="Q32" s="31">
        <f>Q10</f>
      </c>
      <c r="R32" s="31">
        <f>R10</f>
      </c>
      <c r="S32" s="31">
        <f>S10</f>
      </c>
      <c r="T32" s="31">
        <f>T10</f>
      </c>
      <c r="U32" s="31">
        <f>U10</f>
      </c>
      <c r="V32" s="31">
        <f>V10</f>
      </c>
      <c r="W32" s="31">
        <f>W10</f>
      </c>
      <c r="X32" s="31">
        <f>X10</f>
      </c>
      <c r="Y32" s="31">
        <f>Y10</f>
      </c>
      <c r="Z32" s="31">
        <f>Z10</f>
      </c>
      <c r="AA32" s="31">
        <f>AA10</f>
      </c>
      <c r="AB32" s="31">
        <f>AB10</f>
      </c>
      <c r="AC32" s="31">
        <f>AC10</f>
      </c>
      <c r="AD32" s="31">
        <f>AD10</f>
      </c>
      <c r="AE32" s="31">
        <f>AE10</f>
      </c>
      <c r="AF32" s="31">
        <f>AF10</f>
      </c>
      <c r="AG32" s="31">
        <f>AG10</f>
      </c>
      <c r="AH32" s="31">
        <f>AH10</f>
      </c>
      <c r="AI32" s="31">
        <f>AI10</f>
      </c>
      <c r="AJ32" s="31">
        <f>AJ10</f>
      </c>
      <c r="AK32" s="31">
        <f>AK10</f>
      </c>
      <c r="AL32" s="31">
        <f>AL10</f>
      </c>
      <c r="AM32" s="31">
        <f>AM10</f>
      </c>
      <c r="AN32" s="31">
        <f>AN10</f>
      </c>
      <c r="AO32" s="31">
        <f>AO10</f>
      </c>
      <c r="AP32" s="31">
        <f>AP10</f>
      </c>
      <c r="AQ32" s="31">
        <f>AQ10</f>
      </c>
      <c r="AR32" s="31">
        <f>AR10</f>
      </c>
      <c r="AS32" s="31">
        <f>AS10</f>
      </c>
      <c r="AT32" s="31">
        <f>AT10</f>
      </c>
      <c r="AU32" s="31">
        <f>AU10</f>
      </c>
      <c r="AV32" s="31">
        <f>AV10</f>
      </c>
      <c r="AW32" s="31">
        <f>AW10</f>
      </c>
      <c r="AX32" s="31">
        <f>AX10</f>
      </c>
      <c r="AY32" s="31">
        <f>AY10</f>
      </c>
      <c r="AZ32" s="31">
        <f>AZ10</f>
      </c>
      <c r="BA32" s="31">
        <f>BA10</f>
      </c>
      <c r="BB32" s="31">
        <f>BB10</f>
      </c>
      <c r="BC32" s="31">
        <f>BC10</f>
      </c>
      <c r="BD32" s="31">
        <f>BD10</f>
      </c>
      <c r="BE32" s="31">
        <f>BE10</f>
      </c>
      <c r="BF32" s="31">
        <f>BF10</f>
      </c>
      <c r="BG32" s="31">
        <f>BG10</f>
      </c>
      <c r="BH32" s="31">
        <f>BH10</f>
      </c>
      <c r="BI32" s="31">
        <f>BI10</f>
      </c>
      <c r="BJ32" s="31">
        <f>BJ10</f>
      </c>
      <c r="BK32" s="31">
        <f>BK10</f>
      </c>
      <c r="BL32" s="31">
        <f>BL10</f>
      </c>
      <c r="BM32" s="31">
        <f>BM10</f>
      </c>
      <c r="BN32" s="31">
        <f>BN10</f>
      </c>
      <c r="BO32" s="31">
        <f>BO10</f>
      </c>
      <c r="BP32" s="31">
        <f>BP10</f>
      </c>
      <c r="BQ32" s="31">
        <f>BQ10</f>
      </c>
      <c r="BR32" s="31">
        <f>BR10</f>
      </c>
      <c r="BS32" s="31">
        <f>BS10</f>
      </c>
      <c r="BT32" s="31">
        <f>BT10</f>
      </c>
      <c r="BU32" s="31">
        <f>BU10</f>
      </c>
      <c r="BV32" s="31">
        <f>BV10</f>
      </c>
      <c r="BW32" s="31">
        <f>BW10</f>
      </c>
      <c r="BX32" s="31">
        <f>BX10</f>
      </c>
      <c r="BY32" s="31">
        <f>BY10</f>
      </c>
      <c r="BZ32" s="31">
        <f>BZ10</f>
      </c>
      <c r="CA32" s="31">
        <f>CA10</f>
      </c>
      <c r="CB32" s="31">
        <f>CB10</f>
      </c>
      <c r="CC32" s="31">
        <f>CC10</f>
      </c>
      <c r="CD32" s="31">
        <f>CD10</f>
      </c>
      <c r="CE32" s="31">
        <f>CE10</f>
      </c>
      <c r="CF32" s="31">
        <f>CF10</f>
      </c>
      <c r="CG32" s="31">
        <f>CG10</f>
      </c>
      <c r="CH32" s="31">
        <f>CH10</f>
      </c>
      <c r="CI32" s="31">
        <f>CI10</f>
      </c>
      <c r="CJ32" s="31">
        <f>CJ10</f>
      </c>
      <c r="CK32" s="31">
        <f>CK10</f>
      </c>
      <c r="CL32" s="31">
        <f>CL10</f>
      </c>
    </row>
    <row r="33" spans="2:90" x14ac:dyDescent="0.25">
      <c r="B33" s="33" t="s">
        <v>246</v>
      </c>
      <c r="C33" s="34" t="s">
        <v>228</v>
      </c>
      <c r="D33" s="14">
        <f>SUM(E33:CL33)</f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f>K30*$D$92/4</f>
      </c>
      <c r="L33" s="31">
        <f>L30*$D$92/4</f>
      </c>
      <c r="M33" s="31">
        <f>M30*$D$92/4</f>
      </c>
      <c r="N33" s="31">
        <f>N30*$D$92/4</f>
      </c>
      <c r="O33" s="31">
        <f>O30*$D$92/4</f>
      </c>
      <c r="P33" s="31">
        <f>P30*$D$92/4</f>
      </c>
      <c r="Q33" s="31">
        <f>Q30*$D$92/4</f>
      </c>
      <c r="R33" s="31">
        <f>R30*$D$92/4</f>
      </c>
      <c r="S33" s="31">
        <f>S30*$D$92/4</f>
      </c>
      <c r="T33" s="31">
        <f>T30*$D$92/4</f>
      </c>
      <c r="U33" s="31">
        <f>U30*$D$92/4</f>
      </c>
      <c r="V33" s="31">
        <f>V30*$D$92/4</f>
      </c>
      <c r="W33" s="31">
        <f>W30*$D$92/4</f>
      </c>
      <c r="X33" s="31">
        <f>X30*$D$92/4</f>
      </c>
      <c r="Y33" s="31">
        <f>Y30*$D$92/4</f>
      </c>
      <c r="Z33" s="31">
        <f>Z30*$D$92/4</f>
      </c>
      <c r="AA33" s="31">
        <f>AA30*$D$92/4</f>
      </c>
      <c r="AB33" s="31">
        <f>AB30*$D$92/4</f>
      </c>
      <c r="AC33" s="31">
        <f>AC30*$D$92/4</f>
      </c>
      <c r="AD33" s="31">
        <f>AD30*$D$92/4</f>
      </c>
      <c r="AE33" s="31">
        <f>AE30*$D$92/4</f>
      </c>
      <c r="AF33" s="31">
        <f>AF30*$D$92/4</f>
      </c>
      <c r="AG33" s="31">
        <f>AG30*$D$92/4</f>
      </c>
      <c r="AH33" s="31">
        <f>AH30*$D$92/4</f>
      </c>
      <c r="AI33" s="31">
        <f>AI30*$D$92/4</f>
      </c>
      <c r="AJ33" s="31">
        <f>AJ30*$D$92/4</f>
      </c>
      <c r="AK33" s="31">
        <f>AK30*$D$92/4</f>
      </c>
      <c r="AL33" s="31">
        <f>AL30*$D$92/4</f>
      </c>
      <c r="AM33" s="31">
        <f>AM30*$D$92/4</f>
      </c>
      <c r="AN33" s="31">
        <f>AN30*$D$92/4</f>
      </c>
      <c r="AO33" s="31">
        <f>AO30*$D$92/4</f>
      </c>
      <c r="AP33" s="31">
        <f>AP30*$D$92/4</f>
      </c>
      <c r="AQ33" s="31">
        <f>AQ30*$D$92/4</f>
      </c>
      <c r="AR33" s="31">
        <f>AR30*$D$92/4</f>
      </c>
      <c r="AS33" s="31">
        <f>AS30*$D$92/4</f>
      </c>
      <c r="AT33" s="31">
        <f>AT30*$D$92/4</f>
      </c>
      <c r="AU33" s="31">
        <f>AU30*$D$92/4</f>
      </c>
      <c r="AV33" s="31">
        <f>AV30*$D$92/4</f>
      </c>
      <c r="AW33" s="31">
        <f>AW30*$D$92/4</f>
      </c>
      <c r="AX33" s="31">
        <f>AX30*$D$92/4</f>
      </c>
      <c r="AY33" s="31">
        <f>AY30*$D$92/4</f>
      </c>
      <c r="AZ33" s="31">
        <f>AZ30*$D$92/4</f>
      </c>
      <c r="BA33" s="31">
        <f>BA30*$D$92/4</f>
      </c>
      <c r="BB33" s="31">
        <f>BB30*$D$92/4</f>
      </c>
      <c r="BC33" s="31">
        <f>BC30*$D$92/4</f>
      </c>
      <c r="BD33" s="31">
        <f>BD30*$D$92/4</f>
      </c>
      <c r="BE33" s="31">
        <f>BE30*$D$92/4</f>
      </c>
      <c r="BF33" s="31">
        <f>BF30*$D$92/4</f>
      </c>
      <c r="BG33" s="31">
        <f>BG30*$D$92/4</f>
      </c>
      <c r="BH33" s="31">
        <f>BH30*$D$92/4</f>
      </c>
      <c r="BI33" s="31">
        <f>BI30*$D$92/4</f>
      </c>
      <c r="BJ33" s="31">
        <f>BJ30*$D$92/4</f>
      </c>
      <c r="BK33" s="31">
        <f>BK30*$D$92/4</f>
      </c>
      <c r="BL33" s="31">
        <f>BL30*$D$92/4</f>
      </c>
      <c r="BM33" s="31">
        <f>BM30*$D$92/4</f>
      </c>
      <c r="BN33" s="31">
        <f>BN30*$D$92/4</f>
      </c>
      <c r="BO33" s="31">
        <f>BO30*$D$92/4</f>
      </c>
      <c r="BP33" s="31">
        <f>BP30*$D$92/4</f>
      </c>
      <c r="BQ33" s="31">
        <f>BQ30*$D$92/4</f>
      </c>
      <c r="BR33" s="31">
        <f>BR30*$D$92/4</f>
      </c>
      <c r="BS33" s="31">
        <f>BS30*$D$92/4</f>
      </c>
      <c r="BT33" s="31">
        <f>BT30*$D$92/4</f>
      </c>
      <c r="BU33" s="31">
        <f>BU30*$D$92/4</f>
      </c>
      <c r="BV33" s="31">
        <f>BV30*$D$92/4</f>
      </c>
      <c r="BW33" s="31">
        <f>BW30*$D$92/4</f>
      </c>
      <c r="BX33" s="31">
        <f>BX30*$D$92/4</f>
      </c>
      <c r="BY33" s="31">
        <f>BY30*$D$92/4</f>
      </c>
      <c r="BZ33" s="31">
        <f>BZ30*$D$92/4</f>
      </c>
      <c r="CA33" s="31">
        <f>CA30*$D$92/4</f>
      </c>
      <c r="CB33" s="31">
        <f>CB30*$D$92/4</f>
      </c>
      <c r="CC33" s="31">
        <f>CC30*$D$92/4</f>
      </c>
      <c r="CD33" s="31">
        <f>CD30*$D$92/4</f>
      </c>
      <c r="CE33" s="31">
        <f>CE30*$D$92/4</f>
      </c>
      <c r="CF33" s="31">
        <f>CF30*$D$92/4</f>
      </c>
      <c r="CG33" s="31">
        <f>CG30*$D$92/4</f>
      </c>
      <c r="CH33" s="31">
        <f>CH30*$D$92/4</f>
      </c>
      <c r="CI33" s="31">
        <f>CI30*$D$92/4</f>
      </c>
      <c r="CJ33" s="31">
        <f>CJ30*$D$92/4</f>
      </c>
      <c r="CK33" s="31">
        <f>CK30*$D$92/4</f>
      </c>
      <c r="CL33" s="31">
        <f>CL30*$D$92/4</f>
      </c>
    </row>
    <row r="34" spans="2:90" x14ac:dyDescent="0.25">
      <c r="B34" s="33" t="s">
        <v>247</v>
      </c>
      <c r="C34" s="34" t="s">
        <v>228</v>
      </c>
      <c r="D34" s="14">
        <f>SUM(E34:CL34)</f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f>N30/64</f>
      </c>
      <c r="O34" s="31">
        <f>N30/64</f>
      </c>
      <c r="P34" s="31">
        <f>N30/64</f>
      </c>
      <c r="Q34" s="31">
        <f>N30/64</f>
      </c>
      <c r="R34" s="31">
        <f>N30/64</f>
      </c>
      <c r="S34" s="31">
        <f>N30/64</f>
      </c>
      <c r="T34" s="31">
        <f>N30/64</f>
      </c>
      <c r="U34" s="31">
        <f>N30/64</f>
      </c>
      <c r="V34" s="31">
        <f>N30/64</f>
      </c>
      <c r="W34" s="31">
        <f>N30/64</f>
      </c>
      <c r="X34" s="31">
        <f>N30/64</f>
      </c>
      <c r="Y34" s="31">
        <f>N30/64</f>
      </c>
      <c r="Z34" s="31">
        <f>N30/64</f>
      </c>
      <c r="AA34" s="31">
        <f>N30/64</f>
      </c>
      <c r="AB34" s="31">
        <f>N30/64</f>
      </c>
      <c r="AC34" s="31">
        <f>N30/64</f>
      </c>
      <c r="AD34" s="31">
        <f>N30/64</f>
      </c>
      <c r="AE34" s="31">
        <f>N30/64</f>
      </c>
      <c r="AF34" s="31">
        <f>N30/64</f>
      </c>
      <c r="AG34" s="31">
        <f>N30/64</f>
      </c>
      <c r="AH34" s="31">
        <f>N30/64</f>
      </c>
      <c r="AI34" s="31">
        <f>N30/64</f>
      </c>
      <c r="AJ34" s="31">
        <f>N30/64</f>
      </c>
      <c r="AK34" s="31">
        <f>N30/64</f>
      </c>
      <c r="AL34" s="31">
        <f>N30/64</f>
      </c>
      <c r="AM34" s="31">
        <f>N30/64</f>
      </c>
      <c r="AN34" s="31">
        <f>N30/64</f>
      </c>
      <c r="AO34" s="31">
        <f>N30/64</f>
      </c>
      <c r="AP34" s="31">
        <f>N30/64</f>
      </c>
      <c r="AQ34" s="31">
        <f>N30/64</f>
      </c>
      <c r="AR34" s="31">
        <f>N30/64</f>
      </c>
      <c r="AS34" s="31">
        <f>N30/64</f>
      </c>
      <c r="AT34" s="31">
        <f>N30/64</f>
      </c>
      <c r="AU34" s="31">
        <f>N30/64</f>
      </c>
      <c r="AV34" s="31">
        <f>N30/64</f>
      </c>
      <c r="AW34" s="31">
        <f>N30/64</f>
      </c>
      <c r="AX34" s="31">
        <f>N30/64</f>
      </c>
      <c r="AY34" s="31">
        <f>N30/64</f>
      </c>
      <c r="AZ34" s="31">
        <f>N30/64</f>
      </c>
      <c r="BA34" s="31">
        <f>N30/64</f>
      </c>
      <c r="BB34" s="31">
        <f>N30/64</f>
      </c>
      <c r="BC34" s="31">
        <f>N30/64</f>
      </c>
      <c r="BD34" s="31">
        <f>N30/64</f>
      </c>
      <c r="BE34" s="31">
        <f>N30/64</f>
      </c>
      <c r="BF34" s="31">
        <f>N30/64</f>
      </c>
      <c r="BG34" s="31">
        <f>N30/64</f>
      </c>
      <c r="BH34" s="31">
        <f>N30/64</f>
      </c>
      <c r="BI34" s="31">
        <f>N30/64</f>
      </c>
      <c r="BJ34" s="31">
        <f>N30/64</f>
      </c>
      <c r="BK34" s="31">
        <f>N30/64</f>
      </c>
      <c r="BL34" s="31">
        <f>N30/64</f>
      </c>
      <c r="BM34" s="31">
        <f>N30/64</f>
      </c>
      <c r="BN34" s="31">
        <f>N30/64</f>
      </c>
      <c r="BO34" s="31">
        <f>N30/64</f>
      </c>
      <c r="BP34" s="31">
        <f>N30/64</f>
      </c>
      <c r="BQ34" s="31">
        <f>N30/64</f>
      </c>
      <c r="BR34" s="31">
        <f>N30/64</f>
      </c>
      <c r="BS34" s="31">
        <f>N30/64</f>
      </c>
      <c r="BT34" s="31">
        <f>N30/64</f>
      </c>
      <c r="BU34" s="31">
        <f>N30/64</f>
      </c>
      <c r="BV34" s="31">
        <f>N30/64</f>
      </c>
      <c r="BW34" s="31">
        <f>N30/64</f>
      </c>
      <c r="BX34" s="31">
        <f>N30/64</f>
      </c>
      <c r="BY34" s="31">
        <f>N30/64</f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</row>
    <row r="35" spans="2:90" x14ac:dyDescent="0.25">
      <c r="B35" s="46" t="s">
        <v>248</v>
      </c>
      <c r="C35" s="34" t="s">
        <v>228</v>
      </c>
      <c r="E35" s="14">
        <f>E30+E31-E34</f>
      </c>
      <c r="F35" s="14">
        <f>F30+F31-F34</f>
      </c>
      <c r="G35" s="14">
        <f>G30+G31-G34</f>
      </c>
      <c r="H35" s="14">
        <f>H30+H31-H34</f>
      </c>
      <c r="I35" s="14">
        <f>I30+I31-I34</f>
      </c>
      <c r="J35" s="14">
        <f>J30+J31-J34</f>
      </c>
      <c r="K35" s="14">
        <f>K30+K31-K34</f>
      </c>
      <c r="L35" s="14">
        <f>L30+L31-L34</f>
      </c>
      <c r="M35" s="14">
        <f>M30+M31-M34</f>
      </c>
      <c r="N35" s="14">
        <f>N30+N31-N34</f>
      </c>
      <c r="O35" s="14">
        <f>O30+O31-O34</f>
      </c>
      <c r="P35" s="14">
        <f>P30+P31-P34</f>
      </c>
      <c r="Q35" s="14">
        <f>Q30+Q31-Q34</f>
      </c>
      <c r="R35" s="14">
        <f>R30+R31-R34</f>
      </c>
      <c r="S35" s="14">
        <f>S30+S31-S34</f>
      </c>
      <c r="T35" s="14">
        <f>T30+T31-T34</f>
      </c>
      <c r="U35" s="14">
        <f>U30+U31-U34</f>
      </c>
      <c r="V35" s="14">
        <f>V30+V31-V34</f>
      </c>
      <c r="W35" s="14">
        <f>W30+W31-W34</f>
      </c>
      <c r="X35" s="14">
        <f>X30+X31-X34</f>
      </c>
      <c r="Y35" s="14">
        <f>Y30+Y31-Y34</f>
      </c>
      <c r="Z35" s="14">
        <f>Z30+Z31-Z34</f>
      </c>
      <c r="AA35" s="14">
        <f>AA30+AA31-AA34</f>
      </c>
      <c r="AB35" s="14">
        <f>AB30+AB31-AB34</f>
      </c>
      <c r="AC35" s="14">
        <f>AC30+AC31-AC34</f>
      </c>
      <c r="AD35" s="14">
        <f>AD30+AD31-AD34</f>
      </c>
      <c r="AE35" s="14">
        <f>AE30+AE31-AE34</f>
      </c>
      <c r="AF35" s="14">
        <f>AF30+AF31-AF34</f>
      </c>
      <c r="AG35" s="14">
        <f>AG30+AG31-AG34</f>
      </c>
      <c r="AH35" s="14">
        <f>AH30+AH31-AH34</f>
      </c>
      <c r="AI35" s="14">
        <f>AI30+AI31-AI34</f>
      </c>
      <c r="AJ35" s="14">
        <f>AJ30+AJ31-AJ34</f>
      </c>
      <c r="AK35" s="14">
        <f>AK30+AK31-AK34</f>
      </c>
      <c r="AL35" s="14">
        <f>AL30+AL31-AL34</f>
      </c>
      <c r="AM35" s="14">
        <f>AM30+AM31-AM34</f>
      </c>
      <c r="AN35" s="14">
        <f>AN30+AN31-AN34</f>
      </c>
      <c r="AO35" s="14">
        <f>AO30+AO31-AO34</f>
      </c>
      <c r="AP35" s="14">
        <f>AP30+AP31-AP34</f>
      </c>
      <c r="AQ35" s="14">
        <f>AQ30+AQ31-AQ34</f>
      </c>
      <c r="AR35" s="14">
        <f>AR30+AR31-AR34</f>
      </c>
      <c r="AS35" s="14">
        <f>AS30+AS31-AS34</f>
      </c>
      <c r="AT35" s="14">
        <f>AT30+AT31-AT34</f>
      </c>
      <c r="AU35" s="14">
        <f>AU30+AU31-AU34</f>
      </c>
      <c r="AV35" s="14">
        <f>AV30+AV31-AV34</f>
      </c>
      <c r="AW35" s="14">
        <f>AW30+AW31-AW34</f>
      </c>
      <c r="AX35" s="14">
        <f>AX30+AX31-AX34</f>
      </c>
      <c r="AY35" s="14">
        <f>AY30+AY31-AY34</f>
      </c>
      <c r="AZ35" s="14">
        <f>AZ30+AZ31-AZ34</f>
      </c>
      <c r="BA35" s="14">
        <f>BA30+BA31-BA34</f>
      </c>
      <c r="BB35" s="14">
        <f>BB30+BB31-BB34</f>
      </c>
      <c r="BC35" s="14">
        <f>BC30+BC31-BC34</f>
      </c>
      <c r="BD35" s="14">
        <f>BD30+BD31-BD34</f>
      </c>
      <c r="BE35" s="14">
        <f>BE30+BE31-BE34</f>
      </c>
      <c r="BF35" s="14">
        <f>BF30+BF31-BF34</f>
      </c>
      <c r="BG35" s="14">
        <f>BG30+BG31-BG34</f>
      </c>
      <c r="BH35" s="14">
        <f>BH30+BH31-BH34</f>
      </c>
      <c r="BI35" s="14">
        <f>BI30+BI31-BI34</f>
      </c>
      <c r="BJ35" s="14">
        <f>BJ30+BJ31-BJ34</f>
      </c>
      <c r="BK35" s="14">
        <f>BK30+BK31-BK34</f>
      </c>
      <c r="BL35" s="14">
        <f>BL30+BL31-BL34</f>
      </c>
      <c r="BM35" s="14">
        <f>BM30+BM31-BM34</f>
      </c>
      <c r="BN35" s="14">
        <f>BN30+BN31-BN34</f>
      </c>
      <c r="BO35" s="14">
        <f>BO30+BO31-BO34</f>
      </c>
      <c r="BP35" s="14">
        <f>BP30+BP31-BP34</f>
      </c>
      <c r="BQ35" s="14">
        <f>BQ30+BQ31-BQ34</f>
      </c>
      <c r="BR35" s="14">
        <f>BR30+BR31-BR34</f>
      </c>
      <c r="BS35" s="14">
        <f>BS30+BS31-BS34</f>
      </c>
      <c r="BT35" s="14">
        <f>BT30+BT31-BT34</f>
      </c>
      <c r="BU35" s="14">
        <f>BU30+BU31-BU34</f>
      </c>
      <c r="BV35" s="14">
        <f>BV30+BV31-BV34</f>
      </c>
      <c r="BW35" s="14">
        <f>BW30+BW31-BW34</f>
      </c>
      <c r="BX35" s="14">
        <f>BX30+BX31-BX34</f>
      </c>
      <c r="BY35" s="14">
        <f>BY30+BY31-BY34</f>
      </c>
      <c r="BZ35" s="14">
        <f>BZ30+BZ31-BZ34</f>
      </c>
      <c r="CA35" s="14">
        <f>CA30+CA31-CA34</f>
      </c>
      <c r="CB35" s="14">
        <f>CB30+CB31-CB34</f>
      </c>
      <c r="CC35" s="14">
        <f>CC30+CC31-CC34</f>
      </c>
      <c r="CD35" s="14">
        <f>CD30+CD31-CD34</f>
      </c>
      <c r="CE35" s="14">
        <f>CE30+CE31-CE34</f>
      </c>
      <c r="CF35" s="14">
        <f>CF30+CF31-CF34</f>
      </c>
      <c r="CG35" s="14">
        <f>CG30+CG31-CG34</f>
      </c>
      <c r="CH35" s="14">
        <f>CH30+CH31-CH34</f>
      </c>
      <c r="CI35" s="14">
        <f>CI30+CI31-CI34</f>
      </c>
      <c r="CJ35" s="14">
        <f>CJ30+CJ31-CJ34</f>
      </c>
      <c r="CK35" s="14">
        <f>CK30+CK31-CK34</f>
      </c>
      <c r="CL35" s="14">
        <f>CL30+CL31-CL34</f>
      </c>
    </row>
    <row r="36" spans="2:6" x14ac:dyDescent="0.25">
      <c r="B36" s="33" t="s">
        <v>249</v>
      </c>
      <c r="C36" s="34" t="s">
        <v>228</v>
      </c>
      <c r="D36" s="31">
        <f>CL35</f>
      </c>
      <c r="F36" s="30">
        <f>IF(ABS(D36)&lt;1,"완전상환 확인 (OK)","경고: 미상환 잔액")</f>
      </c>
    </row>
    <row r="38" spans="2:91" x14ac:dyDescent="0.25">
      <c r="B38" s="47" t="s">
        <v>93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</row>
    <row r="39" spans="2:90" x14ac:dyDescent="0.25">
      <c r="B39" s="33" t="s">
        <v>244</v>
      </c>
      <c r="C39" s="34" t="s">
        <v>228</v>
      </c>
      <c r="E39" s="31">
        <v>0</v>
      </c>
      <c r="F39" s="31">
        <f>E44</f>
      </c>
      <c r="G39" s="31">
        <f>F44</f>
      </c>
      <c r="H39" s="31">
        <f>G44</f>
      </c>
      <c r="I39" s="31">
        <f>H44</f>
      </c>
      <c r="J39" s="31">
        <f>I44</f>
      </c>
      <c r="K39" s="31">
        <f>J44</f>
      </c>
      <c r="L39" s="31">
        <f>K44</f>
      </c>
      <c r="M39" s="31">
        <f>L44</f>
      </c>
      <c r="N39" s="31">
        <f>M44</f>
      </c>
      <c r="O39" s="31">
        <f>N44</f>
      </c>
      <c r="P39" s="31">
        <f>O44</f>
      </c>
      <c r="Q39" s="31">
        <f>P44</f>
      </c>
      <c r="R39" s="31">
        <f>Q44</f>
      </c>
      <c r="S39" s="31">
        <f>R44</f>
      </c>
      <c r="T39" s="31">
        <f>S44</f>
      </c>
      <c r="U39" s="31">
        <f>T44</f>
      </c>
      <c r="V39" s="31">
        <f>U44</f>
      </c>
      <c r="W39" s="31">
        <f>V44</f>
      </c>
      <c r="X39" s="31">
        <f>W44</f>
      </c>
      <c r="Y39" s="31">
        <f>X44</f>
      </c>
      <c r="Z39" s="31">
        <f>Y44</f>
      </c>
      <c r="AA39" s="31">
        <f>Z44</f>
      </c>
      <c r="AB39" s="31">
        <f>AA44</f>
      </c>
      <c r="AC39" s="31">
        <f>AB44</f>
      </c>
      <c r="AD39" s="31">
        <f>AC44</f>
      </c>
      <c r="AE39" s="31">
        <f>AD44</f>
      </c>
      <c r="AF39" s="31">
        <f>AE44</f>
      </c>
      <c r="AG39" s="31">
        <f>AF44</f>
      </c>
      <c r="AH39" s="31">
        <f>AG44</f>
      </c>
      <c r="AI39" s="31">
        <f>AH44</f>
      </c>
      <c r="AJ39" s="31">
        <f>AI44</f>
      </c>
      <c r="AK39" s="31">
        <f>AJ44</f>
      </c>
      <c r="AL39" s="31">
        <f>AK44</f>
      </c>
      <c r="AM39" s="31">
        <f>AL44</f>
      </c>
      <c r="AN39" s="31">
        <f>AM44</f>
      </c>
      <c r="AO39" s="31">
        <f>AN44</f>
      </c>
      <c r="AP39" s="31">
        <f>AO44</f>
      </c>
      <c r="AQ39" s="31">
        <f>AP44</f>
      </c>
      <c r="AR39" s="31">
        <f>AQ44</f>
      </c>
      <c r="AS39" s="31">
        <f>AR44</f>
      </c>
      <c r="AT39" s="31">
        <f>AS44</f>
      </c>
      <c r="AU39" s="31">
        <f>AT44</f>
      </c>
      <c r="AV39" s="31">
        <f>AU44</f>
      </c>
      <c r="AW39" s="31">
        <f>AV44</f>
      </c>
      <c r="AX39" s="31">
        <f>AW44</f>
      </c>
      <c r="AY39" s="31">
        <f>AX44</f>
      </c>
      <c r="AZ39" s="31">
        <f>AY44</f>
      </c>
      <c r="BA39" s="31">
        <f>AZ44</f>
      </c>
      <c r="BB39" s="31">
        <f>BA44</f>
      </c>
      <c r="BC39" s="31">
        <f>BB44</f>
      </c>
      <c r="BD39" s="31">
        <f>BC44</f>
      </c>
      <c r="BE39" s="31">
        <f>BD44</f>
      </c>
      <c r="BF39" s="31">
        <f>BE44</f>
      </c>
      <c r="BG39" s="31">
        <f>BF44</f>
      </c>
      <c r="BH39" s="31">
        <f>BG44</f>
      </c>
      <c r="BI39" s="31">
        <f>BH44</f>
      </c>
      <c r="BJ39" s="31">
        <f>BI44</f>
      </c>
      <c r="BK39" s="31">
        <f>BJ44</f>
      </c>
      <c r="BL39" s="31">
        <f>BK44</f>
      </c>
      <c r="BM39" s="31">
        <f>BL44</f>
      </c>
      <c r="BN39" s="31">
        <f>BM44</f>
      </c>
      <c r="BO39" s="31">
        <f>BN44</f>
      </c>
      <c r="BP39" s="31">
        <f>BO44</f>
      </c>
      <c r="BQ39" s="31">
        <f>BP44</f>
      </c>
      <c r="BR39" s="31">
        <f>BQ44</f>
      </c>
      <c r="BS39" s="31">
        <f>BR44</f>
      </c>
      <c r="BT39" s="31">
        <f>BS44</f>
      </c>
      <c r="BU39" s="31">
        <f>BT44</f>
      </c>
      <c r="BV39" s="31">
        <f>BU44</f>
      </c>
      <c r="BW39" s="31">
        <f>BV44</f>
      </c>
      <c r="BX39" s="31">
        <f>BW44</f>
      </c>
      <c r="BY39" s="31">
        <f>BX44</f>
      </c>
      <c r="BZ39" s="31">
        <f>BY44</f>
      </c>
      <c r="CA39" s="31">
        <f>BZ44</f>
      </c>
      <c r="CB39" s="31">
        <f>CA44</f>
      </c>
      <c r="CC39" s="31">
        <f>CB44</f>
      </c>
      <c r="CD39" s="31">
        <f>CC44</f>
      </c>
      <c r="CE39" s="31">
        <f>CD44</f>
      </c>
      <c r="CF39" s="31">
        <f>CE44</f>
      </c>
      <c r="CG39" s="31">
        <f>CF44</f>
      </c>
      <c r="CH39" s="31">
        <f>CG44</f>
      </c>
      <c r="CI39" s="31">
        <f>CH44</f>
      </c>
      <c r="CJ39" s="31">
        <f>CI44</f>
      </c>
      <c r="CK39" s="31">
        <f>CJ44</f>
      </c>
      <c r="CL39" s="31">
        <f>CK44</f>
      </c>
    </row>
    <row r="40" spans="2:90" x14ac:dyDescent="0.25">
      <c r="B40" s="33" t="s">
        <v>245</v>
      </c>
      <c r="C40" s="34" t="s">
        <v>228</v>
      </c>
      <c r="D40" s="31">
        <f>SUM(E40:CL40)</f>
      </c>
      <c r="E40" s="31">
        <f>E19</f>
      </c>
      <c r="F40" s="31">
        <f>F19-E19</f>
      </c>
      <c r="G40" s="31">
        <f>G19-F19</f>
      </c>
      <c r="H40" s="31">
        <f>H19-G19</f>
      </c>
      <c r="I40" s="31">
        <f>I19-H19</f>
      </c>
      <c r="J40" s="31">
        <f>J19-I19</f>
      </c>
      <c r="K40" s="31">
        <f>K19-J19</f>
      </c>
      <c r="L40" s="31">
        <f>L19-K19</f>
      </c>
      <c r="M40" s="31">
        <f>M19-L19</f>
      </c>
      <c r="N40" s="31">
        <f>N19-M19</f>
      </c>
      <c r="O40" s="31">
        <f>O19-N19</f>
      </c>
      <c r="P40" s="31">
        <f>P19-O19</f>
      </c>
      <c r="Q40" s="31">
        <f>Q19-P19</f>
      </c>
      <c r="R40" s="31">
        <f>R19-Q19</f>
      </c>
      <c r="S40" s="31">
        <f>S19-R19</f>
      </c>
      <c r="T40" s="31">
        <f>T19-S19</f>
      </c>
      <c r="U40" s="31">
        <f>U19-T19</f>
      </c>
      <c r="V40" s="31">
        <f>V19-U19</f>
      </c>
      <c r="W40" s="31">
        <f>W19-V19</f>
      </c>
      <c r="X40" s="31">
        <f>X19-W19</f>
      </c>
      <c r="Y40" s="31">
        <f>Y19-X19</f>
      </c>
      <c r="Z40" s="31">
        <f>Z19-Y19</f>
      </c>
      <c r="AA40" s="31">
        <f>AA19-Z19</f>
      </c>
      <c r="AB40" s="31">
        <f>AB19-AA19</f>
      </c>
      <c r="AC40" s="31">
        <f>AC19-AB19</f>
      </c>
      <c r="AD40" s="31">
        <f>AD19-AC19</f>
      </c>
      <c r="AE40" s="31">
        <f>AE19-AD19</f>
      </c>
      <c r="AF40" s="31">
        <f>AF19-AE19</f>
      </c>
      <c r="AG40" s="31">
        <f>AG19-AF19</f>
      </c>
      <c r="AH40" s="31">
        <f>AH19-AG19</f>
      </c>
      <c r="AI40" s="31">
        <f>AI19-AH19</f>
      </c>
      <c r="AJ40" s="31">
        <f>AJ19-AI19</f>
      </c>
      <c r="AK40" s="31">
        <f>AK19-AJ19</f>
      </c>
      <c r="AL40" s="31">
        <f>AL19-AK19</f>
      </c>
      <c r="AM40" s="31">
        <f>AM19-AL19</f>
      </c>
      <c r="AN40" s="31">
        <f>AN19-AM19</f>
      </c>
      <c r="AO40" s="31">
        <f>AO19-AN19</f>
      </c>
      <c r="AP40" s="31">
        <f>AP19-AO19</f>
      </c>
      <c r="AQ40" s="31">
        <f>AQ19-AP19</f>
      </c>
      <c r="AR40" s="31">
        <f>AR19-AQ19</f>
      </c>
      <c r="AS40" s="31">
        <f>AS19-AR19</f>
      </c>
      <c r="AT40" s="31">
        <f>AT19-AS19</f>
      </c>
      <c r="AU40" s="31">
        <f>AU19-AT19</f>
      </c>
      <c r="AV40" s="31">
        <f>AV19-AU19</f>
      </c>
      <c r="AW40" s="31">
        <f>AW19-AV19</f>
      </c>
      <c r="AX40" s="31">
        <f>AX19-AW19</f>
      </c>
      <c r="AY40" s="31">
        <f>AY19-AX19</f>
      </c>
      <c r="AZ40" s="31">
        <f>AZ19-AY19</f>
      </c>
      <c r="BA40" s="31">
        <f>BA19-AZ19</f>
      </c>
      <c r="BB40" s="31">
        <f>BB19-BA19</f>
      </c>
      <c r="BC40" s="31">
        <f>BC19-BB19</f>
      </c>
      <c r="BD40" s="31">
        <f>BD19-BC19</f>
      </c>
      <c r="BE40" s="31">
        <f>BE19-BD19</f>
      </c>
      <c r="BF40" s="31">
        <f>BF19-BE19</f>
      </c>
      <c r="BG40" s="31">
        <f>BG19-BF19</f>
      </c>
      <c r="BH40" s="31">
        <f>BH19-BG19</f>
      </c>
      <c r="BI40" s="31">
        <f>BI19-BH19</f>
      </c>
      <c r="BJ40" s="31">
        <f>BJ19-BI19</f>
      </c>
      <c r="BK40" s="31">
        <f>BK19-BJ19</f>
      </c>
      <c r="BL40" s="31">
        <f>BL19-BK19</f>
      </c>
      <c r="BM40" s="31">
        <f>BM19-BL19</f>
      </c>
      <c r="BN40" s="31">
        <f>BN19-BM19</f>
      </c>
      <c r="BO40" s="31">
        <f>BO19-BN19</f>
      </c>
      <c r="BP40" s="31">
        <f>BP19-BO19</f>
      </c>
      <c r="BQ40" s="31">
        <f>BQ19-BP19</f>
      </c>
      <c r="BR40" s="31">
        <f>BR19-BQ19</f>
      </c>
      <c r="BS40" s="31">
        <f>BS19-BR19</f>
      </c>
      <c r="BT40" s="31">
        <f>BT19-BS19</f>
      </c>
      <c r="BU40" s="31">
        <f>BU19-BT19</f>
      </c>
      <c r="BV40" s="31">
        <f>BV19-BU19</f>
      </c>
      <c r="BW40" s="31">
        <f>BW19-BV19</f>
      </c>
      <c r="BX40" s="31">
        <f>BX19-BW19</f>
      </c>
      <c r="BY40" s="31">
        <f>BY19-BX19</f>
      </c>
      <c r="BZ40" s="31">
        <f>BZ19-BY19</f>
      </c>
      <c r="CA40" s="31">
        <f>CA19-BZ19</f>
      </c>
      <c r="CB40" s="31">
        <f>CB19-CA19</f>
      </c>
      <c r="CC40" s="31">
        <f>CC19-CB19</f>
      </c>
      <c r="CD40" s="31">
        <f>CD19-CC19</f>
      </c>
      <c r="CE40" s="31">
        <f>CE19-CD19</f>
      </c>
      <c r="CF40" s="31">
        <f>CF19-CE19</f>
      </c>
      <c r="CG40" s="31">
        <f>CG19-CF19</f>
      </c>
      <c r="CH40" s="31">
        <f>CH19-CG19</f>
      </c>
      <c r="CI40" s="31">
        <f>CI19-CH19</f>
      </c>
      <c r="CJ40" s="31">
        <f>CJ19-CI19</f>
      </c>
      <c r="CK40" s="31">
        <f>CK19-CJ19</f>
      </c>
      <c r="CL40" s="31">
        <f>CL19-CK19</f>
      </c>
    </row>
    <row r="41" spans="2:90" x14ac:dyDescent="0.25">
      <c r="B41" s="33" t="s">
        <v>214</v>
      </c>
      <c r="C41" s="34" t="s">
        <v>228</v>
      </c>
      <c r="D41" s="31">
        <f>SUM(E41:CL41)</f>
      </c>
      <c r="E41" s="31">
        <f>E11</f>
      </c>
      <c r="F41" s="31">
        <f>F11</f>
      </c>
      <c r="G41" s="31">
        <f>G11</f>
      </c>
      <c r="H41" s="31">
        <f>H11</f>
      </c>
      <c r="I41" s="31">
        <f>I11</f>
      </c>
      <c r="J41" s="31">
        <f>J11</f>
      </c>
      <c r="K41" s="31">
        <f>K11</f>
      </c>
      <c r="L41" s="31">
        <f>L11</f>
      </c>
      <c r="M41" s="31">
        <f>M11</f>
      </c>
      <c r="N41" s="31">
        <f>N11</f>
      </c>
      <c r="O41" s="31">
        <f>O11</f>
      </c>
      <c r="P41" s="31">
        <f>P11</f>
      </c>
      <c r="Q41" s="31">
        <f>Q11</f>
      </c>
      <c r="R41" s="31">
        <f>R11</f>
      </c>
      <c r="S41" s="31">
        <f>S11</f>
      </c>
      <c r="T41" s="31">
        <f>T11</f>
      </c>
      <c r="U41" s="31">
        <f>U11</f>
      </c>
      <c r="V41" s="31">
        <f>V11</f>
      </c>
      <c r="W41" s="31">
        <f>W11</f>
      </c>
      <c r="X41" s="31">
        <f>X11</f>
      </c>
      <c r="Y41" s="31">
        <f>Y11</f>
      </c>
      <c r="Z41" s="31">
        <f>Z11</f>
      </c>
      <c r="AA41" s="31">
        <f>AA11</f>
      </c>
      <c r="AB41" s="31">
        <f>AB11</f>
      </c>
      <c r="AC41" s="31">
        <f>AC11</f>
      </c>
      <c r="AD41" s="31">
        <f>AD11</f>
      </c>
      <c r="AE41" s="31">
        <f>AE11</f>
      </c>
      <c r="AF41" s="31">
        <f>AF11</f>
      </c>
      <c r="AG41" s="31">
        <f>AG11</f>
      </c>
      <c r="AH41" s="31">
        <f>AH11</f>
      </c>
      <c r="AI41" s="31">
        <f>AI11</f>
      </c>
      <c r="AJ41" s="31">
        <f>AJ11</f>
      </c>
      <c r="AK41" s="31">
        <f>AK11</f>
      </c>
      <c r="AL41" s="31">
        <f>AL11</f>
      </c>
      <c r="AM41" s="31">
        <f>AM11</f>
      </c>
      <c r="AN41" s="31">
        <f>AN11</f>
      </c>
      <c r="AO41" s="31">
        <f>AO11</f>
      </c>
      <c r="AP41" s="31">
        <f>AP11</f>
      </c>
      <c r="AQ41" s="31">
        <f>AQ11</f>
      </c>
      <c r="AR41" s="31">
        <f>AR11</f>
      </c>
      <c r="AS41" s="31">
        <f>AS11</f>
      </c>
      <c r="AT41" s="31">
        <f>AT11</f>
      </c>
      <c r="AU41" s="31">
        <f>AU11</f>
      </c>
      <c r="AV41" s="31">
        <f>AV11</f>
      </c>
      <c r="AW41" s="31">
        <f>AW11</f>
      </c>
      <c r="AX41" s="31">
        <f>AX11</f>
      </c>
      <c r="AY41" s="31">
        <f>AY11</f>
      </c>
      <c r="AZ41" s="31">
        <f>AZ11</f>
      </c>
      <c r="BA41" s="31">
        <f>BA11</f>
      </c>
      <c r="BB41" s="31">
        <f>BB11</f>
      </c>
      <c r="BC41" s="31">
        <f>BC11</f>
      </c>
      <c r="BD41" s="31">
        <f>BD11</f>
      </c>
      <c r="BE41" s="31">
        <f>BE11</f>
      </c>
      <c r="BF41" s="31">
        <f>BF11</f>
      </c>
      <c r="BG41" s="31">
        <f>BG11</f>
      </c>
      <c r="BH41" s="31">
        <f>BH11</f>
      </c>
      <c r="BI41" s="31">
        <f>BI11</f>
      </c>
      <c r="BJ41" s="31">
        <f>BJ11</f>
      </c>
      <c r="BK41" s="31">
        <f>BK11</f>
      </c>
      <c r="BL41" s="31">
        <f>BL11</f>
      </c>
      <c r="BM41" s="31">
        <f>BM11</f>
      </c>
      <c r="BN41" s="31">
        <f>BN11</f>
      </c>
      <c r="BO41" s="31">
        <f>BO11</f>
      </c>
      <c r="BP41" s="31">
        <f>BP11</f>
      </c>
      <c r="BQ41" s="31">
        <f>BQ11</f>
      </c>
      <c r="BR41" s="31">
        <f>BR11</f>
      </c>
      <c r="BS41" s="31">
        <f>BS11</f>
      </c>
      <c r="BT41" s="31">
        <f>BT11</f>
      </c>
      <c r="BU41" s="31">
        <f>BU11</f>
      </c>
      <c r="BV41" s="31">
        <f>BV11</f>
      </c>
      <c r="BW41" s="31">
        <f>BW11</f>
      </c>
      <c r="BX41" s="31">
        <f>BX11</f>
      </c>
      <c r="BY41" s="31">
        <f>BY11</f>
      </c>
      <c r="BZ41" s="31">
        <f>BZ11</f>
      </c>
      <c r="CA41" s="31">
        <f>CA11</f>
      </c>
      <c r="CB41" s="31">
        <f>CB11</f>
      </c>
      <c r="CC41" s="31">
        <f>CC11</f>
      </c>
      <c r="CD41" s="31">
        <f>CD11</f>
      </c>
      <c r="CE41" s="31">
        <f>CE11</f>
      </c>
      <c r="CF41" s="31">
        <f>CF11</f>
      </c>
      <c r="CG41" s="31">
        <f>CG11</f>
      </c>
      <c r="CH41" s="31">
        <f>CH11</f>
      </c>
      <c r="CI41" s="31">
        <f>CI11</f>
      </c>
      <c r="CJ41" s="31">
        <f>CJ11</f>
      </c>
      <c r="CK41" s="31">
        <f>CK11</f>
      </c>
      <c r="CL41" s="31">
        <f>CL11</f>
      </c>
    </row>
    <row r="42" spans="2:90" x14ac:dyDescent="0.25">
      <c r="B42" s="33" t="s">
        <v>246</v>
      </c>
      <c r="C42" s="34" t="s">
        <v>228</v>
      </c>
      <c r="D42" s="14">
        <f>SUM(E42:CL42)</f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f>K39*$D$95/4</f>
      </c>
      <c r="L42" s="31">
        <f>L39*$D$95/4</f>
      </c>
      <c r="M42" s="31">
        <f>M39*$D$95/4</f>
      </c>
      <c r="N42" s="31">
        <f>N39*$D$95/4</f>
      </c>
      <c r="O42" s="31">
        <f>O39*$D$95/4</f>
      </c>
      <c r="P42" s="31">
        <f>P39*$D$95/4</f>
      </c>
      <c r="Q42" s="31">
        <f>Q39*$D$95/4</f>
      </c>
      <c r="R42" s="31">
        <f>R39*$D$95/4</f>
      </c>
      <c r="S42" s="31">
        <f>S39*$D$95/4</f>
      </c>
      <c r="T42" s="31">
        <f>T39*$D$95/4</f>
      </c>
      <c r="U42" s="31">
        <f>U39*$D$95/4</f>
      </c>
      <c r="V42" s="31">
        <f>V39*$D$95/4</f>
      </c>
      <c r="W42" s="31">
        <f>W39*$D$95/4</f>
      </c>
      <c r="X42" s="31">
        <f>X39*$D$95/4</f>
      </c>
      <c r="Y42" s="31">
        <f>Y39*$D$95/4</f>
      </c>
      <c r="Z42" s="31">
        <f>Z39*$D$95/4</f>
      </c>
      <c r="AA42" s="31">
        <f>AA39*$D$95/4</f>
      </c>
      <c r="AB42" s="31">
        <f>AB39*$D$95/4</f>
      </c>
      <c r="AC42" s="31">
        <f>AC39*$D$95/4</f>
      </c>
      <c r="AD42" s="31">
        <f>AD39*$D$95/4</f>
      </c>
      <c r="AE42" s="31">
        <f>AE39*$D$95/4</f>
      </c>
      <c r="AF42" s="31">
        <f>AF39*$D$95/4</f>
      </c>
      <c r="AG42" s="31">
        <f>AG39*$D$95/4</f>
      </c>
      <c r="AH42" s="31">
        <f>AH39*$D$95/4</f>
      </c>
      <c r="AI42" s="31">
        <f>AI39*$D$95/4</f>
      </c>
      <c r="AJ42" s="31">
        <f>AJ39*$D$95/4</f>
      </c>
      <c r="AK42" s="31">
        <f>AK39*$D$95/4</f>
      </c>
      <c r="AL42" s="31">
        <f>AL39*$D$95/4</f>
      </c>
      <c r="AM42" s="31">
        <f>AM39*$D$95/4</f>
      </c>
      <c r="AN42" s="31">
        <f>AN39*$D$95/4</f>
      </c>
      <c r="AO42" s="31">
        <f>AO39*$D$95/4</f>
      </c>
      <c r="AP42" s="31">
        <f>AP39*$D$95/4</f>
      </c>
      <c r="AQ42" s="31">
        <f>AQ39*$D$95/4</f>
      </c>
      <c r="AR42" s="31">
        <f>AR39*$D$95/4</f>
      </c>
      <c r="AS42" s="31">
        <f>AS39*$D$95/4</f>
      </c>
      <c r="AT42" s="31">
        <f>AT39*$D$95/4</f>
      </c>
      <c r="AU42" s="31">
        <f>AU39*$D$95/4</f>
      </c>
      <c r="AV42" s="31">
        <f>AV39*$D$95/4</f>
      </c>
      <c r="AW42" s="31">
        <f>AW39*$D$95/4</f>
      </c>
      <c r="AX42" s="31">
        <f>AX39*$D$95/4</f>
      </c>
      <c r="AY42" s="31">
        <f>AY39*$D$95/4</f>
      </c>
      <c r="AZ42" s="31">
        <f>AZ39*$D$95/4</f>
      </c>
      <c r="BA42" s="31">
        <f>BA39*$D$95/4</f>
      </c>
      <c r="BB42" s="31">
        <f>BB39*$D$95/4</f>
      </c>
      <c r="BC42" s="31">
        <f>BC39*$D$95/4</f>
      </c>
      <c r="BD42" s="31">
        <f>BD39*$D$95/4</f>
      </c>
      <c r="BE42" s="31">
        <f>BE39*$D$95/4</f>
      </c>
      <c r="BF42" s="31">
        <f>BF39*$D$95/4</f>
      </c>
      <c r="BG42" s="31">
        <f>BG39*$D$95/4</f>
      </c>
      <c r="BH42" s="31">
        <f>BH39*$D$95/4</f>
      </c>
      <c r="BI42" s="31">
        <f>BI39*$D$95/4</f>
      </c>
      <c r="BJ42" s="31">
        <f>BJ39*$D$95/4</f>
      </c>
      <c r="BK42" s="31">
        <f>BK39*$D$95/4</f>
      </c>
      <c r="BL42" s="31">
        <f>BL39*$D$95/4</f>
      </c>
      <c r="BM42" s="31">
        <f>BM39*$D$95/4</f>
      </c>
      <c r="BN42" s="31">
        <f>BN39*$D$95/4</f>
      </c>
      <c r="BO42" s="31">
        <f>BO39*$D$95/4</f>
      </c>
      <c r="BP42" s="31">
        <f>BP39*$D$95/4</f>
      </c>
      <c r="BQ42" s="31">
        <f>BQ39*$D$95/4</f>
      </c>
      <c r="BR42" s="31">
        <f>BR39*$D$95/4</f>
      </c>
      <c r="BS42" s="31">
        <f>BS39*$D$95/4</f>
      </c>
      <c r="BT42" s="31">
        <f>BT39*$D$95/4</f>
      </c>
      <c r="BU42" s="31">
        <f>BU39*$D$95/4</f>
      </c>
      <c r="BV42" s="31">
        <f>BV39*$D$95/4</f>
      </c>
      <c r="BW42" s="31">
        <f>BW39*$D$95/4</f>
      </c>
      <c r="BX42" s="31">
        <f>BX39*$D$95/4</f>
      </c>
      <c r="BY42" s="31">
        <f>BY39*$D$95/4</f>
      </c>
      <c r="BZ42" s="31">
        <f>BZ39*$D$95/4</f>
      </c>
      <c r="CA42" s="31">
        <f>CA39*$D$95/4</f>
      </c>
      <c r="CB42" s="31">
        <f>CB39*$D$95/4</f>
      </c>
      <c r="CC42" s="31">
        <f>CC39*$D$95/4</f>
      </c>
      <c r="CD42" s="31">
        <f>CD39*$D$95/4</f>
      </c>
      <c r="CE42" s="31">
        <f>CE39*$D$95/4</f>
      </c>
      <c r="CF42" s="31">
        <f>CF39*$D$95/4</f>
      </c>
      <c r="CG42" s="31">
        <f>CG39*$D$95/4</f>
      </c>
      <c r="CH42" s="31">
        <f>CH39*$D$95/4</f>
      </c>
      <c r="CI42" s="31">
        <f>CI39*$D$95/4</f>
      </c>
      <c r="CJ42" s="31">
        <f>CJ39*$D$95/4</f>
      </c>
      <c r="CK42" s="31">
        <f>CK39*$D$95/4</f>
      </c>
      <c r="CL42" s="31">
        <f>CL39*$D$95/4</f>
      </c>
    </row>
    <row r="43" spans="2:90" x14ac:dyDescent="0.25">
      <c r="B43" s="33" t="s">
        <v>247</v>
      </c>
      <c r="C43" s="34" t="s">
        <v>228</v>
      </c>
      <c r="D43" s="14">
        <f>SUM(E43:CL43)</f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f>N39/64</f>
      </c>
      <c r="O43" s="31">
        <f>N39/64</f>
      </c>
      <c r="P43" s="31">
        <f>N39/64</f>
      </c>
      <c r="Q43" s="31">
        <f>N39/64</f>
      </c>
      <c r="R43" s="31">
        <f>N39/64</f>
      </c>
      <c r="S43" s="31">
        <f>N39/64</f>
      </c>
      <c r="T43" s="31">
        <f>N39/64</f>
      </c>
      <c r="U43" s="31">
        <f>N39/64</f>
      </c>
      <c r="V43" s="31">
        <f>N39/64</f>
      </c>
      <c r="W43" s="31">
        <f>N39/64</f>
      </c>
      <c r="X43" s="31">
        <f>N39/64</f>
      </c>
      <c r="Y43" s="31">
        <f>N39/64</f>
      </c>
      <c r="Z43" s="31">
        <f>N39/64</f>
      </c>
      <c r="AA43" s="31">
        <f>N39/64</f>
      </c>
      <c r="AB43" s="31">
        <f>N39/64</f>
      </c>
      <c r="AC43" s="31">
        <f>N39/64</f>
      </c>
      <c r="AD43" s="31">
        <f>N39/64</f>
      </c>
      <c r="AE43" s="31">
        <f>N39/64</f>
      </c>
      <c r="AF43" s="31">
        <f>N39/64</f>
      </c>
      <c r="AG43" s="31">
        <f>N39/64</f>
      </c>
      <c r="AH43" s="31">
        <f>N39/64</f>
      </c>
      <c r="AI43" s="31">
        <f>N39/64</f>
      </c>
      <c r="AJ43" s="31">
        <f>N39/64</f>
      </c>
      <c r="AK43" s="31">
        <f>N39/64</f>
      </c>
      <c r="AL43" s="31">
        <f>N39/64</f>
      </c>
      <c r="AM43" s="31">
        <f>N39/64</f>
      </c>
      <c r="AN43" s="31">
        <f>N39/64</f>
      </c>
      <c r="AO43" s="31">
        <f>N39/64</f>
      </c>
      <c r="AP43" s="31">
        <f>N39/64</f>
      </c>
      <c r="AQ43" s="31">
        <f>N39/64</f>
      </c>
      <c r="AR43" s="31">
        <f>N39/64</f>
      </c>
      <c r="AS43" s="31">
        <f>N39/64</f>
      </c>
      <c r="AT43" s="31">
        <f>N39/64</f>
      </c>
      <c r="AU43" s="31">
        <f>N39/64</f>
      </c>
      <c r="AV43" s="31">
        <f>N39/64</f>
      </c>
      <c r="AW43" s="31">
        <f>N39/64</f>
      </c>
      <c r="AX43" s="31">
        <f>N39/64</f>
      </c>
      <c r="AY43" s="31">
        <f>N39/64</f>
      </c>
      <c r="AZ43" s="31">
        <f>N39/64</f>
      </c>
      <c r="BA43" s="31">
        <f>N39/64</f>
      </c>
      <c r="BB43" s="31">
        <f>N39/64</f>
      </c>
      <c r="BC43" s="31">
        <f>N39/64</f>
      </c>
      <c r="BD43" s="31">
        <f>N39/64</f>
      </c>
      <c r="BE43" s="31">
        <f>N39/64</f>
      </c>
      <c r="BF43" s="31">
        <f>N39/64</f>
      </c>
      <c r="BG43" s="31">
        <f>N39/64</f>
      </c>
      <c r="BH43" s="31">
        <f>N39/64</f>
      </c>
      <c r="BI43" s="31">
        <f>N39/64</f>
      </c>
      <c r="BJ43" s="31">
        <f>N39/64</f>
      </c>
      <c r="BK43" s="31">
        <f>N39/64</f>
      </c>
      <c r="BL43" s="31">
        <f>N39/64</f>
      </c>
      <c r="BM43" s="31">
        <f>N39/64</f>
      </c>
      <c r="BN43" s="31">
        <f>N39/64</f>
      </c>
      <c r="BO43" s="31">
        <f>N39/64</f>
      </c>
      <c r="BP43" s="31">
        <f>N39/64</f>
      </c>
      <c r="BQ43" s="31">
        <f>N39/64</f>
      </c>
      <c r="BR43" s="31">
        <f>N39/64</f>
      </c>
      <c r="BS43" s="31">
        <f>N39/64</f>
      </c>
      <c r="BT43" s="31">
        <f>N39/64</f>
      </c>
      <c r="BU43" s="31">
        <f>N39/64</f>
      </c>
      <c r="BV43" s="31">
        <f>N39/64</f>
      </c>
      <c r="BW43" s="31">
        <f>N39/64</f>
      </c>
      <c r="BX43" s="31">
        <f>N39/64</f>
      </c>
      <c r="BY43" s="31">
        <f>N39/64</f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</row>
    <row r="44" spans="2:90" x14ac:dyDescent="0.25">
      <c r="B44" s="46" t="s">
        <v>248</v>
      </c>
      <c r="C44" s="34" t="s">
        <v>228</v>
      </c>
      <c r="E44" s="14">
        <f>E39+E40-E43</f>
      </c>
      <c r="F44" s="14">
        <f>F39+F40-F43</f>
      </c>
      <c r="G44" s="14">
        <f>G39+G40-G43</f>
      </c>
      <c r="H44" s="14">
        <f>H39+H40-H43</f>
      </c>
      <c r="I44" s="14">
        <f>I39+I40-I43</f>
      </c>
      <c r="J44" s="14">
        <f>J39+J40-J43</f>
      </c>
      <c r="K44" s="14">
        <f>K39+K40-K43</f>
      </c>
      <c r="L44" s="14">
        <f>L39+L40-L43</f>
      </c>
      <c r="M44" s="14">
        <f>M39+M40-M43</f>
      </c>
      <c r="N44" s="14">
        <f>N39+N40-N43</f>
      </c>
      <c r="O44" s="14">
        <f>O39+O40-O43</f>
      </c>
      <c r="P44" s="14">
        <f>P39+P40-P43</f>
      </c>
      <c r="Q44" s="14">
        <f>Q39+Q40-Q43</f>
      </c>
      <c r="R44" s="14">
        <f>R39+R40-R43</f>
      </c>
      <c r="S44" s="14">
        <f>S39+S40-S43</f>
      </c>
      <c r="T44" s="14">
        <f>T39+T40-T43</f>
      </c>
      <c r="U44" s="14">
        <f>U39+U40-U43</f>
      </c>
      <c r="V44" s="14">
        <f>V39+V40-V43</f>
      </c>
      <c r="W44" s="14">
        <f>W39+W40-W43</f>
      </c>
      <c r="X44" s="14">
        <f>X39+X40-X43</f>
      </c>
      <c r="Y44" s="14">
        <f>Y39+Y40-Y43</f>
      </c>
      <c r="Z44" s="14">
        <f>Z39+Z40-Z43</f>
      </c>
      <c r="AA44" s="14">
        <f>AA39+AA40-AA43</f>
      </c>
      <c r="AB44" s="14">
        <f>AB39+AB40-AB43</f>
      </c>
      <c r="AC44" s="14">
        <f>AC39+AC40-AC43</f>
      </c>
      <c r="AD44" s="14">
        <f>AD39+AD40-AD43</f>
      </c>
      <c r="AE44" s="14">
        <f>AE39+AE40-AE43</f>
      </c>
      <c r="AF44" s="14">
        <f>AF39+AF40-AF43</f>
      </c>
      <c r="AG44" s="14">
        <f>AG39+AG40-AG43</f>
      </c>
      <c r="AH44" s="14">
        <f>AH39+AH40-AH43</f>
      </c>
      <c r="AI44" s="14">
        <f>AI39+AI40-AI43</f>
      </c>
      <c r="AJ44" s="14">
        <f>AJ39+AJ40-AJ43</f>
      </c>
      <c r="AK44" s="14">
        <f>AK39+AK40-AK43</f>
      </c>
      <c r="AL44" s="14">
        <f>AL39+AL40-AL43</f>
      </c>
      <c r="AM44" s="14">
        <f>AM39+AM40-AM43</f>
      </c>
      <c r="AN44" s="14">
        <f>AN39+AN40-AN43</f>
      </c>
      <c r="AO44" s="14">
        <f>AO39+AO40-AO43</f>
      </c>
      <c r="AP44" s="14">
        <f>AP39+AP40-AP43</f>
      </c>
      <c r="AQ44" s="14">
        <f>AQ39+AQ40-AQ43</f>
      </c>
      <c r="AR44" s="14">
        <f>AR39+AR40-AR43</f>
      </c>
      <c r="AS44" s="14">
        <f>AS39+AS40-AS43</f>
      </c>
      <c r="AT44" s="14">
        <f>AT39+AT40-AT43</f>
      </c>
      <c r="AU44" s="14">
        <f>AU39+AU40-AU43</f>
      </c>
      <c r="AV44" s="14">
        <f>AV39+AV40-AV43</f>
      </c>
      <c r="AW44" s="14">
        <f>AW39+AW40-AW43</f>
      </c>
      <c r="AX44" s="14">
        <f>AX39+AX40-AX43</f>
      </c>
      <c r="AY44" s="14">
        <f>AY39+AY40-AY43</f>
      </c>
      <c r="AZ44" s="14">
        <f>AZ39+AZ40-AZ43</f>
      </c>
      <c r="BA44" s="14">
        <f>BA39+BA40-BA43</f>
      </c>
      <c r="BB44" s="14">
        <f>BB39+BB40-BB43</f>
      </c>
      <c r="BC44" s="14">
        <f>BC39+BC40-BC43</f>
      </c>
      <c r="BD44" s="14">
        <f>BD39+BD40-BD43</f>
      </c>
      <c r="BE44" s="14">
        <f>BE39+BE40-BE43</f>
      </c>
      <c r="BF44" s="14">
        <f>BF39+BF40-BF43</f>
      </c>
      <c r="BG44" s="14">
        <f>BG39+BG40-BG43</f>
      </c>
      <c r="BH44" s="14">
        <f>BH39+BH40-BH43</f>
      </c>
      <c r="BI44" s="14">
        <f>BI39+BI40-BI43</f>
      </c>
      <c r="BJ44" s="14">
        <f>BJ39+BJ40-BJ43</f>
      </c>
      <c r="BK44" s="14">
        <f>BK39+BK40-BK43</f>
      </c>
      <c r="BL44" s="14">
        <f>BL39+BL40-BL43</f>
      </c>
      <c r="BM44" s="14">
        <f>BM39+BM40-BM43</f>
      </c>
      <c r="BN44" s="14">
        <f>BN39+BN40-BN43</f>
      </c>
      <c r="BO44" s="14">
        <f>BO39+BO40-BO43</f>
      </c>
      <c r="BP44" s="14">
        <f>BP39+BP40-BP43</f>
      </c>
      <c r="BQ44" s="14">
        <f>BQ39+BQ40-BQ43</f>
      </c>
      <c r="BR44" s="14">
        <f>BR39+BR40-BR43</f>
      </c>
      <c r="BS44" s="14">
        <f>BS39+BS40-BS43</f>
      </c>
      <c r="BT44" s="14">
        <f>BT39+BT40-BT43</f>
      </c>
      <c r="BU44" s="14">
        <f>BU39+BU40-BU43</f>
      </c>
      <c r="BV44" s="14">
        <f>BV39+BV40-BV43</f>
      </c>
      <c r="BW44" s="14">
        <f>BW39+BW40-BW43</f>
      </c>
      <c r="BX44" s="14">
        <f>BX39+BX40-BX43</f>
      </c>
      <c r="BY44" s="14">
        <f>BY39+BY40-BY43</f>
      </c>
      <c r="BZ44" s="14">
        <f>BZ39+BZ40-BZ43</f>
      </c>
      <c r="CA44" s="14">
        <f>CA39+CA40-CA43</f>
      </c>
      <c r="CB44" s="14">
        <f>CB39+CB40-CB43</f>
      </c>
      <c r="CC44" s="14">
        <f>CC39+CC40-CC43</f>
      </c>
      <c r="CD44" s="14">
        <f>CD39+CD40-CD43</f>
      </c>
      <c r="CE44" s="14">
        <f>CE39+CE40-CE43</f>
      </c>
      <c r="CF44" s="14">
        <f>CF39+CF40-CF43</f>
      </c>
      <c r="CG44" s="14">
        <f>CG39+CG40-CG43</f>
      </c>
      <c r="CH44" s="14">
        <f>CH39+CH40-CH43</f>
      </c>
      <c r="CI44" s="14">
        <f>CI39+CI40-CI43</f>
      </c>
      <c r="CJ44" s="14">
        <f>CJ39+CJ40-CJ43</f>
      </c>
      <c r="CK44" s="14">
        <f>CK39+CK40-CK43</f>
      </c>
      <c r="CL44" s="14">
        <f>CL39+CL40-CL43</f>
      </c>
    </row>
    <row r="45" spans="2:6" x14ac:dyDescent="0.25">
      <c r="B45" s="33" t="s">
        <v>249</v>
      </c>
      <c r="C45" s="34" t="s">
        <v>228</v>
      </c>
      <c r="D45" s="31">
        <f>CL44</f>
      </c>
      <c r="F45" s="30">
        <f>IF(ABS(D45)&lt;1,"완전상환 확인 (OK)","경고: 미상환 잔액")</f>
      </c>
    </row>
    <row r="47" spans="2:91" x14ac:dyDescent="0.25">
      <c r="B47" s="47" t="s">
        <v>94</v>
      </c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</row>
    <row r="48" spans="2:90" x14ac:dyDescent="0.25">
      <c r="B48" s="33" t="s">
        <v>244</v>
      </c>
      <c r="C48" s="34" t="s">
        <v>228</v>
      </c>
      <c r="E48" s="31">
        <v>0</v>
      </c>
      <c r="F48" s="31">
        <f>E53</f>
      </c>
      <c r="G48" s="31">
        <f>F53</f>
      </c>
      <c r="H48" s="31">
        <f>G53</f>
      </c>
      <c r="I48" s="31">
        <f>H53</f>
      </c>
      <c r="J48" s="31">
        <f>I53</f>
      </c>
      <c r="K48" s="31">
        <f>J53</f>
      </c>
      <c r="L48" s="31">
        <f>K53</f>
      </c>
      <c r="M48" s="31">
        <f>L53</f>
      </c>
      <c r="N48" s="31">
        <f>M53</f>
      </c>
      <c r="O48" s="31">
        <f>N53</f>
      </c>
      <c r="P48" s="31">
        <f>O53</f>
      </c>
      <c r="Q48" s="31">
        <f>P53</f>
      </c>
      <c r="R48" s="31">
        <f>Q53</f>
      </c>
      <c r="S48" s="31">
        <f>R53</f>
      </c>
      <c r="T48" s="31">
        <f>S53</f>
      </c>
      <c r="U48" s="31">
        <f>T53</f>
      </c>
      <c r="V48" s="31">
        <f>U53</f>
      </c>
      <c r="W48" s="31">
        <f>V53</f>
      </c>
      <c r="X48" s="31">
        <f>W53</f>
      </c>
      <c r="Y48" s="31">
        <f>X53</f>
      </c>
      <c r="Z48" s="31">
        <f>Y53</f>
      </c>
      <c r="AA48" s="31">
        <f>Z53</f>
      </c>
      <c r="AB48" s="31">
        <f>AA53</f>
      </c>
      <c r="AC48" s="31">
        <f>AB53</f>
      </c>
      <c r="AD48" s="31">
        <f>AC53</f>
      </c>
      <c r="AE48" s="31">
        <f>AD53</f>
      </c>
      <c r="AF48" s="31">
        <f>AE53</f>
      </c>
      <c r="AG48" s="31">
        <f>AF53</f>
      </c>
      <c r="AH48" s="31">
        <f>AG53</f>
      </c>
      <c r="AI48" s="31">
        <f>AH53</f>
      </c>
      <c r="AJ48" s="31">
        <f>AI53</f>
      </c>
      <c r="AK48" s="31">
        <f>AJ53</f>
      </c>
      <c r="AL48" s="31">
        <f>AK53</f>
      </c>
      <c r="AM48" s="31">
        <f>AL53</f>
      </c>
      <c r="AN48" s="31">
        <f>AM53</f>
      </c>
      <c r="AO48" s="31">
        <f>AN53</f>
      </c>
      <c r="AP48" s="31">
        <f>AO53</f>
      </c>
      <c r="AQ48" s="31">
        <f>AP53</f>
      </c>
      <c r="AR48" s="31">
        <f>AQ53</f>
      </c>
      <c r="AS48" s="31">
        <f>AR53</f>
      </c>
      <c r="AT48" s="31">
        <f>AS53</f>
      </c>
      <c r="AU48" s="31">
        <f>AT53</f>
      </c>
      <c r="AV48" s="31">
        <f>AU53</f>
      </c>
      <c r="AW48" s="31">
        <f>AV53</f>
      </c>
      <c r="AX48" s="31">
        <f>AW53</f>
      </c>
      <c r="AY48" s="31">
        <f>AX53</f>
      </c>
      <c r="AZ48" s="31">
        <f>AY53</f>
      </c>
      <c r="BA48" s="31">
        <f>AZ53</f>
      </c>
      <c r="BB48" s="31">
        <f>BA53</f>
      </c>
      <c r="BC48" s="31">
        <f>BB53</f>
      </c>
      <c r="BD48" s="31">
        <f>BC53</f>
      </c>
      <c r="BE48" s="31">
        <f>BD53</f>
      </c>
      <c r="BF48" s="31">
        <f>BE53</f>
      </c>
      <c r="BG48" s="31">
        <f>BF53</f>
      </c>
      <c r="BH48" s="31">
        <f>BG53</f>
      </c>
      <c r="BI48" s="31">
        <f>BH53</f>
      </c>
      <c r="BJ48" s="31">
        <f>BI53</f>
      </c>
      <c r="BK48" s="31">
        <f>BJ53</f>
      </c>
      <c r="BL48" s="31">
        <f>BK53</f>
      </c>
      <c r="BM48" s="31">
        <f>BL53</f>
      </c>
      <c r="BN48" s="31">
        <f>BM53</f>
      </c>
      <c r="BO48" s="31">
        <f>BN53</f>
      </c>
      <c r="BP48" s="31">
        <f>BO53</f>
      </c>
      <c r="BQ48" s="31">
        <f>BP53</f>
      </c>
      <c r="BR48" s="31">
        <f>BQ53</f>
      </c>
      <c r="BS48" s="31">
        <f>BR53</f>
      </c>
      <c r="BT48" s="31">
        <f>BS53</f>
      </c>
      <c r="BU48" s="31">
        <f>BT53</f>
      </c>
      <c r="BV48" s="31">
        <f>BU53</f>
      </c>
      <c r="BW48" s="31">
        <f>BV53</f>
      </c>
      <c r="BX48" s="31">
        <f>BW53</f>
      </c>
      <c r="BY48" s="31">
        <f>BX53</f>
      </c>
      <c r="BZ48" s="31">
        <f>BY53</f>
      </c>
      <c r="CA48" s="31">
        <f>BZ53</f>
      </c>
      <c r="CB48" s="31">
        <f>CA53</f>
      </c>
      <c r="CC48" s="31">
        <f>CB53</f>
      </c>
      <c r="CD48" s="31">
        <f>CC53</f>
      </c>
      <c r="CE48" s="31">
        <f>CD53</f>
      </c>
      <c r="CF48" s="31">
        <f>CE53</f>
      </c>
      <c r="CG48" s="31">
        <f>CF53</f>
      </c>
      <c r="CH48" s="31">
        <f>CG53</f>
      </c>
      <c r="CI48" s="31">
        <f>CH53</f>
      </c>
      <c r="CJ48" s="31">
        <f>CI53</f>
      </c>
      <c r="CK48" s="31">
        <f>CJ53</f>
      </c>
      <c r="CL48" s="31">
        <f>CK53</f>
      </c>
    </row>
    <row r="49" spans="2:90" x14ac:dyDescent="0.25">
      <c r="B49" s="33" t="s">
        <v>245</v>
      </c>
      <c r="C49" s="34" t="s">
        <v>228</v>
      </c>
      <c r="D49" s="31">
        <f>SUM(E49:CL49)</f>
      </c>
      <c r="E49" s="31">
        <f>E20</f>
      </c>
      <c r="F49" s="31">
        <f>F20-E20</f>
      </c>
      <c r="G49" s="31">
        <f>G20-F20</f>
      </c>
      <c r="H49" s="31">
        <f>H20-G20</f>
      </c>
      <c r="I49" s="31">
        <f>I20-H20</f>
      </c>
      <c r="J49" s="31">
        <f>J20-I20</f>
      </c>
      <c r="K49" s="31">
        <f>K20-J20</f>
      </c>
      <c r="L49" s="31">
        <f>L20-K20</f>
      </c>
      <c r="M49" s="31">
        <f>M20-L20</f>
      </c>
      <c r="N49" s="31">
        <f>N20-M20</f>
      </c>
      <c r="O49" s="31">
        <f>O20-N20</f>
      </c>
      <c r="P49" s="31">
        <f>P20-O20</f>
      </c>
      <c r="Q49" s="31">
        <f>Q20-P20</f>
      </c>
      <c r="R49" s="31">
        <f>R20-Q20</f>
      </c>
      <c r="S49" s="31">
        <f>S20-R20</f>
      </c>
      <c r="T49" s="31">
        <f>T20-S20</f>
      </c>
      <c r="U49" s="31">
        <f>U20-T20</f>
      </c>
      <c r="V49" s="31">
        <f>V20-U20</f>
      </c>
      <c r="W49" s="31">
        <f>W20-V20</f>
      </c>
      <c r="X49" s="31">
        <f>X20-W20</f>
      </c>
      <c r="Y49" s="31">
        <f>Y20-X20</f>
      </c>
      <c r="Z49" s="31">
        <f>Z20-Y20</f>
      </c>
      <c r="AA49" s="31">
        <f>AA20-Z20</f>
      </c>
      <c r="AB49" s="31">
        <f>AB20-AA20</f>
      </c>
      <c r="AC49" s="31">
        <f>AC20-AB20</f>
      </c>
      <c r="AD49" s="31">
        <f>AD20-AC20</f>
      </c>
      <c r="AE49" s="31">
        <f>AE20-AD20</f>
      </c>
      <c r="AF49" s="31">
        <f>AF20-AE20</f>
      </c>
      <c r="AG49" s="31">
        <f>AG20-AF20</f>
      </c>
      <c r="AH49" s="31">
        <f>AH20-AG20</f>
      </c>
      <c r="AI49" s="31">
        <f>AI20-AH20</f>
      </c>
      <c r="AJ49" s="31">
        <f>AJ20-AI20</f>
      </c>
      <c r="AK49" s="31">
        <f>AK20-AJ20</f>
      </c>
      <c r="AL49" s="31">
        <f>AL20-AK20</f>
      </c>
      <c r="AM49" s="31">
        <f>AM20-AL20</f>
      </c>
      <c r="AN49" s="31">
        <f>AN20-AM20</f>
      </c>
      <c r="AO49" s="31">
        <f>AO20-AN20</f>
      </c>
      <c r="AP49" s="31">
        <f>AP20-AO20</f>
      </c>
      <c r="AQ49" s="31">
        <f>AQ20-AP20</f>
      </c>
      <c r="AR49" s="31">
        <f>AR20-AQ20</f>
      </c>
      <c r="AS49" s="31">
        <f>AS20-AR20</f>
      </c>
      <c r="AT49" s="31">
        <f>AT20-AS20</f>
      </c>
      <c r="AU49" s="31">
        <f>AU20-AT20</f>
      </c>
      <c r="AV49" s="31">
        <f>AV20-AU20</f>
      </c>
      <c r="AW49" s="31">
        <f>AW20-AV20</f>
      </c>
      <c r="AX49" s="31">
        <f>AX20-AW20</f>
      </c>
      <c r="AY49" s="31">
        <f>AY20-AX20</f>
      </c>
      <c r="AZ49" s="31">
        <f>AZ20-AY20</f>
      </c>
      <c r="BA49" s="31">
        <f>BA20-AZ20</f>
      </c>
      <c r="BB49" s="31">
        <f>BB20-BA20</f>
      </c>
      <c r="BC49" s="31">
        <f>BC20-BB20</f>
      </c>
      <c r="BD49" s="31">
        <f>BD20-BC20</f>
      </c>
      <c r="BE49" s="31">
        <f>BE20-BD20</f>
      </c>
      <c r="BF49" s="31">
        <f>BF20-BE20</f>
      </c>
      <c r="BG49" s="31">
        <f>BG20-BF20</f>
      </c>
      <c r="BH49" s="31">
        <f>BH20-BG20</f>
      </c>
      <c r="BI49" s="31">
        <f>BI20-BH20</f>
      </c>
      <c r="BJ49" s="31">
        <f>BJ20-BI20</f>
      </c>
      <c r="BK49" s="31">
        <f>BK20-BJ20</f>
      </c>
      <c r="BL49" s="31">
        <f>BL20-BK20</f>
      </c>
      <c r="BM49" s="31">
        <f>BM20-BL20</f>
      </c>
      <c r="BN49" s="31">
        <f>BN20-BM20</f>
      </c>
      <c r="BO49" s="31">
        <f>BO20-BN20</f>
      </c>
      <c r="BP49" s="31">
        <f>BP20-BO20</f>
      </c>
      <c r="BQ49" s="31">
        <f>BQ20-BP20</f>
      </c>
      <c r="BR49" s="31">
        <f>BR20-BQ20</f>
      </c>
      <c r="BS49" s="31">
        <f>BS20-BR20</f>
      </c>
      <c r="BT49" s="31">
        <f>BT20-BS20</f>
      </c>
      <c r="BU49" s="31">
        <f>BU20-BT20</f>
      </c>
      <c r="BV49" s="31">
        <f>BV20-BU20</f>
      </c>
      <c r="BW49" s="31">
        <f>BW20-BV20</f>
      </c>
      <c r="BX49" s="31">
        <f>BX20-BW20</f>
      </c>
      <c r="BY49" s="31">
        <f>BY20-BX20</f>
      </c>
      <c r="BZ49" s="31">
        <f>BZ20-BY20</f>
      </c>
      <c r="CA49" s="31">
        <f>CA20-BZ20</f>
      </c>
      <c r="CB49" s="31">
        <f>CB20-CA20</f>
      </c>
      <c r="CC49" s="31">
        <f>CC20-CB20</f>
      </c>
      <c r="CD49" s="31">
        <f>CD20-CC20</f>
      </c>
      <c r="CE49" s="31">
        <f>CE20-CD20</f>
      </c>
      <c r="CF49" s="31">
        <f>CF20-CE20</f>
      </c>
      <c r="CG49" s="31">
        <f>CG20-CF20</f>
      </c>
      <c r="CH49" s="31">
        <f>CH20-CG20</f>
      </c>
      <c r="CI49" s="31">
        <f>CI20-CH20</f>
      </c>
      <c r="CJ49" s="31">
        <f>CJ20-CI20</f>
      </c>
      <c r="CK49" s="31">
        <f>CK20-CJ20</f>
      </c>
      <c r="CL49" s="31">
        <f>CL20-CK20</f>
      </c>
    </row>
    <row r="50" spans="2:90" x14ac:dyDescent="0.25">
      <c r="B50" s="33" t="s">
        <v>214</v>
      </c>
      <c r="C50" s="34" t="s">
        <v>228</v>
      </c>
      <c r="D50" s="31">
        <f>SUM(E50:CL50)</f>
      </c>
      <c r="E50" s="31">
        <f>E12</f>
      </c>
      <c r="F50" s="31">
        <f>F12</f>
      </c>
      <c r="G50" s="31">
        <f>G12</f>
      </c>
      <c r="H50" s="31">
        <f>H12</f>
      </c>
      <c r="I50" s="31">
        <f>I12</f>
      </c>
      <c r="J50" s="31">
        <f>J12</f>
      </c>
      <c r="K50" s="31">
        <f>K12</f>
      </c>
      <c r="L50" s="31">
        <f>L12</f>
      </c>
      <c r="M50" s="31">
        <f>M12</f>
      </c>
      <c r="N50" s="31">
        <f>N12</f>
      </c>
      <c r="O50" s="31">
        <f>O12</f>
      </c>
      <c r="P50" s="31">
        <f>P12</f>
      </c>
      <c r="Q50" s="31">
        <f>Q12</f>
      </c>
      <c r="R50" s="31">
        <f>R12</f>
      </c>
      <c r="S50" s="31">
        <f>S12</f>
      </c>
      <c r="T50" s="31">
        <f>T12</f>
      </c>
      <c r="U50" s="31">
        <f>U12</f>
      </c>
      <c r="V50" s="31">
        <f>V12</f>
      </c>
      <c r="W50" s="31">
        <f>W12</f>
      </c>
      <c r="X50" s="31">
        <f>X12</f>
      </c>
      <c r="Y50" s="31">
        <f>Y12</f>
      </c>
      <c r="Z50" s="31">
        <f>Z12</f>
      </c>
      <c r="AA50" s="31">
        <f>AA12</f>
      </c>
      <c r="AB50" s="31">
        <f>AB12</f>
      </c>
      <c r="AC50" s="31">
        <f>AC12</f>
      </c>
      <c r="AD50" s="31">
        <f>AD12</f>
      </c>
      <c r="AE50" s="31">
        <f>AE12</f>
      </c>
      <c r="AF50" s="31">
        <f>AF12</f>
      </c>
      <c r="AG50" s="31">
        <f>AG12</f>
      </c>
      <c r="AH50" s="31">
        <f>AH12</f>
      </c>
      <c r="AI50" s="31">
        <f>AI12</f>
      </c>
      <c r="AJ50" s="31">
        <f>AJ12</f>
      </c>
      <c r="AK50" s="31">
        <f>AK12</f>
      </c>
      <c r="AL50" s="31">
        <f>AL12</f>
      </c>
      <c r="AM50" s="31">
        <f>AM12</f>
      </c>
      <c r="AN50" s="31">
        <f>AN12</f>
      </c>
      <c r="AO50" s="31">
        <f>AO12</f>
      </c>
      <c r="AP50" s="31">
        <f>AP12</f>
      </c>
      <c r="AQ50" s="31">
        <f>AQ12</f>
      </c>
      <c r="AR50" s="31">
        <f>AR12</f>
      </c>
      <c r="AS50" s="31">
        <f>AS12</f>
      </c>
      <c r="AT50" s="31">
        <f>AT12</f>
      </c>
      <c r="AU50" s="31">
        <f>AU12</f>
      </c>
      <c r="AV50" s="31">
        <f>AV12</f>
      </c>
      <c r="AW50" s="31">
        <f>AW12</f>
      </c>
      <c r="AX50" s="31">
        <f>AX12</f>
      </c>
      <c r="AY50" s="31">
        <f>AY12</f>
      </c>
      <c r="AZ50" s="31">
        <f>AZ12</f>
      </c>
      <c r="BA50" s="31">
        <f>BA12</f>
      </c>
      <c r="BB50" s="31">
        <f>BB12</f>
      </c>
      <c r="BC50" s="31">
        <f>BC12</f>
      </c>
      <c r="BD50" s="31">
        <f>BD12</f>
      </c>
      <c r="BE50" s="31">
        <f>BE12</f>
      </c>
      <c r="BF50" s="31">
        <f>BF12</f>
      </c>
      <c r="BG50" s="31">
        <f>BG12</f>
      </c>
      <c r="BH50" s="31">
        <f>BH12</f>
      </c>
      <c r="BI50" s="31">
        <f>BI12</f>
      </c>
      <c r="BJ50" s="31">
        <f>BJ12</f>
      </c>
      <c r="BK50" s="31">
        <f>BK12</f>
      </c>
      <c r="BL50" s="31">
        <f>BL12</f>
      </c>
      <c r="BM50" s="31">
        <f>BM12</f>
      </c>
      <c r="BN50" s="31">
        <f>BN12</f>
      </c>
      <c r="BO50" s="31">
        <f>BO12</f>
      </c>
      <c r="BP50" s="31">
        <f>BP12</f>
      </c>
      <c r="BQ50" s="31">
        <f>BQ12</f>
      </c>
      <c r="BR50" s="31">
        <f>BR12</f>
      </c>
      <c r="BS50" s="31">
        <f>BS12</f>
      </c>
      <c r="BT50" s="31">
        <f>BT12</f>
      </c>
      <c r="BU50" s="31">
        <f>BU12</f>
      </c>
      <c r="BV50" s="31">
        <f>BV12</f>
      </c>
      <c r="BW50" s="31">
        <f>BW12</f>
      </c>
      <c r="BX50" s="31">
        <f>BX12</f>
      </c>
      <c r="BY50" s="31">
        <f>BY12</f>
      </c>
      <c r="BZ50" s="31">
        <f>BZ12</f>
      </c>
      <c r="CA50" s="31">
        <f>CA12</f>
      </c>
      <c r="CB50" s="31">
        <f>CB12</f>
      </c>
      <c r="CC50" s="31">
        <f>CC12</f>
      </c>
      <c r="CD50" s="31">
        <f>CD12</f>
      </c>
      <c r="CE50" s="31">
        <f>CE12</f>
      </c>
      <c r="CF50" s="31">
        <f>CF12</f>
      </c>
      <c r="CG50" s="31">
        <f>CG12</f>
      </c>
      <c r="CH50" s="31">
        <f>CH12</f>
      </c>
      <c r="CI50" s="31">
        <f>CI12</f>
      </c>
      <c r="CJ50" s="31">
        <f>CJ12</f>
      </c>
      <c r="CK50" s="31">
        <f>CK12</f>
      </c>
      <c r="CL50" s="31">
        <f>CL12</f>
      </c>
    </row>
    <row r="51" spans="2:90" x14ac:dyDescent="0.25">
      <c r="B51" s="33" t="s">
        <v>246</v>
      </c>
      <c r="C51" s="34" t="s">
        <v>228</v>
      </c>
      <c r="D51" s="14">
        <f>SUM(E51:CL51)</f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f>K48*$D$98/4</f>
      </c>
      <c r="L51" s="31">
        <f>L48*$D$98/4</f>
      </c>
      <c r="M51" s="31">
        <f>M48*$D$98/4</f>
      </c>
      <c r="N51" s="31">
        <f>N48*$D$98/4</f>
      </c>
      <c r="O51" s="31">
        <f>O48*$D$98/4</f>
      </c>
      <c r="P51" s="31">
        <f>P48*$D$98/4</f>
      </c>
      <c r="Q51" s="31">
        <f>Q48*$D$98/4</f>
      </c>
      <c r="R51" s="31">
        <f>R48*$D$98/4</f>
      </c>
      <c r="S51" s="31">
        <f>S48*$D$98/4</f>
      </c>
      <c r="T51" s="31">
        <f>T48*$D$98/4</f>
      </c>
      <c r="U51" s="31">
        <f>U48*$D$98/4</f>
      </c>
      <c r="V51" s="31">
        <f>V48*$D$98/4</f>
      </c>
      <c r="W51" s="31">
        <f>W48*$D$98/4</f>
      </c>
      <c r="X51" s="31">
        <f>X48*$D$98/4</f>
      </c>
      <c r="Y51" s="31">
        <f>Y48*$D$98/4</f>
      </c>
      <c r="Z51" s="31">
        <f>Z48*$D$98/4</f>
      </c>
      <c r="AA51" s="31">
        <f>AA48*$D$98/4</f>
      </c>
      <c r="AB51" s="31">
        <f>AB48*$D$98/4</f>
      </c>
      <c r="AC51" s="31">
        <f>AC48*$D$98/4</f>
      </c>
      <c r="AD51" s="31">
        <f>AD48*$D$98/4</f>
      </c>
      <c r="AE51" s="31">
        <f>AE48*$D$98/4</f>
      </c>
      <c r="AF51" s="31">
        <f>AF48*$D$98/4</f>
      </c>
      <c r="AG51" s="31">
        <f>AG48*$D$98/4</f>
      </c>
      <c r="AH51" s="31">
        <f>AH48*$D$98/4</f>
      </c>
      <c r="AI51" s="31">
        <f>AI48*$D$98/4</f>
      </c>
      <c r="AJ51" s="31">
        <f>AJ48*$D$98/4</f>
      </c>
      <c r="AK51" s="31">
        <f>AK48*$D$98/4</f>
      </c>
      <c r="AL51" s="31">
        <f>AL48*$D$98/4</f>
      </c>
      <c r="AM51" s="31">
        <f>AM48*$D$98/4</f>
      </c>
      <c r="AN51" s="31">
        <f>AN48*$D$98/4</f>
      </c>
      <c r="AO51" s="31">
        <f>AO48*$D$98/4</f>
      </c>
      <c r="AP51" s="31">
        <f>AP48*$D$98/4</f>
      </c>
      <c r="AQ51" s="31">
        <f>AQ48*$D$98/4</f>
      </c>
      <c r="AR51" s="31">
        <f>AR48*$D$98/4</f>
      </c>
      <c r="AS51" s="31">
        <f>AS48*$D$98/4</f>
      </c>
      <c r="AT51" s="31">
        <f>AT48*$D$98/4</f>
      </c>
      <c r="AU51" s="31">
        <f>AU48*$D$98/4</f>
      </c>
      <c r="AV51" s="31">
        <f>AV48*$D$98/4</f>
      </c>
      <c r="AW51" s="31">
        <f>AW48*$D$98/4</f>
      </c>
      <c r="AX51" s="31">
        <f>AX48*$D$98/4</f>
      </c>
      <c r="AY51" s="31">
        <f>AY48*$D$98/4</f>
      </c>
      <c r="AZ51" s="31">
        <f>AZ48*$D$98/4</f>
      </c>
      <c r="BA51" s="31">
        <f>BA48*$D$98/4</f>
      </c>
      <c r="BB51" s="31">
        <f>BB48*$D$98/4</f>
      </c>
      <c r="BC51" s="31">
        <f>BC48*$D$98/4</f>
      </c>
      <c r="BD51" s="31">
        <f>BD48*$D$98/4</f>
      </c>
      <c r="BE51" s="31">
        <f>BE48*$D$98/4</f>
      </c>
      <c r="BF51" s="31">
        <f>BF48*$D$98/4</f>
      </c>
      <c r="BG51" s="31">
        <f>BG48*$D$98/4</f>
      </c>
      <c r="BH51" s="31">
        <f>BH48*$D$98/4</f>
      </c>
      <c r="BI51" s="31">
        <f>BI48*$D$98/4</f>
      </c>
      <c r="BJ51" s="31">
        <f>BJ48*$D$98/4</f>
      </c>
      <c r="BK51" s="31">
        <f>BK48*$D$98/4</f>
      </c>
      <c r="BL51" s="31">
        <f>BL48*$D$98/4</f>
      </c>
      <c r="BM51" s="31">
        <f>BM48*$D$98/4</f>
      </c>
      <c r="BN51" s="31">
        <f>BN48*$D$98/4</f>
      </c>
      <c r="BO51" s="31">
        <f>BO48*$D$98/4</f>
      </c>
      <c r="BP51" s="31">
        <f>BP48*$D$98/4</f>
      </c>
      <c r="BQ51" s="31">
        <f>BQ48*$D$98/4</f>
      </c>
      <c r="BR51" s="31">
        <f>BR48*$D$98/4</f>
      </c>
      <c r="BS51" s="31">
        <f>BS48*$D$98/4</f>
      </c>
      <c r="BT51" s="31">
        <f>BT48*$D$98/4</f>
      </c>
      <c r="BU51" s="31">
        <f>BU48*$D$98/4</f>
      </c>
      <c r="BV51" s="31">
        <f>BV48*$D$98/4</f>
      </c>
      <c r="BW51" s="31">
        <f>BW48*$D$98/4</f>
      </c>
      <c r="BX51" s="31">
        <f>BX48*$D$98/4</f>
      </c>
      <c r="BY51" s="31">
        <f>BY48*$D$98/4</f>
      </c>
      <c r="BZ51" s="31">
        <f>BZ48*$D$98/4</f>
      </c>
      <c r="CA51" s="31">
        <f>CA48*$D$98/4</f>
      </c>
      <c r="CB51" s="31">
        <f>CB48*$D$98/4</f>
      </c>
      <c r="CC51" s="31">
        <f>CC48*$D$98/4</f>
      </c>
      <c r="CD51" s="31">
        <f>CD48*$D$98/4</f>
      </c>
      <c r="CE51" s="31">
        <f>CE48*$D$98/4</f>
      </c>
      <c r="CF51" s="31">
        <f>CF48*$D$98/4</f>
      </c>
      <c r="CG51" s="31">
        <f>CG48*$D$98/4</f>
      </c>
      <c r="CH51" s="31">
        <f>CH48*$D$98/4</f>
      </c>
      <c r="CI51" s="31">
        <f>CI48*$D$98/4</f>
      </c>
      <c r="CJ51" s="31">
        <f>CJ48*$D$98/4</f>
      </c>
      <c r="CK51" s="31">
        <f>CK48*$D$98/4</f>
      </c>
      <c r="CL51" s="31">
        <f>CL48*$D$98/4</f>
      </c>
    </row>
    <row r="52" spans="2:90" x14ac:dyDescent="0.25">
      <c r="B52" s="33" t="s">
        <v>247</v>
      </c>
      <c r="C52" s="34" t="s">
        <v>228</v>
      </c>
      <c r="D52" s="14">
        <f>SUM(E52:CL52)</f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f>N48/64</f>
      </c>
      <c r="O52" s="31">
        <f>N48/64</f>
      </c>
      <c r="P52" s="31">
        <f>N48/64</f>
      </c>
      <c r="Q52" s="31">
        <f>N48/64</f>
      </c>
      <c r="R52" s="31">
        <f>N48/64</f>
      </c>
      <c r="S52" s="31">
        <f>N48/64</f>
      </c>
      <c r="T52" s="31">
        <f>N48/64</f>
      </c>
      <c r="U52" s="31">
        <f>N48/64</f>
      </c>
      <c r="V52" s="31">
        <f>N48/64</f>
      </c>
      <c r="W52" s="31">
        <f>N48/64</f>
      </c>
      <c r="X52" s="31">
        <f>N48/64</f>
      </c>
      <c r="Y52" s="31">
        <f>N48/64</f>
      </c>
      <c r="Z52" s="31">
        <f>N48/64</f>
      </c>
      <c r="AA52" s="31">
        <f>N48/64</f>
      </c>
      <c r="AB52" s="31">
        <f>N48/64</f>
      </c>
      <c r="AC52" s="31">
        <f>N48/64</f>
      </c>
      <c r="AD52" s="31">
        <f>N48/64</f>
      </c>
      <c r="AE52" s="31">
        <f>N48/64</f>
      </c>
      <c r="AF52" s="31">
        <f>N48/64</f>
      </c>
      <c r="AG52" s="31">
        <f>N48/64</f>
      </c>
      <c r="AH52" s="31">
        <f>N48/64</f>
      </c>
      <c r="AI52" s="31">
        <f>N48/64</f>
      </c>
      <c r="AJ52" s="31">
        <f>N48/64</f>
      </c>
      <c r="AK52" s="31">
        <f>N48/64</f>
      </c>
      <c r="AL52" s="31">
        <f>N48/64</f>
      </c>
      <c r="AM52" s="31">
        <f>N48/64</f>
      </c>
      <c r="AN52" s="31">
        <f>N48/64</f>
      </c>
      <c r="AO52" s="31">
        <f>N48/64</f>
      </c>
      <c r="AP52" s="31">
        <f>N48/64</f>
      </c>
      <c r="AQ52" s="31">
        <f>N48/64</f>
      </c>
      <c r="AR52" s="31">
        <f>N48/64</f>
      </c>
      <c r="AS52" s="31">
        <f>N48/64</f>
      </c>
      <c r="AT52" s="31">
        <f>N48/64</f>
      </c>
      <c r="AU52" s="31">
        <f>N48/64</f>
      </c>
      <c r="AV52" s="31">
        <f>N48/64</f>
      </c>
      <c r="AW52" s="31">
        <f>N48/64</f>
      </c>
      <c r="AX52" s="31">
        <f>N48/64</f>
      </c>
      <c r="AY52" s="31">
        <f>N48/64</f>
      </c>
      <c r="AZ52" s="31">
        <f>N48/64</f>
      </c>
      <c r="BA52" s="31">
        <f>N48/64</f>
      </c>
      <c r="BB52" s="31">
        <f>N48/64</f>
      </c>
      <c r="BC52" s="31">
        <f>N48/64</f>
      </c>
      <c r="BD52" s="31">
        <f>N48/64</f>
      </c>
      <c r="BE52" s="31">
        <f>N48/64</f>
      </c>
      <c r="BF52" s="31">
        <f>N48/64</f>
      </c>
      <c r="BG52" s="31">
        <f>N48/64</f>
      </c>
      <c r="BH52" s="31">
        <f>N48/64</f>
      </c>
      <c r="BI52" s="31">
        <f>N48/64</f>
      </c>
      <c r="BJ52" s="31">
        <f>N48/64</f>
      </c>
      <c r="BK52" s="31">
        <f>N48/64</f>
      </c>
      <c r="BL52" s="31">
        <f>N48/64</f>
      </c>
      <c r="BM52" s="31">
        <f>N48/64</f>
      </c>
      <c r="BN52" s="31">
        <f>N48/64</f>
      </c>
      <c r="BO52" s="31">
        <f>N48/64</f>
      </c>
      <c r="BP52" s="31">
        <f>N48/64</f>
      </c>
      <c r="BQ52" s="31">
        <f>N48/64</f>
      </c>
      <c r="BR52" s="31">
        <f>N48/64</f>
      </c>
      <c r="BS52" s="31">
        <f>N48/64</f>
      </c>
      <c r="BT52" s="31">
        <f>N48/64</f>
      </c>
      <c r="BU52" s="31">
        <f>N48/64</f>
      </c>
      <c r="BV52" s="31">
        <f>N48/64</f>
      </c>
      <c r="BW52" s="31">
        <f>N48/64</f>
      </c>
      <c r="BX52" s="31">
        <f>N48/64</f>
      </c>
      <c r="BY52" s="31">
        <f>N48/64</f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</row>
    <row r="53" spans="2:90" x14ac:dyDescent="0.25">
      <c r="B53" s="46" t="s">
        <v>248</v>
      </c>
      <c r="C53" s="34" t="s">
        <v>228</v>
      </c>
      <c r="E53" s="14">
        <f>E48+E49-E52</f>
      </c>
      <c r="F53" s="14">
        <f>F48+F49-F52</f>
      </c>
      <c r="G53" s="14">
        <f>G48+G49-G52</f>
      </c>
      <c r="H53" s="14">
        <f>H48+H49-H52</f>
      </c>
      <c r="I53" s="14">
        <f>I48+I49-I52</f>
      </c>
      <c r="J53" s="14">
        <f>J48+J49-J52</f>
      </c>
      <c r="K53" s="14">
        <f>K48+K49-K52</f>
      </c>
      <c r="L53" s="14">
        <f>L48+L49-L52</f>
      </c>
      <c r="M53" s="14">
        <f>M48+M49-M52</f>
      </c>
      <c r="N53" s="14">
        <f>N48+N49-N52</f>
      </c>
      <c r="O53" s="14">
        <f>O48+O49-O52</f>
      </c>
      <c r="P53" s="14">
        <f>P48+P49-P52</f>
      </c>
      <c r="Q53" s="14">
        <f>Q48+Q49-Q52</f>
      </c>
      <c r="R53" s="14">
        <f>R48+R49-R52</f>
      </c>
      <c r="S53" s="14">
        <f>S48+S49-S52</f>
      </c>
      <c r="T53" s="14">
        <f>T48+T49-T52</f>
      </c>
      <c r="U53" s="14">
        <f>U48+U49-U52</f>
      </c>
      <c r="V53" s="14">
        <f>V48+V49-V52</f>
      </c>
      <c r="W53" s="14">
        <f>W48+W49-W52</f>
      </c>
      <c r="X53" s="14">
        <f>X48+X49-X52</f>
      </c>
      <c r="Y53" s="14">
        <f>Y48+Y49-Y52</f>
      </c>
      <c r="Z53" s="14">
        <f>Z48+Z49-Z52</f>
      </c>
      <c r="AA53" s="14">
        <f>AA48+AA49-AA52</f>
      </c>
      <c r="AB53" s="14">
        <f>AB48+AB49-AB52</f>
      </c>
      <c r="AC53" s="14">
        <f>AC48+AC49-AC52</f>
      </c>
      <c r="AD53" s="14">
        <f>AD48+AD49-AD52</f>
      </c>
      <c r="AE53" s="14">
        <f>AE48+AE49-AE52</f>
      </c>
      <c r="AF53" s="14">
        <f>AF48+AF49-AF52</f>
      </c>
      <c r="AG53" s="14">
        <f>AG48+AG49-AG52</f>
      </c>
      <c r="AH53" s="14">
        <f>AH48+AH49-AH52</f>
      </c>
      <c r="AI53" s="14">
        <f>AI48+AI49-AI52</f>
      </c>
      <c r="AJ53" s="14">
        <f>AJ48+AJ49-AJ52</f>
      </c>
      <c r="AK53" s="14">
        <f>AK48+AK49-AK52</f>
      </c>
      <c r="AL53" s="14">
        <f>AL48+AL49-AL52</f>
      </c>
      <c r="AM53" s="14">
        <f>AM48+AM49-AM52</f>
      </c>
      <c r="AN53" s="14">
        <f>AN48+AN49-AN52</f>
      </c>
      <c r="AO53" s="14">
        <f>AO48+AO49-AO52</f>
      </c>
      <c r="AP53" s="14">
        <f>AP48+AP49-AP52</f>
      </c>
      <c r="AQ53" s="14">
        <f>AQ48+AQ49-AQ52</f>
      </c>
      <c r="AR53" s="14">
        <f>AR48+AR49-AR52</f>
      </c>
      <c r="AS53" s="14">
        <f>AS48+AS49-AS52</f>
      </c>
      <c r="AT53" s="14">
        <f>AT48+AT49-AT52</f>
      </c>
      <c r="AU53" s="14">
        <f>AU48+AU49-AU52</f>
      </c>
      <c r="AV53" s="14">
        <f>AV48+AV49-AV52</f>
      </c>
      <c r="AW53" s="14">
        <f>AW48+AW49-AW52</f>
      </c>
      <c r="AX53" s="14">
        <f>AX48+AX49-AX52</f>
      </c>
      <c r="AY53" s="14">
        <f>AY48+AY49-AY52</f>
      </c>
      <c r="AZ53" s="14">
        <f>AZ48+AZ49-AZ52</f>
      </c>
      <c r="BA53" s="14">
        <f>BA48+BA49-BA52</f>
      </c>
      <c r="BB53" s="14">
        <f>BB48+BB49-BB52</f>
      </c>
      <c r="BC53" s="14">
        <f>BC48+BC49-BC52</f>
      </c>
      <c r="BD53" s="14">
        <f>BD48+BD49-BD52</f>
      </c>
      <c r="BE53" s="14">
        <f>BE48+BE49-BE52</f>
      </c>
      <c r="BF53" s="14">
        <f>BF48+BF49-BF52</f>
      </c>
      <c r="BG53" s="14">
        <f>BG48+BG49-BG52</f>
      </c>
      <c r="BH53" s="14">
        <f>BH48+BH49-BH52</f>
      </c>
      <c r="BI53" s="14">
        <f>BI48+BI49-BI52</f>
      </c>
      <c r="BJ53" s="14">
        <f>BJ48+BJ49-BJ52</f>
      </c>
      <c r="BK53" s="14">
        <f>BK48+BK49-BK52</f>
      </c>
      <c r="BL53" s="14">
        <f>BL48+BL49-BL52</f>
      </c>
      <c r="BM53" s="14">
        <f>BM48+BM49-BM52</f>
      </c>
      <c r="BN53" s="14">
        <f>BN48+BN49-BN52</f>
      </c>
      <c r="BO53" s="14">
        <f>BO48+BO49-BO52</f>
      </c>
      <c r="BP53" s="14">
        <f>BP48+BP49-BP52</f>
      </c>
      <c r="BQ53" s="14">
        <f>BQ48+BQ49-BQ52</f>
      </c>
      <c r="BR53" s="14">
        <f>BR48+BR49-BR52</f>
      </c>
      <c r="BS53" s="14">
        <f>BS48+BS49-BS52</f>
      </c>
      <c r="BT53" s="14">
        <f>BT48+BT49-BT52</f>
      </c>
      <c r="BU53" s="14">
        <f>BU48+BU49-BU52</f>
      </c>
      <c r="BV53" s="14">
        <f>BV48+BV49-BV52</f>
      </c>
      <c r="BW53" s="14">
        <f>BW48+BW49-BW52</f>
      </c>
      <c r="BX53" s="14">
        <f>BX48+BX49-BX52</f>
      </c>
      <c r="BY53" s="14">
        <f>BY48+BY49-BY52</f>
      </c>
      <c r="BZ53" s="14">
        <f>BZ48+BZ49-BZ52</f>
      </c>
      <c r="CA53" s="14">
        <f>CA48+CA49-CA52</f>
      </c>
      <c r="CB53" s="14">
        <f>CB48+CB49-CB52</f>
      </c>
      <c r="CC53" s="14">
        <f>CC48+CC49-CC52</f>
      </c>
      <c r="CD53" s="14">
        <f>CD48+CD49-CD52</f>
      </c>
      <c r="CE53" s="14">
        <f>CE48+CE49-CE52</f>
      </c>
      <c r="CF53" s="14">
        <f>CF48+CF49-CF52</f>
      </c>
      <c r="CG53" s="14">
        <f>CG48+CG49-CG52</f>
      </c>
      <c r="CH53" s="14">
        <f>CH48+CH49-CH52</f>
      </c>
      <c r="CI53" s="14">
        <f>CI48+CI49-CI52</f>
      </c>
      <c r="CJ53" s="14">
        <f>CJ48+CJ49-CJ52</f>
      </c>
      <c r="CK53" s="14">
        <f>CK48+CK49-CK52</f>
      </c>
      <c r="CL53" s="14">
        <f>CL48+CL49-CL52</f>
      </c>
    </row>
    <row r="54" spans="2:6" x14ac:dyDescent="0.25">
      <c r="B54" s="33" t="s">
        <v>249</v>
      </c>
      <c r="C54" s="34" t="s">
        <v>228</v>
      </c>
      <c r="D54" s="31">
        <f>CL53</f>
      </c>
      <c r="F54" s="30">
        <f>IF(ABS(D54)&lt;1,"완전상환 확인 (OK)","경고: 미상환 잔액")</f>
      </c>
    </row>
    <row r="55" spans="2:6" x14ac:dyDescent="0.25">
      <c r="B55" s="33" t="s">
        <v>250</v>
      </c>
      <c r="F55" s="49">
        <f>IF(AND(H20&lt;1,I20&gt;1),"인출 시작 분기 일치 (OK)","경고: 첫 인출 분기가 생성 당시(2025-06-30)와 달라졌습니다. 상환 스케줄이 들어간 열은 고정이라 실제와 어긋납니다 — 화면(HTML)에서 다시 생성하세요.")</f>
      </c>
    </row>
    <row r="57" spans="2:91" x14ac:dyDescent="0.25">
      <c r="B57" s="47" t="s">
        <v>95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</row>
    <row r="58" spans="2:90" x14ac:dyDescent="0.25">
      <c r="B58" s="33" t="s">
        <v>244</v>
      </c>
      <c r="C58" s="34" t="s">
        <v>228</v>
      </c>
      <c r="E58" s="31">
        <v>0</v>
      </c>
      <c r="F58" s="31">
        <f>E63</f>
      </c>
      <c r="G58" s="31">
        <f>F63</f>
      </c>
      <c r="H58" s="31">
        <f>G63</f>
      </c>
      <c r="I58" s="31">
        <f>H63</f>
      </c>
      <c r="J58" s="31">
        <f>I63</f>
      </c>
      <c r="K58" s="31">
        <f>J63</f>
      </c>
      <c r="L58" s="31">
        <f>K63</f>
      </c>
      <c r="M58" s="31">
        <f>L63</f>
      </c>
      <c r="N58" s="31">
        <f>M63</f>
      </c>
      <c r="O58" s="31">
        <f>N63</f>
      </c>
      <c r="P58" s="31">
        <f>O63</f>
      </c>
      <c r="Q58" s="31">
        <f>P63</f>
      </c>
      <c r="R58" s="31">
        <f>Q63</f>
      </c>
      <c r="S58" s="31">
        <f>R63</f>
      </c>
      <c r="T58" s="31">
        <f>S63</f>
      </c>
      <c r="U58" s="31">
        <f>T63</f>
      </c>
      <c r="V58" s="31">
        <f>U63</f>
      </c>
      <c r="W58" s="31">
        <f>V63</f>
      </c>
      <c r="X58" s="31">
        <f>W63</f>
      </c>
      <c r="Y58" s="31">
        <f>X63</f>
      </c>
      <c r="Z58" s="31">
        <f>Y63</f>
      </c>
      <c r="AA58" s="31">
        <f>Z63</f>
      </c>
      <c r="AB58" s="31">
        <f>AA63</f>
      </c>
      <c r="AC58" s="31">
        <f>AB63</f>
      </c>
      <c r="AD58" s="31">
        <f>AC63</f>
      </c>
      <c r="AE58" s="31">
        <f>AD63</f>
      </c>
      <c r="AF58" s="31">
        <f>AE63</f>
      </c>
      <c r="AG58" s="31">
        <f>AF63</f>
      </c>
      <c r="AH58" s="31">
        <f>AG63</f>
      </c>
      <c r="AI58" s="31">
        <f>AH63</f>
      </c>
      <c r="AJ58" s="31">
        <f>AI63</f>
      </c>
      <c r="AK58" s="31">
        <f>AJ63</f>
      </c>
      <c r="AL58" s="31">
        <f>AK63</f>
      </c>
      <c r="AM58" s="31">
        <f>AL63</f>
      </c>
      <c r="AN58" s="31">
        <f>AM63</f>
      </c>
      <c r="AO58" s="31">
        <f>AN63</f>
      </c>
      <c r="AP58" s="31">
        <f>AO63</f>
      </c>
      <c r="AQ58" s="31">
        <f>AP63</f>
      </c>
      <c r="AR58" s="31">
        <f>AQ63</f>
      </c>
      <c r="AS58" s="31">
        <f>AR63</f>
      </c>
      <c r="AT58" s="31">
        <f>AS63</f>
      </c>
      <c r="AU58" s="31">
        <f>AT63</f>
      </c>
      <c r="AV58" s="31">
        <f>AU63</f>
      </c>
      <c r="AW58" s="31">
        <f>AV63</f>
      </c>
      <c r="AX58" s="31">
        <f>AW63</f>
      </c>
      <c r="AY58" s="31">
        <f>AX63</f>
      </c>
      <c r="AZ58" s="31">
        <f>AY63</f>
      </c>
      <c r="BA58" s="31">
        <f>AZ63</f>
      </c>
      <c r="BB58" s="31">
        <f>BA63</f>
      </c>
      <c r="BC58" s="31">
        <f>BB63</f>
      </c>
      <c r="BD58" s="31">
        <f>BC63</f>
      </c>
      <c r="BE58" s="31">
        <f>BD63</f>
      </c>
      <c r="BF58" s="31">
        <f>BE63</f>
      </c>
      <c r="BG58" s="31">
        <f>BF63</f>
      </c>
      <c r="BH58" s="31">
        <f>BG63</f>
      </c>
      <c r="BI58" s="31">
        <f>BH63</f>
      </c>
      <c r="BJ58" s="31">
        <f>BI63</f>
      </c>
      <c r="BK58" s="31">
        <f>BJ63</f>
      </c>
      <c r="BL58" s="31">
        <f>BK63</f>
      </c>
      <c r="BM58" s="31">
        <f>BL63</f>
      </c>
      <c r="BN58" s="31">
        <f>BM63</f>
      </c>
      <c r="BO58" s="31">
        <f>BN63</f>
      </c>
      <c r="BP58" s="31">
        <f>BO63</f>
      </c>
      <c r="BQ58" s="31">
        <f>BP63</f>
      </c>
      <c r="BR58" s="31">
        <f>BQ63</f>
      </c>
      <c r="BS58" s="31">
        <f>BR63</f>
      </c>
      <c r="BT58" s="31">
        <f>BS63</f>
      </c>
      <c r="BU58" s="31">
        <f>BT63</f>
      </c>
      <c r="BV58" s="31">
        <f>BU63</f>
      </c>
      <c r="BW58" s="31">
        <f>BV63</f>
      </c>
      <c r="BX58" s="31">
        <f>BW63</f>
      </c>
      <c r="BY58" s="31">
        <f>BX63</f>
      </c>
      <c r="BZ58" s="31">
        <f>BY63</f>
      </c>
      <c r="CA58" s="31">
        <f>BZ63</f>
      </c>
      <c r="CB58" s="31">
        <f>CA63</f>
      </c>
      <c r="CC58" s="31">
        <f>CB63</f>
      </c>
      <c r="CD58" s="31">
        <f>CC63</f>
      </c>
      <c r="CE58" s="31">
        <f>CD63</f>
      </c>
      <c r="CF58" s="31">
        <f>CE63</f>
      </c>
      <c r="CG58" s="31">
        <f>CF63</f>
      </c>
      <c r="CH58" s="31">
        <f>CG63</f>
      </c>
      <c r="CI58" s="31">
        <f>CH63</f>
      </c>
      <c r="CJ58" s="31">
        <f>CI63</f>
      </c>
      <c r="CK58" s="31">
        <f>CJ63</f>
      </c>
      <c r="CL58" s="31">
        <f>CK63</f>
      </c>
    </row>
    <row r="59" spans="2:90" x14ac:dyDescent="0.25">
      <c r="B59" s="33" t="s">
        <v>245</v>
      </c>
      <c r="C59" s="34" t="s">
        <v>228</v>
      </c>
      <c r="D59" s="31">
        <f>SUM(E59:CL59)</f>
      </c>
      <c r="E59" s="31">
        <f>E21</f>
      </c>
      <c r="F59" s="31">
        <f>F21-E21</f>
      </c>
      <c r="G59" s="31">
        <f>G21-F21</f>
      </c>
      <c r="H59" s="31">
        <f>H21-G21</f>
      </c>
      <c r="I59" s="31">
        <f>I21-H21</f>
      </c>
      <c r="J59" s="31">
        <f>J21-I21</f>
      </c>
      <c r="K59" s="31">
        <f>K21-J21</f>
      </c>
      <c r="L59" s="31">
        <f>L21-K21</f>
      </c>
      <c r="M59" s="31">
        <f>M21-L21</f>
      </c>
      <c r="N59" s="31">
        <f>N21-M21</f>
      </c>
      <c r="O59" s="31">
        <f>O21-N21</f>
      </c>
      <c r="P59" s="31">
        <f>P21-O21</f>
      </c>
      <c r="Q59" s="31">
        <f>Q21-P21</f>
      </c>
      <c r="R59" s="31">
        <f>R21-Q21</f>
      </c>
      <c r="S59" s="31">
        <f>S21-R21</f>
      </c>
      <c r="T59" s="31">
        <f>T21-S21</f>
      </c>
      <c r="U59" s="31">
        <f>U21-T21</f>
      </c>
      <c r="V59" s="31">
        <f>V21-U21</f>
      </c>
      <c r="W59" s="31">
        <f>W21-V21</f>
      </c>
      <c r="X59" s="31">
        <f>X21-W21</f>
      </c>
      <c r="Y59" s="31">
        <f>Y21-X21</f>
      </c>
      <c r="Z59" s="31">
        <f>Z21-Y21</f>
      </c>
      <c r="AA59" s="31">
        <f>AA21-Z21</f>
      </c>
      <c r="AB59" s="31">
        <f>AB21-AA21</f>
      </c>
      <c r="AC59" s="31">
        <f>AC21-AB21</f>
      </c>
      <c r="AD59" s="31">
        <f>AD21-AC21</f>
      </c>
      <c r="AE59" s="31">
        <f>AE21-AD21</f>
      </c>
      <c r="AF59" s="31">
        <f>AF21-AE21</f>
      </c>
      <c r="AG59" s="31">
        <f>AG21-AF21</f>
      </c>
      <c r="AH59" s="31">
        <f>AH21-AG21</f>
      </c>
      <c r="AI59" s="31">
        <f>AI21-AH21</f>
      </c>
      <c r="AJ59" s="31">
        <f>AJ21-AI21</f>
      </c>
      <c r="AK59" s="31">
        <f>AK21-AJ21</f>
      </c>
      <c r="AL59" s="31">
        <f>AL21-AK21</f>
      </c>
      <c r="AM59" s="31">
        <f>AM21-AL21</f>
      </c>
      <c r="AN59" s="31">
        <f>AN21-AM21</f>
      </c>
      <c r="AO59" s="31">
        <f>AO21-AN21</f>
      </c>
      <c r="AP59" s="31">
        <f>AP21-AO21</f>
      </c>
      <c r="AQ59" s="31">
        <f>AQ21-AP21</f>
      </c>
      <c r="AR59" s="31">
        <f>AR21-AQ21</f>
      </c>
      <c r="AS59" s="31">
        <f>AS21-AR21</f>
      </c>
      <c r="AT59" s="31">
        <f>AT21-AS21</f>
      </c>
      <c r="AU59" s="31">
        <f>AU21-AT21</f>
      </c>
      <c r="AV59" s="31">
        <f>AV21-AU21</f>
      </c>
      <c r="AW59" s="31">
        <f>AW21-AV21</f>
      </c>
      <c r="AX59" s="31">
        <f>AX21-AW21</f>
      </c>
      <c r="AY59" s="31">
        <f>AY21-AX21</f>
      </c>
      <c r="AZ59" s="31">
        <f>AZ21-AY21</f>
      </c>
      <c r="BA59" s="31">
        <f>BA21-AZ21</f>
      </c>
      <c r="BB59" s="31">
        <f>BB21-BA21</f>
      </c>
      <c r="BC59" s="31">
        <f>BC21-BB21</f>
      </c>
      <c r="BD59" s="31">
        <f>BD21-BC21</f>
      </c>
      <c r="BE59" s="31">
        <f>BE21-BD21</f>
      </c>
      <c r="BF59" s="31">
        <f>BF21-BE21</f>
      </c>
      <c r="BG59" s="31">
        <f>BG21-BF21</f>
      </c>
      <c r="BH59" s="31">
        <f>BH21-BG21</f>
      </c>
      <c r="BI59" s="31">
        <f>BI21-BH21</f>
      </c>
      <c r="BJ59" s="31">
        <f>BJ21-BI21</f>
      </c>
      <c r="BK59" s="31">
        <f>BK21-BJ21</f>
      </c>
      <c r="BL59" s="31">
        <f>BL21-BK21</f>
      </c>
      <c r="BM59" s="31">
        <f>BM21-BL21</f>
      </c>
      <c r="BN59" s="31">
        <f>BN21-BM21</f>
      </c>
      <c r="BO59" s="31">
        <f>BO21-BN21</f>
      </c>
      <c r="BP59" s="31">
        <f>BP21-BO21</f>
      </c>
      <c r="BQ59" s="31">
        <f>BQ21-BP21</f>
      </c>
      <c r="BR59" s="31">
        <f>BR21-BQ21</f>
      </c>
      <c r="BS59" s="31">
        <f>BS21-BR21</f>
      </c>
      <c r="BT59" s="31">
        <f>BT21-BS21</f>
      </c>
      <c r="BU59" s="31">
        <f>BU21-BT21</f>
      </c>
      <c r="BV59" s="31">
        <f>BV21-BU21</f>
      </c>
      <c r="BW59" s="31">
        <f>BW21-BV21</f>
      </c>
      <c r="BX59" s="31">
        <f>BX21-BW21</f>
      </c>
      <c r="BY59" s="31">
        <f>BY21-BX21</f>
      </c>
      <c r="BZ59" s="31">
        <f>BZ21-BY21</f>
      </c>
      <c r="CA59" s="31">
        <f>CA21-BZ21</f>
      </c>
      <c r="CB59" s="31">
        <f>CB21-CA21</f>
      </c>
      <c r="CC59" s="31">
        <f>CC21-CB21</f>
      </c>
      <c r="CD59" s="31">
        <f>CD21-CC21</f>
      </c>
      <c r="CE59" s="31">
        <f>CE21-CD21</f>
      </c>
      <c r="CF59" s="31">
        <f>CF21-CE21</f>
      </c>
      <c r="CG59" s="31">
        <f>CG21-CF21</f>
      </c>
      <c r="CH59" s="31">
        <f>CH21-CG21</f>
      </c>
      <c r="CI59" s="31">
        <f>CI21-CH21</f>
      </c>
      <c r="CJ59" s="31">
        <f>CJ21-CI21</f>
      </c>
      <c r="CK59" s="31">
        <f>CK21-CJ21</f>
      </c>
      <c r="CL59" s="31">
        <f>CL21-CK21</f>
      </c>
    </row>
    <row r="60" spans="2:90" x14ac:dyDescent="0.25">
      <c r="B60" s="33" t="s">
        <v>214</v>
      </c>
      <c r="C60" s="34" t="s">
        <v>228</v>
      </c>
      <c r="D60" s="31">
        <f>SUM(E60:CL60)</f>
      </c>
      <c r="E60" s="31">
        <f>E13</f>
      </c>
      <c r="F60" s="31">
        <f>F13</f>
      </c>
      <c r="G60" s="31">
        <f>G13</f>
      </c>
      <c r="H60" s="31">
        <f>H13</f>
      </c>
      <c r="I60" s="31">
        <f>I13</f>
      </c>
      <c r="J60" s="31">
        <f>J13</f>
      </c>
      <c r="K60" s="31">
        <f>K13</f>
      </c>
      <c r="L60" s="31">
        <f>L13</f>
      </c>
      <c r="M60" s="31">
        <f>M13</f>
      </c>
      <c r="N60" s="31">
        <f>N13</f>
      </c>
      <c r="O60" s="31">
        <f>O13</f>
      </c>
      <c r="P60" s="31">
        <f>P13</f>
      </c>
      <c r="Q60" s="31">
        <f>Q13</f>
      </c>
      <c r="R60" s="31">
        <f>R13</f>
      </c>
      <c r="S60" s="31">
        <f>S13</f>
      </c>
      <c r="T60" s="31">
        <f>T13</f>
      </c>
      <c r="U60" s="31">
        <f>U13</f>
      </c>
      <c r="V60" s="31">
        <f>V13</f>
      </c>
      <c r="W60" s="31">
        <f>W13</f>
      </c>
      <c r="X60" s="31">
        <f>X13</f>
      </c>
      <c r="Y60" s="31">
        <f>Y13</f>
      </c>
      <c r="Z60" s="31">
        <f>Z13</f>
      </c>
      <c r="AA60" s="31">
        <f>AA13</f>
      </c>
      <c r="AB60" s="31">
        <f>AB13</f>
      </c>
      <c r="AC60" s="31">
        <f>AC13</f>
      </c>
      <c r="AD60" s="31">
        <f>AD13</f>
      </c>
      <c r="AE60" s="31">
        <f>AE13</f>
      </c>
      <c r="AF60" s="31">
        <f>AF13</f>
      </c>
      <c r="AG60" s="31">
        <f>AG13</f>
      </c>
      <c r="AH60" s="31">
        <f>AH13</f>
      </c>
      <c r="AI60" s="31">
        <f>AI13</f>
      </c>
      <c r="AJ60" s="31">
        <f>AJ13</f>
      </c>
      <c r="AK60" s="31">
        <f>AK13</f>
      </c>
      <c r="AL60" s="31">
        <f>AL13</f>
      </c>
      <c r="AM60" s="31">
        <f>AM13</f>
      </c>
      <c r="AN60" s="31">
        <f>AN13</f>
      </c>
      <c r="AO60" s="31">
        <f>AO13</f>
      </c>
      <c r="AP60" s="31">
        <f>AP13</f>
      </c>
      <c r="AQ60" s="31">
        <f>AQ13</f>
      </c>
      <c r="AR60" s="31">
        <f>AR13</f>
      </c>
      <c r="AS60" s="31">
        <f>AS13</f>
      </c>
      <c r="AT60" s="31">
        <f>AT13</f>
      </c>
      <c r="AU60" s="31">
        <f>AU13</f>
      </c>
      <c r="AV60" s="31">
        <f>AV13</f>
      </c>
      <c r="AW60" s="31">
        <f>AW13</f>
      </c>
      <c r="AX60" s="31">
        <f>AX13</f>
      </c>
      <c r="AY60" s="31">
        <f>AY13</f>
      </c>
      <c r="AZ60" s="31">
        <f>AZ13</f>
      </c>
      <c r="BA60" s="31">
        <f>BA13</f>
      </c>
      <c r="BB60" s="31">
        <f>BB13</f>
      </c>
      <c r="BC60" s="31">
        <f>BC13</f>
      </c>
      <c r="BD60" s="31">
        <f>BD13</f>
      </c>
      <c r="BE60" s="31">
        <f>BE13</f>
      </c>
      <c r="BF60" s="31">
        <f>BF13</f>
      </c>
      <c r="BG60" s="31">
        <f>BG13</f>
      </c>
      <c r="BH60" s="31">
        <f>BH13</f>
      </c>
      <c r="BI60" s="31">
        <f>BI13</f>
      </c>
      <c r="BJ60" s="31">
        <f>BJ13</f>
      </c>
      <c r="BK60" s="31">
        <f>BK13</f>
      </c>
      <c r="BL60" s="31">
        <f>BL13</f>
      </c>
      <c r="BM60" s="31">
        <f>BM13</f>
      </c>
      <c r="BN60" s="31">
        <f>BN13</f>
      </c>
      <c r="BO60" s="31">
        <f>BO13</f>
      </c>
      <c r="BP60" s="31">
        <f>BP13</f>
      </c>
      <c r="BQ60" s="31">
        <f>BQ13</f>
      </c>
      <c r="BR60" s="31">
        <f>BR13</f>
      </c>
      <c r="BS60" s="31">
        <f>BS13</f>
      </c>
      <c r="BT60" s="31">
        <f>BT13</f>
      </c>
      <c r="BU60" s="31">
        <f>BU13</f>
      </c>
      <c r="BV60" s="31">
        <f>BV13</f>
      </c>
      <c r="BW60" s="31">
        <f>BW13</f>
      </c>
      <c r="BX60" s="31">
        <f>BX13</f>
      </c>
      <c r="BY60" s="31">
        <f>BY13</f>
      </c>
      <c r="BZ60" s="31">
        <f>BZ13</f>
      </c>
      <c r="CA60" s="31">
        <f>CA13</f>
      </c>
      <c r="CB60" s="31">
        <f>CB13</f>
      </c>
      <c r="CC60" s="31">
        <f>CC13</f>
      </c>
      <c r="CD60" s="31">
        <f>CD13</f>
      </c>
      <c r="CE60" s="31">
        <f>CE13</f>
      </c>
      <c r="CF60" s="31">
        <f>CF13</f>
      </c>
      <c r="CG60" s="31">
        <f>CG13</f>
      </c>
      <c r="CH60" s="31">
        <f>CH13</f>
      </c>
      <c r="CI60" s="31">
        <f>CI13</f>
      </c>
      <c r="CJ60" s="31">
        <f>CJ13</f>
      </c>
      <c r="CK60" s="31">
        <f>CK13</f>
      </c>
      <c r="CL60" s="31">
        <f>CL13</f>
      </c>
    </row>
    <row r="61" spans="2:90" x14ac:dyDescent="0.25">
      <c r="B61" s="33" t="s">
        <v>246</v>
      </c>
      <c r="C61" s="34" t="s">
        <v>228</v>
      </c>
      <c r="D61" s="14">
        <f>SUM(E61:CL61)</f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f>K58*$D$101/4</f>
      </c>
      <c r="L61" s="31">
        <f>L58*$D$101/4</f>
      </c>
      <c r="M61" s="31">
        <f>M58*$D$101/4</f>
      </c>
      <c r="N61" s="31">
        <f>N58*$D$101/4</f>
      </c>
      <c r="O61" s="31">
        <f>O58*$D$101/4</f>
      </c>
      <c r="P61" s="31">
        <f>P58*$D$101/4</f>
      </c>
      <c r="Q61" s="31">
        <f>Q58*$D$101/4</f>
      </c>
      <c r="R61" s="31">
        <f>R58*$D$101/4</f>
      </c>
      <c r="S61" s="31">
        <f>S58*$D$101/4</f>
      </c>
      <c r="T61" s="31">
        <f>T58*$D$101/4</f>
      </c>
      <c r="U61" s="31">
        <f>U58*$D$101/4</f>
      </c>
      <c r="V61" s="31">
        <f>V58*$D$101/4</f>
      </c>
      <c r="W61" s="31">
        <f>W58*$D$101/4</f>
      </c>
      <c r="X61" s="31">
        <f>X58*$D$101/4</f>
      </c>
      <c r="Y61" s="31">
        <f>Y58*$D$101/4</f>
      </c>
      <c r="Z61" s="31">
        <f>Z58*$D$101/4</f>
      </c>
      <c r="AA61" s="31">
        <f>AA58*$D$101/4</f>
      </c>
      <c r="AB61" s="31">
        <f>AB58*$D$101/4</f>
      </c>
      <c r="AC61" s="31">
        <f>AC58*$D$101/4</f>
      </c>
      <c r="AD61" s="31">
        <f>AD58*$D$101/4</f>
      </c>
      <c r="AE61" s="31">
        <f>AE58*$D$101/4</f>
      </c>
      <c r="AF61" s="31">
        <f>AF58*$D$101/4</f>
      </c>
      <c r="AG61" s="31">
        <f>AG58*$D$101/4</f>
      </c>
      <c r="AH61" s="31">
        <f>AH58*$D$101/4</f>
      </c>
      <c r="AI61" s="31">
        <f>AI58*$D$101/4</f>
      </c>
      <c r="AJ61" s="31">
        <f>AJ58*$D$101/4</f>
      </c>
      <c r="AK61" s="31">
        <f>AK58*$D$101/4</f>
      </c>
      <c r="AL61" s="31">
        <f>AL58*$D$101/4</f>
      </c>
      <c r="AM61" s="31">
        <f>AM58*$D$101/4</f>
      </c>
      <c r="AN61" s="31">
        <f>AN58*$D$101/4</f>
      </c>
      <c r="AO61" s="31">
        <f>AO58*$D$101/4</f>
      </c>
      <c r="AP61" s="31">
        <f>AP58*$D$101/4</f>
      </c>
      <c r="AQ61" s="31">
        <f>AQ58*$D$101/4</f>
      </c>
      <c r="AR61" s="31">
        <f>AR58*$D$101/4</f>
      </c>
      <c r="AS61" s="31">
        <f>AS58*$D$101/4</f>
      </c>
      <c r="AT61" s="31">
        <f>AT58*$D$101/4</f>
      </c>
      <c r="AU61" s="31">
        <f>AU58*$D$101/4</f>
      </c>
      <c r="AV61" s="31">
        <f>AV58*$D$101/4</f>
      </c>
      <c r="AW61" s="31">
        <f>AW58*$D$101/4</f>
      </c>
      <c r="AX61" s="31">
        <f>AX58*$D$101/4</f>
      </c>
      <c r="AY61" s="31">
        <f>AY58*$D$101/4</f>
      </c>
      <c r="AZ61" s="31">
        <f>AZ58*$D$101/4</f>
      </c>
      <c r="BA61" s="31">
        <f>BA58*$D$101/4</f>
      </c>
      <c r="BB61" s="31">
        <f>BB58*$D$101/4</f>
      </c>
      <c r="BC61" s="31">
        <f>BC58*$D$101/4</f>
      </c>
      <c r="BD61" s="31">
        <f>BD58*$D$101/4</f>
      </c>
      <c r="BE61" s="31">
        <f>BE58*$D$101/4</f>
      </c>
      <c r="BF61" s="31">
        <f>BF58*$D$101/4</f>
      </c>
      <c r="BG61" s="31">
        <f>BG58*$D$101/4</f>
      </c>
      <c r="BH61" s="31">
        <f>BH58*$D$101/4</f>
      </c>
      <c r="BI61" s="31">
        <f>BI58*$D$101/4</f>
      </c>
      <c r="BJ61" s="31">
        <f>BJ58*$D$101/4</f>
      </c>
      <c r="BK61" s="31">
        <f>BK58*$D$101/4</f>
      </c>
      <c r="BL61" s="31">
        <f>BL58*$D$101/4</f>
      </c>
      <c r="BM61" s="31">
        <f>BM58*$D$101/4</f>
      </c>
      <c r="BN61" s="31">
        <f>BN58*$D$101/4</f>
      </c>
      <c r="BO61" s="31">
        <f>BO58*$D$101/4</f>
      </c>
      <c r="BP61" s="31">
        <f>BP58*$D$101/4</f>
      </c>
      <c r="BQ61" s="31">
        <f>BQ58*$D$101/4</f>
      </c>
      <c r="BR61" s="31">
        <f>BR58*$D$101/4</f>
      </c>
      <c r="BS61" s="31">
        <f>BS58*$D$101/4</f>
      </c>
      <c r="BT61" s="31">
        <f>BT58*$D$101/4</f>
      </c>
      <c r="BU61" s="31">
        <f>BU58*$D$101/4</f>
      </c>
      <c r="BV61" s="31">
        <f>BV58*$D$101/4</f>
      </c>
      <c r="BW61" s="31">
        <f>BW58*$D$101/4</f>
      </c>
      <c r="BX61" s="31">
        <f>BX58*$D$101/4</f>
      </c>
      <c r="BY61" s="31">
        <f>BY58*$D$101/4</f>
      </c>
      <c r="BZ61" s="31">
        <f>BZ58*$D$101/4</f>
      </c>
      <c r="CA61" s="31">
        <f>CA58*$D$101/4</f>
      </c>
      <c r="CB61" s="31">
        <f>CB58*$D$101/4</f>
      </c>
      <c r="CC61" s="31">
        <f>CC58*$D$101/4</f>
      </c>
      <c r="CD61" s="31">
        <f>CD58*$D$101/4</f>
      </c>
      <c r="CE61" s="31">
        <f>CE58*$D$101/4</f>
      </c>
      <c r="CF61" s="31">
        <f>CF58*$D$101/4</f>
      </c>
      <c r="CG61" s="31">
        <f>CG58*$D$101/4</f>
      </c>
      <c r="CH61" s="31">
        <f>CH58*$D$101/4</f>
      </c>
      <c r="CI61" s="31">
        <f>CI58*$D$101/4</f>
      </c>
      <c r="CJ61" s="31">
        <f>CJ58*$D$101/4</f>
      </c>
      <c r="CK61" s="31">
        <f>CK58*$D$101/4</f>
      </c>
      <c r="CL61" s="31">
        <f>CL58*$D$101/4</f>
      </c>
    </row>
    <row r="62" spans="2:90" x14ac:dyDescent="0.25">
      <c r="B62" s="33" t="s">
        <v>247</v>
      </c>
      <c r="C62" s="34" t="s">
        <v>228</v>
      </c>
      <c r="D62" s="14">
        <f>SUM(E62:CL62)</f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0</v>
      </c>
      <c r="AG62" s="31">
        <v>0</v>
      </c>
      <c r="AH62" s="31">
        <v>0</v>
      </c>
      <c r="AI62" s="31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1">
        <v>0</v>
      </c>
      <c r="AZ62" s="31">
        <v>0</v>
      </c>
      <c r="BA62" s="31">
        <v>0</v>
      </c>
      <c r="BB62" s="31">
        <v>0</v>
      </c>
      <c r="BC62" s="31">
        <v>0</v>
      </c>
      <c r="BD62" s="31">
        <v>0</v>
      </c>
      <c r="BE62" s="31">
        <v>0</v>
      </c>
      <c r="BF62" s="31">
        <v>0</v>
      </c>
      <c r="BG62" s="31">
        <v>0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0</v>
      </c>
      <c r="BQ62" s="31">
        <v>0</v>
      </c>
      <c r="BR62" s="31">
        <v>0</v>
      </c>
      <c r="BS62" s="31">
        <v>0</v>
      </c>
      <c r="BT62" s="31">
        <v>0</v>
      </c>
      <c r="BU62" s="31">
        <v>0</v>
      </c>
      <c r="BV62" s="31">
        <v>0</v>
      </c>
      <c r="BW62" s="31">
        <v>0</v>
      </c>
      <c r="BX62" s="31">
        <v>0</v>
      </c>
      <c r="BY62" s="31">
        <v>0</v>
      </c>
      <c r="BZ62" s="31">
        <v>0</v>
      </c>
      <c r="CA62" s="31">
        <v>0</v>
      </c>
      <c r="CB62" s="31">
        <v>0</v>
      </c>
      <c r="CC62" s="31">
        <v>0</v>
      </c>
      <c r="CD62" s="31">
        <v>0</v>
      </c>
      <c r="CE62" s="31">
        <v>0</v>
      </c>
      <c r="CF62" s="31">
        <v>0</v>
      </c>
      <c r="CG62" s="31">
        <v>0</v>
      </c>
      <c r="CH62" s="31">
        <v>0</v>
      </c>
      <c r="CI62" s="31">
        <v>0</v>
      </c>
      <c r="CJ62" s="31">
        <v>0</v>
      </c>
      <c r="CK62" s="31">
        <v>0</v>
      </c>
      <c r="CL62" s="31">
        <v>0</v>
      </c>
    </row>
    <row r="63" spans="2:90" x14ac:dyDescent="0.25">
      <c r="B63" s="46" t="s">
        <v>248</v>
      </c>
      <c r="C63" s="34" t="s">
        <v>228</v>
      </c>
      <c r="E63" s="14">
        <f>E58+E59-E62</f>
      </c>
      <c r="F63" s="14">
        <f>F58+F59-F62</f>
      </c>
      <c r="G63" s="14">
        <f>G58+G59-G62</f>
      </c>
      <c r="H63" s="14">
        <f>H58+H59-H62</f>
      </c>
      <c r="I63" s="14">
        <f>I58+I59-I62</f>
      </c>
      <c r="J63" s="14">
        <f>J58+J59-J62</f>
      </c>
      <c r="K63" s="14">
        <f>K58+K59-K62</f>
      </c>
      <c r="L63" s="14">
        <f>L58+L59-L62</f>
      </c>
      <c r="M63" s="14">
        <f>M58+M59-M62</f>
      </c>
      <c r="N63" s="14">
        <f>N58+N59-N62</f>
      </c>
      <c r="O63" s="14">
        <f>O58+O59-O62</f>
      </c>
      <c r="P63" s="14">
        <f>P58+P59-P62</f>
      </c>
      <c r="Q63" s="14">
        <f>Q58+Q59-Q62</f>
      </c>
      <c r="R63" s="14">
        <f>R58+R59-R62</f>
      </c>
      <c r="S63" s="14">
        <f>S58+S59-S62</f>
      </c>
      <c r="T63" s="14">
        <f>T58+T59-T62</f>
      </c>
      <c r="U63" s="14">
        <f>U58+U59-U62</f>
      </c>
      <c r="V63" s="14">
        <f>V58+V59-V62</f>
      </c>
      <c r="W63" s="14">
        <f>W58+W59-W62</f>
      </c>
      <c r="X63" s="14">
        <f>X58+X59-X62</f>
      </c>
      <c r="Y63" s="14">
        <f>Y58+Y59-Y62</f>
      </c>
      <c r="Z63" s="14">
        <f>Z58+Z59-Z62</f>
      </c>
      <c r="AA63" s="14">
        <f>AA58+AA59-AA62</f>
      </c>
      <c r="AB63" s="14">
        <f>AB58+AB59-AB62</f>
      </c>
      <c r="AC63" s="14">
        <f>AC58+AC59-AC62</f>
      </c>
      <c r="AD63" s="14">
        <f>AD58+AD59-AD62</f>
      </c>
      <c r="AE63" s="14">
        <f>AE58+AE59-AE62</f>
      </c>
      <c r="AF63" s="14">
        <f>AF58+AF59-AF62</f>
      </c>
      <c r="AG63" s="14">
        <f>AG58+AG59-AG62</f>
      </c>
      <c r="AH63" s="14">
        <f>AH58+AH59-AH62</f>
      </c>
      <c r="AI63" s="14">
        <f>AI58+AI59-AI62</f>
      </c>
      <c r="AJ63" s="14">
        <f>AJ58+AJ59-AJ62</f>
      </c>
      <c r="AK63" s="14">
        <f>AK58+AK59-AK62</f>
      </c>
      <c r="AL63" s="14">
        <f>AL58+AL59-AL62</f>
      </c>
      <c r="AM63" s="14">
        <f>AM58+AM59-AM62</f>
      </c>
      <c r="AN63" s="14">
        <f>AN58+AN59-AN62</f>
      </c>
      <c r="AO63" s="14">
        <f>AO58+AO59-AO62</f>
      </c>
      <c r="AP63" s="14">
        <f>AP58+AP59-AP62</f>
      </c>
      <c r="AQ63" s="14">
        <f>AQ58+AQ59-AQ62</f>
      </c>
      <c r="AR63" s="14">
        <f>AR58+AR59-AR62</f>
      </c>
      <c r="AS63" s="14">
        <f>AS58+AS59-AS62</f>
      </c>
      <c r="AT63" s="14">
        <f>AT58+AT59-AT62</f>
      </c>
      <c r="AU63" s="14">
        <f>AU58+AU59-AU62</f>
      </c>
      <c r="AV63" s="14">
        <f>AV58+AV59-AV62</f>
      </c>
      <c r="AW63" s="14">
        <f>AW58+AW59-AW62</f>
      </c>
      <c r="AX63" s="14">
        <f>AX58+AX59-AX62</f>
      </c>
      <c r="AY63" s="14">
        <f>AY58+AY59-AY62</f>
      </c>
      <c r="AZ63" s="14">
        <f>AZ58+AZ59-AZ62</f>
      </c>
      <c r="BA63" s="14">
        <f>BA58+BA59-BA62</f>
      </c>
      <c r="BB63" s="14">
        <f>BB58+BB59-BB62</f>
      </c>
      <c r="BC63" s="14">
        <f>BC58+BC59-BC62</f>
      </c>
      <c r="BD63" s="14">
        <f>BD58+BD59-BD62</f>
      </c>
      <c r="BE63" s="14">
        <f>BE58+BE59-BE62</f>
      </c>
      <c r="BF63" s="14">
        <f>BF58+BF59-BF62</f>
      </c>
      <c r="BG63" s="14">
        <f>BG58+BG59-BG62</f>
      </c>
      <c r="BH63" s="14">
        <f>BH58+BH59-BH62</f>
      </c>
      <c r="BI63" s="14">
        <f>BI58+BI59-BI62</f>
      </c>
      <c r="BJ63" s="14">
        <f>BJ58+BJ59-BJ62</f>
      </c>
      <c r="BK63" s="14">
        <f>BK58+BK59-BK62</f>
      </c>
      <c r="BL63" s="14">
        <f>BL58+BL59-BL62</f>
      </c>
      <c r="BM63" s="14">
        <f>BM58+BM59-BM62</f>
      </c>
      <c r="BN63" s="14">
        <f>BN58+BN59-BN62</f>
      </c>
      <c r="BO63" s="14">
        <f>BO58+BO59-BO62</f>
      </c>
      <c r="BP63" s="14">
        <f>BP58+BP59-BP62</f>
      </c>
      <c r="BQ63" s="14">
        <f>BQ58+BQ59-BQ62</f>
      </c>
      <c r="BR63" s="14">
        <f>BR58+BR59-BR62</f>
      </c>
      <c r="BS63" s="14">
        <f>BS58+BS59-BS62</f>
      </c>
      <c r="BT63" s="14">
        <f>BT58+BT59-BT62</f>
      </c>
      <c r="BU63" s="14">
        <f>BU58+BU59-BU62</f>
      </c>
      <c r="BV63" s="14">
        <f>BV58+BV59-BV62</f>
      </c>
      <c r="BW63" s="14">
        <f>BW58+BW59-BW62</f>
      </c>
      <c r="BX63" s="14">
        <f>BX58+BX59-BX62</f>
      </c>
      <c r="BY63" s="14">
        <f>BY58+BY59-BY62</f>
      </c>
      <c r="BZ63" s="14">
        <f>BZ58+BZ59-BZ62</f>
      </c>
      <c r="CA63" s="14">
        <f>CA58+CA59-CA62</f>
      </c>
      <c r="CB63" s="14">
        <f>CB58+CB59-CB62</f>
      </c>
      <c r="CC63" s="14">
        <f>CC58+CC59-CC62</f>
      </c>
      <c r="CD63" s="14">
        <f>CD58+CD59-CD62</f>
      </c>
      <c r="CE63" s="14">
        <f>CE58+CE59-CE62</f>
      </c>
      <c r="CF63" s="14">
        <f>CF58+CF59-CF62</f>
      </c>
      <c r="CG63" s="14">
        <f>CG58+CG59-CG62</f>
      </c>
      <c r="CH63" s="14">
        <f>CH58+CH59-CH62</f>
      </c>
      <c r="CI63" s="14">
        <f>CI58+CI59-CI62</f>
      </c>
      <c r="CJ63" s="14">
        <f>CJ58+CJ59-CJ62</f>
      </c>
      <c r="CK63" s="14">
        <f>CK58+CK59-CK62</f>
      </c>
      <c r="CL63" s="14">
        <f>CL58+CL59-CL62</f>
      </c>
    </row>
    <row r="64" spans="2:8" x14ac:dyDescent="0.25">
      <c r="B64" s="33" t="s">
        <v>249</v>
      </c>
      <c r="C64" s="34" t="s">
        <v>228</v>
      </c>
      <c r="D64" s="31">
        <f>CL63</f>
      </c>
      <c r="F64" s="30">
        <f>IF(ABS(D64)&lt;1,"완전상환 확인 (OK)","경고: 미상환 잔액")</f>
      </c>
      <c r="H64" s="50" t="s">
        <v>251</v>
      </c>
    </row>
    <row r="66" spans="2:91" x14ac:dyDescent="0.25">
      <c r="B66" s="47" t="s">
        <v>96</v>
      </c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</row>
    <row r="67" spans="2:90" x14ac:dyDescent="0.25">
      <c r="B67" s="33" t="s">
        <v>244</v>
      </c>
      <c r="C67" s="34" t="s">
        <v>228</v>
      </c>
      <c r="E67" s="31">
        <v>0</v>
      </c>
      <c r="F67" s="31">
        <f>E72</f>
      </c>
      <c r="G67" s="31">
        <f>F72</f>
      </c>
      <c r="H67" s="31">
        <f>G72</f>
      </c>
      <c r="I67" s="31">
        <f>H72</f>
      </c>
      <c r="J67" s="31">
        <f>I72</f>
      </c>
      <c r="K67" s="31">
        <f>J72</f>
      </c>
      <c r="L67" s="31">
        <f>K72</f>
      </c>
      <c r="M67" s="31">
        <f>L72</f>
      </c>
      <c r="N67" s="31">
        <f>M72</f>
      </c>
      <c r="O67" s="31">
        <f>N72</f>
      </c>
      <c r="P67" s="31">
        <f>O72</f>
      </c>
      <c r="Q67" s="31">
        <f>P72</f>
      </c>
      <c r="R67" s="31">
        <f>Q72</f>
      </c>
      <c r="S67" s="31">
        <f>R72</f>
      </c>
      <c r="T67" s="31">
        <f>S72</f>
      </c>
      <c r="U67" s="31">
        <f>T72</f>
      </c>
      <c r="V67" s="31">
        <f>U72</f>
      </c>
      <c r="W67" s="31">
        <f>V72</f>
      </c>
      <c r="X67" s="31">
        <f>W72</f>
      </c>
      <c r="Y67" s="31">
        <f>X72</f>
      </c>
      <c r="Z67" s="31">
        <f>Y72</f>
      </c>
      <c r="AA67" s="31">
        <f>Z72</f>
      </c>
      <c r="AB67" s="31">
        <f>AA72</f>
      </c>
      <c r="AC67" s="31">
        <f>AB72</f>
      </c>
      <c r="AD67" s="31">
        <f>AC72</f>
      </c>
      <c r="AE67" s="31">
        <f>AD72</f>
      </c>
      <c r="AF67" s="31">
        <f>AE72</f>
      </c>
      <c r="AG67" s="31">
        <f>AF72</f>
      </c>
      <c r="AH67" s="31">
        <f>AG72</f>
      </c>
      <c r="AI67" s="31">
        <f>AH72</f>
      </c>
      <c r="AJ67" s="31">
        <f>AI72</f>
      </c>
      <c r="AK67" s="31">
        <f>AJ72</f>
      </c>
      <c r="AL67" s="31">
        <f>AK72</f>
      </c>
      <c r="AM67" s="31">
        <f>AL72</f>
      </c>
      <c r="AN67" s="31">
        <f>AM72</f>
      </c>
      <c r="AO67" s="31">
        <f>AN72</f>
      </c>
      <c r="AP67" s="31">
        <f>AO72</f>
      </c>
      <c r="AQ67" s="31">
        <f>AP72</f>
      </c>
      <c r="AR67" s="31">
        <f>AQ72</f>
      </c>
      <c r="AS67" s="31">
        <f>AR72</f>
      </c>
      <c r="AT67" s="31">
        <f>AS72</f>
      </c>
      <c r="AU67" s="31">
        <f>AT72</f>
      </c>
      <c r="AV67" s="31">
        <f>AU72</f>
      </c>
      <c r="AW67" s="31">
        <f>AV72</f>
      </c>
      <c r="AX67" s="31">
        <f>AW72</f>
      </c>
      <c r="AY67" s="31">
        <f>AX72</f>
      </c>
      <c r="AZ67" s="31">
        <f>AY72</f>
      </c>
      <c r="BA67" s="31">
        <f>AZ72</f>
      </c>
      <c r="BB67" s="31">
        <f>BA72</f>
      </c>
      <c r="BC67" s="31">
        <f>BB72</f>
      </c>
      <c r="BD67" s="31">
        <f>BC72</f>
      </c>
      <c r="BE67" s="31">
        <f>BD72</f>
      </c>
      <c r="BF67" s="31">
        <f>BE72</f>
      </c>
      <c r="BG67" s="31">
        <f>BF72</f>
      </c>
      <c r="BH67" s="31">
        <f>BG72</f>
      </c>
      <c r="BI67" s="31">
        <f>BH72</f>
      </c>
      <c r="BJ67" s="31">
        <f>BI72</f>
      </c>
      <c r="BK67" s="31">
        <f>BJ72</f>
      </c>
      <c r="BL67" s="31">
        <f>BK72</f>
      </c>
      <c r="BM67" s="31">
        <f>BL72</f>
      </c>
      <c r="BN67" s="31">
        <f>BM72</f>
      </c>
      <c r="BO67" s="31">
        <f>BN72</f>
      </c>
      <c r="BP67" s="31">
        <f>BO72</f>
      </c>
      <c r="BQ67" s="31">
        <f>BP72</f>
      </c>
      <c r="BR67" s="31">
        <f>BQ72</f>
      </c>
      <c r="BS67" s="31">
        <f>BR72</f>
      </c>
      <c r="BT67" s="31">
        <f>BS72</f>
      </c>
      <c r="BU67" s="31">
        <f>BT72</f>
      </c>
      <c r="BV67" s="31">
        <f>BU72</f>
      </c>
      <c r="BW67" s="31">
        <f>BV72</f>
      </c>
      <c r="BX67" s="31">
        <f>BW72</f>
      </c>
      <c r="BY67" s="31">
        <f>BX72</f>
      </c>
      <c r="BZ67" s="31">
        <f>BY72</f>
      </c>
      <c r="CA67" s="31">
        <f>BZ72</f>
      </c>
      <c r="CB67" s="31">
        <f>CA72</f>
      </c>
      <c r="CC67" s="31">
        <f>CB72</f>
      </c>
      <c r="CD67" s="31">
        <f>CC72</f>
      </c>
      <c r="CE67" s="31">
        <f>CD72</f>
      </c>
      <c r="CF67" s="31">
        <f>CE72</f>
      </c>
      <c r="CG67" s="31">
        <f>CF72</f>
      </c>
      <c r="CH67" s="31">
        <f>CG72</f>
      </c>
      <c r="CI67" s="31">
        <f>CH72</f>
      </c>
      <c r="CJ67" s="31">
        <f>CI72</f>
      </c>
      <c r="CK67" s="31">
        <f>CJ72</f>
      </c>
      <c r="CL67" s="31">
        <f>CK72</f>
      </c>
    </row>
    <row r="68" spans="2:90" x14ac:dyDescent="0.25">
      <c r="B68" s="33" t="s">
        <v>245</v>
      </c>
      <c r="C68" s="34" t="s">
        <v>228</v>
      </c>
      <c r="D68" s="31">
        <f>SUM(E68:CL68)</f>
      </c>
      <c r="E68" s="31">
        <f>E22</f>
      </c>
      <c r="F68" s="31">
        <f>F22-E22</f>
      </c>
      <c r="G68" s="31">
        <f>G22-F22</f>
      </c>
      <c r="H68" s="31">
        <f>H22-G22</f>
      </c>
      <c r="I68" s="31">
        <f>I22-H22</f>
      </c>
      <c r="J68" s="31">
        <f>J22-I22</f>
      </c>
      <c r="K68" s="31">
        <f>K22-J22</f>
      </c>
      <c r="L68" s="31">
        <f>L22-K22</f>
      </c>
      <c r="M68" s="31">
        <f>M22-L22</f>
      </c>
      <c r="N68" s="31">
        <f>N22-M22</f>
      </c>
      <c r="O68" s="31">
        <f>O22-N22</f>
      </c>
      <c r="P68" s="31">
        <f>P22-O22</f>
      </c>
      <c r="Q68" s="31">
        <f>Q22-P22</f>
      </c>
      <c r="R68" s="31">
        <f>R22-Q22</f>
      </c>
      <c r="S68" s="31">
        <f>S22-R22</f>
      </c>
      <c r="T68" s="31">
        <f>T22-S22</f>
      </c>
      <c r="U68" s="31">
        <f>U22-T22</f>
      </c>
      <c r="V68" s="31">
        <f>V22-U22</f>
      </c>
      <c r="W68" s="31">
        <f>W22-V22</f>
      </c>
      <c r="X68" s="31">
        <f>X22-W22</f>
      </c>
      <c r="Y68" s="31">
        <f>Y22-X22</f>
      </c>
      <c r="Z68" s="31">
        <f>Z22-Y22</f>
      </c>
      <c r="AA68" s="31">
        <f>AA22-Z22</f>
      </c>
      <c r="AB68" s="31">
        <f>AB22-AA22</f>
      </c>
      <c r="AC68" s="31">
        <f>AC22-AB22</f>
      </c>
      <c r="AD68" s="31">
        <f>AD22-AC22</f>
      </c>
      <c r="AE68" s="31">
        <f>AE22-AD22</f>
      </c>
      <c r="AF68" s="31">
        <f>AF22-AE22</f>
      </c>
      <c r="AG68" s="31">
        <f>AG22-AF22</f>
      </c>
      <c r="AH68" s="31">
        <f>AH22-AG22</f>
      </c>
      <c r="AI68" s="31">
        <f>AI22-AH22</f>
      </c>
      <c r="AJ68" s="31">
        <f>AJ22-AI22</f>
      </c>
      <c r="AK68" s="31">
        <f>AK22-AJ22</f>
      </c>
      <c r="AL68" s="31">
        <f>AL22-AK22</f>
      </c>
      <c r="AM68" s="31">
        <f>AM22-AL22</f>
      </c>
      <c r="AN68" s="31">
        <f>AN22-AM22</f>
      </c>
      <c r="AO68" s="31">
        <f>AO22-AN22</f>
      </c>
      <c r="AP68" s="31">
        <f>AP22-AO22</f>
      </c>
      <c r="AQ68" s="31">
        <f>AQ22-AP22</f>
      </c>
      <c r="AR68" s="31">
        <f>AR22-AQ22</f>
      </c>
      <c r="AS68" s="31">
        <f>AS22-AR22</f>
      </c>
      <c r="AT68" s="31">
        <f>AT22-AS22</f>
      </c>
      <c r="AU68" s="31">
        <f>AU22-AT22</f>
      </c>
      <c r="AV68" s="31">
        <f>AV22-AU22</f>
      </c>
      <c r="AW68" s="31">
        <f>AW22-AV22</f>
      </c>
      <c r="AX68" s="31">
        <f>AX22-AW22</f>
      </c>
      <c r="AY68" s="31">
        <f>AY22-AX22</f>
      </c>
      <c r="AZ68" s="31">
        <f>AZ22-AY22</f>
      </c>
      <c r="BA68" s="31">
        <f>BA22-AZ22</f>
      </c>
      <c r="BB68" s="31">
        <f>BB22-BA22</f>
      </c>
      <c r="BC68" s="31">
        <f>BC22-BB22</f>
      </c>
      <c r="BD68" s="31">
        <f>BD22-BC22</f>
      </c>
      <c r="BE68" s="31">
        <f>BE22-BD22</f>
      </c>
      <c r="BF68" s="31">
        <f>BF22-BE22</f>
      </c>
      <c r="BG68" s="31">
        <f>BG22-BF22</f>
      </c>
      <c r="BH68" s="31">
        <f>BH22-BG22</f>
      </c>
      <c r="BI68" s="31">
        <f>BI22-BH22</f>
      </c>
      <c r="BJ68" s="31">
        <f>BJ22-BI22</f>
      </c>
      <c r="BK68" s="31">
        <f>BK22-BJ22</f>
      </c>
      <c r="BL68" s="31">
        <f>BL22-BK22</f>
      </c>
      <c r="BM68" s="31">
        <f>BM22-BL22</f>
      </c>
      <c r="BN68" s="31">
        <f>BN22-BM22</f>
      </c>
      <c r="BO68" s="31">
        <f>BO22-BN22</f>
      </c>
      <c r="BP68" s="31">
        <f>BP22-BO22</f>
      </c>
      <c r="BQ68" s="31">
        <f>BQ22-BP22</f>
      </c>
      <c r="BR68" s="31">
        <f>BR22-BQ22</f>
      </c>
      <c r="BS68" s="31">
        <f>BS22-BR22</f>
      </c>
      <c r="BT68" s="31">
        <f>BT22-BS22</f>
      </c>
      <c r="BU68" s="31">
        <f>BU22-BT22</f>
      </c>
      <c r="BV68" s="31">
        <f>BV22-BU22</f>
      </c>
      <c r="BW68" s="31">
        <f>BW22-BV22</f>
      </c>
      <c r="BX68" s="31">
        <f>BX22-BW22</f>
      </c>
      <c r="BY68" s="31">
        <f>BY22-BX22</f>
      </c>
      <c r="BZ68" s="31">
        <f>BZ22-BY22</f>
      </c>
      <c r="CA68" s="31">
        <f>CA22-BZ22</f>
      </c>
      <c r="CB68" s="31">
        <f>CB22-CA22</f>
      </c>
      <c r="CC68" s="31">
        <f>CC22-CB22</f>
      </c>
      <c r="CD68" s="31">
        <f>CD22-CC22</f>
      </c>
      <c r="CE68" s="31">
        <f>CE22-CD22</f>
      </c>
      <c r="CF68" s="31">
        <f>CF22-CE22</f>
      </c>
      <c r="CG68" s="31">
        <f>CG22-CF22</f>
      </c>
      <c r="CH68" s="31">
        <f>CH22-CG22</f>
      </c>
      <c r="CI68" s="31">
        <f>CI22-CH22</f>
      </c>
      <c r="CJ68" s="31">
        <f>CJ22-CI22</f>
      </c>
      <c r="CK68" s="31">
        <f>CK22-CJ22</f>
      </c>
      <c r="CL68" s="31">
        <f>CL22-CK22</f>
      </c>
    </row>
    <row r="69" spans="2:90" x14ac:dyDescent="0.25">
      <c r="B69" s="33" t="s">
        <v>214</v>
      </c>
      <c r="C69" s="34" t="s">
        <v>228</v>
      </c>
      <c r="D69" s="31">
        <f>SUM(E69:CL69)</f>
      </c>
      <c r="E69" s="31">
        <f>E14</f>
      </c>
      <c r="F69" s="31">
        <f>F14</f>
      </c>
      <c r="G69" s="31">
        <f>G14</f>
      </c>
      <c r="H69" s="31">
        <f>H14</f>
      </c>
      <c r="I69" s="31">
        <f>I14</f>
      </c>
      <c r="J69" s="31">
        <f>J14</f>
      </c>
      <c r="K69" s="31">
        <f>K14</f>
      </c>
      <c r="L69" s="31">
        <f>L14</f>
      </c>
      <c r="M69" s="31">
        <f>M14</f>
      </c>
      <c r="N69" s="31">
        <f>N14</f>
      </c>
      <c r="O69" s="31">
        <f>O14</f>
      </c>
      <c r="P69" s="31">
        <f>P14</f>
      </c>
      <c r="Q69" s="31">
        <f>Q14</f>
      </c>
      <c r="R69" s="31">
        <f>R14</f>
      </c>
      <c r="S69" s="31">
        <f>S14</f>
      </c>
      <c r="T69" s="31">
        <f>T14</f>
      </c>
      <c r="U69" s="31">
        <f>U14</f>
      </c>
      <c r="V69" s="31">
        <f>V14</f>
      </c>
      <c r="W69" s="31">
        <f>W14</f>
      </c>
      <c r="X69" s="31">
        <f>X14</f>
      </c>
      <c r="Y69" s="31">
        <f>Y14</f>
      </c>
      <c r="Z69" s="31">
        <f>Z14</f>
      </c>
      <c r="AA69" s="31">
        <f>AA14</f>
      </c>
      <c r="AB69" s="31">
        <f>AB14</f>
      </c>
      <c r="AC69" s="31">
        <f>AC14</f>
      </c>
      <c r="AD69" s="31">
        <f>AD14</f>
      </c>
      <c r="AE69" s="31">
        <f>AE14</f>
      </c>
      <c r="AF69" s="31">
        <f>AF14</f>
      </c>
      <c r="AG69" s="31">
        <f>AG14</f>
      </c>
      <c r="AH69" s="31">
        <f>AH14</f>
      </c>
      <c r="AI69" s="31">
        <f>AI14</f>
      </c>
      <c r="AJ69" s="31">
        <f>AJ14</f>
      </c>
      <c r="AK69" s="31">
        <f>AK14</f>
      </c>
      <c r="AL69" s="31">
        <f>AL14</f>
      </c>
      <c r="AM69" s="31">
        <f>AM14</f>
      </c>
      <c r="AN69" s="31">
        <f>AN14</f>
      </c>
      <c r="AO69" s="31">
        <f>AO14</f>
      </c>
      <c r="AP69" s="31">
        <f>AP14</f>
      </c>
      <c r="AQ69" s="31">
        <f>AQ14</f>
      </c>
      <c r="AR69" s="31">
        <f>AR14</f>
      </c>
      <c r="AS69" s="31">
        <f>AS14</f>
      </c>
      <c r="AT69" s="31">
        <f>AT14</f>
      </c>
      <c r="AU69" s="31">
        <f>AU14</f>
      </c>
      <c r="AV69" s="31">
        <f>AV14</f>
      </c>
      <c r="AW69" s="31">
        <f>AW14</f>
      </c>
      <c r="AX69" s="31">
        <f>AX14</f>
      </c>
      <c r="AY69" s="31">
        <f>AY14</f>
      </c>
      <c r="AZ69" s="31">
        <f>AZ14</f>
      </c>
      <c r="BA69" s="31">
        <f>BA14</f>
      </c>
      <c r="BB69" s="31">
        <f>BB14</f>
      </c>
      <c r="BC69" s="31">
        <f>BC14</f>
      </c>
      <c r="BD69" s="31">
        <f>BD14</f>
      </c>
      <c r="BE69" s="31">
        <f>BE14</f>
      </c>
      <c r="BF69" s="31">
        <f>BF14</f>
      </c>
      <c r="BG69" s="31">
        <f>BG14</f>
      </c>
      <c r="BH69" s="31">
        <f>BH14</f>
      </c>
      <c r="BI69" s="31">
        <f>BI14</f>
      </c>
      <c r="BJ69" s="31">
        <f>BJ14</f>
      </c>
      <c r="BK69" s="31">
        <f>BK14</f>
      </c>
      <c r="BL69" s="31">
        <f>BL14</f>
      </c>
      <c r="BM69" s="31">
        <f>BM14</f>
      </c>
      <c r="BN69" s="31">
        <f>BN14</f>
      </c>
      <c r="BO69" s="31">
        <f>BO14</f>
      </c>
      <c r="BP69" s="31">
        <f>BP14</f>
      </c>
      <c r="BQ69" s="31">
        <f>BQ14</f>
      </c>
      <c r="BR69" s="31">
        <f>BR14</f>
      </c>
      <c r="BS69" s="31">
        <f>BS14</f>
      </c>
      <c r="BT69" s="31">
        <f>BT14</f>
      </c>
      <c r="BU69" s="31">
        <f>BU14</f>
      </c>
      <c r="BV69" s="31">
        <f>BV14</f>
      </c>
      <c r="BW69" s="31">
        <f>BW14</f>
      </c>
      <c r="BX69" s="31">
        <f>BX14</f>
      </c>
      <c r="BY69" s="31">
        <f>BY14</f>
      </c>
      <c r="BZ69" s="31">
        <f>BZ14</f>
      </c>
      <c r="CA69" s="31">
        <f>CA14</f>
      </c>
      <c r="CB69" s="31">
        <f>CB14</f>
      </c>
      <c r="CC69" s="31">
        <f>CC14</f>
      </c>
      <c r="CD69" s="31">
        <f>CD14</f>
      </c>
      <c r="CE69" s="31">
        <f>CE14</f>
      </c>
      <c r="CF69" s="31">
        <f>CF14</f>
      </c>
      <c r="CG69" s="31">
        <f>CG14</f>
      </c>
      <c r="CH69" s="31">
        <f>CH14</f>
      </c>
      <c r="CI69" s="31">
        <f>CI14</f>
      </c>
      <c r="CJ69" s="31">
        <f>CJ14</f>
      </c>
      <c r="CK69" s="31">
        <f>CK14</f>
      </c>
      <c r="CL69" s="31">
        <f>CL14</f>
      </c>
    </row>
    <row r="70" spans="2:90" x14ac:dyDescent="0.25">
      <c r="B70" s="33" t="s">
        <v>246</v>
      </c>
      <c r="C70" s="34" t="s">
        <v>228</v>
      </c>
      <c r="D70" s="14">
        <f>SUM(E70:CL70)</f>
      </c>
      <c r="E70" s="31">
        <v>0</v>
      </c>
      <c r="F70" s="31">
        <v>0</v>
      </c>
      <c r="G70" s="31">
        <v>0</v>
      </c>
      <c r="H70" s="31">
        <v>0</v>
      </c>
      <c r="I70" s="31">
        <v>0</v>
      </c>
      <c r="J70" s="31">
        <v>0</v>
      </c>
      <c r="K70" s="31">
        <f>K67*$D$104/4</f>
      </c>
      <c r="L70" s="31">
        <f>L67*$D$104/4</f>
      </c>
      <c r="M70" s="31">
        <f>M67*$D$104/4</f>
      </c>
      <c r="N70" s="31">
        <f>N67*$D$104/4</f>
      </c>
      <c r="O70" s="31">
        <f>O67*$D$104/4</f>
      </c>
      <c r="P70" s="31">
        <f>P67*$D$104/4</f>
      </c>
      <c r="Q70" s="31">
        <f>Q67*$D$104/4</f>
      </c>
      <c r="R70" s="31">
        <f>R67*$D$104/4</f>
      </c>
      <c r="S70" s="31">
        <f>S67*$D$104/4</f>
      </c>
      <c r="T70" s="31">
        <f>T67*$D$104/4</f>
      </c>
      <c r="U70" s="31">
        <f>U67*$D$104/4</f>
      </c>
      <c r="V70" s="31">
        <f>V67*$D$104/4</f>
      </c>
      <c r="W70" s="31">
        <f>W67*$D$104/4</f>
      </c>
      <c r="X70" s="31">
        <f>X67*$D$104/4</f>
      </c>
      <c r="Y70" s="31">
        <f>Y67*$D$104/4</f>
      </c>
      <c r="Z70" s="31">
        <f>Z67*$D$104/4</f>
      </c>
      <c r="AA70" s="31">
        <f>AA67*$D$104/4</f>
      </c>
      <c r="AB70" s="31">
        <f>AB67*$D$104/4</f>
      </c>
      <c r="AC70" s="31">
        <f>AC67*$D$104/4</f>
      </c>
      <c r="AD70" s="31">
        <f>AD67*$D$104/4</f>
      </c>
      <c r="AE70" s="31">
        <f>AE67*$D$104/4</f>
      </c>
      <c r="AF70" s="31">
        <f>AF67*$D$104/4</f>
      </c>
      <c r="AG70" s="31">
        <f>AG67*$D$104/4</f>
      </c>
      <c r="AH70" s="31">
        <f>AH67*$D$104/4</f>
      </c>
      <c r="AI70" s="31">
        <f>AI67*$D$104/4</f>
      </c>
      <c r="AJ70" s="31">
        <f>AJ67*$D$104/4</f>
      </c>
      <c r="AK70" s="31">
        <f>AK67*$D$104/4</f>
      </c>
      <c r="AL70" s="31">
        <f>AL67*$D$104/4</f>
      </c>
      <c r="AM70" s="31">
        <f>AM67*$D$104/4</f>
      </c>
      <c r="AN70" s="31">
        <f>AN67*$D$104/4</f>
      </c>
      <c r="AO70" s="31">
        <f>AO67*$D$104/4</f>
      </c>
      <c r="AP70" s="31">
        <f>AP67*$D$104/4</f>
      </c>
      <c r="AQ70" s="31">
        <f>AQ67*$D$104/4</f>
      </c>
      <c r="AR70" s="31">
        <f>AR67*$D$104/4</f>
      </c>
      <c r="AS70" s="31">
        <f>AS67*$D$104/4</f>
      </c>
      <c r="AT70" s="31">
        <f>AT67*$D$104/4</f>
      </c>
      <c r="AU70" s="31">
        <f>AU67*$D$104/4</f>
      </c>
      <c r="AV70" s="31">
        <f>AV67*$D$104/4</f>
      </c>
      <c r="AW70" s="31">
        <f>AW67*$D$104/4</f>
      </c>
      <c r="AX70" s="31">
        <f>AX67*$D$104/4</f>
      </c>
      <c r="AY70" s="31">
        <f>AY67*$D$104/4</f>
      </c>
      <c r="AZ70" s="31">
        <f>AZ67*$D$104/4</f>
      </c>
      <c r="BA70" s="31">
        <f>BA67*$D$104/4</f>
      </c>
      <c r="BB70" s="31">
        <f>BB67*$D$104/4</f>
      </c>
      <c r="BC70" s="31">
        <f>BC67*$D$104/4</f>
      </c>
      <c r="BD70" s="31">
        <f>BD67*$D$104/4</f>
      </c>
      <c r="BE70" s="31">
        <f>BE67*$D$104/4</f>
      </c>
      <c r="BF70" s="31">
        <f>BF67*$D$104/4</f>
      </c>
      <c r="BG70" s="31">
        <f>BG67*$D$104/4</f>
      </c>
      <c r="BH70" s="31">
        <f>BH67*$D$104/4</f>
      </c>
      <c r="BI70" s="31">
        <f>BI67*$D$104/4</f>
      </c>
      <c r="BJ70" s="31">
        <f>BJ67*$D$104/4</f>
      </c>
      <c r="BK70" s="31">
        <f>BK67*$D$104/4</f>
      </c>
      <c r="BL70" s="31">
        <f>BL67*$D$104/4</f>
      </c>
      <c r="BM70" s="31">
        <f>BM67*$D$104/4</f>
      </c>
      <c r="BN70" s="31">
        <f>BN67*$D$104/4</f>
      </c>
      <c r="BO70" s="31">
        <f>BO67*$D$104/4</f>
      </c>
      <c r="BP70" s="31">
        <f>BP67*$D$104/4</f>
      </c>
      <c r="BQ70" s="31">
        <f>BQ67*$D$104/4</f>
      </c>
      <c r="BR70" s="31">
        <f>BR67*$D$104/4</f>
      </c>
      <c r="BS70" s="31">
        <f>BS67*$D$104/4</f>
      </c>
      <c r="BT70" s="31">
        <f>BT67*$D$104/4</f>
      </c>
      <c r="BU70" s="31">
        <f>BU67*$D$104/4</f>
      </c>
      <c r="BV70" s="31">
        <f>BV67*$D$104/4</f>
      </c>
      <c r="BW70" s="31">
        <f>BW67*$D$104/4</f>
      </c>
      <c r="BX70" s="31">
        <f>BX67*$D$104/4</f>
      </c>
      <c r="BY70" s="31">
        <f>BY67*$D$104/4</f>
      </c>
      <c r="BZ70" s="31">
        <f>BZ67*$D$104/4</f>
      </c>
      <c r="CA70" s="31">
        <f>CA67*$D$104/4</f>
      </c>
      <c r="CB70" s="31">
        <f>CB67*$D$104/4</f>
      </c>
      <c r="CC70" s="31">
        <f>CC67*$D$104/4</f>
      </c>
      <c r="CD70" s="31">
        <f>CD67*$D$104/4</f>
      </c>
      <c r="CE70" s="31">
        <f>CE67*$D$104/4</f>
      </c>
      <c r="CF70" s="31">
        <f>CF67*$D$104/4</f>
      </c>
      <c r="CG70" s="31">
        <f>CG67*$D$104/4</f>
      </c>
      <c r="CH70" s="31">
        <f>CH67*$D$104/4</f>
      </c>
      <c r="CI70" s="31">
        <f>CI67*$D$104/4</f>
      </c>
      <c r="CJ70" s="31">
        <f>CJ67*$D$104/4</f>
      </c>
      <c r="CK70" s="31">
        <f>CK67*$D$104/4</f>
      </c>
      <c r="CL70" s="31">
        <f>CL67*$D$104/4</f>
      </c>
    </row>
    <row r="71" spans="2:90" x14ac:dyDescent="0.25">
      <c r="B71" s="33" t="s">
        <v>247</v>
      </c>
      <c r="C71" s="34" t="s">
        <v>228</v>
      </c>
      <c r="D71" s="14">
        <f>SUM(E71:CL71)</f>
      </c>
      <c r="E71" s="31">
        <v>0</v>
      </c>
      <c r="F71" s="31">
        <v>0</v>
      </c>
      <c r="G71" s="31">
        <v>0</v>
      </c>
      <c r="H71" s="31">
        <v>0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1">
        <v>0</v>
      </c>
      <c r="AZ71" s="31">
        <v>0</v>
      </c>
      <c r="BA71" s="31">
        <v>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</v>
      </c>
      <c r="BK71" s="31">
        <v>0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  <c r="BQ71" s="31">
        <v>0</v>
      </c>
      <c r="BR71" s="31">
        <v>0</v>
      </c>
      <c r="BS71" s="31">
        <v>0</v>
      </c>
      <c r="BT71" s="31">
        <v>0</v>
      </c>
      <c r="BU71" s="31">
        <v>0</v>
      </c>
      <c r="BV71" s="31">
        <v>0</v>
      </c>
      <c r="BW71" s="31">
        <v>0</v>
      </c>
      <c r="BX71" s="31">
        <v>0</v>
      </c>
      <c r="BY71" s="31">
        <v>0</v>
      </c>
      <c r="BZ71" s="31">
        <v>0</v>
      </c>
      <c r="CA71" s="31">
        <v>0</v>
      </c>
      <c r="CB71" s="31">
        <v>0</v>
      </c>
      <c r="CC71" s="31">
        <v>0</v>
      </c>
      <c r="CD71" s="31">
        <v>0</v>
      </c>
      <c r="CE71" s="31">
        <v>0</v>
      </c>
      <c r="CF71" s="31">
        <v>0</v>
      </c>
      <c r="CG71" s="31">
        <v>0</v>
      </c>
      <c r="CH71" s="31">
        <v>0</v>
      </c>
      <c r="CI71" s="31">
        <v>0</v>
      </c>
      <c r="CJ71" s="31">
        <v>0</v>
      </c>
      <c r="CK71" s="31">
        <v>0</v>
      </c>
      <c r="CL71" s="31">
        <v>0</v>
      </c>
    </row>
    <row r="72" spans="2:90" x14ac:dyDescent="0.25">
      <c r="B72" s="46" t="s">
        <v>248</v>
      </c>
      <c r="C72" s="34" t="s">
        <v>228</v>
      </c>
      <c r="E72" s="14">
        <f>E67+E68-E71</f>
      </c>
      <c r="F72" s="14">
        <f>F67+F68-F71</f>
      </c>
      <c r="G72" s="14">
        <f>G67+G68-G71</f>
      </c>
      <c r="H72" s="14">
        <f>H67+H68-H71</f>
      </c>
      <c r="I72" s="14">
        <f>I67+I68-I71</f>
      </c>
      <c r="J72" s="14">
        <f>J67+J68-J71</f>
      </c>
      <c r="K72" s="14">
        <f>K67+K68-K71</f>
      </c>
      <c r="L72" s="14">
        <f>L67+L68-L71</f>
      </c>
      <c r="M72" s="14">
        <f>M67+M68-M71</f>
      </c>
      <c r="N72" s="14">
        <f>N67+N68-N71</f>
      </c>
      <c r="O72" s="14">
        <f>O67+O68-O71</f>
      </c>
      <c r="P72" s="14">
        <f>P67+P68-P71</f>
      </c>
      <c r="Q72" s="14">
        <f>Q67+Q68-Q71</f>
      </c>
      <c r="R72" s="14">
        <f>R67+R68-R71</f>
      </c>
      <c r="S72" s="14">
        <f>S67+S68-S71</f>
      </c>
      <c r="T72" s="14">
        <f>T67+T68-T71</f>
      </c>
      <c r="U72" s="14">
        <f>U67+U68-U71</f>
      </c>
      <c r="V72" s="14">
        <f>V67+V68-V71</f>
      </c>
      <c r="W72" s="14">
        <f>W67+W68-W71</f>
      </c>
      <c r="X72" s="14">
        <f>X67+X68-X71</f>
      </c>
      <c r="Y72" s="14">
        <f>Y67+Y68-Y71</f>
      </c>
      <c r="Z72" s="14">
        <f>Z67+Z68-Z71</f>
      </c>
      <c r="AA72" s="14">
        <f>AA67+AA68-AA71</f>
      </c>
      <c r="AB72" s="14">
        <f>AB67+AB68-AB71</f>
      </c>
      <c r="AC72" s="14">
        <f>AC67+AC68-AC71</f>
      </c>
      <c r="AD72" s="14">
        <f>AD67+AD68-AD71</f>
      </c>
      <c r="AE72" s="14">
        <f>AE67+AE68-AE71</f>
      </c>
      <c r="AF72" s="14">
        <f>AF67+AF68-AF71</f>
      </c>
      <c r="AG72" s="14">
        <f>AG67+AG68-AG71</f>
      </c>
      <c r="AH72" s="14">
        <f>AH67+AH68-AH71</f>
      </c>
      <c r="AI72" s="14">
        <f>AI67+AI68-AI71</f>
      </c>
      <c r="AJ72" s="14">
        <f>AJ67+AJ68-AJ71</f>
      </c>
      <c r="AK72" s="14">
        <f>AK67+AK68-AK71</f>
      </c>
      <c r="AL72" s="14">
        <f>AL67+AL68-AL71</f>
      </c>
      <c r="AM72" s="14">
        <f>AM67+AM68-AM71</f>
      </c>
      <c r="AN72" s="14">
        <f>AN67+AN68-AN71</f>
      </c>
      <c r="AO72" s="14">
        <f>AO67+AO68-AO71</f>
      </c>
      <c r="AP72" s="14">
        <f>AP67+AP68-AP71</f>
      </c>
      <c r="AQ72" s="14">
        <f>AQ67+AQ68-AQ71</f>
      </c>
      <c r="AR72" s="14">
        <f>AR67+AR68-AR71</f>
      </c>
      <c r="AS72" s="14">
        <f>AS67+AS68-AS71</f>
      </c>
      <c r="AT72" s="14">
        <f>AT67+AT68-AT71</f>
      </c>
      <c r="AU72" s="14">
        <f>AU67+AU68-AU71</f>
      </c>
      <c r="AV72" s="14">
        <f>AV67+AV68-AV71</f>
      </c>
      <c r="AW72" s="14">
        <f>AW67+AW68-AW71</f>
      </c>
      <c r="AX72" s="14">
        <f>AX67+AX68-AX71</f>
      </c>
      <c r="AY72" s="14">
        <f>AY67+AY68-AY71</f>
      </c>
      <c r="AZ72" s="14">
        <f>AZ67+AZ68-AZ71</f>
      </c>
      <c r="BA72" s="14">
        <f>BA67+BA68-BA71</f>
      </c>
      <c r="BB72" s="14">
        <f>BB67+BB68-BB71</f>
      </c>
      <c r="BC72" s="14">
        <f>BC67+BC68-BC71</f>
      </c>
      <c r="BD72" s="14">
        <f>BD67+BD68-BD71</f>
      </c>
      <c r="BE72" s="14">
        <f>BE67+BE68-BE71</f>
      </c>
      <c r="BF72" s="14">
        <f>BF67+BF68-BF71</f>
      </c>
      <c r="BG72" s="14">
        <f>BG67+BG68-BG71</f>
      </c>
      <c r="BH72" s="14">
        <f>BH67+BH68-BH71</f>
      </c>
      <c r="BI72" s="14">
        <f>BI67+BI68-BI71</f>
      </c>
      <c r="BJ72" s="14">
        <f>BJ67+BJ68-BJ71</f>
      </c>
      <c r="BK72" s="14">
        <f>BK67+BK68-BK71</f>
      </c>
      <c r="BL72" s="14">
        <f>BL67+BL68-BL71</f>
      </c>
      <c r="BM72" s="14">
        <f>BM67+BM68-BM71</f>
      </c>
      <c r="BN72" s="14">
        <f>BN67+BN68-BN71</f>
      </c>
      <c r="BO72" s="14">
        <f>BO67+BO68-BO71</f>
      </c>
      <c r="BP72" s="14">
        <f>BP67+BP68-BP71</f>
      </c>
      <c r="BQ72" s="14">
        <f>BQ67+BQ68-BQ71</f>
      </c>
      <c r="BR72" s="14">
        <f>BR67+BR68-BR71</f>
      </c>
      <c r="BS72" s="14">
        <f>BS67+BS68-BS71</f>
      </c>
      <c r="BT72" s="14">
        <f>BT67+BT68-BT71</f>
      </c>
      <c r="BU72" s="14">
        <f>BU67+BU68-BU71</f>
      </c>
      <c r="BV72" s="14">
        <f>BV67+BV68-BV71</f>
      </c>
      <c r="BW72" s="14">
        <f>BW67+BW68-BW71</f>
      </c>
      <c r="BX72" s="14">
        <f>BX67+BX68-BX71</f>
      </c>
      <c r="BY72" s="14">
        <f>BY67+BY68-BY71</f>
      </c>
      <c r="BZ72" s="14">
        <f>BZ67+BZ68-BZ71</f>
      </c>
      <c r="CA72" s="14">
        <f>CA67+CA68-CA71</f>
      </c>
      <c r="CB72" s="14">
        <f>CB67+CB68-CB71</f>
      </c>
      <c r="CC72" s="14">
        <f>CC67+CC68-CC71</f>
      </c>
      <c r="CD72" s="14">
        <f>CD67+CD68-CD71</f>
      </c>
      <c r="CE72" s="14">
        <f>CE67+CE68-CE71</f>
      </c>
      <c r="CF72" s="14">
        <f>CF67+CF68-CF71</f>
      </c>
      <c r="CG72" s="14">
        <f>CG67+CG68-CG71</f>
      </c>
      <c r="CH72" s="14">
        <f>CH67+CH68-CH71</f>
      </c>
      <c r="CI72" s="14">
        <f>CI67+CI68-CI71</f>
      </c>
      <c r="CJ72" s="14">
        <f>CJ67+CJ68-CJ71</f>
      </c>
      <c r="CK72" s="14">
        <f>CK67+CK68-CK71</f>
      </c>
      <c r="CL72" s="14">
        <f>CL67+CL68-CL71</f>
      </c>
    </row>
    <row r="73" spans="2:8" x14ac:dyDescent="0.25">
      <c r="B73" s="33" t="s">
        <v>249</v>
      </c>
      <c r="C73" s="34" t="s">
        <v>228</v>
      </c>
      <c r="D73" s="31">
        <f>CL72</f>
      </c>
      <c r="F73" s="30">
        <f>IF(ABS(D73)&lt;1,"완전상환 확인 (OK)","경고: 미상환 잔액")</f>
      </c>
      <c r="H73" s="50" t="s">
        <v>251</v>
      </c>
    </row>
    <row r="75" spans="2:91" x14ac:dyDescent="0.25">
      <c r="B75" s="9" t="s">
        <v>252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</row>
    <row r="76" spans="2:90" x14ac:dyDescent="0.25">
      <c r="B76" s="33" t="s">
        <v>244</v>
      </c>
      <c r="C76" s="34" t="s">
        <v>228</v>
      </c>
      <c r="E76" s="31">
        <f>E30+E39+E48+E58+E67</f>
      </c>
      <c r="F76" s="31">
        <f>F30+F39+F48+F58+F67</f>
      </c>
      <c r="G76" s="31">
        <f>G30+G39+G48+G58+G67</f>
      </c>
      <c r="H76" s="31">
        <f>H30+H39+H48+H58+H67</f>
      </c>
      <c r="I76" s="31">
        <f>I30+I39+I48+I58+I67</f>
      </c>
      <c r="J76" s="31">
        <f>J30+J39+J48+J58+J67</f>
      </c>
      <c r="K76" s="31">
        <f>K30+K39+K48+K58+K67</f>
      </c>
      <c r="L76" s="31">
        <f>L30+L39+L48+L58+L67</f>
      </c>
      <c r="M76" s="31">
        <f>M30+M39+M48+M58+M67</f>
      </c>
      <c r="N76" s="31">
        <f>N30+N39+N48+N58+N67</f>
      </c>
      <c r="O76" s="31">
        <f>O30+O39+O48+O58+O67</f>
      </c>
      <c r="P76" s="31">
        <f>P30+P39+P48+P58+P67</f>
      </c>
      <c r="Q76" s="31">
        <f>Q30+Q39+Q48+Q58+Q67</f>
      </c>
      <c r="R76" s="31">
        <f>R30+R39+R48+R58+R67</f>
      </c>
      <c r="S76" s="31">
        <f>S30+S39+S48+S58+S67</f>
      </c>
      <c r="T76" s="31">
        <f>T30+T39+T48+T58+T67</f>
      </c>
      <c r="U76" s="31">
        <f>U30+U39+U48+U58+U67</f>
      </c>
      <c r="V76" s="31">
        <f>V30+V39+V48+V58+V67</f>
      </c>
      <c r="W76" s="31">
        <f>W30+W39+W48+W58+W67</f>
      </c>
      <c r="X76" s="31">
        <f>X30+X39+X48+X58+X67</f>
      </c>
      <c r="Y76" s="31">
        <f>Y30+Y39+Y48+Y58+Y67</f>
      </c>
      <c r="Z76" s="31">
        <f>Z30+Z39+Z48+Z58+Z67</f>
      </c>
      <c r="AA76" s="31">
        <f>AA30+AA39+AA48+AA58+AA67</f>
      </c>
      <c r="AB76" s="31">
        <f>AB30+AB39+AB48+AB58+AB67</f>
      </c>
      <c r="AC76" s="31">
        <f>AC30+AC39+AC48+AC58+AC67</f>
      </c>
      <c r="AD76" s="31">
        <f>AD30+AD39+AD48+AD58+AD67</f>
      </c>
      <c r="AE76" s="31">
        <f>AE30+AE39+AE48+AE58+AE67</f>
      </c>
      <c r="AF76" s="31">
        <f>AF30+AF39+AF48+AF58+AF67</f>
      </c>
      <c r="AG76" s="31">
        <f>AG30+AG39+AG48+AG58+AG67</f>
      </c>
      <c r="AH76" s="31">
        <f>AH30+AH39+AH48+AH58+AH67</f>
      </c>
      <c r="AI76" s="31">
        <f>AI30+AI39+AI48+AI58+AI67</f>
      </c>
      <c r="AJ76" s="31">
        <f>AJ30+AJ39+AJ48+AJ58+AJ67</f>
      </c>
      <c r="AK76" s="31">
        <f>AK30+AK39+AK48+AK58+AK67</f>
      </c>
      <c r="AL76" s="31">
        <f>AL30+AL39+AL48+AL58+AL67</f>
      </c>
      <c r="AM76" s="31">
        <f>AM30+AM39+AM48+AM58+AM67</f>
      </c>
      <c r="AN76" s="31">
        <f>AN30+AN39+AN48+AN58+AN67</f>
      </c>
      <c r="AO76" s="31">
        <f>AO30+AO39+AO48+AO58+AO67</f>
      </c>
      <c r="AP76" s="31">
        <f>AP30+AP39+AP48+AP58+AP67</f>
      </c>
      <c r="AQ76" s="31">
        <f>AQ30+AQ39+AQ48+AQ58+AQ67</f>
      </c>
      <c r="AR76" s="31">
        <f>AR30+AR39+AR48+AR58+AR67</f>
      </c>
      <c r="AS76" s="31">
        <f>AS30+AS39+AS48+AS58+AS67</f>
      </c>
      <c r="AT76" s="31">
        <f>AT30+AT39+AT48+AT58+AT67</f>
      </c>
      <c r="AU76" s="31">
        <f>AU30+AU39+AU48+AU58+AU67</f>
      </c>
      <c r="AV76" s="31">
        <f>AV30+AV39+AV48+AV58+AV67</f>
      </c>
      <c r="AW76" s="31">
        <f>AW30+AW39+AW48+AW58+AW67</f>
      </c>
      <c r="AX76" s="31">
        <f>AX30+AX39+AX48+AX58+AX67</f>
      </c>
      <c r="AY76" s="31">
        <f>AY30+AY39+AY48+AY58+AY67</f>
      </c>
      <c r="AZ76" s="31">
        <f>AZ30+AZ39+AZ48+AZ58+AZ67</f>
      </c>
      <c r="BA76" s="31">
        <f>BA30+BA39+BA48+BA58+BA67</f>
      </c>
      <c r="BB76" s="31">
        <f>BB30+BB39+BB48+BB58+BB67</f>
      </c>
      <c r="BC76" s="31">
        <f>BC30+BC39+BC48+BC58+BC67</f>
      </c>
      <c r="BD76" s="31">
        <f>BD30+BD39+BD48+BD58+BD67</f>
      </c>
      <c r="BE76" s="31">
        <f>BE30+BE39+BE48+BE58+BE67</f>
      </c>
      <c r="BF76" s="31">
        <f>BF30+BF39+BF48+BF58+BF67</f>
      </c>
      <c r="BG76" s="31">
        <f>BG30+BG39+BG48+BG58+BG67</f>
      </c>
      <c r="BH76" s="31">
        <f>BH30+BH39+BH48+BH58+BH67</f>
      </c>
      <c r="BI76" s="31">
        <f>BI30+BI39+BI48+BI58+BI67</f>
      </c>
      <c r="BJ76" s="31">
        <f>BJ30+BJ39+BJ48+BJ58+BJ67</f>
      </c>
      <c r="BK76" s="31">
        <f>BK30+BK39+BK48+BK58+BK67</f>
      </c>
      <c r="BL76" s="31">
        <f>BL30+BL39+BL48+BL58+BL67</f>
      </c>
      <c r="BM76" s="31">
        <f>BM30+BM39+BM48+BM58+BM67</f>
      </c>
      <c r="BN76" s="31">
        <f>BN30+BN39+BN48+BN58+BN67</f>
      </c>
      <c r="BO76" s="31">
        <f>BO30+BO39+BO48+BO58+BO67</f>
      </c>
      <c r="BP76" s="31">
        <f>BP30+BP39+BP48+BP58+BP67</f>
      </c>
      <c r="BQ76" s="31">
        <f>BQ30+BQ39+BQ48+BQ58+BQ67</f>
      </c>
      <c r="BR76" s="31">
        <f>BR30+BR39+BR48+BR58+BR67</f>
      </c>
      <c r="BS76" s="31">
        <f>BS30+BS39+BS48+BS58+BS67</f>
      </c>
      <c r="BT76" s="31">
        <f>BT30+BT39+BT48+BT58+BT67</f>
      </c>
      <c r="BU76" s="31">
        <f>BU30+BU39+BU48+BU58+BU67</f>
      </c>
      <c r="BV76" s="31">
        <f>BV30+BV39+BV48+BV58+BV67</f>
      </c>
      <c r="BW76" s="31">
        <f>BW30+BW39+BW48+BW58+BW67</f>
      </c>
      <c r="BX76" s="31">
        <f>BX30+BX39+BX48+BX58+BX67</f>
      </c>
      <c r="BY76" s="31">
        <f>BY30+BY39+BY48+BY58+BY67</f>
      </c>
      <c r="BZ76" s="31">
        <f>BZ30+BZ39+BZ48+BZ58+BZ67</f>
      </c>
      <c r="CA76" s="31">
        <f>CA30+CA39+CA48+CA58+CA67</f>
      </c>
      <c r="CB76" s="31">
        <f>CB30+CB39+CB48+CB58+CB67</f>
      </c>
      <c r="CC76" s="31">
        <f>CC30+CC39+CC48+CC58+CC67</f>
      </c>
      <c r="CD76" s="31">
        <f>CD30+CD39+CD48+CD58+CD67</f>
      </c>
      <c r="CE76" s="31">
        <f>CE30+CE39+CE48+CE58+CE67</f>
      </c>
      <c r="CF76" s="31">
        <f>CF30+CF39+CF48+CF58+CF67</f>
      </c>
      <c r="CG76" s="31">
        <f>CG30+CG39+CG48+CG58+CG67</f>
      </c>
      <c r="CH76" s="31">
        <f>CH30+CH39+CH48+CH58+CH67</f>
      </c>
      <c r="CI76" s="31">
        <f>CI30+CI39+CI48+CI58+CI67</f>
      </c>
      <c r="CJ76" s="31">
        <f>CJ30+CJ39+CJ48+CJ58+CJ67</f>
      </c>
      <c r="CK76" s="31">
        <f>CK30+CK39+CK48+CK58+CK67</f>
      </c>
      <c r="CL76" s="31">
        <f>CL30+CL39+CL48+CL58+CL67</f>
      </c>
    </row>
    <row r="77" spans="2:90" x14ac:dyDescent="0.25">
      <c r="B77" s="33" t="s">
        <v>253</v>
      </c>
      <c r="C77" s="34" t="s">
        <v>228</v>
      </c>
      <c r="D77" s="14">
        <f>SUM(E77:CL77)</f>
      </c>
      <c r="E77" s="31">
        <f>E33+E42+E51+E61+E70</f>
      </c>
      <c r="F77" s="31">
        <f>F33+F42+F51+F61+F70</f>
      </c>
      <c r="G77" s="31">
        <f>G33+G42+G51+G61+G70</f>
      </c>
      <c r="H77" s="31">
        <f>H33+H42+H51+H61+H70</f>
      </c>
      <c r="I77" s="31">
        <f>I33+I42+I51+I61+I70</f>
      </c>
      <c r="J77" s="31">
        <f>J33+J42+J51+J61+J70</f>
      </c>
      <c r="K77" s="31">
        <f>K33+K42+K51+K61+K70</f>
      </c>
      <c r="L77" s="31">
        <f>L33+L42+L51+L61+L70</f>
      </c>
      <c r="M77" s="31">
        <f>M33+M42+M51+M61+M70</f>
      </c>
      <c r="N77" s="31">
        <f>N33+N42+N51+N61+N70</f>
      </c>
      <c r="O77" s="31">
        <f>O33+O42+O51+O61+O70</f>
      </c>
      <c r="P77" s="31">
        <f>P33+P42+P51+P61+P70</f>
      </c>
      <c r="Q77" s="31">
        <f>Q33+Q42+Q51+Q61+Q70</f>
      </c>
      <c r="R77" s="31">
        <f>R33+R42+R51+R61+R70</f>
      </c>
      <c r="S77" s="31">
        <f>S33+S42+S51+S61+S70</f>
      </c>
      <c r="T77" s="31">
        <f>T33+T42+T51+T61+T70</f>
      </c>
      <c r="U77" s="31">
        <f>U33+U42+U51+U61+U70</f>
      </c>
      <c r="V77" s="31">
        <f>V33+V42+V51+V61+V70</f>
      </c>
      <c r="W77" s="31">
        <f>W33+W42+W51+W61+W70</f>
      </c>
      <c r="X77" s="31">
        <f>X33+X42+X51+X61+X70</f>
      </c>
      <c r="Y77" s="31">
        <f>Y33+Y42+Y51+Y61+Y70</f>
      </c>
      <c r="Z77" s="31">
        <f>Z33+Z42+Z51+Z61+Z70</f>
      </c>
      <c r="AA77" s="31">
        <f>AA33+AA42+AA51+AA61+AA70</f>
      </c>
      <c r="AB77" s="31">
        <f>AB33+AB42+AB51+AB61+AB70</f>
      </c>
      <c r="AC77" s="31">
        <f>AC33+AC42+AC51+AC61+AC70</f>
      </c>
      <c r="AD77" s="31">
        <f>AD33+AD42+AD51+AD61+AD70</f>
      </c>
      <c r="AE77" s="31">
        <f>AE33+AE42+AE51+AE61+AE70</f>
      </c>
      <c r="AF77" s="31">
        <f>AF33+AF42+AF51+AF61+AF70</f>
      </c>
      <c r="AG77" s="31">
        <f>AG33+AG42+AG51+AG61+AG70</f>
      </c>
      <c r="AH77" s="31">
        <f>AH33+AH42+AH51+AH61+AH70</f>
      </c>
      <c r="AI77" s="31">
        <f>AI33+AI42+AI51+AI61+AI70</f>
      </c>
      <c r="AJ77" s="31">
        <f>AJ33+AJ42+AJ51+AJ61+AJ70</f>
      </c>
      <c r="AK77" s="31">
        <f>AK33+AK42+AK51+AK61+AK70</f>
      </c>
      <c r="AL77" s="31">
        <f>AL33+AL42+AL51+AL61+AL70</f>
      </c>
      <c r="AM77" s="31">
        <f>AM33+AM42+AM51+AM61+AM70</f>
      </c>
      <c r="AN77" s="31">
        <f>AN33+AN42+AN51+AN61+AN70</f>
      </c>
      <c r="AO77" s="31">
        <f>AO33+AO42+AO51+AO61+AO70</f>
      </c>
      <c r="AP77" s="31">
        <f>AP33+AP42+AP51+AP61+AP70</f>
      </c>
      <c r="AQ77" s="31">
        <f>AQ33+AQ42+AQ51+AQ61+AQ70</f>
      </c>
      <c r="AR77" s="31">
        <f>AR33+AR42+AR51+AR61+AR70</f>
      </c>
      <c r="AS77" s="31">
        <f>AS33+AS42+AS51+AS61+AS70</f>
      </c>
      <c r="AT77" s="31">
        <f>AT33+AT42+AT51+AT61+AT70</f>
      </c>
      <c r="AU77" s="31">
        <f>AU33+AU42+AU51+AU61+AU70</f>
      </c>
      <c r="AV77" s="31">
        <f>AV33+AV42+AV51+AV61+AV70</f>
      </c>
      <c r="AW77" s="31">
        <f>AW33+AW42+AW51+AW61+AW70</f>
      </c>
      <c r="AX77" s="31">
        <f>AX33+AX42+AX51+AX61+AX70</f>
      </c>
      <c r="AY77" s="31">
        <f>AY33+AY42+AY51+AY61+AY70</f>
      </c>
      <c r="AZ77" s="31">
        <f>AZ33+AZ42+AZ51+AZ61+AZ70</f>
      </c>
      <c r="BA77" s="31">
        <f>BA33+BA42+BA51+BA61+BA70</f>
      </c>
      <c r="BB77" s="31">
        <f>BB33+BB42+BB51+BB61+BB70</f>
      </c>
      <c r="BC77" s="31">
        <f>BC33+BC42+BC51+BC61+BC70</f>
      </c>
      <c r="BD77" s="31">
        <f>BD33+BD42+BD51+BD61+BD70</f>
      </c>
      <c r="BE77" s="31">
        <f>BE33+BE42+BE51+BE61+BE70</f>
      </c>
      <c r="BF77" s="31">
        <f>BF33+BF42+BF51+BF61+BF70</f>
      </c>
      <c r="BG77" s="31">
        <f>BG33+BG42+BG51+BG61+BG70</f>
      </c>
      <c r="BH77" s="31">
        <f>BH33+BH42+BH51+BH61+BH70</f>
      </c>
      <c r="BI77" s="31">
        <f>BI33+BI42+BI51+BI61+BI70</f>
      </c>
      <c r="BJ77" s="31">
        <f>BJ33+BJ42+BJ51+BJ61+BJ70</f>
      </c>
      <c r="BK77" s="31">
        <f>BK33+BK42+BK51+BK61+BK70</f>
      </c>
      <c r="BL77" s="31">
        <f>BL33+BL42+BL51+BL61+BL70</f>
      </c>
      <c r="BM77" s="31">
        <f>BM33+BM42+BM51+BM61+BM70</f>
      </c>
      <c r="BN77" s="31">
        <f>BN33+BN42+BN51+BN61+BN70</f>
      </c>
      <c r="BO77" s="31">
        <f>BO33+BO42+BO51+BO61+BO70</f>
      </c>
      <c r="BP77" s="31">
        <f>BP33+BP42+BP51+BP61+BP70</f>
      </c>
      <c r="BQ77" s="31">
        <f>BQ33+BQ42+BQ51+BQ61+BQ70</f>
      </c>
      <c r="BR77" s="31">
        <f>BR33+BR42+BR51+BR61+BR70</f>
      </c>
      <c r="BS77" s="31">
        <f>BS33+BS42+BS51+BS61+BS70</f>
      </c>
      <c r="BT77" s="31">
        <f>BT33+BT42+BT51+BT61+BT70</f>
      </c>
      <c r="BU77" s="31">
        <f>BU33+BU42+BU51+BU61+BU70</f>
      </c>
      <c r="BV77" s="31">
        <f>BV33+BV42+BV51+BV61+BV70</f>
      </c>
      <c r="BW77" s="31">
        <f>BW33+BW42+BW51+BW61+BW70</f>
      </c>
      <c r="BX77" s="31">
        <f>BX33+BX42+BX51+BX61+BX70</f>
      </c>
      <c r="BY77" s="31">
        <f>BY33+BY42+BY51+BY61+BY70</f>
      </c>
      <c r="BZ77" s="31">
        <f>BZ33+BZ42+BZ51+BZ61+BZ70</f>
      </c>
      <c r="CA77" s="31">
        <f>CA33+CA42+CA51+CA61+CA70</f>
      </c>
      <c r="CB77" s="31">
        <f>CB33+CB42+CB51+CB61+CB70</f>
      </c>
      <c r="CC77" s="31">
        <f>CC33+CC42+CC51+CC61+CC70</f>
      </c>
      <c r="CD77" s="31">
        <f>CD33+CD42+CD51+CD61+CD70</f>
      </c>
      <c r="CE77" s="31">
        <f>CE33+CE42+CE51+CE61+CE70</f>
      </c>
      <c r="CF77" s="31">
        <f>CF33+CF42+CF51+CF61+CF70</f>
      </c>
      <c r="CG77" s="31">
        <f>CG33+CG42+CG51+CG61+CG70</f>
      </c>
      <c r="CH77" s="31">
        <f>CH33+CH42+CH51+CH61+CH70</f>
      </c>
      <c r="CI77" s="31">
        <f>CI33+CI42+CI51+CI61+CI70</f>
      </c>
      <c r="CJ77" s="31">
        <f>CJ33+CJ42+CJ51+CJ61+CJ70</f>
      </c>
      <c r="CK77" s="31">
        <f>CK33+CK42+CK51+CK61+CK70</f>
      </c>
      <c r="CL77" s="31">
        <f>CL33+CL42+CL51+CL61+CL70</f>
      </c>
    </row>
    <row r="78" spans="2:90" x14ac:dyDescent="0.25">
      <c r="B78" s="33" t="s">
        <v>247</v>
      </c>
      <c r="C78" s="34" t="s">
        <v>228</v>
      </c>
      <c r="D78" s="14">
        <f>SUM(E78:CL78)</f>
      </c>
      <c r="E78" s="31">
        <f>E34+E43+E52+E62+E71</f>
      </c>
      <c r="F78" s="31">
        <f>F34+F43+F52+F62+F71</f>
      </c>
      <c r="G78" s="31">
        <f>G34+G43+G52+G62+G71</f>
      </c>
      <c r="H78" s="31">
        <f>H34+H43+H52+H62+H71</f>
      </c>
      <c r="I78" s="31">
        <f>I34+I43+I52+I62+I71</f>
      </c>
      <c r="J78" s="31">
        <f>J34+J43+J52+J62+J71</f>
      </c>
      <c r="K78" s="31">
        <f>K34+K43+K52+K62+K71</f>
      </c>
      <c r="L78" s="31">
        <f>L34+L43+L52+L62+L71</f>
      </c>
      <c r="M78" s="31">
        <f>M34+M43+M52+M62+M71</f>
      </c>
      <c r="N78" s="31">
        <f>N34+N43+N52+N62+N71</f>
      </c>
      <c r="O78" s="31">
        <f>O34+O43+O52+O62+O71</f>
      </c>
      <c r="P78" s="31">
        <f>P34+P43+P52+P62+P71</f>
      </c>
      <c r="Q78" s="31">
        <f>Q34+Q43+Q52+Q62+Q71</f>
      </c>
      <c r="R78" s="31">
        <f>R34+R43+R52+R62+R71</f>
      </c>
      <c r="S78" s="31">
        <f>S34+S43+S52+S62+S71</f>
      </c>
      <c r="T78" s="31">
        <f>T34+T43+T52+T62+T71</f>
      </c>
      <c r="U78" s="31">
        <f>U34+U43+U52+U62+U71</f>
      </c>
      <c r="V78" s="31">
        <f>V34+V43+V52+V62+V71</f>
      </c>
      <c r="W78" s="31">
        <f>W34+W43+W52+W62+W71</f>
      </c>
      <c r="X78" s="31">
        <f>X34+X43+X52+X62+X71</f>
      </c>
      <c r="Y78" s="31">
        <f>Y34+Y43+Y52+Y62+Y71</f>
      </c>
      <c r="Z78" s="31">
        <f>Z34+Z43+Z52+Z62+Z71</f>
      </c>
      <c r="AA78" s="31">
        <f>AA34+AA43+AA52+AA62+AA71</f>
      </c>
      <c r="AB78" s="31">
        <f>AB34+AB43+AB52+AB62+AB71</f>
      </c>
      <c r="AC78" s="31">
        <f>AC34+AC43+AC52+AC62+AC71</f>
      </c>
      <c r="AD78" s="31">
        <f>AD34+AD43+AD52+AD62+AD71</f>
      </c>
      <c r="AE78" s="31">
        <f>AE34+AE43+AE52+AE62+AE71</f>
      </c>
      <c r="AF78" s="31">
        <f>AF34+AF43+AF52+AF62+AF71</f>
      </c>
      <c r="AG78" s="31">
        <f>AG34+AG43+AG52+AG62+AG71</f>
      </c>
      <c r="AH78" s="31">
        <f>AH34+AH43+AH52+AH62+AH71</f>
      </c>
      <c r="AI78" s="31">
        <f>AI34+AI43+AI52+AI62+AI71</f>
      </c>
      <c r="AJ78" s="31">
        <f>AJ34+AJ43+AJ52+AJ62+AJ71</f>
      </c>
      <c r="AK78" s="31">
        <f>AK34+AK43+AK52+AK62+AK71</f>
      </c>
      <c r="AL78" s="31">
        <f>AL34+AL43+AL52+AL62+AL71</f>
      </c>
      <c r="AM78" s="31">
        <f>AM34+AM43+AM52+AM62+AM71</f>
      </c>
      <c r="AN78" s="31">
        <f>AN34+AN43+AN52+AN62+AN71</f>
      </c>
      <c r="AO78" s="31">
        <f>AO34+AO43+AO52+AO62+AO71</f>
      </c>
      <c r="AP78" s="31">
        <f>AP34+AP43+AP52+AP62+AP71</f>
      </c>
      <c r="AQ78" s="31">
        <f>AQ34+AQ43+AQ52+AQ62+AQ71</f>
      </c>
      <c r="AR78" s="31">
        <f>AR34+AR43+AR52+AR62+AR71</f>
      </c>
      <c r="AS78" s="31">
        <f>AS34+AS43+AS52+AS62+AS71</f>
      </c>
      <c r="AT78" s="31">
        <f>AT34+AT43+AT52+AT62+AT71</f>
      </c>
      <c r="AU78" s="31">
        <f>AU34+AU43+AU52+AU62+AU71</f>
      </c>
      <c r="AV78" s="31">
        <f>AV34+AV43+AV52+AV62+AV71</f>
      </c>
      <c r="AW78" s="31">
        <f>AW34+AW43+AW52+AW62+AW71</f>
      </c>
      <c r="AX78" s="31">
        <f>AX34+AX43+AX52+AX62+AX71</f>
      </c>
      <c r="AY78" s="31">
        <f>AY34+AY43+AY52+AY62+AY71</f>
      </c>
      <c r="AZ78" s="31">
        <f>AZ34+AZ43+AZ52+AZ62+AZ71</f>
      </c>
      <c r="BA78" s="31">
        <f>BA34+BA43+BA52+BA62+BA71</f>
      </c>
      <c r="BB78" s="31">
        <f>BB34+BB43+BB52+BB62+BB71</f>
      </c>
      <c r="BC78" s="31">
        <f>BC34+BC43+BC52+BC62+BC71</f>
      </c>
      <c r="BD78" s="31">
        <f>BD34+BD43+BD52+BD62+BD71</f>
      </c>
      <c r="BE78" s="31">
        <f>BE34+BE43+BE52+BE62+BE71</f>
      </c>
      <c r="BF78" s="31">
        <f>BF34+BF43+BF52+BF62+BF71</f>
      </c>
      <c r="BG78" s="31">
        <f>BG34+BG43+BG52+BG62+BG71</f>
      </c>
      <c r="BH78" s="31">
        <f>BH34+BH43+BH52+BH62+BH71</f>
      </c>
      <c r="BI78" s="31">
        <f>BI34+BI43+BI52+BI62+BI71</f>
      </c>
      <c r="BJ78" s="31">
        <f>BJ34+BJ43+BJ52+BJ62+BJ71</f>
      </c>
      <c r="BK78" s="31">
        <f>BK34+BK43+BK52+BK62+BK71</f>
      </c>
      <c r="BL78" s="31">
        <f>BL34+BL43+BL52+BL62+BL71</f>
      </c>
      <c r="BM78" s="31">
        <f>BM34+BM43+BM52+BM62+BM71</f>
      </c>
      <c r="BN78" s="31">
        <f>BN34+BN43+BN52+BN62+BN71</f>
      </c>
      <c r="BO78" s="31">
        <f>BO34+BO43+BO52+BO62+BO71</f>
      </c>
      <c r="BP78" s="31">
        <f>BP34+BP43+BP52+BP62+BP71</f>
      </c>
      <c r="BQ78" s="31">
        <f>BQ34+BQ43+BQ52+BQ62+BQ71</f>
      </c>
      <c r="BR78" s="31">
        <f>BR34+BR43+BR52+BR62+BR71</f>
      </c>
      <c r="BS78" s="31">
        <f>BS34+BS43+BS52+BS62+BS71</f>
      </c>
      <c r="BT78" s="31">
        <f>BT34+BT43+BT52+BT62+BT71</f>
      </c>
      <c r="BU78" s="31">
        <f>BU34+BU43+BU52+BU62+BU71</f>
      </c>
      <c r="BV78" s="31">
        <f>BV34+BV43+BV52+BV62+BV71</f>
      </c>
      <c r="BW78" s="31">
        <f>BW34+BW43+BW52+BW62+BW71</f>
      </c>
      <c r="BX78" s="31">
        <f>BX34+BX43+BX52+BX62+BX71</f>
      </c>
      <c r="BY78" s="31">
        <f>BY34+BY43+BY52+BY62+BY71</f>
      </c>
      <c r="BZ78" s="31">
        <f>BZ34+BZ43+BZ52+BZ62+BZ71</f>
      </c>
      <c r="CA78" s="31">
        <f>CA34+CA43+CA52+CA62+CA71</f>
      </c>
      <c r="CB78" s="31">
        <f>CB34+CB43+CB52+CB62+CB71</f>
      </c>
      <c r="CC78" s="31">
        <f>CC34+CC43+CC52+CC62+CC71</f>
      </c>
      <c r="CD78" s="31">
        <f>CD34+CD43+CD52+CD62+CD71</f>
      </c>
      <c r="CE78" s="31">
        <f>CE34+CE43+CE52+CE62+CE71</f>
      </c>
      <c r="CF78" s="31">
        <f>CF34+CF43+CF52+CF62+CF71</f>
      </c>
      <c r="CG78" s="31">
        <f>CG34+CG43+CG52+CG62+CG71</f>
      </c>
      <c r="CH78" s="31">
        <f>CH34+CH43+CH52+CH62+CH71</f>
      </c>
      <c r="CI78" s="31">
        <f>CI34+CI43+CI52+CI62+CI71</f>
      </c>
      <c r="CJ78" s="31">
        <f>CJ34+CJ43+CJ52+CJ62+CJ71</f>
      </c>
      <c r="CK78" s="31">
        <f>CK34+CK43+CK52+CK62+CK71</f>
      </c>
      <c r="CL78" s="31">
        <f>CL34+CL43+CL52+CL62+CL71</f>
      </c>
    </row>
    <row r="79" spans="2:91" x14ac:dyDescent="0.25">
      <c r="B79" s="47" t="s">
        <v>254</v>
      </c>
      <c r="C79" s="51" t="s">
        <v>228</v>
      </c>
      <c r="D79" s="42">
        <f>SUM(E79:CL79)</f>
      </c>
      <c r="E79" s="42">
        <f>E77+E78</f>
      </c>
      <c r="F79" s="42">
        <f>F77+F78</f>
      </c>
      <c r="G79" s="42">
        <f>G77+G78</f>
      </c>
      <c r="H79" s="42">
        <f>H77+H78</f>
      </c>
      <c r="I79" s="42">
        <f>I77+I78</f>
      </c>
      <c r="J79" s="42">
        <f>J77+J78</f>
      </c>
      <c r="K79" s="42">
        <f>K77+K78</f>
      </c>
      <c r="L79" s="42">
        <f>L77+L78</f>
      </c>
      <c r="M79" s="42">
        <f>M77+M78</f>
      </c>
      <c r="N79" s="42">
        <f>N77+N78</f>
      </c>
      <c r="O79" s="42">
        <f>O77+O78</f>
      </c>
      <c r="P79" s="42">
        <f>P77+P78</f>
      </c>
      <c r="Q79" s="42">
        <f>Q77+Q78</f>
      </c>
      <c r="R79" s="42">
        <f>R77+R78</f>
      </c>
      <c r="S79" s="42">
        <f>S77+S78</f>
      </c>
      <c r="T79" s="42">
        <f>T77+T78</f>
      </c>
      <c r="U79" s="42">
        <f>U77+U78</f>
      </c>
      <c r="V79" s="42">
        <f>V77+V78</f>
      </c>
      <c r="W79" s="42">
        <f>W77+W78</f>
      </c>
      <c r="X79" s="42">
        <f>X77+X78</f>
      </c>
      <c r="Y79" s="42">
        <f>Y77+Y78</f>
      </c>
      <c r="Z79" s="42">
        <f>Z77+Z78</f>
      </c>
      <c r="AA79" s="42">
        <f>AA77+AA78</f>
      </c>
      <c r="AB79" s="42">
        <f>AB77+AB78</f>
      </c>
      <c r="AC79" s="42">
        <f>AC77+AC78</f>
      </c>
      <c r="AD79" s="42">
        <f>AD77+AD78</f>
      </c>
      <c r="AE79" s="42">
        <f>AE77+AE78</f>
      </c>
      <c r="AF79" s="42">
        <f>AF77+AF78</f>
      </c>
      <c r="AG79" s="42">
        <f>AG77+AG78</f>
      </c>
      <c r="AH79" s="42">
        <f>AH77+AH78</f>
      </c>
      <c r="AI79" s="42">
        <f>AI77+AI78</f>
      </c>
      <c r="AJ79" s="42">
        <f>AJ77+AJ78</f>
      </c>
      <c r="AK79" s="42">
        <f>AK77+AK78</f>
      </c>
      <c r="AL79" s="42">
        <f>AL77+AL78</f>
      </c>
      <c r="AM79" s="42">
        <f>AM77+AM78</f>
      </c>
      <c r="AN79" s="42">
        <f>AN77+AN78</f>
      </c>
      <c r="AO79" s="42">
        <f>AO77+AO78</f>
      </c>
      <c r="AP79" s="42">
        <f>AP77+AP78</f>
      </c>
      <c r="AQ79" s="42">
        <f>AQ77+AQ78</f>
      </c>
      <c r="AR79" s="42">
        <f>AR77+AR78</f>
      </c>
      <c r="AS79" s="42">
        <f>AS77+AS78</f>
      </c>
      <c r="AT79" s="42">
        <f>AT77+AT78</f>
      </c>
      <c r="AU79" s="42">
        <f>AU77+AU78</f>
      </c>
      <c r="AV79" s="42">
        <f>AV77+AV78</f>
      </c>
      <c r="AW79" s="42">
        <f>AW77+AW78</f>
      </c>
      <c r="AX79" s="42">
        <f>AX77+AX78</f>
      </c>
      <c r="AY79" s="42">
        <f>AY77+AY78</f>
      </c>
      <c r="AZ79" s="42">
        <f>AZ77+AZ78</f>
      </c>
      <c r="BA79" s="42">
        <f>BA77+BA78</f>
      </c>
      <c r="BB79" s="42">
        <f>BB77+BB78</f>
      </c>
      <c r="BC79" s="42">
        <f>BC77+BC78</f>
      </c>
      <c r="BD79" s="42">
        <f>BD77+BD78</f>
      </c>
      <c r="BE79" s="42">
        <f>BE77+BE78</f>
      </c>
      <c r="BF79" s="42">
        <f>BF77+BF78</f>
      </c>
      <c r="BG79" s="42">
        <f>BG77+BG78</f>
      </c>
      <c r="BH79" s="42">
        <f>BH77+BH78</f>
      </c>
      <c r="BI79" s="42">
        <f>BI77+BI78</f>
      </c>
      <c r="BJ79" s="42">
        <f>BJ77+BJ78</f>
      </c>
      <c r="BK79" s="42">
        <f>BK77+BK78</f>
      </c>
      <c r="BL79" s="42">
        <f>BL77+BL78</f>
      </c>
      <c r="BM79" s="42">
        <f>BM77+BM78</f>
      </c>
      <c r="BN79" s="42">
        <f>BN77+BN78</f>
      </c>
      <c r="BO79" s="42">
        <f>BO77+BO78</f>
      </c>
      <c r="BP79" s="42">
        <f>BP77+BP78</f>
      </c>
      <c r="BQ79" s="42">
        <f>BQ77+BQ78</f>
      </c>
      <c r="BR79" s="42">
        <f>BR77+BR78</f>
      </c>
      <c r="BS79" s="42">
        <f>BS77+BS78</f>
      </c>
      <c r="BT79" s="42">
        <f>BT77+BT78</f>
      </c>
      <c r="BU79" s="42">
        <f>BU77+BU78</f>
      </c>
      <c r="BV79" s="42">
        <f>BV77+BV78</f>
      </c>
      <c r="BW79" s="42">
        <f>BW77+BW78</f>
      </c>
      <c r="BX79" s="42">
        <f>BX77+BX78</f>
      </c>
      <c r="BY79" s="42">
        <f>BY77+BY78</f>
      </c>
      <c r="BZ79" s="42">
        <f>BZ77+BZ78</f>
      </c>
      <c r="CA79" s="42">
        <f>CA77+CA78</f>
      </c>
      <c r="CB79" s="42">
        <f>CB77+CB78</f>
      </c>
      <c r="CC79" s="42">
        <f>CC77+CC78</f>
      </c>
      <c r="CD79" s="42">
        <f>CD77+CD78</f>
      </c>
      <c r="CE79" s="42">
        <f>CE77+CE78</f>
      </c>
      <c r="CF79" s="42">
        <f>CF77+CF78</f>
      </c>
      <c r="CG79" s="42">
        <f>CG77+CG78</f>
      </c>
      <c r="CH79" s="42">
        <f>CH77+CH78</f>
      </c>
      <c r="CI79" s="42">
        <f>CI77+CI78</f>
      </c>
      <c r="CJ79" s="42">
        <f>CJ77+CJ78</f>
      </c>
      <c r="CK79" s="42">
        <f>CK77+CK78</f>
      </c>
      <c r="CL79" s="42">
        <f>CL77+CL78</f>
      </c>
      <c r="CM79" s="48"/>
    </row>
    <row r="80" spans="2:90" x14ac:dyDescent="0.25">
      <c r="B80" s="33" t="s">
        <v>248</v>
      </c>
      <c r="C80" s="34" t="s">
        <v>228</v>
      </c>
      <c r="E80" s="31">
        <f>E35+E44+E53+E63+E72</f>
      </c>
      <c r="F80" s="31">
        <f>F35+F44+F53+F63+F72</f>
      </c>
      <c r="G80" s="31">
        <f>G35+G44+G53+G63+G72</f>
      </c>
      <c r="H80" s="31">
        <f>H35+H44+H53+H63+H72</f>
      </c>
      <c r="I80" s="31">
        <f>I35+I44+I53+I63+I72</f>
      </c>
      <c r="J80" s="31">
        <f>J35+J44+J53+J63+J72</f>
      </c>
      <c r="K80" s="31">
        <f>K35+K44+K53+K63+K72</f>
      </c>
      <c r="L80" s="31">
        <f>L35+L44+L53+L63+L72</f>
      </c>
      <c r="M80" s="31">
        <f>M35+M44+M53+M63+M72</f>
      </c>
      <c r="N80" s="31">
        <f>N35+N44+N53+N63+N72</f>
      </c>
      <c r="O80" s="31">
        <f>O35+O44+O53+O63+O72</f>
      </c>
      <c r="P80" s="31">
        <f>P35+P44+P53+P63+P72</f>
      </c>
      <c r="Q80" s="31">
        <f>Q35+Q44+Q53+Q63+Q72</f>
      </c>
      <c r="R80" s="31">
        <f>R35+R44+R53+R63+R72</f>
      </c>
      <c r="S80" s="31">
        <f>S35+S44+S53+S63+S72</f>
      </c>
      <c r="T80" s="31">
        <f>T35+T44+T53+T63+T72</f>
      </c>
      <c r="U80" s="31">
        <f>U35+U44+U53+U63+U72</f>
      </c>
      <c r="V80" s="31">
        <f>V35+V44+V53+V63+V72</f>
      </c>
      <c r="W80" s="31">
        <f>W35+W44+W53+W63+W72</f>
      </c>
      <c r="X80" s="31">
        <f>X35+X44+X53+X63+X72</f>
      </c>
      <c r="Y80" s="31">
        <f>Y35+Y44+Y53+Y63+Y72</f>
      </c>
      <c r="Z80" s="31">
        <f>Z35+Z44+Z53+Z63+Z72</f>
      </c>
      <c r="AA80" s="31">
        <f>AA35+AA44+AA53+AA63+AA72</f>
      </c>
      <c r="AB80" s="31">
        <f>AB35+AB44+AB53+AB63+AB72</f>
      </c>
      <c r="AC80" s="31">
        <f>AC35+AC44+AC53+AC63+AC72</f>
      </c>
      <c r="AD80" s="31">
        <f>AD35+AD44+AD53+AD63+AD72</f>
      </c>
      <c r="AE80" s="31">
        <f>AE35+AE44+AE53+AE63+AE72</f>
      </c>
      <c r="AF80" s="31">
        <f>AF35+AF44+AF53+AF63+AF72</f>
      </c>
      <c r="AG80" s="31">
        <f>AG35+AG44+AG53+AG63+AG72</f>
      </c>
      <c r="AH80" s="31">
        <f>AH35+AH44+AH53+AH63+AH72</f>
      </c>
      <c r="AI80" s="31">
        <f>AI35+AI44+AI53+AI63+AI72</f>
      </c>
      <c r="AJ80" s="31">
        <f>AJ35+AJ44+AJ53+AJ63+AJ72</f>
      </c>
      <c r="AK80" s="31">
        <f>AK35+AK44+AK53+AK63+AK72</f>
      </c>
      <c r="AL80" s="31">
        <f>AL35+AL44+AL53+AL63+AL72</f>
      </c>
      <c r="AM80" s="31">
        <f>AM35+AM44+AM53+AM63+AM72</f>
      </c>
      <c r="AN80" s="31">
        <f>AN35+AN44+AN53+AN63+AN72</f>
      </c>
      <c r="AO80" s="31">
        <f>AO35+AO44+AO53+AO63+AO72</f>
      </c>
      <c r="AP80" s="31">
        <f>AP35+AP44+AP53+AP63+AP72</f>
      </c>
      <c r="AQ80" s="31">
        <f>AQ35+AQ44+AQ53+AQ63+AQ72</f>
      </c>
      <c r="AR80" s="31">
        <f>AR35+AR44+AR53+AR63+AR72</f>
      </c>
      <c r="AS80" s="31">
        <f>AS35+AS44+AS53+AS63+AS72</f>
      </c>
      <c r="AT80" s="31">
        <f>AT35+AT44+AT53+AT63+AT72</f>
      </c>
      <c r="AU80" s="31">
        <f>AU35+AU44+AU53+AU63+AU72</f>
      </c>
      <c r="AV80" s="31">
        <f>AV35+AV44+AV53+AV63+AV72</f>
      </c>
      <c r="AW80" s="31">
        <f>AW35+AW44+AW53+AW63+AW72</f>
      </c>
      <c r="AX80" s="31">
        <f>AX35+AX44+AX53+AX63+AX72</f>
      </c>
      <c r="AY80" s="31">
        <f>AY35+AY44+AY53+AY63+AY72</f>
      </c>
      <c r="AZ80" s="31">
        <f>AZ35+AZ44+AZ53+AZ63+AZ72</f>
      </c>
      <c r="BA80" s="31">
        <f>BA35+BA44+BA53+BA63+BA72</f>
      </c>
      <c r="BB80" s="31">
        <f>BB35+BB44+BB53+BB63+BB72</f>
      </c>
      <c r="BC80" s="31">
        <f>BC35+BC44+BC53+BC63+BC72</f>
      </c>
      <c r="BD80" s="31">
        <f>BD35+BD44+BD53+BD63+BD72</f>
      </c>
      <c r="BE80" s="31">
        <f>BE35+BE44+BE53+BE63+BE72</f>
      </c>
      <c r="BF80" s="31">
        <f>BF35+BF44+BF53+BF63+BF72</f>
      </c>
      <c r="BG80" s="31">
        <f>BG35+BG44+BG53+BG63+BG72</f>
      </c>
      <c r="BH80" s="31">
        <f>BH35+BH44+BH53+BH63+BH72</f>
      </c>
      <c r="BI80" s="31">
        <f>BI35+BI44+BI53+BI63+BI72</f>
      </c>
      <c r="BJ80" s="31">
        <f>BJ35+BJ44+BJ53+BJ63+BJ72</f>
      </c>
      <c r="BK80" s="31">
        <f>BK35+BK44+BK53+BK63+BK72</f>
      </c>
      <c r="BL80" s="31">
        <f>BL35+BL44+BL53+BL63+BL72</f>
      </c>
      <c r="BM80" s="31">
        <f>BM35+BM44+BM53+BM63+BM72</f>
      </c>
      <c r="BN80" s="31">
        <f>BN35+BN44+BN53+BN63+BN72</f>
      </c>
      <c r="BO80" s="31">
        <f>BO35+BO44+BO53+BO63+BO72</f>
      </c>
      <c r="BP80" s="31">
        <f>BP35+BP44+BP53+BP63+BP72</f>
      </c>
      <c r="BQ80" s="31">
        <f>BQ35+BQ44+BQ53+BQ63+BQ72</f>
      </c>
      <c r="BR80" s="31">
        <f>BR35+BR44+BR53+BR63+BR72</f>
      </c>
      <c r="BS80" s="31">
        <f>BS35+BS44+BS53+BS63+BS72</f>
      </c>
      <c r="BT80" s="31">
        <f>BT35+BT44+BT53+BT63+BT72</f>
      </c>
      <c r="BU80" s="31">
        <f>BU35+BU44+BU53+BU63+BU72</f>
      </c>
      <c r="BV80" s="31">
        <f>BV35+BV44+BV53+BV63+BV72</f>
      </c>
      <c r="BW80" s="31">
        <f>BW35+BW44+BW53+BW63+BW72</f>
      </c>
      <c r="BX80" s="31">
        <f>BX35+BX44+BX53+BX63+BX72</f>
      </c>
      <c r="BY80" s="31">
        <f>BY35+BY44+BY53+BY63+BY72</f>
      </c>
      <c r="BZ80" s="31">
        <f>BZ35+BZ44+BZ53+BZ63+BZ72</f>
      </c>
      <c r="CA80" s="31">
        <f>CA35+CA44+CA53+CA63+CA72</f>
      </c>
      <c r="CB80" s="31">
        <f>CB35+CB44+CB53+CB63+CB72</f>
      </c>
      <c r="CC80" s="31">
        <f>CC35+CC44+CC53+CC63+CC72</f>
      </c>
      <c r="CD80" s="31">
        <f>CD35+CD44+CD53+CD63+CD72</f>
      </c>
      <c r="CE80" s="31">
        <f>CE35+CE44+CE53+CE63+CE72</f>
      </c>
      <c r="CF80" s="31">
        <f>CF35+CF44+CF53+CF63+CF72</f>
      </c>
      <c r="CG80" s="31">
        <f>CG35+CG44+CG53+CG63+CG72</f>
      </c>
      <c r="CH80" s="31">
        <f>CH35+CH44+CH53+CH63+CH72</f>
      </c>
      <c r="CI80" s="31">
        <f>CI35+CI44+CI53+CI63+CI72</f>
      </c>
      <c r="CJ80" s="31">
        <f>CJ35+CJ44+CJ53+CJ63+CJ72</f>
      </c>
      <c r="CK80" s="31">
        <f>CK35+CK44+CK53+CK63+CK72</f>
      </c>
      <c r="CL80" s="31">
        <f>CL35+CL44+CL53+CL63+CL72</f>
      </c>
    </row>
    <row r="82" spans="2:90" x14ac:dyDescent="0.25">
      <c r="B82" s="33" t="s">
        <v>255</v>
      </c>
      <c r="C82" s="34" t="s">
        <v>228</v>
      </c>
      <c r="E82" s="31">
        <f>0</f>
      </c>
      <c r="F82" s="31">
        <f>E83</f>
      </c>
      <c r="G82" s="31">
        <f>F83</f>
      </c>
      <c r="H82" s="31">
        <f>G83</f>
      </c>
      <c r="I82" s="31">
        <f>H83</f>
      </c>
      <c r="J82" s="31">
        <f>'입력값'!C23*100</f>
      </c>
      <c r="K82" s="31">
        <f>J83</f>
      </c>
      <c r="L82" s="31">
        <f>K83</f>
      </c>
      <c r="M82" s="31">
        <f>L83</f>
      </c>
      <c r="N82" s="31">
        <f>M83</f>
      </c>
      <c r="O82" s="31">
        <f>N83</f>
      </c>
      <c r="P82" s="31">
        <f>O83</f>
      </c>
      <c r="Q82" s="31">
        <f>P83</f>
      </c>
      <c r="R82" s="31">
        <f>Q83</f>
      </c>
      <c r="S82" s="31">
        <f>R83</f>
      </c>
      <c r="T82" s="31">
        <f>S83</f>
      </c>
      <c r="U82" s="31">
        <f>T83</f>
      </c>
      <c r="V82" s="31">
        <f>U83</f>
      </c>
      <c r="W82" s="31">
        <f>V83</f>
      </c>
      <c r="X82" s="31">
        <f>W83</f>
      </c>
      <c r="Y82" s="31">
        <f>X83</f>
      </c>
      <c r="Z82" s="31">
        <f>Y83</f>
      </c>
      <c r="AA82" s="31">
        <f>Z83</f>
      </c>
      <c r="AB82" s="31">
        <f>AA83</f>
      </c>
      <c r="AC82" s="31">
        <f>AB83</f>
      </c>
      <c r="AD82" s="31">
        <f>AC83</f>
      </c>
      <c r="AE82" s="31">
        <f>AD83</f>
      </c>
      <c r="AF82" s="31">
        <f>AE83</f>
      </c>
      <c r="AG82" s="31">
        <f>AF83</f>
      </c>
      <c r="AH82" s="31">
        <f>AG83</f>
      </c>
      <c r="AI82" s="31">
        <f>AH83</f>
      </c>
      <c r="AJ82" s="31">
        <f>AI83</f>
      </c>
      <c r="AK82" s="31">
        <f>AJ83</f>
      </c>
      <c r="AL82" s="31">
        <f>AK83</f>
      </c>
      <c r="AM82" s="31">
        <f>AL83</f>
      </c>
      <c r="AN82" s="31">
        <f>AM83</f>
      </c>
      <c r="AO82" s="31">
        <f>AN83</f>
      </c>
      <c r="AP82" s="31">
        <f>AO83</f>
      </c>
      <c r="AQ82" s="31">
        <f>AP83</f>
      </c>
      <c r="AR82" s="31">
        <f>AQ83</f>
      </c>
      <c r="AS82" s="31">
        <f>AR83</f>
      </c>
      <c r="AT82" s="31">
        <f>AS83</f>
      </c>
      <c r="AU82" s="31">
        <f>AT83</f>
      </c>
      <c r="AV82" s="31">
        <f>AU83</f>
      </c>
      <c r="AW82" s="31">
        <f>AV83</f>
      </c>
      <c r="AX82" s="31">
        <f>AW83</f>
      </c>
      <c r="AY82" s="31">
        <f>AX83</f>
      </c>
      <c r="AZ82" s="31">
        <f>AY83</f>
      </c>
      <c r="BA82" s="31">
        <f>AZ83</f>
      </c>
      <c r="BB82" s="31">
        <f>BA83</f>
      </c>
      <c r="BC82" s="31">
        <f>BB83</f>
      </c>
      <c r="BD82" s="31">
        <f>BC83</f>
      </c>
      <c r="BE82" s="31">
        <f>BD83</f>
      </c>
      <c r="BF82" s="31">
        <f>BE83</f>
      </c>
      <c r="BG82" s="31">
        <f>BF83</f>
      </c>
      <c r="BH82" s="31">
        <f>BG83</f>
      </c>
      <c r="BI82" s="31">
        <f>BH83</f>
      </c>
      <c r="BJ82" s="31">
        <f>BI83</f>
      </c>
      <c r="BK82" s="31">
        <f>BJ83</f>
      </c>
      <c r="BL82" s="31">
        <f>BK83</f>
      </c>
      <c r="BM82" s="31">
        <f>BL83</f>
      </c>
      <c r="BN82" s="31">
        <f>BM83</f>
      </c>
      <c r="BO82" s="31">
        <f>BN83</f>
      </c>
      <c r="BP82" s="31">
        <f>BO83</f>
      </c>
      <c r="BQ82" s="31">
        <f>BP83</f>
      </c>
      <c r="BR82" s="31">
        <f>BQ83</f>
      </c>
      <c r="BS82" s="31">
        <f>BR83</f>
      </c>
      <c r="BT82" s="31">
        <f>BS83</f>
      </c>
      <c r="BU82" s="31">
        <f>BT83</f>
      </c>
      <c r="BV82" s="31">
        <f>BU83</f>
      </c>
      <c r="BW82" s="31">
        <f>BV83</f>
      </c>
      <c r="BX82" s="31">
        <f>BW83</f>
      </c>
      <c r="BY82" s="31">
        <f>BX83</f>
      </c>
      <c r="BZ82" s="31">
        <f>BY83</f>
      </c>
      <c r="CA82" s="31">
        <f>BZ83</f>
      </c>
      <c r="CB82" s="31">
        <f>CA83</f>
      </c>
      <c r="CC82" s="31">
        <f>CB83</f>
      </c>
      <c r="CD82" s="31">
        <f>CC83</f>
      </c>
      <c r="CE82" s="31">
        <f>CD83</f>
      </c>
      <c r="CF82" s="31">
        <f>CE83</f>
      </c>
      <c r="CG82" s="31">
        <f>CF83</f>
      </c>
      <c r="CH82" s="31">
        <f>CG83</f>
      </c>
      <c r="CI82" s="31">
        <f>CH83</f>
      </c>
      <c r="CJ82" s="31">
        <f>CI83</f>
      </c>
      <c r="CK82" s="31">
        <f>CJ83</f>
      </c>
      <c r="CL82" s="31">
        <f>CK83</f>
      </c>
    </row>
    <row r="83" spans="2:90" x14ac:dyDescent="0.25">
      <c r="B83" s="33" t="s">
        <v>256</v>
      </c>
      <c r="C83" s="34" t="s">
        <v>228</v>
      </c>
      <c r="E83" s="31">
        <f>E82</f>
      </c>
      <c r="F83" s="31">
        <f>F82</f>
      </c>
      <c r="G83" s="31">
        <f>G82</f>
      </c>
      <c r="H83" s="31">
        <f>H82</f>
      </c>
      <c r="I83" s="31">
        <f>I82</f>
      </c>
      <c r="J83" s="31">
        <f>J82</f>
      </c>
      <c r="K83" s="31">
        <f>L79+M79</f>
      </c>
      <c r="L83" s="31">
        <f>M79+N79</f>
      </c>
      <c r="M83" s="31">
        <f>N79+O79</f>
      </c>
      <c r="N83" s="31">
        <f>O79+P79</f>
      </c>
      <c r="O83" s="31">
        <f>P79+Q79</f>
      </c>
      <c r="P83" s="31">
        <f>Q79+R79</f>
      </c>
      <c r="Q83" s="31">
        <f>R79+S79</f>
      </c>
      <c r="R83" s="31">
        <f>S79+T79</f>
      </c>
      <c r="S83" s="31">
        <f>T79+U79</f>
      </c>
      <c r="T83" s="31">
        <f>U79+V79</f>
      </c>
      <c r="U83" s="31">
        <f>V79+W79</f>
      </c>
      <c r="V83" s="31">
        <f>W79+X79</f>
      </c>
      <c r="W83" s="31">
        <f>X79+Y79</f>
      </c>
      <c r="X83" s="31">
        <f>Y79+Z79</f>
      </c>
      <c r="Y83" s="31">
        <f>Z79+AA79</f>
      </c>
      <c r="Z83" s="31">
        <f>AA79+AB79</f>
      </c>
      <c r="AA83" s="31">
        <f>AB79+AC79</f>
      </c>
      <c r="AB83" s="31">
        <f>AC79+AD79</f>
      </c>
      <c r="AC83" s="31">
        <f>AD79+AE79</f>
      </c>
      <c r="AD83" s="31">
        <f>AE79+AF79</f>
      </c>
      <c r="AE83" s="31">
        <f>AF79+AG79</f>
      </c>
      <c r="AF83" s="31">
        <f>AG79+AH79</f>
      </c>
      <c r="AG83" s="31">
        <f>AH79+AI79</f>
      </c>
      <c r="AH83" s="31">
        <f>AI79+AJ79</f>
      </c>
      <c r="AI83" s="31">
        <f>AJ79+AK79</f>
      </c>
      <c r="AJ83" s="31">
        <f>AK79+AL79</f>
      </c>
      <c r="AK83" s="31">
        <f>AL79+AM79</f>
      </c>
      <c r="AL83" s="31">
        <f>AM79+AN79</f>
      </c>
      <c r="AM83" s="31">
        <f>AN79+AO79</f>
      </c>
      <c r="AN83" s="31">
        <f>AO79+AP79</f>
      </c>
      <c r="AO83" s="31">
        <f>AP79+AQ79</f>
      </c>
      <c r="AP83" s="31">
        <f>AQ79+AR79</f>
      </c>
      <c r="AQ83" s="31">
        <f>AR79+AS79</f>
      </c>
      <c r="AR83" s="31">
        <f>AS79+AT79</f>
      </c>
      <c r="AS83" s="31">
        <f>AT79+AU79</f>
      </c>
      <c r="AT83" s="31">
        <f>AU79+AV79</f>
      </c>
      <c r="AU83" s="31">
        <f>AV79+AW79</f>
      </c>
      <c r="AV83" s="31">
        <f>AW79+AX79</f>
      </c>
      <c r="AW83" s="31">
        <f>AX79+AY79</f>
      </c>
      <c r="AX83" s="31">
        <f>AY79+AZ79</f>
      </c>
      <c r="AY83" s="31">
        <f>AZ79+BA79</f>
      </c>
      <c r="AZ83" s="31">
        <f>BA79+BB79</f>
      </c>
      <c r="BA83" s="31">
        <f>BB79+BC79</f>
      </c>
      <c r="BB83" s="31">
        <f>BC79+BD79</f>
      </c>
      <c r="BC83" s="31">
        <f>BD79+BE79</f>
      </c>
      <c r="BD83" s="31">
        <f>BE79+BF79</f>
      </c>
      <c r="BE83" s="31">
        <f>BF79+BG79</f>
      </c>
      <c r="BF83" s="31">
        <f>BG79+BH79</f>
      </c>
      <c r="BG83" s="31">
        <f>BH79+BI79</f>
      </c>
      <c r="BH83" s="31">
        <f>BI79+BJ79</f>
      </c>
      <c r="BI83" s="31">
        <f>BJ79+BK79</f>
      </c>
      <c r="BJ83" s="31">
        <f>BK79+BL79</f>
      </c>
      <c r="BK83" s="31">
        <f>BL79+BM79</f>
      </c>
      <c r="BL83" s="31">
        <f>BM79+BN79</f>
      </c>
      <c r="BM83" s="31">
        <f>BN79+BO79</f>
      </c>
      <c r="BN83" s="31">
        <f>BO79+BP79</f>
      </c>
      <c r="BO83" s="31">
        <f>BP79+BQ79</f>
      </c>
      <c r="BP83" s="31">
        <f>BQ79+BR79</f>
      </c>
      <c r="BQ83" s="31">
        <f>BR79+BS79</f>
      </c>
      <c r="BR83" s="31">
        <f>BS79+BT79</f>
      </c>
      <c r="BS83" s="31">
        <f>BT79+BU79</f>
      </c>
      <c r="BT83" s="31">
        <f>BU79+BV79</f>
      </c>
      <c r="BU83" s="31">
        <f>BV79+BW79</f>
      </c>
      <c r="BV83" s="31">
        <f>BW79+BX79</f>
      </c>
      <c r="BW83" s="31">
        <f>BX79+BY79</f>
      </c>
      <c r="BX83" s="31">
        <f>BY79+BZ79</f>
      </c>
      <c r="BY83" s="31">
        <f>BZ79+CA79</f>
      </c>
      <c r="BZ83" s="31">
        <f>CA79+CB79</f>
      </c>
      <c r="CA83" s="31">
        <f>CB79+CC79</f>
      </c>
      <c r="CB83" s="31">
        <f>CC79+CD79</f>
      </c>
      <c r="CC83" s="31">
        <f>CD79+CE79</f>
      </c>
      <c r="CD83" s="31">
        <f>CE79+CF79</f>
      </c>
      <c r="CE83" s="31">
        <f>CF79+CG79</f>
      </c>
      <c r="CF83" s="31">
        <f>CG79+CH79</f>
      </c>
      <c r="CG83" s="31">
        <f>CH79+CI79</f>
      </c>
      <c r="CH83" s="31">
        <f>CI79+CJ79</f>
      </c>
      <c r="CI83" s="31">
        <f>CJ79+CK79</f>
      </c>
      <c r="CJ83" s="31">
        <f>CK79+CL79</f>
      </c>
      <c r="CK83" s="31">
        <f>CL79</f>
      </c>
      <c r="CL83" s="31">
        <f>0</f>
      </c>
    </row>
    <row r="86" spans="2:91" x14ac:dyDescent="0.25">
      <c r="B86" s="9" t="s">
        <v>220</v>
      </c>
      <c r="C86" s="10"/>
      <c r="D86" s="43" t="s">
        <v>221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</row>
    <row r="87" spans="2:2" x14ac:dyDescent="0.25">
      <c r="B87" s="37" t="s">
        <v>222</v>
      </c>
    </row>
    <row r="88" spans="2:4" x14ac:dyDescent="0.25">
      <c r="B88" s="33" t="s">
        <v>223</v>
      </c>
      <c r="C88" s="44" t="s">
        <v>224</v>
      </c>
      <c r="D88" s="45">
        <f>'입력값'!C8</f>
      </c>
    </row>
    <row r="89" spans="2:4" x14ac:dyDescent="0.25">
      <c r="B89" s="33" t="s">
        <v>257</v>
      </c>
      <c r="C89" s="44" t="s">
        <v>258</v>
      </c>
      <c r="D89" s="45">
        <f>'입력값'!C9</f>
      </c>
    </row>
    <row r="90" spans="2:4" x14ac:dyDescent="0.25">
      <c r="B90" s="33" t="s">
        <v>259</v>
      </c>
      <c r="C90" s="44" t="s">
        <v>260</v>
      </c>
      <c r="D90" s="45">
        <f>'입력값'!C46</f>
      </c>
    </row>
    <row r="91" spans="2:4" x14ac:dyDescent="0.25">
      <c r="B91" s="33" t="s">
        <v>261</v>
      </c>
      <c r="C91" s="44" t="s">
        <v>262</v>
      </c>
      <c r="D91" s="52">
        <f>'입력값'!D46</f>
      </c>
    </row>
    <row r="92" spans="2:4" x14ac:dyDescent="0.25">
      <c r="B92" s="33" t="s">
        <v>263</v>
      </c>
      <c r="C92" s="44" t="s">
        <v>264</v>
      </c>
      <c r="D92" s="52">
        <f>'입력값'!E46</f>
      </c>
    </row>
    <row r="93" spans="2:4" x14ac:dyDescent="0.25">
      <c r="B93" s="33" t="s">
        <v>265</v>
      </c>
      <c r="C93" s="44" t="s">
        <v>266</v>
      </c>
      <c r="D93" s="45">
        <f>'입력값'!C47</f>
      </c>
    </row>
    <row r="94" spans="2:4" x14ac:dyDescent="0.25">
      <c r="B94" s="33" t="s">
        <v>267</v>
      </c>
      <c r="C94" s="44" t="s">
        <v>268</v>
      </c>
      <c r="D94" s="52">
        <f>'입력값'!D47</f>
      </c>
    </row>
    <row r="95" spans="2:4" x14ac:dyDescent="0.25">
      <c r="B95" s="33" t="s">
        <v>269</v>
      </c>
      <c r="C95" s="44" t="s">
        <v>270</v>
      </c>
      <c r="D95" s="52">
        <f>'입력값'!E47</f>
      </c>
    </row>
    <row r="96" spans="2:4" x14ac:dyDescent="0.25">
      <c r="B96" s="33" t="s">
        <v>271</v>
      </c>
      <c r="C96" s="44" t="s">
        <v>272</v>
      </c>
      <c r="D96" s="45">
        <f>'입력값'!C48</f>
      </c>
    </row>
    <row r="97" spans="2:4" x14ac:dyDescent="0.25">
      <c r="B97" s="33" t="s">
        <v>273</v>
      </c>
      <c r="C97" s="44" t="s">
        <v>274</v>
      </c>
      <c r="D97" s="52">
        <f>'입력값'!D48</f>
      </c>
    </row>
    <row r="98" spans="2:4" x14ac:dyDescent="0.25">
      <c r="B98" s="33" t="s">
        <v>275</v>
      </c>
      <c r="C98" s="44" t="s">
        <v>276</v>
      </c>
      <c r="D98" s="52">
        <f>'입력값'!E48</f>
      </c>
    </row>
    <row r="99" spans="2:4" x14ac:dyDescent="0.25">
      <c r="B99" s="33" t="s">
        <v>277</v>
      </c>
      <c r="C99" s="44" t="s">
        <v>278</v>
      </c>
      <c r="D99" s="45">
        <f>'입력값'!C49</f>
      </c>
    </row>
    <row r="100" spans="2:4" x14ac:dyDescent="0.25">
      <c r="B100" s="33" t="s">
        <v>279</v>
      </c>
      <c r="C100" s="44" t="s">
        <v>280</v>
      </c>
      <c r="D100" s="52">
        <f>'입력값'!D49</f>
      </c>
    </row>
    <row r="101" spans="2:4" x14ac:dyDescent="0.25">
      <c r="B101" s="33" t="s">
        <v>281</v>
      </c>
      <c r="C101" s="44" t="s">
        <v>282</v>
      </c>
      <c r="D101" s="52">
        <f>'입력값'!E49</f>
      </c>
    </row>
    <row r="102" spans="2:4" x14ac:dyDescent="0.25">
      <c r="B102" s="33" t="s">
        <v>283</v>
      </c>
      <c r="C102" s="44" t="s">
        <v>284</v>
      </c>
      <c r="D102" s="45">
        <f>'입력값'!C50</f>
      </c>
    </row>
    <row r="103" spans="2:4" x14ac:dyDescent="0.25">
      <c r="B103" s="33" t="s">
        <v>285</v>
      </c>
      <c r="C103" s="44" t="s">
        <v>286</v>
      </c>
      <c r="D103" s="52">
        <f>'입력값'!D50</f>
      </c>
    </row>
    <row r="104" spans="2:4" x14ac:dyDescent="0.25">
      <c r="B104" s="33" t="s">
        <v>287</v>
      </c>
      <c r="C104" s="44" t="s">
        <v>288</v>
      </c>
      <c r="D104" s="52">
        <f>'입력값'!E50</f>
      </c>
    </row>
    <row r="105" spans="2:10" x14ac:dyDescent="0.25">
      <c r="B105" s="33" t="s">
        <v>289</v>
      </c>
      <c r="C105" s="44" t="s">
        <v>290</v>
      </c>
      <c r="E105" s="53">
        <f>'입력값'!E57</f>
      </c>
      <c r="F105" s="53">
        <f>'입력값'!F57</f>
      </c>
      <c r="G105" s="53">
        <f>'입력값'!G57</f>
      </c>
      <c r="H105" s="53">
        <f>'입력값'!H57</f>
      </c>
      <c r="I105" s="53">
        <f>'입력값'!I57</f>
      </c>
      <c r="J105" s="53">
        <f>'입력값'!J57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35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291</v>
      </c>
    </row>
    <row r="4" spans="2:91" x14ac:dyDescent="0.25">
      <c r="B4" s="9" t="s">
        <v>292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99</v>
      </c>
      <c r="C6" s="27" t="s">
        <v>100</v>
      </c>
      <c r="D6" s="27" t="s">
        <v>101</v>
      </c>
      <c r="E6" s="32" t="s">
        <v>102</v>
      </c>
      <c r="F6" s="32" t="s">
        <v>103</v>
      </c>
      <c r="G6" s="32" t="s">
        <v>104</v>
      </c>
      <c r="H6" s="32" t="s">
        <v>105</v>
      </c>
      <c r="I6" s="32" t="s">
        <v>106</v>
      </c>
      <c r="J6" s="32" t="s">
        <v>107</v>
      </c>
      <c r="K6" s="32" t="s">
        <v>108</v>
      </c>
      <c r="L6" s="32" t="s">
        <v>109</v>
      </c>
      <c r="M6" s="32" t="s">
        <v>110</v>
      </c>
      <c r="N6" s="32" t="s">
        <v>111</v>
      </c>
      <c r="O6" s="32" t="s">
        <v>112</v>
      </c>
      <c r="P6" s="32" t="s">
        <v>113</v>
      </c>
      <c r="Q6" s="32" t="s">
        <v>114</v>
      </c>
      <c r="R6" s="32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2" t="s">
        <v>121</v>
      </c>
      <c r="Y6" s="32" t="s">
        <v>122</v>
      </c>
      <c r="Z6" s="32" t="s">
        <v>123</v>
      </c>
      <c r="AA6" s="32" t="s">
        <v>124</v>
      </c>
      <c r="AB6" s="32" t="s">
        <v>125</v>
      </c>
      <c r="AC6" s="32" t="s">
        <v>126</v>
      </c>
      <c r="AD6" s="32" t="s">
        <v>127</v>
      </c>
      <c r="AE6" s="32" t="s">
        <v>128</v>
      </c>
      <c r="AF6" s="32" t="s">
        <v>129</v>
      </c>
      <c r="AG6" s="32" t="s">
        <v>130</v>
      </c>
      <c r="AH6" s="32" t="s">
        <v>131</v>
      </c>
      <c r="AI6" s="32" t="s">
        <v>132</v>
      </c>
      <c r="AJ6" s="32" t="s">
        <v>133</v>
      </c>
      <c r="AK6" s="32" t="s">
        <v>134</v>
      </c>
      <c r="AL6" s="32" t="s">
        <v>135</v>
      </c>
      <c r="AM6" s="32" t="s">
        <v>136</v>
      </c>
      <c r="AN6" s="32" t="s">
        <v>137</v>
      </c>
      <c r="AO6" s="32" t="s">
        <v>138</v>
      </c>
      <c r="AP6" s="32" t="s">
        <v>139</v>
      </c>
      <c r="AQ6" s="32" t="s">
        <v>140</v>
      </c>
      <c r="AR6" s="32" t="s">
        <v>141</v>
      </c>
      <c r="AS6" s="32" t="s">
        <v>142</v>
      </c>
      <c r="AT6" s="32" t="s">
        <v>143</v>
      </c>
      <c r="AU6" s="32" t="s">
        <v>144</v>
      </c>
      <c r="AV6" s="32" t="s">
        <v>145</v>
      </c>
      <c r="AW6" s="32" t="s">
        <v>146</v>
      </c>
      <c r="AX6" s="32" t="s">
        <v>147</v>
      </c>
      <c r="AY6" s="32" t="s">
        <v>148</v>
      </c>
      <c r="AZ6" s="32" t="s">
        <v>149</v>
      </c>
      <c r="BA6" s="32" t="s">
        <v>150</v>
      </c>
      <c r="BB6" s="32" t="s">
        <v>151</v>
      </c>
      <c r="BC6" s="32" t="s">
        <v>152</v>
      </c>
      <c r="BD6" s="32" t="s">
        <v>153</v>
      </c>
      <c r="BE6" s="32" t="s">
        <v>154</v>
      </c>
      <c r="BF6" s="32" t="s">
        <v>155</v>
      </c>
      <c r="BG6" s="32" t="s">
        <v>156</v>
      </c>
      <c r="BH6" s="32" t="s">
        <v>157</v>
      </c>
      <c r="BI6" s="32" t="s">
        <v>158</v>
      </c>
      <c r="BJ6" s="32" t="s">
        <v>159</v>
      </c>
      <c r="BK6" s="32" t="s">
        <v>160</v>
      </c>
      <c r="BL6" s="32" t="s">
        <v>161</v>
      </c>
      <c r="BM6" s="32" t="s">
        <v>162</v>
      </c>
      <c r="BN6" s="32" t="s">
        <v>163</v>
      </c>
      <c r="BO6" s="32" t="s">
        <v>164</v>
      </c>
      <c r="BP6" s="32" t="s">
        <v>165</v>
      </c>
      <c r="BQ6" s="32" t="s">
        <v>166</v>
      </c>
      <c r="BR6" s="32" t="s">
        <v>167</v>
      </c>
      <c r="BS6" s="32" t="s">
        <v>168</v>
      </c>
      <c r="BT6" s="32" t="s">
        <v>169</v>
      </c>
      <c r="BU6" s="32" t="s">
        <v>170</v>
      </c>
      <c r="BV6" s="32" t="s">
        <v>171</v>
      </c>
      <c r="BW6" s="32" t="s">
        <v>172</v>
      </c>
      <c r="BX6" s="32" t="s">
        <v>173</v>
      </c>
      <c r="BY6" s="32" t="s">
        <v>174</v>
      </c>
      <c r="BZ6" s="32" t="s">
        <v>175</v>
      </c>
      <c r="CA6" s="32" t="s">
        <v>176</v>
      </c>
      <c r="CB6" s="32" t="s">
        <v>177</v>
      </c>
      <c r="CC6" s="32" t="s">
        <v>178</v>
      </c>
      <c r="CD6" s="32" t="s">
        <v>179</v>
      </c>
      <c r="CE6" s="32" t="s">
        <v>180</v>
      </c>
      <c r="CF6" s="32" t="s">
        <v>181</v>
      </c>
      <c r="CG6" s="32" t="s">
        <v>182</v>
      </c>
      <c r="CH6" s="32" t="s">
        <v>183</v>
      </c>
      <c r="CI6" s="32" t="s">
        <v>184</v>
      </c>
      <c r="CJ6" s="32" t="s">
        <v>185</v>
      </c>
      <c r="CK6" s="32" t="s">
        <v>186</v>
      </c>
      <c r="CL6" s="32" t="s">
        <v>187</v>
      </c>
    </row>
    <row r="8" spans="2:90" x14ac:dyDescent="0.25">
      <c r="B8" s="33" t="s">
        <v>293</v>
      </c>
      <c r="C8" s="34" t="s">
        <v>294</v>
      </c>
      <c r="E8" s="54">
        <v>0</v>
      </c>
      <c r="F8" s="54">
        <v>0</v>
      </c>
      <c r="G8" s="54">
        <v>0</v>
      </c>
      <c r="H8" s="54">
        <v>0</v>
      </c>
      <c r="I8" s="54">
        <v>0</v>
      </c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1</v>
      </c>
      <c r="P8" s="54">
        <v>1</v>
      </c>
      <c r="Q8" s="54">
        <v>1</v>
      </c>
      <c r="R8" s="54">
        <v>1</v>
      </c>
      <c r="S8" s="54">
        <v>2</v>
      </c>
      <c r="T8" s="54">
        <v>2</v>
      </c>
      <c r="U8" s="54">
        <v>2</v>
      </c>
      <c r="V8" s="54">
        <v>2</v>
      </c>
      <c r="W8" s="54">
        <v>3</v>
      </c>
      <c r="X8" s="54">
        <v>3</v>
      </c>
      <c r="Y8" s="54">
        <v>3</v>
      </c>
      <c r="Z8" s="54">
        <v>3</v>
      </c>
      <c r="AA8" s="54">
        <v>4</v>
      </c>
      <c r="AB8" s="54">
        <v>4</v>
      </c>
      <c r="AC8" s="54">
        <v>4</v>
      </c>
      <c r="AD8" s="54">
        <v>4</v>
      </c>
      <c r="AE8" s="54">
        <v>5</v>
      </c>
      <c r="AF8" s="54">
        <v>5</v>
      </c>
      <c r="AG8" s="54">
        <v>5</v>
      </c>
      <c r="AH8" s="54">
        <v>5</v>
      </c>
      <c r="AI8" s="54">
        <v>6</v>
      </c>
      <c r="AJ8" s="54">
        <v>6</v>
      </c>
      <c r="AK8" s="54">
        <v>6</v>
      </c>
      <c r="AL8" s="54">
        <v>6</v>
      </c>
      <c r="AM8" s="54">
        <v>7</v>
      </c>
      <c r="AN8" s="54">
        <v>7</v>
      </c>
      <c r="AO8" s="54">
        <v>7</v>
      </c>
      <c r="AP8" s="54">
        <v>7</v>
      </c>
      <c r="AQ8" s="54">
        <v>8</v>
      </c>
      <c r="AR8" s="54">
        <v>8</v>
      </c>
      <c r="AS8" s="54">
        <v>8</v>
      </c>
      <c r="AT8" s="54">
        <v>8</v>
      </c>
      <c r="AU8" s="54">
        <v>9</v>
      </c>
      <c r="AV8" s="54">
        <v>9</v>
      </c>
      <c r="AW8" s="54">
        <v>9</v>
      </c>
      <c r="AX8" s="54">
        <v>9</v>
      </c>
      <c r="AY8" s="54">
        <v>10</v>
      </c>
      <c r="AZ8" s="54">
        <v>10</v>
      </c>
      <c r="BA8" s="54">
        <v>10</v>
      </c>
      <c r="BB8" s="54">
        <v>10</v>
      </c>
      <c r="BC8" s="54">
        <v>11</v>
      </c>
      <c r="BD8" s="54">
        <v>11</v>
      </c>
      <c r="BE8" s="54">
        <v>11</v>
      </c>
      <c r="BF8" s="54">
        <v>11</v>
      </c>
      <c r="BG8" s="54">
        <v>12</v>
      </c>
      <c r="BH8" s="54">
        <v>12</v>
      </c>
      <c r="BI8" s="54">
        <v>12</v>
      </c>
      <c r="BJ8" s="54">
        <v>12</v>
      </c>
      <c r="BK8" s="54">
        <v>13</v>
      </c>
      <c r="BL8" s="54">
        <v>13</v>
      </c>
      <c r="BM8" s="54">
        <v>13</v>
      </c>
      <c r="BN8" s="54">
        <v>13</v>
      </c>
      <c r="BO8" s="54">
        <v>14</v>
      </c>
      <c r="BP8" s="54">
        <v>14</v>
      </c>
      <c r="BQ8" s="54">
        <v>14</v>
      </c>
      <c r="BR8" s="54">
        <v>14</v>
      </c>
      <c r="BS8" s="54">
        <v>15</v>
      </c>
      <c r="BT8" s="54">
        <v>15</v>
      </c>
      <c r="BU8" s="54">
        <v>15</v>
      </c>
      <c r="BV8" s="54">
        <v>15</v>
      </c>
      <c r="BW8" s="54">
        <v>16</v>
      </c>
      <c r="BX8" s="54">
        <v>16</v>
      </c>
      <c r="BY8" s="54">
        <v>16</v>
      </c>
      <c r="BZ8" s="54">
        <v>16</v>
      </c>
      <c r="CA8" s="54">
        <v>17</v>
      </c>
      <c r="CB8" s="54">
        <v>17</v>
      </c>
      <c r="CC8" s="54">
        <v>17</v>
      </c>
      <c r="CD8" s="54">
        <v>17</v>
      </c>
      <c r="CE8" s="54">
        <v>18</v>
      </c>
      <c r="CF8" s="54">
        <v>18</v>
      </c>
      <c r="CG8" s="54">
        <v>18</v>
      </c>
      <c r="CH8" s="54">
        <v>18</v>
      </c>
      <c r="CI8" s="54">
        <v>19</v>
      </c>
      <c r="CJ8" s="54">
        <v>19</v>
      </c>
      <c r="CK8" s="54">
        <v>19</v>
      </c>
      <c r="CL8" s="54">
        <v>19</v>
      </c>
    </row>
    <row r="9" spans="2:90" x14ac:dyDescent="0.25">
      <c r="B9" s="33" t="s">
        <v>295</v>
      </c>
      <c r="C9" s="34" t="s">
        <v>296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>
        <v>0.25</v>
      </c>
      <c r="L9" s="55">
        <v>0.25</v>
      </c>
      <c r="M9" s="55">
        <v>0.25</v>
      </c>
      <c r="N9" s="55">
        <v>0.25</v>
      </c>
      <c r="O9" s="55">
        <v>0.25</v>
      </c>
      <c r="P9" s="55">
        <v>0.25</v>
      </c>
      <c r="Q9" s="55">
        <v>0.25</v>
      </c>
      <c r="R9" s="55">
        <v>0.25</v>
      </c>
      <c r="S9" s="55">
        <v>0.25</v>
      </c>
      <c r="T9" s="55">
        <v>0.25</v>
      </c>
      <c r="U9" s="55">
        <v>0.25</v>
      </c>
      <c r="V9" s="55">
        <v>0.25</v>
      </c>
      <c r="W9" s="55">
        <v>0.25</v>
      </c>
      <c r="X9" s="55">
        <v>0.25</v>
      </c>
      <c r="Y9" s="55">
        <v>0.25</v>
      </c>
      <c r="Z9" s="55">
        <v>0.25</v>
      </c>
      <c r="AA9" s="55">
        <v>0.25</v>
      </c>
      <c r="AB9" s="55">
        <v>0.25</v>
      </c>
      <c r="AC9" s="55">
        <v>0.25</v>
      </c>
      <c r="AD9" s="55">
        <v>0.25</v>
      </c>
      <c r="AE9" s="55">
        <v>0.25</v>
      </c>
      <c r="AF9" s="55">
        <v>0.25</v>
      </c>
      <c r="AG9" s="55">
        <v>0.25</v>
      </c>
      <c r="AH9" s="55">
        <v>0.25</v>
      </c>
      <c r="AI9" s="55">
        <v>0.25</v>
      </c>
      <c r="AJ9" s="55">
        <v>0.25</v>
      </c>
      <c r="AK9" s="55">
        <v>0.25</v>
      </c>
      <c r="AL9" s="55">
        <v>0.25</v>
      </c>
      <c r="AM9" s="55">
        <v>0.25</v>
      </c>
      <c r="AN9" s="55">
        <v>0.25</v>
      </c>
      <c r="AO9" s="55">
        <v>0.25</v>
      </c>
      <c r="AP9" s="55">
        <v>0.25</v>
      </c>
      <c r="AQ9" s="55">
        <v>0.25</v>
      </c>
      <c r="AR9" s="55">
        <v>0.25</v>
      </c>
      <c r="AS9" s="55">
        <v>0.25</v>
      </c>
      <c r="AT9" s="55">
        <v>0.25</v>
      </c>
      <c r="AU9" s="55">
        <v>0.25</v>
      </c>
      <c r="AV9" s="55">
        <v>0.25</v>
      </c>
      <c r="AW9" s="55">
        <v>0.25</v>
      </c>
      <c r="AX9" s="55">
        <v>0.25</v>
      </c>
      <c r="AY9" s="55">
        <v>0.25</v>
      </c>
      <c r="AZ9" s="55">
        <v>0.25</v>
      </c>
      <c r="BA9" s="55">
        <v>0.25</v>
      </c>
      <c r="BB9" s="55">
        <v>0.25</v>
      </c>
      <c r="BC9" s="55">
        <v>0.25</v>
      </c>
      <c r="BD9" s="55">
        <v>0.25</v>
      </c>
      <c r="BE9" s="55">
        <v>0.25</v>
      </c>
      <c r="BF9" s="55">
        <v>0.25</v>
      </c>
      <c r="BG9" s="55">
        <v>0.25</v>
      </c>
      <c r="BH9" s="55">
        <v>0.25</v>
      </c>
      <c r="BI9" s="55">
        <v>0.25</v>
      </c>
      <c r="BJ9" s="55">
        <v>0.25</v>
      </c>
      <c r="BK9" s="55">
        <v>0.25</v>
      </c>
      <c r="BL9" s="55">
        <v>0.25</v>
      </c>
      <c r="BM9" s="55">
        <v>0.25</v>
      </c>
      <c r="BN9" s="55">
        <v>0.25</v>
      </c>
      <c r="BO9" s="55">
        <v>0.25</v>
      </c>
      <c r="BP9" s="55">
        <v>0.25</v>
      </c>
      <c r="BQ9" s="55">
        <v>0.25</v>
      </c>
      <c r="BR9" s="55">
        <v>0.25</v>
      </c>
      <c r="BS9" s="55">
        <v>0.25</v>
      </c>
      <c r="BT9" s="55">
        <v>0.25</v>
      </c>
      <c r="BU9" s="55">
        <v>0.25</v>
      </c>
      <c r="BV9" s="55">
        <v>0.25</v>
      </c>
      <c r="BW9" s="55">
        <v>0.25</v>
      </c>
      <c r="BX9" s="55">
        <v>0.25</v>
      </c>
      <c r="BY9" s="55">
        <v>0.25</v>
      </c>
      <c r="BZ9" s="55">
        <v>0.25</v>
      </c>
      <c r="CA9" s="55">
        <v>0.25</v>
      </c>
      <c r="CB9" s="55">
        <v>0.25</v>
      </c>
      <c r="CC9" s="55">
        <v>0.25</v>
      </c>
      <c r="CD9" s="55">
        <v>0.25</v>
      </c>
      <c r="CE9" s="55">
        <v>0.25</v>
      </c>
      <c r="CF9" s="55">
        <v>0.25</v>
      </c>
      <c r="CG9" s="55">
        <v>0.25</v>
      </c>
      <c r="CH9" s="55">
        <v>0.25</v>
      </c>
      <c r="CI9" s="55">
        <v>0.25</v>
      </c>
      <c r="CJ9" s="55">
        <v>0.25</v>
      </c>
      <c r="CK9" s="55">
        <v>0.25</v>
      </c>
      <c r="CL9" s="55">
        <v>0.25</v>
      </c>
    </row>
    <row r="11" spans="2:90" x14ac:dyDescent="0.25">
      <c r="B11" s="46" t="s">
        <v>297</v>
      </c>
      <c r="C11" s="34" t="s">
        <v>298</v>
      </c>
      <c r="D11" s="56">
        <f>SUM(E11:CL11)</f>
      </c>
      <c r="E11" s="56">
        <f>($D$28*$D$31*365)*MAX(0,1-$D$29/100*E8)*(1-$D$30/100)*E9</f>
      </c>
      <c r="F11" s="56">
        <f>($D$28*$D$31*365)*MAX(0,1-$D$29/100*F8)*(1-$D$30/100)*F9</f>
      </c>
      <c r="G11" s="56">
        <f>($D$28*$D$31*365)*MAX(0,1-$D$29/100*G8)*(1-$D$30/100)*G9</f>
      </c>
      <c r="H11" s="56">
        <f>($D$28*$D$31*365)*MAX(0,1-$D$29/100*H8)*(1-$D$30/100)*H9</f>
      </c>
      <c r="I11" s="56">
        <f>($D$28*$D$31*365)*MAX(0,1-$D$29/100*I8)*(1-$D$30/100)*I9</f>
      </c>
      <c r="J11" s="56">
        <f>($D$28*$D$31*365)*MAX(0,1-$D$29/100*J8)*(1-$D$30/100)*J9</f>
      </c>
      <c r="K11" s="56">
        <f>($D$28*$D$31*365)*MAX(0,1-$D$29/100*K8)*(1-$D$30/100)*K9</f>
      </c>
      <c r="L11" s="56">
        <f>($D$28*$D$31*365)*MAX(0,1-$D$29/100*L8)*(1-$D$30/100)*L9</f>
      </c>
      <c r="M11" s="56">
        <f>($D$28*$D$31*365)*MAX(0,1-$D$29/100*M8)*(1-$D$30/100)*M9</f>
      </c>
      <c r="N11" s="56">
        <f>($D$28*$D$31*365)*MAX(0,1-$D$29/100*N8)*(1-$D$30/100)*N9</f>
      </c>
      <c r="O11" s="56">
        <f>($D$28*$D$31*365)*MAX(0,1-$D$29/100*O8)*(1-$D$30/100)*O9</f>
      </c>
      <c r="P11" s="56">
        <f>($D$28*$D$31*365)*MAX(0,1-$D$29/100*P8)*(1-$D$30/100)*P9</f>
      </c>
      <c r="Q11" s="56">
        <f>($D$28*$D$31*365)*MAX(0,1-$D$29/100*Q8)*(1-$D$30/100)*Q9</f>
      </c>
      <c r="R11" s="56">
        <f>($D$28*$D$31*365)*MAX(0,1-$D$29/100*R8)*(1-$D$30/100)*R9</f>
      </c>
      <c r="S11" s="56">
        <f>($D$28*$D$31*365)*MAX(0,1-$D$29/100*S8)*(1-$D$30/100)*S9</f>
      </c>
      <c r="T11" s="56">
        <f>($D$28*$D$31*365)*MAX(0,1-$D$29/100*T8)*(1-$D$30/100)*T9</f>
      </c>
      <c r="U11" s="56">
        <f>($D$28*$D$31*365)*MAX(0,1-$D$29/100*U8)*(1-$D$30/100)*U9</f>
      </c>
      <c r="V11" s="56">
        <f>($D$28*$D$31*365)*MAX(0,1-$D$29/100*V8)*(1-$D$30/100)*V9</f>
      </c>
      <c r="W11" s="56">
        <f>($D$28*$D$31*365)*MAX(0,1-$D$29/100*W8)*(1-$D$30/100)*W9</f>
      </c>
      <c r="X11" s="56">
        <f>($D$28*$D$31*365)*MAX(0,1-$D$29/100*X8)*(1-$D$30/100)*X9</f>
      </c>
      <c r="Y11" s="56">
        <f>($D$28*$D$31*365)*MAX(0,1-$D$29/100*Y8)*(1-$D$30/100)*Y9</f>
      </c>
      <c r="Z11" s="56">
        <f>($D$28*$D$31*365)*MAX(0,1-$D$29/100*Z8)*(1-$D$30/100)*Z9</f>
      </c>
      <c r="AA11" s="56">
        <f>($D$28*$D$31*365)*MAX(0,1-$D$29/100*AA8)*(1-$D$30/100)*AA9</f>
      </c>
      <c r="AB11" s="56">
        <f>($D$28*$D$31*365)*MAX(0,1-$D$29/100*AB8)*(1-$D$30/100)*AB9</f>
      </c>
      <c r="AC11" s="56">
        <f>($D$28*$D$31*365)*MAX(0,1-$D$29/100*AC8)*(1-$D$30/100)*AC9</f>
      </c>
      <c r="AD11" s="56">
        <f>($D$28*$D$31*365)*MAX(0,1-$D$29/100*AD8)*(1-$D$30/100)*AD9</f>
      </c>
      <c r="AE11" s="56">
        <f>($D$28*$D$31*365)*MAX(0,1-$D$29/100*AE8)*(1-$D$30/100)*AE9</f>
      </c>
      <c r="AF11" s="56">
        <f>($D$28*$D$31*365)*MAX(0,1-$D$29/100*AF8)*(1-$D$30/100)*AF9</f>
      </c>
      <c r="AG11" s="56">
        <f>($D$28*$D$31*365)*MAX(0,1-$D$29/100*AG8)*(1-$D$30/100)*AG9</f>
      </c>
      <c r="AH11" s="56">
        <f>($D$28*$D$31*365)*MAX(0,1-$D$29/100*AH8)*(1-$D$30/100)*AH9</f>
      </c>
      <c r="AI11" s="56">
        <f>($D$28*$D$31*365)*MAX(0,1-$D$29/100*AI8)*(1-$D$30/100)*AI9</f>
      </c>
      <c r="AJ11" s="56">
        <f>($D$28*$D$31*365)*MAX(0,1-$D$29/100*AJ8)*(1-$D$30/100)*AJ9</f>
      </c>
      <c r="AK11" s="56">
        <f>($D$28*$D$31*365)*MAX(0,1-$D$29/100*AK8)*(1-$D$30/100)*AK9</f>
      </c>
      <c r="AL11" s="56">
        <f>($D$28*$D$31*365)*MAX(0,1-$D$29/100*AL8)*(1-$D$30/100)*AL9</f>
      </c>
      <c r="AM11" s="56">
        <f>($D$28*$D$31*365)*MAX(0,1-$D$29/100*AM8)*(1-$D$30/100)*AM9</f>
      </c>
      <c r="AN11" s="56">
        <f>($D$28*$D$31*365)*MAX(0,1-$D$29/100*AN8)*(1-$D$30/100)*AN9</f>
      </c>
      <c r="AO11" s="56">
        <f>($D$28*$D$31*365)*MAX(0,1-$D$29/100*AO8)*(1-$D$30/100)*AO9</f>
      </c>
      <c r="AP11" s="56">
        <f>($D$28*$D$31*365)*MAX(0,1-$D$29/100*AP8)*(1-$D$30/100)*AP9</f>
      </c>
      <c r="AQ11" s="56">
        <f>($D$28*$D$31*365)*MAX(0,1-$D$29/100*AQ8)*(1-$D$30/100)*AQ9</f>
      </c>
      <c r="AR11" s="56">
        <f>($D$28*$D$31*365)*MAX(0,1-$D$29/100*AR8)*(1-$D$30/100)*AR9</f>
      </c>
      <c r="AS11" s="56">
        <f>($D$28*$D$31*365)*MAX(0,1-$D$29/100*AS8)*(1-$D$30/100)*AS9</f>
      </c>
      <c r="AT11" s="56">
        <f>($D$28*$D$31*365)*MAX(0,1-$D$29/100*AT8)*(1-$D$30/100)*AT9</f>
      </c>
      <c r="AU11" s="56">
        <f>($D$28*$D$31*365)*MAX(0,1-$D$29/100*AU8)*(1-$D$30/100)*AU9</f>
      </c>
      <c r="AV11" s="56">
        <f>($D$28*$D$31*365)*MAX(0,1-$D$29/100*AV8)*(1-$D$30/100)*AV9</f>
      </c>
      <c r="AW11" s="56">
        <f>($D$28*$D$31*365)*MAX(0,1-$D$29/100*AW8)*(1-$D$30/100)*AW9</f>
      </c>
      <c r="AX11" s="56">
        <f>($D$28*$D$31*365)*MAX(0,1-$D$29/100*AX8)*(1-$D$30/100)*AX9</f>
      </c>
      <c r="AY11" s="56">
        <f>($D$28*$D$31*365)*MAX(0,1-$D$29/100*AY8)*(1-$D$30/100)*AY9</f>
      </c>
      <c r="AZ11" s="56">
        <f>($D$28*$D$31*365)*MAX(0,1-$D$29/100*AZ8)*(1-$D$30/100)*AZ9</f>
      </c>
      <c r="BA11" s="56">
        <f>($D$28*$D$31*365)*MAX(0,1-$D$29/100*BA8)*(1-$D$30/100)*BA9</f>
      </c>
      <c r="BB11" s="56">
        <f>($D$28*$D$31*365)*MAX(0,1-$D$29/100*BB8)*(1-$D$30/100)*BB9</f>
      </c>
      <c r="BC11" s="56">
        <f>($D$28*$D$31*365)*MAX(0,1-$D$29/100*BC8)*(1-$D$30/100)*BC9</f>
      </c>
      <c r="BD11" s="56">
        <f>($D$28*$D$31*365)*MAX(0,1-$D$29/100*BD8)*(1-$D$30/100)*BD9</f>
      </c>
      <c r="BE11" s="56">
        <f>($D$28*$D$31*365)*MAX(0,1-$D$29/100*BE8)*(1-$D$30/100)*BE9</f>
      </c>
      <c r="BF11" s="56">
        <f>($D$28*$D$31*365)*MAX(0,1-$D$29/100*BF8)*(1-$D$30/100)*BF9</f>
      </c>
      <c r="BG11" s="56">
        <f>($D$28*$D$31*365)*MAX(0,1-$D$29/100*BG8)*(1-$D$30/100)*BG9</f>
      </c>
      <c r="BH11" s="56">
        <f>($D$28*$D$31*365)*MAX(0,1-$D$29/100*BH8)*(1-$D$30/100)*BH9</f>
      </c>
      <c r="BI11" s="56">
        <f>($D$28*$D$31*365)*MAX(0,1-$D$29/100*BI8)*(1-$D$30/100)*BI9</f>
      </c>
      <c r="BJ11" s="56">
        <f>($D$28*$D$31*365)*MAX(0,1-$D$29/100*BJ8)*(1-$D$30/100)*BJ9</f>
      </c>
      <c r="BK11" s="56">
        <f>($D$28*$D$31*365)*MAX(0,1-$D$29/100*BK8)*(1-$D$30/100)*BK9</f>
      </c>
      <c r="BL11" s="56">
        <f>($D$28*$D$31*365)*MAX(0,1-$D$29/100*BL8)*(1-$D$30/100)*BL9</f>
      </c>
      <c r="BM11" s="56">
        <f>($D$28*$D$31*365)*MAX(0,1-$D$29/100*BM8)*(1-$D$30/100)*BM9</f>
      </c>
      <c r="BN11" s="56">
        <f>($D$28*$D$31*365)*MAX(0,1-$D$29/100*BN8)*(1-$D$30/100)*BN9</f>
      </c>
      <c r="BO11" s="56">
        <f>($D$28*$D$31*365)*MAX(0,1-$D$29/100*BO8)*(1-$D$30/100)*BO9</f>
      </c>
      <c r="BP11" s="56">
        <f>($D$28*$D$31*365)*MAX(0,1-$D$29/100*BP8)*(1-$D$30/100)*BP9</f>
      </c>
      <c r="BQ11" s="56">
        <f>($D$28*$D$31*365)*MAX(0,1-$D$29/100*BQ8)*(1-$D$30/100)*BQ9</f>
      </c>
      <c r="BR11" s="56">
        <f>($D$28*$D$31*365)*MAX(0,1-$D$29/100*BR8)*(1-$D$30/100)*BR9</f>
      </c>
      <c r="BS11" s="56">
        <f>($D$28*$D$31*365)*MAX(0,1-$D$29/100*BS8)*(1-$D$30/100)*BS9</f>
      </c>
      <c r="BT11" s="56">
        <f>($D$28*$D$31*365)*MAX(0,1-$D$29/100*BT8)*(1-$D$30/100)*BT9</f>
      </c>
      <c r="BU11" s="56">
        <f>($D$28*$D$31*365)*MAX(0,1-$D$29/100*BU8)*(1-$D$30/100)*BU9</f>
      </c>
      <c r="BV11" s="56">
        <f>($D$28*$D$31*365)*MAX(0,1-$D$29/100*BV8)*(1-$D$30/100)*BV9</f>
      </c>
      <c r="BW11" s="56">
        <f>($D$28*$D$31*365)*MAX(0,1-$D$29/100*BW8)*(1-$D$30/100)*BW9</f>
      </c>
      <c r="BX11" s="56">
        <f>($D$28*$D$31*365)*MAX(0,1-$D$29/100*BX8)*(1-$D$30/100)*BX9</f>
      </c>
      <c r="BY11" s="56">
        <f>($D$28*$D$31*365)*MAX(0,1-$D$29/100*BY8)*(1-$D$30/100)*BY9</f>
      </c>
      <c r="BZ11" s="56">
        <f>($D$28*$D$31*365)*MAX(0,1-$D$29/100*BZ8)*(1-$D$30/100)*BZ9</f>
      </c>
      <c r="CA11" s="56">
        <f>($D$28*$D$31*365)*MAX(0,1-$D$29/100*CA8)*(1-$D$30/100)*CA9</f>
      </c>
      <c r="CB11" s="56">
        <f>($D$28*$D$31*365)*MAX(0,1-$D$29/100*CB8)*(1-$D$30/100)*CB9</f>
      </c>
      <c r="CC11" s="56">
        <f>($D$28*$D$31*365)*MAX(0,1-$D$29/100*CC8)*(1-$D$30/100)*CC9</f>
      </c>
      <c r="CD11" s="56">
        <f>($D$28*$D$31*365)*MAX(0,1-$D$29/100*CD8)*(1-$D$30/100)*CD9</f>
      </c>
      <c r="CE11" s="56">
        <f>($D$28*$D$31*365)*MAX(0,1-$D$29/100*CE8)*(1-$D$30/100)*CE9</f>
      </c>
      <c r="CF11" s="56">
        <f>($D$28*$D$31*365)*MAX(0,1-$D$29/100*CF8)*(1-$D$30/100)*CF9</f>
      </c>
      <c r="CG11" s="56">
        <f>($D$28*$D$31*365)*MAX(0,1-$D$29/100*CG8)*(1-$D$30/100)*CG9</f>
      </c>
      <c r="CH11" s="56">
        <f>($D$28*$D$31*365)*MAX(0,1-$D$29/100*CH8)*(1-$D$30/100)*CH9</f>
      </c>
      <c r="CI11" s="56">
        <f>($D$28*$D$31*365)*MAX(0,1-$D$29/100*CI8)*(1-$D$30/100)*CI9</f>
      </c>
      <c r="CJ11" s="56">
        <f>($D$28*$D$31*365)*MAX(0,1-$D$29/100*CJ8)*(1-$D$30/100)*CJ9</f>
      </c>
      <c r="CK11" s="56">
        <f>($D$28*$D$31*365)*MAX(0,1-$D$29/100*CK8)*(1-$D$30/100)*CK9</f>
      </c>
      <c r="CL11" s="56">
        <f>($D$28*$D$31*365)*MAX(0,1-$D$29/100*CL8)*(1-$D$30/100)*CL9</f>
      </c>
    </row>
    <row r="13" spans="2:90" x14ac:dyDescent="0.25">
      <c r="B13" s="33" t="s">
        <v>299</v>
      </c>
      <c r="C13" s="34" t="s">
        <v>300</v>
      </c>
      <c r="E13" s="57"/>
      <c r="F13" s="57"/>
      <c r="G13" s="57"/>
      <c r="H13" s="57"/>
      <c r="I13" s="57"/>
      <c r="J13" s="57"/>
      <c r="K13" s="57">
        <f>$D$33*(1+$D$34/100)^K8</f>
      </c>
      <c r="L13" s="57">
        <f>$D$33*(1+$D$34/100)^L8</f>
      </c>
      <c r="M13" s="57">
        <f>$D$33*(1+$D$34/100)^M8</f>
      </c>
      <c r="N13" s="57">
        <f>$D$33*(1+$D$34/100)^N8</f>
      </c>
      <c r="O13" s="57">
        <f>$D$33*(1+$D$34/100)^O8</f>
      </c>
      <c r="P13" s="57">
        <f>$D$33*(1+$D$34/100)^P8</f>
      </c>
      <c r="Q13" s="57">
        <f>$D$33*(1+$D$34/100)^Q8</f>
      </c>
      <c r="R13" s="57">
        <f>$D$33*(1+$D$34/100)^R8</f>
      </c>
      <c r="S13" s="57">
        <f>$D$33*(1+$D$34/100)^S8</f>
      </c>
      <c r="T13" s="57">
        <f>$D$33*(1+$D$34/100)^T8</f>
      </c>
      <c r="U13" s="57">
        <f>$D$33*(1+$D$34/100)^U8</f>
      </c>
      <c r="V13" s="57">
        <f>$D$33*(1+$D$34/100)^V8</f>
      </c>
      <c r="W13" s="57">
        <f>$D$33*(1+$D$34/100)^W8</f>
      </c>
      <c r="X13" s="57">
        <f>$D$33*(1+$D$34/100)^X8</f>
      </c>
      <c r="Y13" s="57">
        <f>$D$33*(1+$D$34/100)^Y8</f>
      </c>
      <c r="Z13" s="57">
        <f>$D$33*(1+$D$34/100)^Z8</f>
      </c>
      <c r="AA13" s="57">
        <f>$D$33*(1+$D$34/100)^AA8</f>
      </c>
      <c r="AB13" s="57">
        <f>$D$33*(1+$D$34/100)^AB8</f>
      </c>
      <c r="AC13" s="57">
        <f>$D$33*(1+$D$34/100)^AC8</f>
      </c>
      <c r="AD13" s="57">
        <f>$D$33*(1+$D$34/100)^AD8</f>
      </c>
      <c r="AE13" s="57">
        <f>$D$33*(1+$D$34/100)^AE8</f>
      </c>
      <c r="AF13" s="57">
        <f>$D$33*(1+$D$34/100)^AF8</f>
      </c>
      <c r="AG13" s="57">
        <f>$D$33*(1+$D$34/100)^AG8</f>
      </c>
      <c r="AH13" s="57">
        <f>$D$33*(1+$D$34/100)^AH8</f>
      </c>
      <c r="AI13" s="57">
        <f>$D$33*(1+$D$34/100)^AI8</f>
      </c>
      <c r="AJ13" s="57">
        <f>$D$33*(1+$D$34/100)^AJ8</f>
      </c>
      <c r="AK13" s="57">
        <f>$D$33*(1+$D$34/100)^AK8</f>
      </c>
      <c r="AL13" s="57">
        <f>$D$33*(1+$D$34/100)^AL8</f>
      </c>
      <c r="AM13" s="57">
        <f>$D$33*(1+$D$34/100)^AM8</f>
      </c>
      <c r="AN13" s="57">
        <f>$D$33*(1+$D$34/100)^AN8</f>
      </c>
      <c r="AO13" s="57">
        <f>$D$33*(1+$D$34/100)^AO8</f>
      </c>
      <c r="AP13" s="57">
        <f>$D$33*(1+$D$34/100)^AP8</f>
      </c>
      <c r="AQ13" s="57">
        <f>$D$33*(1+$D$34/100)^AQ8</f>
      </c>
      <c r="AR13" s="57">
        <f>$D$33*(1+$D$34/100)^AR8</f>
      </c>
      <c r="AS13" s="57">
        <f>$D$33*(1+$D$34/100)^AS8</f>
      </c>
      <c r="AT13" s="57">
        <f>$D$33*(1+$D$34/100)^AT8</f>
      </c>
      <c r="AU13" s="57">
        <f>$D$33*(1+$D$34/100)^AU8</f>
      </c>
      <c r="AV13" s="57">
        <f>$D$33*(1+$D$34/100)^AV8</f>
      </c>
      <c r="AW13" s="57">
        <f>$D$33*(1+$D$34/100)^AW8</f>
      </c>
      <c r="AX13" s="57">
        <f>$D$33*(1+$D$34/100)^AX8</f>
      </c>
      <c r="AY13" s="57">
        <f>$D$33*(1+$D$34/100)^AY8</f>
      </c>
      <c r="AZ13" s="57">
        <f>$D$33*(1+$D$34/100)^AZ8</f>
      </c>
      <c r="BA13" s="57">
        <f>$D$33*(1+$D$34/100)^BA8</f>
      </c>
      <c r="BB13" s="57">
        <f>$D$33*(1+$D$34/100)^BB8</f>
      </c>
      <c r="BC13" s="57">
        <f>$D$33*(1+$D$34/100)^BC8</f>
      </c>
      <c r="BD13" s="57">
        <f>$D$33*(1+$D$34/100)^BD8</f>
      </c>
      <c r="BE13" s="57">
        <f>$D$33*(1+$D$34/100)^BE8</f>
      </c>
      <c r="BF13" s="57">
        <f>$D$33*(1+$D$34/100)^BF8</f>
      </c>
      <c r="BG13" s="57">
        <f>$D$33*(1+$D$34/100)^BG8</f>
      </c>
      <c r="BH13" s="57">
        <f>$D$33*(1+$D$34/100)^BH8</f>
      </c>
      <c r="BI13" s="57">
        <f>$D$33*(1+$D$34/100)^BI8</f>
      </c>
      <c r="BJ13" s="57">
        <f>$D$33*(1+$D$34/100)^BJ8</f>
      </c>
      <c r="BK13" s="57">
        <f>$D$33*(1+$D$34/100)^BK8</f>
      </c>
      <c r="BL13" s="57">
        <f>$D$33*(1+$D$34/100)^BL8</f>
      </c>
      <c r="BM13" s="57">
        <f>$D$33*(1+$D$34/100)^BM8</f>
      </c>
      <c r="BN13" s="57">
        <f>$D$33*(1+$D$34/100)^BN8</f>
      </c>
      <c r="BO13" s="57">
        <f>$D$33*(1+$D$34/100)^BO8</f>
      </c>
      <c r="BP13" s="57">
        <f>$D$33*(1+$D$34/100)^BP8</f>
      </c>
      <c r="BQ13" s="57">
        <f>$D$33*(1+$D$34/100)^BQ8</f>
      </c>
      <c r="BR13" s="57">
        <f>$D$33*(1+$D$34/100)^BR8</f>
      </c>
      <c r="BS13" s="57">
        <f>$D$33*(1+$D$34/100)^BS8</f>
      </c>
      <c r="BT13" s="57">
        <f>$D$33*(1+$D$34/100)^BT8</f>
      </c>
      <c r="BU13" s="57">
        <f>$D$33*(1+$D$34/100)^BU8</f>
      </c>
      <c r="BV13" s="57">
        <f>$D$33*(1+$D$34/100)^BV8</f>
      </c>
      <c r="BW13" s="57">
        <f>$D$33*(1+$D$34/100)^BW8</f>
      </c>
      <c r="BX13" s="57">
        <f>$D$33*(1+$D$34/100)^BX8</f>
      </c>
      <c r="BY13" s="57">
        <f>$D$33*(1+$D$34/100)^BY8</f>
      </c>
      <c r="BZ13" s="57">
        <f>$D$33*(1+$D$34/100)^BZ8</f>
      </c>
      <c r="CA13" s="57">
        <f>$D$33*(1+$D$34/100)^CA8</f>
      </c>
      <c r="CB13" s="57">
        <f>$D$33*(1+$D$34/100)^CB8</f>
      </c>
      <c r="CC13" s="57">
        <f>$D$33*(1+$D$34/100)^CC8</f>
      </c>
      <c r="CD13" s="57">
        <f>$D$33*(1+$D$34/100)^CD8</f>
      </c>
      <c r="CE13" s="57">
        <f>$D$33*(1+$D$34/100)^CE8</f>
      </c>
      <c r="CF13" s="57">
        <f>$D$33*(1+$D$34/100)^CF8</f>
      </c>
      <c r="CG13" s="57">
        <f>$D$33*(1+$D$34/100)^CG8</f>
      </c>
      <c r="CH13" s="57">
        <f>$D$33*(1+$D$34/100)^CH8</f>
      </c>
      <c r="CI13" s="57">
        <f>$D$33*(1+$D$34/100)^CI8</f>
      </c>
      <c r="CJ13" s="57">
        <f>$D$33*(1+$D$34/100)^CJ8</f>
      </c>
      <c r="CK13" s="57">
        <f>$D$33*(1+$D$34/100)^CK8</f>
      </c>
      <c r="CL13" s="57">
        <f>$D$33*(1+$D$34/100)^CL8</f>
      </c>
    </row>
    <row r="14" spans="2:90" x14ac:dyDescent="0.25">
      <c r="B14" s="33" t="s">
        <v>301</v>
      </c>
      <c r="C14" s="34" t="s">
        <v>228</v>
      </c>
      <c r="D14" s="31">
        <f>SUM(E14:CL14)</f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f>K11*$D$32/100*K13/1000</f>
      </c>
      <c r="L14" s="31">
        <f>L11*$D$32/100*L13/1000</f>
      </c>
      <c r="M14" s="31">
        <f>M11*$D$32/100*M13/1000</f>
      </c>
      <c r="N14" s="31">
        <f>N11*$D$32/100*N13/1000</f>
      </c>
      <c r="O14" s="31">
        <f>O11*$D$32/100*O13/1000</f>
      </c>
      <c r="P14" s="31">
        <f>P11*$D$32/100*P13/1000</f>
      </c>
      <c r="Q14" s="31">
        <f>Q11*$D$32/100*Q13/1000</f>
      </c>
      <c r="R14" s="31">
        <f>R11*$D$32/100*R13/1000</f>
      </c>
      <c r="S14" s="31">
        <f>S11*$D$32/100*S13/1000</f>
      </c>
      <c r="T14" s="31">
        <f>T11*$D$32/100*T13/1000</f>
      </c>
      <c r="U14" s="31">
        <f>U11*$D$32/100*U13/1000</f>
      </c>
      <c r="V14" s="31">
        <f>V11*$D$32/100*V13/1000</f>
      </c>
      <c r="W14" s="31">
        <f>W11*$D$32/100*W13/1000</f>
      </c>
      <c r="X14" s="31">
        <f>X11*$D$32/100*X13/1000</f>
      </c>
      <c r="Y14" s="31">
        <f>Y11*$D$32/100*Y13/1000</f>
      </c>
      <c r="Z14" s="31">
        <f>Z11*$D$32/100*Z13/1000</f>
      </c>
      <c r="AA14" s="31">
        <f>AA11*$D$32/100*AA13/1000</f>
      </c>
      <c r="AB14" s="31">
        <f>AB11*$D$32/100*AB13/1000</f>
      </c>
      <c r="AC14" s="31">
        <f>AC11*$D$32/100*AC13/1000</f>
      </c>
      <c r="AD14" s="31">
        <f>AD11*$D$32/100*AD13/1000</f>
      </c>
      <c r="AE14" s="31">
        <f>AE11*$D$32/100*AE13/1000</f>
      </c>
      <c r="AF14" s="31">
        <f>AF11*$D$32/100*AF13/1000</f>
      </c>
      <c r="AG14" s="31">
        <f>AG11*$D$32/100*AG13/1000</f>
      </c>
      <c r="AH14" s="31">
        <f>AH11*$D$32/100*AH13/1000</f>
      </c>
      <c r="AI14" s="31">
        <f>AI11*$D$32/100*AI13/1000</f>
      </c>
      <c r="AJ14" s="31">
        <f>AJ11*$D$32/100*AJ13/1000</f>
      </c>
      <c r="AK14" s="31">
        <f>AK11*$D$32/100*AK13/1000</f>
      </c>
      <c r="AL14" s="31">
        <f>AL11*$D$32/100*AL13/1000</f>
      </c>
      <c r="AM14" s="31">
        <f>AM11*$D$32/100*AM13/1000</f>
      </c>
      <c r="AN14" s="31">
        <f>AN11*$D$32/100*AN13/1000</f>
      </c>
      <c r="AO14" s="31">
        <f>AO11*$D$32/100*AO13/1000</f>
      </c>
      <c r="AP14" s="31">
        <f>AP11*$D$32/100*AP13/1000</f>
      </c>
      <c r="AQ14" s="31">
        <f>AQ11*$D$32/100*AQ13/1000</f>
      </c>
      <c r="AR14" s="31">
        <f>AR11*$D$32/100*AR13/1000</f>
      </c>
      <c r="AS14" s="31">
        <f>AS11*$D$32/100*AS13/1000</f>
      </c>
      <c r="AT14" s="31">
        <f>AT11*$D$32/100*AT13/1000</f>
      </c>
      <c r="AU14" s="31">
        <f>AU11*$D$32/100*AU13/1000</f>
      </c>
      <c r="AV14" s="31">
        <f>AV11*$D$32/100*AV13/1000</f>
      </c>
      <c r="AW14" s="31">
        <f>AW11*$D$32/100*AW13/1000</f>
      </c>
      <c r="AX14" s="31">
        <f>AX11*$D$32/100*AX13/1000</f>
      </c>
      <c r="AY14" s="31">
        <f>AY11*$D$32/100*AY13/1000</f>
      </c>
      <c r="AZ14" s="31">
        <f>AZ11*$D$32/100*AZ13/1000</f>
      </c>
      <c r="BA14" s="31">
        <f>BA11*$D$32/100*BA13/1000</f>
      </c>
      <c r="BB14" s="31">
        <f>BB11*$D$32/100*BB13/1000</f>
      </c>
      <c r="BC14" s="31">
        <f>BC11*$D$32/100*BC13/1000</f>
      </c>
      <c r="BD14" s="31">
        <f>BD11*$D$32/100*BD13/1000</f>
      </c>
      <c r="BE14" s="31">
        <f>BE11*$D$32/100*BE13/1000</f>
      </c>
      <c r="BF14" s="31">
        <f>BF11*$D$32/100*BF13/1000</f>
      </c>
      <c r="BG14" s="31">
        <f>BG11*$D$32/100*BG13/1000</f>
      </c>
      <c r="BH14" s="31">
        <f>BH11*$D$32/100*BH13/1000</f>
      </c>
      <c r="BI14" s="31">
        <f>BI11*$D$32/100*BI13/1000</f>
      </c>
      <c r="BJ14" s="31">
        <f>BJ11*$D$32/100*BJ13/1000</f>
      </c>
      <c r="BK14" s="31">
        <f>BK11*$D$32/100*BK13/1000</f>
      </c>
      <c r="BL14" s="31">
        <f>BL11*$D$32/100*BL13/1000</f>
      </c>
      <c r="BM14" s="31">
        <f>BM11*$D$32/100*BM13/1000</f>
      </c>
      <c r="BN14" s="31">
        <f>BN11*$D$32/100*BN13/1000</f>
      </c>
      <c r="BO14" s="31">
        <f>BO11*$D$32/100*BO13/1000</f>
      </c>
      <c r="BP14" s="31">
        <f>BP11*$D$32/100*BP13/1000</f>
      </c>
      <c r="BQ14" s="31">
        <f>BQ11*$D$32/100*BQ13/1000</f>
      </c>
      <c r="BR14" s="31">
        <f>BR11*$D$32/100*BR13/1000</f>
      </c>
      <c r="BS14" s="31">
        <f>BS11*$D$32/100*BS13/1000</f>
      </c>
      <c r="BT14" s="31">
        <f>BT11*$D$32/100*BT13/1000</f>
      </c>
      <c r="BU14" s="31">
        <f>BU11*$D$32/100*BU13/1000</f>
      </c>
      <c r="BV14" s="31">
        <f>BV11*$D$32/100*BV13/1000</f>
      </c>
      <c r="BW14" s="31">
        <f>BW11*$D$32/100*BW13/1000</f>
      </c>
      <c r="BX14" s="31">
        <f>BX11*$D$32/100*BX13/1000</f>
      </c>
      <c r="BY14" s="31">
        <f>BY11*$D$32/100*BY13/1000</f>
      </c>
      <c r="BZ14" s="31">
        <f>BZ11*$D$32/100*BZ13/1000</f>
      </c>
      <c r="CA14" s="31">
        <f>CA11*$D$32/100*CA13/1000</f>
      </c>
      <c r="CB14" s="31">
        <f>CB11*$D$32/100*CB13/1000</f>
      </c>
      <c r="CC14" s="31">
        <f>CC11*$D$32/100*CC13/1000</f>
      </c>
      <c r="CD14" s="31">
        <f>CD11*$D$32/100*CD13/1000</f>
      </c>
      <c r="CE14" s="31">
        <f>CE11*$D$32/100*CE13/1000</f>
      </c>
      <c r="CF14" s="31">
        <f>CF11*$D$32/100*CF13/1000</f>
      </c>
      <c r="CG14" s="31">
        <f>CG11*$D$32/100*CG13/1000</f>
      </c>
      <c r="CH14" s="31">
        <f>CH11*$D$32/100*CH13/1000</f>
      </c>
      <c r="CI14" s="31">
        <f>CI11*$D$32/100*CI13/1000</f>
      </c>
      <c r="CJ14" s="31">
        <f>CJ11*$D$32/100*CJ13/1000</f>
      </c>
      <c r="CK14" s="31">
        <f>CK11*$D$32/100*CK13/1000</f>
      </c>
      <c r="CL14" s="31">
        <f>CL11*$D$32/100*CL13/1000</f>
      </c>
    </row>
    <row r="16" spans="2:90" x14ac:dyDescent="0.25">
      <c r="B16" s="33" t="s">
        <v>302</v>
      </c>
      <c r="C16" s="34" t="s">
        <v>300</v>
      </c>
      <c r="E16" s="57"/>
      <c r="F16" s="57"/>
      <c r="G16" s="57"/>
      <c r="H16" s="57"/>
      <c r="I16" s="57"/>
      <c r="J16" s="57"/>
      <c r="K16" s="57">
        <f>IF(K11=0,0,K17*1000/K11)</f>
      </c>
      <c r="L16" s="57">
        <f>IF(L11=0,0,L17*1000/L11)</f>
      </c>
      <c r="M16" s="57">
        <f>IF(M11=0,0,M17*1000/M11)</f>
      </c>
      <c r="N16" s="57">
        <f>IF(N11=0,0,N17*1000/N11)</f>
      </c>
      <c r="O16" s="57">
        <f>IF(O11=0,0,O17*1000/O11)</f>
      </c>
      <c r="P16" s="57">
        <f>IF(P11=0,0,P17*1000/P11)</f>
      </c>
      <c r="Q16" s="57">
        <f>IF(Q11=0,0,Q17*1000/Q11)</f>
      </c>
      <c r="R16" s="57">
        <f>IF(R11=0,0,R17*1000/R11)</f>
      </c>
      <c r="S16" s="57">
        <f>IF(S11=0,0,S17*1000/S11)</f>
      </c>
      <c r="T16" s="57">
        <f>IF(T11=0,0,T17*1000/T11)</f>
      </c>
      <c r="U16" s="57">
        <f>IF(U11=0,0,U17*1000/U11)</f>
      </c>
      <c r="V16" s="57">
        <f>IF(V11=0,0,V17*1000/V11)</f>
      </c>
      <c r="W16" s="57">
        <f>IF(W11=0,0,W17*1000/W11)</f>
      </c>
      <c r="X16" s="57">
        <f>IF(X11=0,0,X17*1000/X11)</f>
      </c>
      <c r="Y16" s="57">
        <f>IF(Y11=0,0,Y17*1000/Y11)</f>
      </c>
      <c r="Z16" s="57">
        <f>IF(Z11=0,0,Z17*1000/Z11)</f>
      </c>
      <c r="AA16" s="57">
        <f>IF(AA11=0,0,AA17*1000/AA11)</f>
      </c>
      <c r="AB16" s="57">
        <f>IF(AB11=0,0,AB17*1000/AB11)</f>
      </c>
      <c r="AC16" s="57">
        <f>IF(AC11=0,0,AC17*1000/AC11)</f>
      </c>
      <c r="AD16" s="57">
        <f>IF(AD11=0,0,AD17*1000/AD11)</f>
      </c>
      <c r="AE16" s="57">
        <f>IF(AE11=0,0,AE17*1000/AE11)</f>
      </c>
      <c r="AF16" s="57">
        <f>IF(AF11=0,0,AF17*1000/AF11)</f>
      </c>
      <c r="AG16" s="57">
        <f>IF(AG11=0,0,AG17*1000/AG11)</f>
      </c>
      <c r="AH16" s="57">
        <f>IF(AH11=0,0,AH17*1000/AH11)</f>
      </c>
      <c r="AI16" s="57">
        <f>IF(AI11=0,0,AI17*1000/AI11)</f>
      </c>
      <c r="AJ16" s="57">
        <f>IF(AJ11=0,0,AJ17*1000/AJ11)</f>
      </c>
      <c r="AK16" s="57">
        <f>IF(AK11=0,0,AK17*1000/AK11)</f>
      </c>
      <c r="AL16" s="57">
        <f>IF(AL11=0,0,AL17*1000/AL11)</f>
      </c>
      <c r="AM16" s="57">
        <f>IF(AM11=0,0,AM17*1000/AM11)</f>
      </c>
      <c r="AN16" s="57">
        <f>IF(AN11=0,0,AN17*1000/AN11)</f>
      </c>
      <c r="AO16" s="57">
        <f>IF(AO11=0,0,AO17*1000/AO11)</f>
      </c>
      <c r="AP16" s="57">
        <f>IF(AP11=0,0,AP17*1000/AP11)</f>
      </c>
      <c r="AQ16" s="57">
        <f>IF(AQ11=0,0,AQ17*1000/AQ11)</f>
      </c>
      <c r="AR16" s="57">
        <f>IF(AR11=0,0,AR17*1000/AR11)</f>
      </c>
      <c r="AS16" s="57">
        <f>IF(AS11=0,0,AS17*1000/AS11)</f>
      </c>
      <c r="AT16" s="57">
        <f>IF(AT11=0,0,AT17*1000/AT11)</f>
      </c>
      <c r="AU16" s="57">
        <f>IF(AU11=0,0,AU17*1000/AU11)</f>
      </c>
      <c r="AV16" s="57">
        <f>IF(AV11=0,0,AV17*1000/AV11)</f>
      </c>
      <c r="AW16" s="57">
        <f>IF(AW11=0,0,AW17*1000/AW11)</f>
      </c>
      <c r="AX16" s="57">
        <f>IF(AX11=0,0,AX17*1000/AX11)</f>
      </c>
      <c r="AY16" s="57">
        <f>IF(AY11=0,0,AY17*1000/AY11)</f>
      </c>
      <c r="AZ16" s="57">
        <f>IF(AZ11=0,0,AZ17*1000/AZ11)</f>
      </c>
      <c r="BA16" s="57">
        <f>IF(BA11=0,0,BA17*1000/BA11)</f>
      </c>
      <c r="BB16" s="57">
        <f>IF(BB11=0,0,BB17*1000/BB11)</f>
      </c>
      <c r="BC16" s="57">
        <f>IF(BC11=0,0,BC17*1000/BC11)</f>
      </c>
      <c r="BD16" s="57">
        <f>IF(BD11=0,0,BD17*1000/BD11)</f>
      </c>
      <c r="BE16" s="57">
        <f>IF(BE11=0,0,BE17*1000/BE11)</f>
      </c>
      <c r="BF16" s="57">
        <f>IF(BF11=0,0,BF17*1000/BF11)</f>
      </c>
      <c r="BG16" s="57">
        <f>IF(BG11=0,0,BG17*1000/BG11)</f>
      </c>
      <c r="BH16" s="57">
        <f>IF(BH11=0,0,BH17*1000/BH11)</f>
      </c>
      <c r="BI16" s="57">
        <f>IF(BI11=0,0,BI17*1000/BI11)</f>
      </c>
      <c r="BJ16" s="57">
        <f>IF(BJ11=0,0,BJ17*1000/BJ11)</f>
      </c>
      <c r="BK16" s="57">
        <f>IF(BK11=0,0,BK17*1000/BK11)</f>
      </c>
      <c r="BL16" s="57">
        <f>IF(BL11=0,0,BL17*1000/BL11)</f>
      </c>
      <c r="BM16" s="57">
        <f>IF(BM11=0,0,BM17*1000/BM11)</f>
      </c>
      <c r="BN16" s="57">
        <f>IF(BN11=0,0,BN17*1000/BN11)</f>
      </c>
      <c r="BO16" s="57">
        <f>IF(BO11=0,0,BO17*1000/BO11)</f>
      </c>
      <c r="BP16" s="57">
        <f>IF(BP11=0,0,BP17*1000/BP11)</f>
      </c>
      <c r="BQ16" s="57">
        <f>IF(BQ11=0,0,BQ17*1000/BQ11)</f>
      </c>
      <c r="BR16" s="57">
        <f>IF(BR11=0,0,BR17*1000/BR11)</f>
      </c>
      <c r="BS16" s="57">
        <f>IF(BS11=0,0,BS17*1000/BS11)</f>
      </c>
      <c r="BT16" s="57">
        <f>IF(BT11=0,0,BT17*1000/BT11)</f>
      </c>
      <c r="BU16" s="57">
        <f>IF(BU11=0,0,BU17*1000/BU11)</f>
      </c>
      <c r="BV16" s="57">
        <f>IF(BV11=0,0,BV17*1000/BV11)</f>
      </c>
      <c r="BW16" s="57">
        <f>IF(BW11=0,0,BW17*1000/BW11)</f>
      </c>
      <c r="BX16" s="57">
        <f>IF(BX11=0,0,BX17*1000/BX11)</f>
      </c>
      <c r="BY16" s="57">
        <f>IF(BY11=0,0,BY17*1000/BY11)</f>
      </c>
      <c r="BZ16" s="57">
        <f>IF(BZ11=0,0,BZ17*1000/BZ11)</f>
      </c>
      <c r="CA16" s="57">
        <f>IF(CA11=0,0,CA17*1000/CA11)</f>
      </c>
      <c r="CB16" s="57">
        <f>IF(CB11=0,0,CB17*1000/CB11)</f>
      </c>
      <c r="CC16" s="57">
        <f>IF(CC11=0,0,CC17*1000/CC11)</f>
      </c>
      <c r="CD16" s="57">
        <f>IF(CD11=0,0,CD17*1000/CD11)</f>
      </c>
      <c r="CE16" s="57">
        <f>IF(CE11=0,0,CE17*1000/CE11)</f>
      </c>
      <c r="CF16" s="57">
        <f>IF(CF11=0,0,CF17*1000/CF11)</f>
      </c>
      <c r="CG16" s="57">
        <f>IF(CG11=0,0,CG17*1000/CG11)</f>
      </c>
      <c r="CH16" s="57">
        <f>IF(CH11=0,0,CH17*1000/CH11)</f>
      </c>
      <c r="CI16" s="57">
        <f>IF(CI11=0,0,CI17*1000/CI11)</f>
      </c>
      <c r="CJ16" s="57">
        <f>IF(CJ11=0,0,CJ17*1000/CJ11)</f>
      </c>
      <c r="CK16" s="57">
        <f>IF(CK11=0,0,CK17*1000/CK11)</f>
      </c>
      <c r="CL16" s="57">
        <f>IF(CL11=0,0,CL17*1000/CL11)</f>
      </c>
    </row>
    <row r="17" spans="2:91" x14ac:dyDescent="0.25">
      <c r="B17" s="47" t="s">
        <v>303</v>
      </c>
      <c r="C17" s="51" t="s">
        <v>228</v>
      </c>
      <c r="D17" s="42">
        <f>SUM(E17:CL17)</f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f>SUM(K14:K14)</f>
      </c>
      <c r="L17" s="42">
        <f>SUM(L14:L14)</f>
      </c>
      <c r="M17" s="42">
        <f>SUM(M14:M14)</f>
      </c>
      <c r="N17" s="42">
        <f>SUM(N14:N14)</f>
      </c>
      <c r="O17" s="42">
        <f>SUM(O14:O14)</f>
      </c>
      <c r="P17" s="42">
        <f>SUM(P14:P14)</f>
      </c>
      <c r="Q17" s="42">
        <f>SUM(Q14:Q14)</f>
      </c>
      <c r="R17" s="42">
        <f>SUM(R14:R14)</f>
      </c>
      <c r="S17" s="42">
        <f>SUM(S14:S14)</f>
      </c>
      <c r="T17" s="42">
        <f>SUM(T14:T14)</f>
      </c>
      <c r="U17" s="42">
        <f>SUM(U14:U14)</f>
      </c>
      <c r="V17" s="42">
        <f>SUM(V14:V14)</f>
      </c>
      <c r="W17" s="42">
        <f>SUM(W14:W14)</f>
      </c>
      <c r="X17" s="42">
        <f>SUM(X14:X14)</f>
      </c>
      <c r="Y17" s="42">
        <f>SUM(Y14:Y14)</f>
      </c>
      <c r="Z17" s="42">
        <f>SUM(Z14:Z14)</f>
      </c>
      <c r="AA17" s="42">
        <f>SUM(AA14:AA14)</f>
      </c>
      <c r="AB17" s="42">
        <f>SUM(AB14:AB14)</f>
      </c>
      <c r="AC17" s="42">
        <f>SUM(AC14:AC14)</f>
      </c>
      <c r="AD17" s="42">
        <f>SUM(AD14:AD14)</f>
      </c>
      <c r="AE17" s="42">
        <f>SUM(AE14:AE14)</f>
      </c>
      <c r="AF17" s="42">
        <f>SUM(AF14:AF14)</f>
      </c>
      <c r="AG17" s="42">
        <f>SUM(AG14:AG14)</f>
      </c>
      <c r="AH17" s="42">
        <f>SUM(AH14:AH14)</f>
      </c>
      <c r="AI17" s="42">
        <f>SUM(AI14:AI14)</f>
      </c>
      <c r="AJ17" s="42">
        <f>SUM(AJ14:AJ14)</f>
      </c>
      <c r="AK17" s="42">
        <f>SUM(AK14:AK14)</f>
      </c>
      <c r="AL17" s="42">
        <f>SUM(AL14:AL14)</f>
      </c>
      <c r="AM17" s="42">
        <f>SUM(AM14:AM14)</f>
      </c>
      <c r="AN17" s="42">
        <f>SUM(AN14:AN14)</f>
      </c>
      <c r="AO17" s="42">
        <f>SUM(AO14:AO14)</f>
      </c>
      <c r="AP17" s="42">
        <f>SUM(AP14:AP14)</f>
      </c>
      <c r="AQ17" s="42">
        <f>SUM(AQ14:AQ14)</f>
      </c>
      <c r="AR17" s="42">
        <f>SUM(AR14:AR14)</f>
      </c>
      <c r="AS17" s="42">
        <f>SUM(AS14:AS14)</f>
      </c>
      <c r="AT17" s="42">
        <f>SUM(AT14:AT14)</f>
      </c>
      <c r="AU17" s="42">
        <f>SUM(AU14:AU14)</f>
      </c>
      <c r="AV17" s="42">
        <f>SUM(AV14:AV14)</f>
      </c>
      <c r="AW17" s="42">
        <f>SUM(AW14:AW14)</f>
      </c>
      <c r="AX17" s="42">
        <f>SUM(AX14:AX14)</f>
      </c>
      <c r="AY17" s="42">
        <f>SUM(AY14:AY14)</f>
      </c>
      <c r="AZ17" s="42">
        <f>SUM(AZ14:AZ14)</f>
      </c>
      <c r="BA17" s="42">
        <f>SUM(BA14:BA14)</f>
      </c>
      <c r="BB17" s="42">
        <f>SUM(BB14:BB14)</f>
      </c>
      <c r="BC17" s="42">
        <f>SUM(BC14:BC14)</f>
      </c>
      <c r="BD17" s="42">
        <f>SUM(BD14:BD14)</f>
      </c>
      <c r="BE17" s="42">
        <f>SUM(BE14:BE14)</f>
      </c>
      <c r="BF17" s="42">
        <f>SUM(BF14:BF14)</f>
      </c>
      <c r="BG17" s="42">
        <f>SUM(BG14:BG14)</f>
      </c>
      <c r="BH17" s="42">
        <f>SUM(BH14:BH14)</f>
      </c>
      <c r="BI17" s="42">
        <f>SUM(BI14:BI14)</f>
      </c>
      <c r="BJ17" s="42">
        <f>SUM(BJ14:BJ14)</f>
      </c>
      <c r="BK17" s="42">
        <f>SUM(BK14:BK14)</f>
      </c>
      <c r="BL17" s="42">
        <f>SUM(BL14:BL14)</f>
      </c>
      <c r="BM17" s="42">
        <f>SUM(BM14:BM14)</f>
      </c>
      <c r="BN17" s="42">
        <f>SUM(BN14:BN14)</f>
      </c>
      <c r="BO17" s="42">
        <f>SUM(BO14:BO14)</f>
      </c>
      <c r="BP17" s="42">
        <f>SUM(BP14:BP14)</f>
      </c>
      <c r="BQ17" s="42">
        <f>SUM(BQ14:BQ14)</f>
      </c>
      <c r="BR17" s="42">
        <f>SUM(BR14:BR14)</f>
      </c>
      <c r="BS17" s="42">
        <f>SUM(BS14:BS14)</f>
      </c>
      <c r="BT17" s="42">
        <f>SUM(BT14:BT14)</f>
      </c>
      <c r="BU17" s="42">
        <f>SUM(BU14:BU14)</f>
      </c>
      <c r="BV17" s="42">
        <f>SUM(BV14:BV14)</f>
      </c>
      <c r="BW17" s="42">
        <f>SUM(BW14:BW14)</f>
      </c>
      <c r="BX17" s="42">
        <f>SUM(BX14:BX14)</f>
      </c>
      <c r="BY17" s="42">
        <f>SUM(BY14:BY14)</f>
      </c>
      <c r="BZ17" s="42">
        <f>SUM(BZ14:BZ14)</f>
      </c>
      <c r="CA17" s="42">
        <f>SUM(CA14:CA14)</f>
      </c>
      <c r="CB17" s="42">
        <f>SUM(CB14:CB14)</f>
      </c>
      <c r="CC17" s="42">
        <f>SUM(CC14:CC14)</f>
      </c>
      <c r="CD17" s="42">
        <f>SUM(CD14:CD14)</f>
      </c>
      <c r="CE17" s="42">
        <f>SUM(CE14:CE14)</f>
      </c>
      <c r="CF17" s="42">
        <f>SUM(CF14:CF14)</f>
      </c>
      <c r="CG17" s="42">
        <f>SUM(CG14:CG14)</f>
      </c>
      <c r="CH17" s="42">
        <f>SUM(CH14:CH14)</f>
      </c>
      <c r="CI17" s="42">
        <f>SUM(CI14:CI14)</f>
      </c>
      <c r="CJ17" s="42">
        <f>SUM(CJ14:CJ14)</f>
      </c>
      <c r="CK17" s="42">
        <f>SUM(CK14:CK14)</f>
      </c>
      <c r="CL17" s="42">
        <f>SUM(CL14:CL14)</f>
      </c>
      <c r="CM17" s="48"/>
    </row>
    <row r="19" spans="2:91" x14ac:dyDescent="0.25">
      <c r="B19" s="9" t="s">
        <v>304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</row>
    <row r="21" spans="2:90" x14ac:dyDescent="0.25">
      <c r="B21" s="33" t="s">
        <v>305</v>
      </c>
      <c r="C21" s="34" t="s">
        <v>228</v>
      </c>
      <c r="E21" s="31">
        <f>MIN($D$35,3)/3*E14+MAX($D$35-3,0)/3*0</f>
      </c>
      <c r="F21" s="31">
        <f>MIN($D$35,3)/3*F14+MAX($D$35-3,0)/3*E14</f>
      </c>
      <c r="G21" s="31">
        <f>MIN($D$35,3)/3*G14+MAX($D$35-3,0)/3*F14</f>
      </c>
      <c r="H21" s="31">
        <f>MIN($D$35,3)/3*H14+MAX($D$35-3,0)/3*G14</f>
      </c>
      <c r="I21" s="31">
        <f>MIN($D$35,3)/3*I14+MAX($D$35-3,0)/3*H14</f>
      </c>
      <c r="J21" s="31">
        <f>MIN($D$35,3)/3*J14+MAX($D$35-3,0)/3*I14</f>
      </c>
      <c r="K21" s="31">
        <f>MIN($D$35,3)/3*K14+MAX($D$35-3,0)/3*J14</f>
      </c>
      <c r="L21" s="31">
        <f>MIN($D$35,3)/3*L14+MAX($D$35-3,0)/3*K14</f>
      </c>
      <c r="M21" s="31">
        <f>MIN($D$35,3)/3*M14+MAX($D$35-3,0)/3*L14</f>
      </c>
      <c r="N21" s="31">
        <f>MIN($D$35,3)/3*N14+MAX($D$35-3,0)/3*M14</f>
      </c>
      <c r="O21" s="31">
        <f>MIN($D$35,3)/3*O14+MAX($D$35-3,0)/3*N14</f>
      </c>
      <c r="P21" s="31">
        <f>MIN($D$35,3)/3*P14+MAX($D$35-3,0)/3*O14</f>
      </c>
      <c r="Q21" s="31">
        <f>MIN($D$35,3)/3*Q14+MAX($D$35-3,0)/3*P14</f>
      </c>
      <c r="R21" s="31">
        <f>MIN($D$35,3)/3*R14+MAX($D$35-3,0)/3*Q14</f>
      </c>
      <c r="S21" s="31">
        <f>MIN($D$35,3)/3*S14+MAX($D$35-3,0)/3*R14</f>
      </c>
      <c r="T21" s="31">
        <f>MIN($D$35,3)/3*T14+MAX($D$35-3,0)/3*S14</f>
      </c>
      <c r="U21" s="31">
        <f>MIN($D$35,3)/3*U14+MAX($D$35-3,0)/3*T14</f>
      </c>
      <c r="V21" s="31">
        <f>MIN($D$35,3)/3*V14+MAX($D$35-3,0)/3*U14</f>
      </c>
      <c r="W21" s="31">
        <f>MIN($D$35,3)/3*W14+MAX($D$35-3,0)/3*V14</f>
      </c>
      <c r="X21" s="31">
        <f>MIN($D$35,3)/3*X14+MAX($D$35-3,0)/3*W14</f>
      </c>
      <c r="Y21" s="31">
        <f>MIN($D$35,3)/3*Y14+MAX($D$35-3,0)/3*X14</f>
      </c>
      <c r="Z21" s="31">
        <f>MIN($D$35,3)/3*Z14+MAX($D$35-3,0)/3*Y14</f>
      </c>
      <c r="AA21" s="31">
        <f>MIN($D$35,3)/3*AA14+MAX($D$35-3,0)/3*Z14</f>
      </c>
      <c r="AB21" s="31">
        <f>MIN($D$35,3)/3*AB14+MAX($D$35-3,0)/3*AA14</f>
      </c>
      <c r="AC21" s="31">
        <f>MIN($D$35,3)/3*AC14+MAX($D$35-3,0)/3*AB14</f>
      </c>
      <c r="AD21" s="31">
        <f>MIN($D$35,3)/3*AD14+MAX($D$35-3,0)/3*AC14</f>
      </c>
      <c r="AE21" s="31">
        <f>MIN($D$35,3)/3*AE14+MAX($D$35-3,0)/3*AD14</f>
      </c>
      <c r="AF21" s="31">
        <f>MIN($D$35,3)/3*AF14+MAX($D$35-3,0)/3*AE14</f>
      </c>
      <c r="AG21" s="31">
        <f>MIN($D$35,3)/3*AG14+MAX($D$35-3,0)/3*AF14</f>
      </c>
      <c r="AH21" s="31">
        <f>MIN($D$35,3)/3*AH14+MAX($D$35-3,0)/3*AG14</f>
      </c>
      <c r="AI21" s="31">
        <f>MIN($D$35,3)/3*AI14+MAX($D$35-3,0)/3*AH14</f>
      </c>
      <c r="AJ21" s="31">
        <f>MIN($D$35,3)/3*AJ14+MAX($D$35-3,0)/3*AI14</f>
      </c>
      <c r="AK21" s="31">
        <f>MIN($D$35,3)/3*AK14+MAX($D$35-3,0)/3*AJ14</f>
      </c>
      <c r="AL21" s="31">
        <f>MIN($D$35,3)/3*AL14+MAX($D$35-3,0)/3*AK14</f>
      </c>
      <c r="AM21" s="31">
        <f>MIN($D$35,3)/3*AM14+MAX($D$35-3,0)/3*AL14</f>
      </c>
      <c r="AN21" s="31">
        <f>MIN($D$35,3)/3*AN14+MAX($D$35-3,0)/3*AM14</f>
      </c>
      <c r="AO21" s="31">
        <f>MIN($D$35,3)/3*AO14+MAX($D$35-3,0)/3*AN14</f>
      </c>
      <c r="AP21" s="31">
        <f>MIN($D$35,3)/3*AP14+MAX($D$35-3,0)/3*AO14</f>
      </c>
      <c r="AQ21" s="31">
        <f>MIN($D$35,3)/3*AQ14+MAX($D$35-3,0)/3*AP14</f>
      </c>
      <c r="AR21" s="31">
        <f>MIN($D$35,3)/3*AR14+MAX($D$35-3,0)/3*AQ14</f>
      </c>
      <c r="AS21" s="31">
        <f>MIN($D$35,3)/3*AS14+MAX($D$35-3,0)/3*AR14</f>
      </c>
      <c r="AT21" s="31">
        <f>MIN($D$35,3)/3*AT14+MAX($D$35-3,0)/3*AS14</f>
      </c>
      <c r="AU21" s="31">
        <f>MIN($D$35,3)/3*AU14+MAX($D$35-3,0)/3*AT14</f>
      </c>
      <c r="AV21" s="31">
        <f>MIN($D$35,3)/3*AV14+MAX($D$35-3,0)/3*AU14</f>
      </c>
      <c r="AW21" s="31">
        <f>MIN($D$35,3)/3*AW14+MAX($D$35-3,0)/3*AV14</f>
      </c>
      <c r="AX21" s="31">
        <f>MIN($D$35,3)/3*AX14+MAX($D$35-3,0)/3*AW14</f>
      </c>
      <c r="AY21" s="31">
        <f>MIN($D$35,3)/3*AY14+MAX($D$35-3,0)/3*AX14</f>
      </c>
      <c r="AZ21" s="31">
        <f>MIN($D$35,3)/3*AZ14+MAX($D$35-3,0)/3*AY14</f>
      </c>
      <c r="BA21" s="31">
        <f>MIN($D$35,3)/3*BA14+MAX($D$35-3,0)/3*AZ14</f>
      </c>
      <c r="BB21" s="31">
        <f>MIN($D$35,3)/3*BB14+MAX($D$35-3,0)/3*BA14</f>
      </c>
      <c r="BC21" s="31">
        <f>MIN($D$35,3)/3*BC14+MAX($D$35-3,0)/3*BB14</f>
      </c>
      <c r="BD21" s="31">
        <f>MIN($D$35,3)/3*BD14+MAX($D$35-3,0)/3*BC14</f>
      </c>
      <c r="BE21" s="31">
        <f>MIN($D$35,3)/3*BE14+MAX($D$35-3,0)/3*BD14</f>
      </c>
      <c r="BF21" s="31">
        <f>MIN($D$35,3)/3*BF14+MAX($D$35-3,0)/3*BE14</f>
      </c>
      <c r="BG21" s="31">
        <f>MIN($D$35,3)/3*BG14+MAX($D$35-3,0)/3*BF14</f>
      </c>
      <c r="BH21" s="31">
        <f>MIN($D$35,3)/3*BH14+MAX($D$35-3,0)/3*BG14</f>
      </c>
      <c r="BI21" s="31">
        <f>MIN($D$35,3)/3*BI14+MAX($D$35-3,0)/3*BH14</f>
      </c>
      <c r="BJ21" s="31">
        <f>MIN($D$35,3)/3*BJ14+MAX($D$35-3,0)/3*BI14</f>
      </c>
      <c r="BK21" s="31">
        <f>MIN($D$35,3)/3*BK14+MAX($D$35-3,0)/3*BJ14</f>
      </c>
      <c r="BL21" s="31">
        <f>MIN($D$35,3)/3*BL14+MAX($D$35-3,0)/3*BK14</f>
      </c>
      <c r="BM21" s="31">
        <f>MIN($D$35,3)/3*BM14+MAX($D$35-3,0)/3*BL14</f>
      </c>
      <c r="BN21" s="31">
        <f>MIN($D$35,3)/3*BN14+MAX($D$35-3,0)/3*BM14</f>
      </c>
      <c r="BO21" s="31">
        <f>MIN($D$35,3)/3*BO14+MAX($D$35-3,0)/3*BN14</f>
      </c>
      <c r="BP21" s="31">
        <f>MIN($D$35,3)/3*BP14+MAX($D$35-3,0)/3*BO14</f>
      </c>
      <c r="BQ21" s="31">
        <f>MIN($D$35,3)/3*BQ14+MAX($D$35-3,0)/3*BP14</f>
      </c>
      <c r="BR21" s="31">
        <f>MIN($D$35,3)/3*BR14+MAX($D$35-3,0)/3*BQ14</f>
      </c>
      <c r="BS21" s="31">
        <f>MIN($D$35,3)/3*BS14+MAX($D$35-3,0)/3*BR14</f>
      </c>
      <c r="BT21" s="31">
        <f>MIN($D$35,3)/3*BT14+MAX($D$35-3,0)/3*BS14</f>
      </c>
      <c r="BU21" s="31">
        <f>MIN($D$35,3)/3*BU14+MAX($D$35-3,0)/3*BT14</f>
      </c>
      <c r="BV21" s="31">
        <f>MIN($D$35,3)/3*BV14+MAX($D$35-3,0)/3*BU14</f>
      </c>
      <c r="BW21" s="31">
        <f>MIN($D$35,3)/3*BW14+MAX($D$35-3,0)/3*BV14</f>
      </c>
      <c r="BX21" s="31">
        <f>MIN($D$35,3)/3*BX14+MAX($D$35-3,0)/3*BW14</f>
      </c>
      <c r="BY21" s="31">
        <f>MIN($D$35,3)/3*BY14+MAX($D$35-3,0)/3*BX14</f>
      </c>
      <c r="BZ21" s="31">
        <f>MIN($D$35,3)/3*BZ14+MAX($D$35-3,0)/3*BY14</f>
      </c>
      <c r="CA21" s="31">
        <f>MIN($D$35,3)/3*CA14+MAX($D$35-3,0)/3*BZ14</f>
      </c>
      <c r="CB21" s="31">
        <f>MIN($D$35,3)/3*CB14+MAX($D$35-3,0)/3*CA14</f>
      </c>
      <c r="CC21" s="31">
        <f>MIN($D$35,3)/3*CC14+MAX($D$35-3,0)/3*CB14</f>
      </c>
      <c r="CD21" s="31">
        <f>MIN($D$35,3)/3*CD14+MAX($D$35-3,0)/3*CC14</f>
      </c>
      <c r="CE21" s="31">
        <f>MIN($D$35,3)/3*CE14+MAX($D$35-3,0)/3*CD14</f>
      </c>
      <c r="CF21" s="31">
        <f>MIN($D$35,3)/3*CF14+MAX($D$35-3,0)/3*CE14</f>
      </c>
      <c r="CG21" s="31">
        <f>MIN($D$35,3)/3*CG14+MAX($D$35-3,0)/3*CF14</f>
      </c>
      <c r="CH21" s="31">
        <f>MIN($D$35,3)/3*CH14+MAX($D$35-3,0)/3*CG14</f>
      </c>
      <c r="CI21" s="31">
        <f>MIN($D$35,3)/3*CI14+MAX($D$35-3,0)/3*CH14</f>
      </c>
      <c r="CJ21" s="31">
        <f>MIN($D$35,3)/3*CJ14+MAX($D$35-3,0)/3*CI14</f>
      </c>
      <c r="CK21" s="31">
        <f>MIN($D$35,3)/3*CK14+MAX($D$35-3,0)/3*CJ14</f>
      </c>
      <c r="CL21" s="31">
        <v>0</v>
      </c>
    </row>
    <row r="22" spans="2:91" x14ac:dyDescent="0.25">
      <c r="B22" s="47" t="s">
        <v>306</v>
      </c>
      <c r="C22" s="51" t="s">
        <v>228</v>
      </c>
      <c r="D22" s="42">
        <f>SUM(E22:CL22)</f>
      </c>
      <c r="E22" s="42">
        <f>0-E21</f>
      </c>
      <c r="F22" s="42">
        <f>E21-F21</f>
      </c>
      <c r="G22" s="42">
        <f>F21-G21</f>
      </c>
      <c r="H22" s="42">
        <f>G21-H21</f>
      </c>
      <c r="I22" s="42">
        <f>H21-I21</f>
      </c>
      <c r="J22" s="42">
        <f>I21-J21</f>
      </c>
      <c r="K22" s="42">
        <f>J21-K21</f>
      </c>
      <c r="L22" s="42">
        <f>K21-L21</f>
      </c>
      <c r="M22" s="42">
        <f>L21-M21</f>
      </c>
      <c r="N22" s="42">
        <f>M21-N21</f>
      </c>
      <c r="O22" s="42">
        <f>N21-O21</f>
      </c>
      <c r="P22" s="42">
        <f>O21-P21</f>
      </c>
      <c r="Q22" s="42">
        <f>P21-Q21</f>
      </c>
      <c r="R22" s="42">
        <f>Q21-R21</f>
      </c>
      <c r="S22" s="42">
        <f>R21-S21</f>
      </c>
      <c r="T22" s="42">
        <f>S21-T21</f>
      </c>
      <c r="U22" s="42">
        <f>T21-U21</f>
      </c>
      <c r="V22" s="42">
        <f>U21-V21</f>
      </c>
      <c r="W22" s="42">
        <f>V21-W21</f>
      </c>
      <c r="X22" s="42">
        <f>W21-X21</f>
      </c>
      <c r="Y22" s="42">
        <f>X21-Y21</f>
      </c>
      <c r="Z22" s="42">
        <f>Y21-Z21</f>
      </c>
      <c r="AA22" s="42">
        <f>Z21-AA21</f>
      </c>
      <c r="AB22" s="42">
        <f>AA21-AB21</f>
      </c>
      <c r="AC22" s="42">
        <f>AB21-AC21</f>
      </c>
      <c r="AD22" s="42">
        <f>AC21-AD21</f>
      </c>
      <c r="AE22" s="42">
        <f>AD21-AE21</f>
      </c>
      <c r="AF22" s="42">
        <f>AE21-AF21</f>
      </c>
      <c r="AG22" s="42">
        <f>AF21-AG21</f>
      </c>
      <c r="AH22" s="42">
        <f>AG21-AH21</f>
      </c>
      <c r="AI22" s="42">
        <f>AH21-AI21</f>
      </c>
      <c r="AJ22" s="42">
        <f>AI21-AJ21</f>
      </c>
      <c r="AK22" s="42">
        <f>AJ21-AK21</f>
      </c>
      <c r="AL22" s="42">
        <f>AK21-AL21</f>
      </c>
      <c r="AM22" s="42">
        <f>AL21-AM21</f>
      </c>
      <c r="AN22" s="42">
        <f>AM21-AN21</f>
      </c>
      <c r="AO22" s="42">
        <f>AN21-AO21</f>
      </c>
      <c r="AP22" s="42">
        <f>AO21-AP21</f>
      </c>
      <c r="AQ22" s="42">
        <f>AP21-AQ21</f>
      </c>
      <c r="AR22" s="42">
        <f>AQ21-AR21</f>
      </c>
      <c r="AS22" s="42">
        <f>AR21-AS21</f>
      </c>
      <c r="AT22" s="42">
        <f>AS21-AT21</f>
      </c>
      <c r="AU22" s="42">
        <f>AT21-AU21</f>
      </c>
      <c r="AV22" s="42">
        <f>AU21-AV21</f>
      </c>
      <c r="AW22" s="42">
        <f>AV21-AW21</f>
      </c>
      <c r="AX22" s="42">
        <f>AW21-AX21</f>
      </c>
      <c r="AY22" s="42">
        <f>AX21-AY21</f>
      </c>
      <c r="AZ22" s="42">
        <f>AY21-AZ21</f>
      </c>
      <c r="BA22" s="42">
        <f>AZ21-BA21</f>
      </c>
      <c r="BB22" s="42">
        <f>BA21-BB21</f>
      </c>
      <c r="BC22" s="42">
        <f>BB21-BC21</f>
      </c>
      <c r="BD22" s="42">
        <f>BC21-BD21</f>
      </c>
      <c r="BE22" s="42">
        <f>BD21-BE21</f>
      </c>
      <c r="BF22" s="42">
        <f>BE21-BF21</f>
      </c>
      <c r="BG22" s="42">
        <f>BF21-BG21</f>
      </c>
      <c r="BH22" s="42">
        <f>BG21-BH21</f>
      </c>
      <c r="BI22" s="42">
        <f>BH21-BI21</f>
      </c>
      <c r="BJ22" s="42">
        <f>BI21-BJ21</f>
      </c>
      <c r="BK22" s="42">
        <f>BJ21-BK21</f>
      </c>
      <c r="BL22" s="42">
        <f>BK21-BL21</f>
      </c>
      <c r="BM22" s="42">
        <f>BL21-BM21</f>
      </c>
      <c r="BN22" s="42">
        <f>BM21-BN21</f>
      </c>
      <c r="BO22" s="42">
        <f>BN21-BO21</f>
      </c>
      <c r="BP22" s="42">
        <f>BO21-BP21</f>
      </c>
      <c r="BQ22" s="42">
        <f>BP21-BQ21</f>
      </c>
      <c r="BR22" s="42">
        <f>BQ21-BR21</f>
      </c>
      <c r="BS22" s="42">
        <f>BR21-BS21</f>
      </c>
      <c r="BT22" s="42">
        <f>BS21-BT21</f>
      </c>
      <c r="BU22" s="42">
        <f>BT21-BU21</f>
      </c>
      <c r="BV22" s="42">
        <f>BU21-BV21</f>
      </c>
      <c r="BW22" s="42">
        <f>BV21-BW21</f>
      </c>
      <c r="BX22" s="42">
        <f>BW21-BX21</f>
      </c>
      <c r="BY22" s="42">
        <f>BX21-BY21</f>
      </c>
      <c r="BZ22" s="42">
        <f>BY21-BZ21</f>
      </c>
      <c r="CA22" s="42">
        <f>BZ21-CA21</f>
      </c>
      <c r="CB22" s="42">
        <f>CA21-CB21</f>
      </c>
      <c r="CC22" s="42">
        <f>CB21-CC21</f>
      </c>
      <c r="CD22" s="42">
        <f>CC21-CD21</f>
      </c>
      <c r="CE22" s="42">
        <f>CD21-CE21</f>
      </c>
      <c r="CF22" s="42">
        <f>CE21-CF21</f>
      </c>
      <c r="CG22" s="42">
        <f>CF21-CG21</f>
      </c>
      <c r="CH22" s="42">
        <f>CG21-CH21</f>
      </c>
      <c r="CI22" s="42">
        <f>CH21-CI21</f>
      </c>
      <c r="CJ22" s="42">
        <f>CI21-CJ21</f>
      </c>
      <c r="CK22" s="42">
        <f>CJ21-CK21</f>
      </c>
      <c r="CL22" s="42">
        <f>CK21-CL21</f>
      </c>
      <c r="CM22" s="48"/>
    </row>
    <row r="23" spans="2:2" x14ac:dyDescent="0.25">
      <c r="B23" s="37" t="s">
        <v>307</v>
      </c>
    </row>
    <row r="26" spans="2:91" x14ac:dyDescent="0.25">
      <c r="B26" s="9" t="s">
        <v>220</v>
      </c>
      <c r="C26" s="10"/>
      <c r="D26" s="43" t="s">
        <v>221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</row>
    <row r="27" spans="2:2" x14ac:dyDescent="0.25">
      <c r="B27" s="37" t="s">
        <v>222</v>
      </c>
    </row>
    <row r="28" spans="2:4" x14ac:dyDescent="0.25">
      <c r="B28" s="33" t="s">
        <v>308</v>
      </c>
      <c r="C28" s="44" t="s">
        <v>309</v>
      </c>
      <c r="D28" s="58">
        <f>'입력값'!C7</f>
      </c>
    </row>
    <row r="29" spans="2:4" x14ac:dyDescent="0.25">
      <c r="B29" s="33" t="s">
        <v>310</v>
      </c>
      <c r="C29" s="44" t="s">
        <v>311</v>
      </c>
      <c r="D29" s="59">
        <f>'입력값'!C12</f>
      </c>
    </row>
    <row r="30" spans="2:4" x14ac:dyDescent="0.25">
      <c r="B30" s="33" t="s">
        <v>312</v>
      </c>
      <c r="C30" s="44" t="s">
        <v>313</v>
      </c>
      <c r="D30" s="59">
        <f>'입력값'!C13</f>
      </c>
    </row>
    <row r="31" spans="2:4" x14ac:dyDescent="0.25">
      <c r="B31" s="33" t="s">
        <v>314</v>
      </c>
      <c r="C31" s="44" t="s">
        <v>315</v>
      </c>
      <c r="D31" s="60">
        <f>'입력값'!C14</f>
      </c>
    </row>
    <row r="32" spans="2:4" x14ac:dyDescent="0.25">
      <c r="B32" s="33" t="s">
        <v>316</v>
      </c>
      <c r="C32" s="44" t="s">
        <v>317</v>
      </c>
      <c r="D32" s="59">
        <f>'입력값'!C41</f>
      </c>
    </row>
    <row r="33" spans="2:4" x14ac:dyDescent="0.25">
      <c r="B33" s="33" t="s">
        <v>318</v>
      </c>
      <c r="C33" s="44" t="s">
        <v>319</v>
      </c>
      <c r="D33" s="61">
        <f>'입력값'!D41</f>
      </c>
    </row>
    <row r="34" spans="2:4" x14ac:dyDescent="0.25">
      <c r="B34" s="33" t="s">
        <v>320</v>
      </c>
      <c r="C34" s="44" t="s">
        <v>321</v>
      </c>
      <c r="D34" s="59">
        <f>'입력값'!E41</f>
      </c>
    </row>
    <row r="35" spans="2:4" x14ac:dyDescent="0.25">
      <c r="B35" s="33" t="s">
        <v>322</v>
      </c>
      <c r="C35" s="44" t="s">
        <v>323</v>
      </c>
      <c r="D35" s="62">
        <f>'입력값'!F41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33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324</v>
      </c>
    </row>
    <row r="4" spans="2:91" x14ac:dyDescent="0.25">
      <c r="B4" s="9" t="s">
        <v>325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99</v>
      </c>
      <c r="C6" s="27" t="s">
        <v>100</v>
      </c>
      <c r="D6" s="27" t="s">
        <v>101</v>
      </c>
      <c r="E6" s="32" t="s">
        <v>102</v>
      </c>
      <c r="F6" s="32" t="s">
        <v>103</v>
      </c>
      <c r="G6" s="32" t="s">
        <v>104</v>
      </c>
      <c r="H6" s="32" t="s">
        <v>105</v>
      </c>
      <c r="I6" s="32" t="s">
        <v>106</v>
      </c>
      <c r="J6" s="32" t="s">
        <v>107</v>
      </c>
      <c r="K6" s="32" t="s">
        <v>108</v>
      </c>
      <c r="L6" s="32" t="s">
        <v>109</v>
      </c>
      <c r="M6" s="32" t="s">
        <v>110</v>
      </c>
      <c r="N6" s="32" t="s">
        <v>111</v>
      </c>
      <c r="O6" s="32" t="s">
        <v>112</v>
      </c>
      <c r="P6" s="32" t="s">
        <v>113</v>
      </c>
      <c r="Q6" s="32" t="s">
        <v>114</v>
      </c>
      <c r="R6" s="32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2" t="s">
        <v>121</v>
      </c>
      <c r="Y6" s="32" t="s">
        <v>122</v>
      </c>
      <c r="Z6" s="32" t="s">
        <v>123</v>
      </c>
      <c r="AA6" s="32" t="s">
        <v>124</v>
      </c>
      <c r="AB6" s="32" t="s">
        <v>125</v>
      </c>
      <c r="AC6" s="32" t="s">
        <v>126</v>
      </c>
      <c r="AD6" s="32" t="s">
        <v>127</v>
      </c>
      <c r="AE6" s="32" t="s">
        <v>128</v>
      </c>
      <c r="AF6" s="32" t="s">
        <v>129</v>
      </c>
      <c r="AG6" s="32" t="s">
        <v>130</v>
      </c>
      <c r="AH6" s="32" t="s">
        <v>131</v>
      </c>
      <c r="AI6" s="32" t="s">
        <v>132</v>
      </c>
      <c r="AJ6" s="32" t="s">
        <v>133</v>
      </c>
      <c r="AK6" s="32" t="s">
        <v>134</v>
      </c>
      <c r="AL6" s="32" t="s">
        <v>135</v>
      </c>
      <c r="AM6" s="32" t="s">
        <v>136</v>
      </c>
      <c r="AN6" s="32" t="s">
        <v>137</v>
      </c>
      <c r="AO6" s="32" t="s">
        <v>138</v>
      </c>
      <c r="AP6" s="32" t="s">
        <v>139</v>
      </c>
      <c r="AQ6" s="32" t="s">
        <v>140</v>
      </c>
      <c r="AR6" s="32" t="s">
        <v>141</v>
      </c>
      <c r="AS6" s="32" t="s">
        <v>142</v>
      </c>
      <c r="AT6" s="32" t="s">
        <v>143</v>
      </c>
      <c r="AU6" s="32" t="s">
        <v>144</v>
      </c>
      <c r="AV6" s="32" t="s">
        <v>145</v>
      </c>
      <c r="AW6" s="32" t="s">
        <v>146</v>
      </c>
      <c r="AX6" s="32" t="s">
        <v>147</v>
      </c>
      <c r="AY6" s="32" t="s">
        <v>148</v>
      </c>
      <c r="AZ6" s="32" t="s">
        <v>149</v>
      </c>
      <c r="BA6" s="32" t="s">
        <v>150</v>
      </c>
      <c r="BB6" s="32" t="s">
        <v>151</v>
      </c>
      <c r="BC6" s="32" t="s">
        <v>152</v>
      </c>
      <c r="BD6" s="32" t="s">
        <v>153</v>
      </c>
      <c r="BE6" s="32" t="s">
        <v>154</v>
      </c>
      <c r="BF6" s="32" t="s">
        <v>155</v>
      </c>
      <c r="BG6" s="32" t="s">
        <v>156</v>
      </c>
      <c r="BH6" s="32" t="s">
        <v>157</v>
      </c>
      <c r="BI6" s="32" t="s">
        <v>158</v>
      </c>
      <c r="BJ6" s="32" t="s">
        <v>159</v>
      </c>
      <c r="BK6" s="32" t="s">
        <v>160</v>
      </c>
      <c r="BL6" s="32" t="s">
        <v>161</v>
      </c>
      <c r="BM6" s="32" t="s">
        <v>162</v>
      </c>
      <c r="BN6" s="32" t="s">
        <v>163</v>
      </c>
      <c r="BO6" s="32" t="s">
        <v>164</v>
      </c>
      <c r="BP6" s="32" t="s">
        <v>165</v>
      </c>
      <c r="BQ6" s="32" t="s">
        <v>166</v>
      </c>
      <c r="BR6" s="32" t="s">
        <v>167</v>
      </c>
      <c r="BS6" s="32" t="s">
        <v>168</v>
      </c>
      <c r="BT6" s="32" t="s">
        <v>169</v>
      </c>
      <c r="BU6" s="32" t="s">
        <v>170</v>
      </c>
      <c r="BV6" s="32" t="s">
        <v>171</v>
      </c>
      <c r="BW6" s="32" t="s">
        <v>172</v>
      </c>
      <c r="BX6" s="32" t="s">
        <v>173</v>
      </c>
      <c r="BY6" s="32" t="s">
        <v>174</v>
      </c>
      <c r="BZ6" s="32" t="s">
        <v>175</v>
      </c>
      <c r="CA6" s="32" t="s">
        <v>176</v>
      </c>
      <c r="CB6" s="32" t="s">
        <v>177</v>
      </c>
      <c r="CC6" s="32" t="s">
        <v>178</v>
      </c>
      <c r="CD6" s="32" t="s">
        <v>179</v>
      </c>
      <c r="CE6" s="32" t="s">
        <v>180</v>
      </c>
      <c r="CF6" s="32" t="s">
        <v>181</v>
      </c>
      <c r="CG6" s="32" t="s">
        <v>182</v>
      </c>
      <c r="CH6" s="32" t="s">
        <v>183</v>
      </c>
      <c r="CI6" s="32" t="s">
        <v>184</v>
      </c>
      <c r="CJ6" s="32" t="s">
        <v>185</v>
      </c>
      <c r="CK6" s="32" t="s">
        <v>186</v>
      </c>
      <c r="CL6" s="32" t="s">
        <v>187</v>
      </c>
    </row>
    <row r="8" spans="2:2" x14ac:dyDescent="0.25">
      <c r="B8" s="46" t="s">
        <v>326</v>
      </c>
    </row>
    <row r="9" spans="2:3" x14ac:dyDescent="0.25">
      <c r="B9" s="33" t="s">
        <v>327</v>
      </c>
      <c r="C9" s="34" t="s">
        <v>228</v>
      </c>
    </row>
    <row r="10" spans="2:3" x14ac:dyDescent="0.25">
      <c r="B10" s="33" t="s">
        <v>328</v>
      </c>
      <c r="C10" s="34" t="s">
        <v>228</v>
      </c>
    </row>
    <row r="11" spans="2:3" x14ac:dyDescent="0.25">
      <c r="B11" s="33" t="s">
        <v>329</v>
      </c>
      <c r="C11" s="34" t="s">
        <v>228</v>
      </c>
    </row>
    <row r="12" spans="2:3" x14ac:dyDescent="0.25">
      <c r="B12" s="33" t="s">
        <v>330</v>
      </c>
      <c r="C12" s="34" t="s">
        <v>228</v>
      </c>
    </row>
    <row r="13" spans="2:3" x14ac:dyDescent="0.25">
      <c r="B13" s="33" t="s">
        <v>331</v>
      </c>
      <c r="C13" s="34" t="s">
        <v>228</v>
      </c>
    </row>
    <row r="14" spans="2:3" x14ac:dyDescent="0.25">
      <c r="B14" s="33" t="s">
        <v>332</v>
      </c>
      <c r="C14" s="34" t="s">
        <v>228</v>
      </c>
    </row>
    <row r="15" spans="2:3" x14ac:dyDescent="0.25">
      <c r="B15" s="33" t="s">
        <v>333</v>
      </c>
      <c r="C15" s="34" t="s">
        <v>228</v>
      </c>
    </row>
    <row r="16" spans="2:3" x14ac:dyDescent="0.25">
      <c r="B16" s="33" t="s">
        <v>334</v>
      </c>
      <c r="C16" s="34" t="s">
        <v>228</v>
      </c>
    </row>
    <row r="17" spans="2:3" x14ac:dyDescent="0.25">
      <c r="B17" s="33" t="s">
        <v>335</v>
      </c>
      <c r="C17" s="34" t="s">
        <v>228</v>
      </c>
    </row>
    <row r="18" spans="2:3" x14ac:dyDescent="0.25">
      <c r="B18" s="33" t="s">
        <v>336</v>
      </c>
      <c r="C18" s="34" t="s">
        <v>228</v>
      </c>
    </row>
    <row r="19" spans="2:3" x14ac:dyDescent="0.25">
      <c r="B19" s="33" t="s">
        <v>337</v>
      </c>
      <c r="C19" s="34" t="s">
        <v>228</v>
      </c>
    </row>
    <row r="20" spans="2:3" x14ac:dyDescent="0.25">
      <c r="B20" s="33" t="s">
        <v>338</v>
      </c>
      <c r="C20" s="34" t="s">
        <v>228</v>
      </c>
    </row>
    <row r="22" spans="2:90" x14ac:dyDescent="0.25">
      <c r="B22" s="33" t="s">
        <v>339</v>
      </c>
      <c r="C22" s="34" t="s">
        <v>228</v>
      </c>
      <c r="D22" s="31">
        <f>SUM(E22:CL22)</f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f>K24-K23</f>
      </c>
      <c r="L22" s="31">
        <f>L24-L23</f>
      </c>
      <c r="M22" s="31">
        <f>M24-M23</f>
      </c>
      <c r="N22" s="31">
        <f>N24-N23</f>
      </c>
      <c r="O22" s="31">
        <f>O24-O23</f>
      </c>
      <c r="P22" s="31">
        <f>P24-P23</f>
      </c>
      <c r="Q22" s="31">
        <f>Q24-Q23</f>
      </c>
      <c r="R22" s="31">
        <f>R24-R23</f>
      </c>
      <c r="S22" s="31">
        <f>S24-S23</f>
      </c>
      <c r="T22" s="31">
        <f>T24-T23</f>
      </c>
      <c r="U22" s="31">
        <f>U24-U23</f>
      </c>
      <c r="V22" s="31">
        <f>V24-V23</f>
      </c>
      <c r="W22" s="31">
        <f>W24-W23</f>
      </c>
      <c r="X22" s="31">
        <f>X24-X23</f>
      </c>
      <c r="Y22" s="31">
        <f>Y24-Y23</f>
      </c>
      <c r="Z22" s="31">
        <f>Z24-Z23</f>
      </c>
      <c r="AA22" s="31">
        <f>AA24-AA23</f>
      </c>
      <c r="AB22" s="31">
        <f>AB24-AB23</f>
      </c>
      <c r="AC22" s="31">
        <f>AC24-AC23</f>
      </c>
      <c r="AD22" s="31">
        <f>AD24-AD23</f>
      </c>
      <c r="AE22" s="31">
        <f>AE24-AE23</f>
      </c>
      <c r="AF22" s="31">
        <f>AF24-AF23</f>
      </c>
      <c r="AG22" s="31">
        <f>AG24-AG23</f>
      </c>
      <c r="AH22" s="31">
        <f>AH24-AH23</f>
      </c>
      <c r="AI22" s="31">
        <f>AI24-AI23</f>
      </c>
      <c r="AJ22" s="31">
        <f>AJ24-AJ23</f>
      </c>
      <c r="AK22" s="31">
        <f>AK24-AK23</f>
      </c>
      <c r="AL22" s="31">
        <f>AL24-AL23</f>
      </c>
      <c r="AM22" s="31">
        <f>AM24-AM23</f>
      </c>
      <c r="AN22" s="31">
        <f>AN24-AN23</f>
      </c>
      <c r="AO22" s="31">
        <f>AO24-AO23</f>
      </c>
      <c r="AP22" s="31">
        <f>AP24-AP23</f>
      </c>
      <c r="AQ22" s="31">
        <f>AQ24-AQ23</f>
      </c>
      <c r="AR22" s="31">
        <f>AR24-AR23</f>
      </c>
      <c r="AS22" s="31">
        <f>AS24-AS23</f>
      </c>
      <c r="AT22" s="31">
        <f>AT24-AT23</f>
      </c>
      <c r="AU22" s="31">
        <f>AU24-AU23</f>
      </c>
      <c r="AV22" s="31">
        <f>AV24-AV23</f>
      </c>
      <c r="AW22" s="31">
        <f>AW24-AW23</f>
      </c>
      <c r="AX22" s="31">
        <f>AX24-AX23</f>
      </c>
      <c r="AY22" s="31">
        <f>AY24-AY23</f>
      </c>
      <c r="AZ22" s="31">
        <f>AZ24-AZ23</f>
      </c>
      <c r="BA22" s="31">
        <f>BA24-BA23</f>
      </c>
      <c r="BB22" s="31">
        <f>BB24-BB23</f>
      </c>
      <c r="BC22" s="31">
        <f>BC24-BC23</f>
      </c>
      <c r="BD22" s="31">
        <f>BD24-BD23</f>
      </c>
      <c r="BE22" s="31">
        <f>BE24-BE23</f>
      </c>
      <c r="BF22" s="31">
        <f>BF24-BF23</f>
      </c>
      <c r="BG22" s="31">
        <f>BG24-BG23</f>
      </c>
      <c r="BH22" s="31">
        <f>BH24-BH23</f>
      </c>
      <c r="BI22" s="31">
        <f>BI24-BI23</f>
      </c>
      <c r="BJ22" s="31">
        <f>BJ24-BJ23</f>
      </c>
      <c r="BK22" s="31">
        <f>BK24-BK23</f>
      </c>
      <c r="BL22" s="31">
        <f>BL24-BL23</f>
      </c>
      <c r="BM22" s="31">
        <f>BM24-BM23</f>
      </c>
      <c r="BN22" s="31">
        <f>BN24-BN23</f>
      </c>
      <c r="BO22" s="31">
        <f>BO24-BO23</f>
      </c>
      <c r="BP22" s="31">
        <f>BP24-BP23</f>
      </c>
      <c r="BQ22" s="31">
        <f>BQ24-BQ23</f>
      </c>
      <c r="BR22" s="31">
        <f>BR24-BR23</f>
      </c>
      <c r="BS22" s="31">
        <f>BS24-BS23</f>
      </c>
      <c r="BT22" s="31">
        <f>BT24-BT23</f>
      </c>
      <c r="BU22" s="31">
        <f>BU24-BU23</f>
      </c>
      <c r="BV22" s="31">
        <f>BV24-BV23</f>
      </c>
      <c r="BW22" s="31">
        <f>BW24-BW23</f>
      </c>
      <c r="BX22" s="31">
        <f>BX24-BX23</f>
      </c>
      <c r="BY22" s="31">
        <f>BY24-BY23</f>
      </c>
      <c r="BZ22" s="31">
        <f>BZ24-BZ23</f>
      </c>
      <c r="CA22" s="31">
        <f>CA24-CA23</f>
      </c>
      <c r="CB22" s="31">
        <f>CB24-CB23</f>
      </c>
      <c r="CC22" s="31">
        <f>CC24-CC23</f>
      </c>
      <c r="CD22" s="31">
        <f>CD24-CD23</f>
      </c>
      <c r="CE22" s="31">
        <f>CE24-CE23</f>
      </c>
      <c r="CF22" s="31">
        <f>CF24-CF23</f>
      </c>
      <c r="CG22" s="31">
        <f>CG24-CG23</f>
      </c>
      <c r="CH22" s="31">
        <f>CH24-CH23</f>
      </c>
      <c r="CI22" s="31">
        <f>CI24-CI23</f>
      </c>
      <c r="CJ22" s="31">
        <f>CJ24-CJ23</f>
      </c>
      <c r="CK22" s="31">
        <f>CK24-CK23</f>
      </c>
      <c r="CL22" s="31">
        <f>CL24-CL23</f>
      </c>
    </row>
    <row r="23" spans="2:90" x14ac:dyDescent="0.25">
      <c r="B23" s="33" t="s">
        <v>340</v>
      </c>
      <c r="C23" s="34" t="s">
        <v>228</v>
      </c>
      <c r="D23" s="31">
        <f>SUM(E23:CL23)</f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f>K24*$D$33/100</f>
      </c>
      <c r="L23" s="31">
        <f>L24*$D$33/100</f>
      </c>
      <c r="M23" s="31">
        <f>M24*$D$33/100</f>
      </c>
      <c r="N23" s="31">
        <f>N24*$D$33/100</f>
      </c>
      <c r="O23" s="31">
        <f>O24*$D$33/100</f>
      </c>
      <c r="P23" s="31">
        <f>P24*$D$33/100</f>
      </c>
      <c r="Q23" s="31">
        <f>Q24*$D$33/100</f>
      </c>
      <c r="R23" s="31">
        <f>R24*$D$33/100</f>
      </c>
      <c r="S23" s="31">
        <f>S24*$D$33/100</f>
      </c>
      <c r="T23" s="31">
        <f>T24*$D$33/100</f>
      </c>
      <c r="U23" s="31">
        <f>U24*$D$33/100</f>
      </c>
      <c r="V23" s="31">
        <f>V24*$D$33/100</f>
      </c>
      <c r="W23" s="31">
        <f>W24*$D$33/100</f>
      </c>
      <c r="X23" s="31">
        <f>X24*$D$33/100</f>
      </c>
      <c r="Y23" s="31">
        <f>Y24*$D$33/100</f>
      </c>
      <c r="Z23" s="31">
        <f>Z24*$D$33/100</f>
      </c>
      <c r="AA23" s="31">
        <f>AA24*$D$33/100</f>
      </c>
      <c r="AB23" s="31">
        <f>AB24*$D$33/100</f>
      </c>
      <c r="AC23" s="31">
        <f>AC24*$D$33/100</f>
      </c>
      <c r="AD23" s="31">
        <f>AD24*$D$33/100</f>
      </c>
      <c r="AE23" s="31">
        <f>AE24*$D$33/100</f>
      </c>
      <c r="AF23" s="31">
        <f>AF24*$D$33/100</f>
      </c>
      <c r="AG23" s="31">
        <f>AG24*$D$33/100</f>
      </c>
      <c r="AH23" s="31">
        <f>AH24*$D$33/100</f>
      </c>
      <c r="AI23" s="31">
        <f>AI24*$D$33/100</f>
      </c>
      <c r="AJ23" s="31">
        <f>AJ24*$D$33/100</f>
      </c>
      <c r="AK23" s="31">
        <f>AK24*$D$33/100</f>
      </c>
      <c r="AL23" s="31">
        <f>AL24*$D$33/100</f>
      </c>
      <c r="AM23" s="31">
        <f>AM24*$D$33/100</f>
      </c>
      <c r="AN23" s="31">
        <f>AN24*$D$33/100</f>
      </c>
      <c r="AO23" s="31">
        <f>AO24*$D$33/100</f>
      </c>
      <c r="AP23" s="31">
        <f>AP24*$D$33/100</f>
      </c>
      <c r="AQ23" s="31">
        <f>AQ24*$D$33/100</f>
      </c>
      <c r="AR23" s="31">
        <f>AR24*$D$33/100</f>
      </c>
      <c r="AS23" s="31">
        <f>AS24*$D$33/100</f>
      </c>
      <c r="AT23" s="31">
        <f>AT24*$D$33/100</f>
      </c>
      <c r="AU23" s="31">
        <f>AU24*$D$33/100</f>
      </c>
      <c r="AV23" s="31">
        <f>AV24*$D$33/100</f>
      </c>
      <c r="AW23" s="31">
        <f>AW24*$D$33/100</f>
      </c>
      <c r="AX23" s="31">
        <f>AX24*$D$33/100</f>
      </c>
      <c r="AY23" s="31">
        <f>AY24*$D$33/100</f>
      </c>
      <c r="AZ23" s="31">
        <f>AZ24*$D$33/100</f>
      </c>
      <c r="BA23" s="31">
        <f>BA24*$D$33/100</f>
      </c>
      <c r="BB23" s="31">
        <f>BB24*$D$33/100</f>
      </c>
      <c r="BC23" s="31">
        <f>BC24*$D$33/100</f>
      </c>
      <c r="BD23" s="31">
        <f>BD24*$D$33/100</f>
      </c>
      <c r="BE23" s="31">
        <f>BE24*$D$33/100</f>
      </c>
      <c r="BF23" s="31">
        <f>BF24*$D$33/100</f>
      </c>
      <c r="BG23" s="31">
        <f>BG24*$D$33/100</f>
      </c>
      <c r="BH23" s="31">
        <f>BH24*$D$33/100</f>
      </c>
      <c r="BI23" s="31">
        <f>BI24*$D$33/100</f>
      </c>
      <c r="BJ23" s="31">
        <f>BJ24*$D$33/100</f>
      </c>
      <c r="BK23" s="31">
        <f>BK24*$D$33/100</f>
      </c>
      <c r="BL23" s="31">
        <f>BL24*$D$33/100</f>
      </c>
      <c r="BM23" s="31">
        <f>BM24*$D$33/100</f>
      </c>
      <c r="BN23" s="31">
        <f>BN24*$D$33/100</f>
      </c>
      <c r="BO23" s="31">
        <f>BO24*$D$33/100</f>
      </c>
      <c r="BP23" s="31">
        <f>BP24*$D$33/100</f>
      </c>
      <c r="BQ23" s="31">
        <f>BQ24*$D$33/100</f>
      </c>
      <c r="BR23" s="31">
        <f>BR24*$D$33/100</f>
      </c>
      <c r="BS23" s="31">
        <f>BS24*$D$33/100</f>
      </c>
      <c r="BT23" s="31">
        <f>BT24*$D$33/100</f>
      </c>
      <c r="BU23" s="31">
        <f>BU24*$D$33/100</f>
      </c>
      <c r="BV23" s="31">
        <f>BV24*$D$33/100</f>
      </c>
      <c r="BW23" s="31">
        <f>BW24*$D$33/100</f>
      </c>
      <c r="BX23" s="31">
        <f>BX24*$D$33/100</f>
      </c>
      <c r="BY23" s="31">
        <f>BY24*$D$33/100</f>
      </c>
      <c r="BZ23" s="31">
        <f>BZ24*$D$33/100</f>
      </c>
      <c r="CA23" s="31">
        <f>CA24*$D$33/100</f>
      </c>
      <c r="CB23" s="31">
        <f>CB24*$D$33/100</f>
      </c>
      <c r="CC23" s="31">
        <f>CC24*$D$33/100</f>
      </c>
      <c r="CD23" s="31">
        <f>CD24*$D$33/100</f>
      </c>
      <c r="CE23" s="31">
        <f>CE24*$D$33/100</f>
      </c>
      <c r="CF23" s="31">
        <f>CF24*$D$33/100</f>
      </c>
      <c r="CG23" s="31">
        <f>CG24*$D$33/100</f>
      </c>
      <c r="CH23" s="31">
        <f>CH24*$D$33/100</f>
      </c>
      <c r="CI23" s="31">
        <f>CI24*$D$33/100</f>
      </c>
      <c r="CJ23" s="31">
        <f>CJ24*$D$33/100</f>
      </c>
      <c r="CK23" s="31">
        <f>CK24*$D$33/100</f>
      </c>
      <c r="CL23" s="31">
        <f>CL24*$D$33/100</f>
      </c>
    </row>
    <row r="24" spans="2:91" x14ac:dyDescent="0.25">
      <c r="B24" s="47" t="s">
        <v>341</v>
      </c>
      <c r="C24" s="51" t="s">
        <v>228</v>
      </c>
      <c r="D24" s="42">
        <f>SUM(E24:CL24)</f>
      </c>
      <c r="E24" s="42">
        <f>E22+E23</f>
      </c>
      <c r="F24" s="42">
        <f>F22+F23</f>
      </c>
      <c r="G24" s="42">
        <f>G22+G23</f>
      </c>
      <c r="H24" s="42">
        <f>H22+H23</f>
      </c>
      <c r="I24" s="42">
        <f>I22+I23</f>
      </c>
      <c r="J24" s="42">
        <f>J22+J23</f>
      </c>
      <c r="K24" s="42">
        <f>$D$31*100*(1+$D$32/100)^0*(3/12)</f>
      </c>
      <c r="L24" s="42">
        <f>$D$31*100*(1+$D$32/100)^0*(3/12)</f>
      </c>
      <c r="M24" s="42">
        <f>$D$31*100*(1+$D$32/100)^0*(3/12)</f>
      </c>
      <c r="N24" s="42">
        <f>$D$31*100*(1+$D$32/100)^0*(3/12)</f>
      </c>
      <c r="O24" s="42">
        <f>$D$31*100*(1+$D$32/100)^1*(3/12)</f>
      </c>
      <c r="P24" s="42">
        <f>$D$31*100*(1+$D$32/100)^1*(3/12)</f>
      </c>
      <c r="Q24" s="42">
        <f>$D$31*100*(1+$D$32/100)^1*(3/12)</f>
      </c>
      <c r="R24" s="42">
        <f>$D$31*100*(1+$D$32/100)^1*(3/12)</f>
      </c>
      <c r="S24" s="42">
        <f>$D$31*100*(1+$D$32/100)^2*(3/12)</f>
      </c>
      <c r="T24" s="42">
        <f>$D$31*100*(1+$D$32/100)^2*(3/12)</f>
      </c>
      <c r="U24" s="42">
        <f>$D$31*100*(1+$D$32/100)^2*(3/12)</f>
      </c>
      <c r="V24" s="42">
        <f>$D$31*100*(1+$D$32/100)^2*(3/12)</f>
      </c>
      <c r="W24" s="42">
        <f>$D$31*100*(1+$D$32/100)^3*(3/12)</f>
      </c>
      <c r="X24" s="42">
        <f>$D$31*100*(1+$D$32/100)^3*(3/12)</f>
      </c>
      <c r="Y24" s="42">
        <f>$D$31*100*(1+$D$32/100)^3*(3/12)</f>
      </c>
      <c r="Z24" s="42">
        <f>$D$31*100*(1+$D$32/100)^3*(3/12)</f>
      </c>
      <c r="AA24" s="42">
        <f>$D$31*100*(1+$D$32/100)^4*(3/12)</f>
      </c>
      <c r="AB24" s="42">
        <f>$D$31*100*(1+$D$32/100)^4*(3/12)</f>
      </c>
      <c r="AC24" s="42">
        <f>$D$31*100*(1+$D$32/100)^4*(3/12)</f>
      </c>
      <c r="AD24" s="42">
        <f>$D$31*100*(1+$D$32/100)^4*(3/12)</f>
      </c>
      <c r="AE24" s="42">
        <f>$D$31*100*(1+$D$32/100)^5*(3/12)</f>
      </c>
      <c r="AF24" s="42">
        <f>$D$31*100*(1+$D$32/100)^5*(3/12)</f>
      </c>
      <c r="AG24" s="42">
        <f>$D$31*100*(1+$D$32/100)^5*(3/12)</f>
      </c>
      <c r="AH24" s="42">
        <f>$D$31*100*(1+$D$32/100)^5*(3/12)</f>
      </c>
      <c r="AI24" s="42">
        <f>$D$31*100*(1+$D$32/100)^6*(3/12)</f>
      </c>
      <c r="AJ24" s="42">
        <f>$D$31*100*(1+$D$32/100)^6*(3/12)</f>
      </c>
      <c r="AK24" s="42">
        <f>$D$31*100*(1+$D$32/100)^6*(3/12)</f>
      </c>
      <c r="AL24" s="42">
        <f>$D$31*100*(1+$D$32/100)^6*(3/12)</f>
      </c>
      <c r="AM24" s="42">
        <f>$D$31*100*(1+$D$32/100)^7*(3/12)</f>
      </c>
      <c r="AN24" s="42">
        <f>$D$31*100*(1+$D$32/100)^7*(3/12)</f>
      </c>
      <c r="AO24" s="42">
        <f>$D$31*100*(1+$D$32/100)^7*(3/12)</f>
      </c>
      <c r="AP24" s="42">
        <f>$D$31*100*(1+$D$32/100)^7*(3/12)</f>
      </c>
      <c r="AQ24" s="42">
        <f>$D$31*100*(1+$D$32/100)^8*(3/12)</f>
      </c>
      <c r="AR24" s="42">
        <f>$D$31*100*(1+$D$32/100)^8*(3/12)</f>
      </c>
      <c r="AS24" s="42">
        <f>$D$31*100*(1+$D$32/100)^8*(3/12)</f>
      </c>
      <c r="AT24" s="42">
        <f>$D$31*100*(1+$D$32/100)^8*(3/12)</f>
      </c>
      <c r="AU24" s="42">
        <f>$D$31*100*(1+$D$32/100)^9*(3/12)</f>
      </c>
      <c r="AV24" s="42">
        <f>$D$31*100*(1+$D$32/100)^9*(3/12)</f>
      </c>
      <c r="AW24" s="42">
        <f>$D$31*100*(1+$D$32/100)^9*(3/12)</f>
      </c>
      <c r="AX24" s="42">
        <f>$D$31*100*(1+$D$32/100)^9*(3/12)</f>
      </c>
      <c r="AY24" s="42">
        <f>$D$31*100*(1+$D$32/100)^10*(3/12)</f>
      </c>
      <c r="AZ24" s="42">
        <f>$D$31*100*(1+$D$32/100)^10*(3/12)</f>
      </c>
      <c r="BA24" s="42">
        <f>$D$31*100*(1+$D$32/100)^10*(3/12)</f>
      </c>
      <c r="BB24" s="42">
        <f>$D$31*100*(1+$D$32/100)^10*(3/12)</f>
      </c>
      <c r="BC24" s="42">
        <f>$D$31*100*(1+$D$32/100)^11*(3/12)</f>
      </c>
      <c r="BD24" s="42">
        <f>$D$31*100*(1+$D$32/100)^11*(3/12)</f>
      </c>
      <c r="BE24" s="42">
        <f>$D$31*100*(1+$D$32/100)^11*(3/12)</f>
      </c>
      <c r="BF24" s="42">
        <f>$D$31*100*(1+$D$32/100)^11*(3/12)</f>
      </c>
      <c r="BG24" s="42">
        <f>$D$31*100*(1+$D$32/100)^12*(3/12)</f>
      </c>
      <c r="BH24" s="42">
        <f>$D$31*100*(1+$D$32/100)^12*(3/12)</f>
      </c>
      <c r="BI24" s="42">
        <f>$D$31*100*(1+$D$32/100)^12*(3/12)</f>
      </c>
      <c r="BJ24" s="42">
        <f>$D$31*100*(1+$D$32/100)^12*(3/12)</f>
      </c>
      <c r="BK24" s="42">
        <f>$D$31*100*(1+$D$32/100)^13*(3/12)</f>
      </c>
      <c r="BL24" s="42">
        <f>$D$31*100*(1+$D$32/100)^13*(3/12)</f>
      </c>
      <c r="BM24" s="42">
        <f>$D$31*100*(1+$D$32/100)^13*(3/12)</f>
      </c>
      <c r="BN24" s="42">
        <f>$D$31*100*(1+$D$32/100)^13*(3/12)</f>
      </c>
      <c r="BO24" s="42">
        <f>$D$31*100*(1+$D$32/100)^14*(3/12)</f>
      </c>
      <c r="BP24" s="42">
        <f>$D$31*100*(1+$D$32/100)^14*(3/12)</f>
      </c>
      <c r="BQ24" s="42">
        <f>$D$31*100*(1+$D$32/100)^14*(3/12)</f>
      </c>
      <c r="BR24" s="42">
        <f>$D$31*100*(1+$D$32/100)^14*(3/12)</f>
      </c>
      <c r="BS24" s="42">
        <f>$D$31*100*(1+$D$32/100)^15*(3/12)</f>
      </c>
      <c r="BT24" s="42">
        <f>$D$31*100*(1+$D$32/100)^15*(3/12)</f>
      </c>
      <c r="BU24" s="42">
        <f>$D$31*100*(1+$D$32/100)^15*(3/12)</f>
      </c>
      <c r="BV24" s="42">
        <f>$D$31*100*(1+$D$32/100)^15*(3/12)</f>
      </c>
      <c r="BW24" s="42">
        <f>$D$31*100*(1+$D$32/100)^16*(3/12)</f>
      </c>
      <c r="BX24" s="42">
        <f>$D$31*100*(1+$D$32/100)^16*(3/12)</f>
      </c>
      <c r="BY24" s="42">
        <f>$D$31*100*(1+$D$32/100)^16*(3/12)</f>
      </c>
      <c r="BZ24" s="42">
        <f>$D$31*100*(1+$D$32/100)^16*(3/12)</f>
      </c>
      <c r="CA24" s="42">
        <f>$D$31*100*(1+$D$32/100)^17*(3/12)</f>
      </c>
      <c r="CB24" s="42">
        <f>$D$31*100*(1+$D$32/100)^17*(3/12)</f>
      </c>
      <c r="CC24" s="42">
        <f>$D$31*100*(1+$D$32/100)^17*(3/12)</f>
      </c>
      <c r="CD24" s="42">
        <f>$D$31*100*(1+$D$32/100)^17*(3/12)</f>
      </c>
      <c r="CE24" s="42">
        <f>$D$31*100*(1+$D$32/100)^18*(3/12)</f>
      </c>
      <c r="CF24" s="42">
        <f>$D$31*100*(1+$D$32/100)^18*(3/12)</f>
      </c>
      <c r="CG24" s="42">
        <f>$D$31*100*(1+$D$32/100)^18*(3/12)</f>
      </c>
      <c r="CH24" s="42">
        <f>$D$31*100*(1+$D$32/100)^18*(3/12)</f>
      </c>
      <c r="CI24" s="42">
        <f>$D$31*100*(1+$D$32/100)^19*(3/12)</f>
      </c>
      <c r="CJ24" s="42">
        <f>$D$31*100*(1+$D$32/100)^19*(3/12)</f>
      </c>
      <c r="CK24" s="42">
        <f>$D$31*100*(1+$D$32/100)^19*(3/12)</f>
      </c>
      <c r="CL24" s="42">
        <f>$D$31*100*(1+$D$32/100)^19*(3/12)</f>
      </c>
      <c r="CM24" s="48"/>
    </row>
    <row r="26" spans="2:2" x14ac:dyDescent="0.25">
      <c r="B26" s="37" t="s">
        <v>342</v>
      </c>
    </row>
    <row r="29" spans="2:91" x14ac:dyDescent="0.25">
      <c r="B29" s="9" t="s">
        <v>220</v>
      </c>
      <c r="C29" s="10"/>
      <c r="D29" s="43" t="s">
        <v>221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</row>
    <row r="30" spans="2:2" x14ac:dyDescent="0.25">
      <c r="B30" s="37" t="s">
        <v>222</v>
      </c>
    </row>
    <row r="31" spans="2:4" x14ac:dyDescent="0.25">
      <c r="B31" s="33" t="s">
        <v>343</v>
      </c>
      <c r="C31" s="44" t="s">
        <v>344</v>
      </c>
      <c r="D31" s="45">
        <f>'입력값'!C18</f>
      </c>
    </row>
    <row r="32" spans="2:4" x14ac:dyDescent="0.25">
      <c r="B32" s="33" t="s">
        <v>345</v>
      </c>
      <c r="C32" s="44" t="s">
        <v>346</v>
      </c>
      <c r="D32" s="59">
        <f>'입력값'!C19</f>
      </c>
    </row>
    <row r="33" spans="2:4" x14ac:dyDescent="0.25">
      <c r="B33" s="33" t="s">
        <v>347</v>
      </c>
      <c r="C33" s="44" t="s">
        <v>348</v>
      </c>
      <c r="D33" s="59">
        <f>'입력값'!C20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8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349</v>
      </c>
    </row>
    <row r="4" spans="2:91" x14ac:dyDescent="0.25">
      <c r="B4" s="9" t="s">
        <v>350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99</v>
      </c>
      <c r="C6" s="27" t="s">
        <v>100</v>
      </c>
      <c r="D6" s="27" t="s">
        <v>101</v>
      </c>
      <c r="E6" s="32" t="s">
        <v>102</v>
      </c>
      <c r="F6" s="32" t="s">
        <v>103</v>
      </c>
      <c r="G6" s="32" t="s">
        <v>104</v>
      </c>
      <c r="H6" s="32" t="s">
        <v>105</v>
      </c>
      <c r="I6" s="32" t="s">
        <v>106</v>
      </c>
      <c r="J6" s="32" t="s">
        <v>107</v>
      </c>
      <c r="K6" s="32" t="s">
        <v>108</v>
      </c>
      <c r="L6" s="32" t="s">
        <v>109</v>
      </c>
      <c r="M6" s="32" t="s">
        <v>110</v>
      </c>
      <c r="N6" s="32" t="s">
        <v>111</v>
      </c>
      <c r="O6" s="32" t="s">
        <v>112</v>
      </c>
      <c r="P6" s="32" t="s">
        <v>113</v>
      </c>
      <c r="Q6" s="32" t="s">
        <v>114</v>
      </c>
      <c r="R6" s="32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2" t="s">
        <v>121</v>
      </c>
      <c r="Y6" s="32" t="s">
        <v>122</v>
      </c>
      <c r="Z6" s="32" t="s">
        <v>123</v>
      </c>
      <c r="AA6" s="32" t="s">
        <v>124</v>
      </c>
      <c r="AB6" s="32" t="s">
        <v>125</v>
      </c>
      <c r="AC6" s="32" t="s">
        <v>126</v>
      </c>
      <c r="AD6" s="32" t="s">
        <v>127</v>
      </c>
      <c r="AE6" s="32" t="s">
        <v>128</v>
      </c>
      <c r="AF6" s="32" t="s">
        <v>129</v>
      </c>
      <c r="AG6" s="32" t="s">
        <v>130</v>
      </c>
      <c r="AH6" s="32" t="s">
        <v>131</v>
      </c>
      <c r="AI6" s="32" t="s">
        <v>132</v>
      </c>
      <c r="AJ6" s="32" t="s">
        <v>133</v>
      </c>
      <c r="AK6" s="32" t="s">
        <v>134</v>
      </c>
      <c r="AL6" s="32" t="s">
        <v>135</v>
      </c>
      <c r="AM6" s="32" t="s">
        <v>136</v>
      </c>
      <c r="AN6" s="32" t="s">
        <v>137</v>
      </c>
      <c r="AO6" s="32" t="s">
        <v>138</v>
      </c>
      <c r="AP6" s="32" t="s">
        <v>139</v>
      </c>
      <c r="AQ6" s="32" t="s">
        <v>140</v>
      </c>
      <c r="AR6" s="32" t="s">
        <v>141</v>
      </c>
      <c r="AS6" s="32" t="s">
        <v>142</v>
      </c>
      <c r="AT6" s="32" t="s">
        <v>143</v>
      </c>
      <c r="AU6" s="32" t="s">
        <v>144</v>
      </c>
      <c r="AV6" s="32" t="s">
        <v>145</v>
      </c>
      <c r="AW6" s="32" t="s">
        <v>146</v>
      </c>
      <c r="AX6" s="32" t="s">
        <v>147</v>
      </c>
      <c r="AY6" s="32" t="s">
        <v>148</v>
      </c>
      <c r="AZ6" s="32" t="s">
        <v>149</v>
      </c>
      <c r="BA6" s="32" t="s">
        <v>150</v>
      </c>
      <c r="BB6" s="32" t="s">
        <v>151</v>
      </c>
      <c r="BC6" s="32" t="s">
        <v>152</v>
      </c>
      <c r="BD6" s="32" t="s">
        <v>153</v>
      </c>
      <c r="BE6" s="32" t="s">
        <v>154</v>
      </c>
      <c r="BF6" s="32" t="s">
        <v>155</v>
      </c>
      <c r="BG6" s="32" t="s">
        <v>156</v>
      </c>
      <c r="BH6" s="32" t="s">
        <v>157</v>
      </c>
      <c r="BI6" s="32" t="s">
        <v>158</v>
      </c>
      <c r="BJ6" s="32" t="s">
        <v>159</v>
      </c>
      <c r="BK6" s="32" t="s">
        <v>160</v>
      </c>
      <c r="BL6" s="32" t="s">
        <v>161</v>
      </c>
      <c r="BM6" s="32" t="s">
        <v>162</v>
      </c>
      <c r="BN6" s="32" t="s">
        <v>163</v>
      </c>
      <c r="BO6" s="32" t="s">
        <v>164</v>
      </c>
      <c r="BP6" s="32" t="s">
        <v>165</v>
      </c>
      <c r="BQ6" s="32" t="s">
        <v>166</v>
      </c>
      <c r="BR6" s="32" t="s">
        <v>167</v>
      </c>
      <c r="BS6" s="32" t="s">
        <v>168</v>
      </c>
      <c r="BT6" s="32" t="s">
        <v>169</v>
      </c>
      <c r="BU6" s="32" t="s">
        <v>170</v>
      </c>
      <c r="BV6" s="32" t="s">
        <v>171</v>
      </c>
      <c r="BW6" s="32" t="s">
        <v>172</v>
      </c>
      <c r="BX6" s="32" t="s">
        <v>173</v>
      </c>
      <c r="BY6" s="32" t="s">
        <v>174</v>
      </c>
      <c r="BZ6" s="32" t="s">
        <v>175</v>
      </c>
      <c r="CA6" s="32" t="s">
        <v>176</v>
      </c>
      <c r="CB6" s="32" t="s">
        <v>177</v>
      </c>
      <c r="CC6" s="32" t="s">
        <v>178</v>
      </c>
      <c r="CD6" s="32" t="s">
        <v>179</v>
      </c>
      <c r="CE6" s="32" t="s">
        <v>180</v>
      </c>
      <c r="CF6" s="32" t="s">
        <v>181</v>
      </c>
      <c r="CG6" s="32" t="s">
        <v>182</v>
      </c>
      <c r="CH6" s="32" t="s">
        <v>183</v>
      </c>
      <c r="CI6" s="32" t="s">
        <v>184</v>
      </c>
      <c r="CJ6" s="32" t="s">
        <v>185</v>
      </c>
      <c r="CK6" s="32" t="s">
        <v>186</v>
      </c>
      <c r="CL6" s="32" t="s">
        <v>187</v>
      </c>
    </row>
    <row r="8" spans="2:90" x14ac:dyDescent="0.25">
      <c r="B8" s="46" t="s">
        <v>303</v>
      </c>
      <c r="C8" s="34" t="s">
        <v>228</v>
      </c>
      <c r="D8" s="14">
        <f>SUM(E8:CL8)</f>
      </c>
      <c r="E8" s="14">
        <f>'Revenue'!E17</f>
      </c>
      <c r="F8" s="14">
        <f>'Revenue'!F17</f>
      </c>
      <c r="G8" s="14">
        <f>'Revenue'!G17</f>
      </c>
      <c r="H8" s="14">
        <f>'Revenue'!H17</f>
      </c>
      <c r="I8" s="14">
        <f>'Revenue'!I17</f>
      </c>
      <c r="J8" s="14">
        <f>'Revenue'!J17</f>
      </c>
      <c r="K8" s="14">
        <f>'Revenue'!K17</f>
      </c>
      <c r="L8" s="14">
        <f>'Revenue'!L17</f>
      </c>
      <c r="M8" s="14">
        <f>'Revenue'!M17</f>
      </c>
      <c r="N8" s="14">
        <f>'Revenue'!N17</f>
      </c>
      <c r="O8" s="14">
        <f>'Revenue'!O17</f>
      </c>
      <c r="P8" s="14">
        <f>'Revenue'!P17</f>
      </c>
      <c r="Q8" s="14">
        <f>'Revenue'!Q17</f>
      </c>
      <c r="R8" s="14">
        <f>'Revenue'!R17</f>
      </c>
      <c r="S8" s="14">
        <f>'Revenue'!S17</f>
      </c>
      <c r="T8" s="14">
        <f>'Revenue'!T17</f>
      </c>
      <c r="U8" s="14">
        <f>'Revenue'!U17</f>
      </c>
      <c r="V8" s="14">
        <f>'Revenue'!V17</f>
      </c>
      <c r="W8" s="14">
        <f>'Revenue'!W17</f>
      </c>
      <c r="X8" s="14">
        <f>'Revenue'!X17</f>
      </c>
      <c r="Y8" s="14">
        <f>'Revenue'!Y17</f>
      </c>
      <c r="Z8" s="14">
        <f>'Revenue'!Z17</f>
      </c>
      <c r="AA8" s="14">
        <f>'Revenue'!AA17</f>
      </c>
      <c r="AB8" s="14">
        <f>'Revenue'!AB17</f>
      </c>
      <c r="AC8" s="14">
        <f>'Revenue'!AC17</f>
      </c>
      <c r="AD8" s="14">
        <f>'Revenue'!AD17</f>
      </c>
      <c r="AE8" s="14">
        <f>'Revenue'!AE17</f>
      </c>
      <c r="AF8" s="14">
        <f>'Revenue'!AF17</f>
      </c>
      <c r="AG8" s="14">
        <f>'Revenue'!AG17</f>
      </c>
      <c r="AH8" s="14">
        <f>'Revenue'!AH17</f>
      </c>
      <c r="AI8" s="14">
        <f>'Revenue'!AI17</f>
      </c>
      <c r="AJ8" s="14">
        <f>'Revenue'!AJ17</f>
      </c>
      <c r="AK8" s="14">
        <f>'Revenue'!AK17</f>
      </c>
      <c r="AL8" s="14">
        <f>'Revenue'!AL17</f>
      </c>
      <c r="AM8" s="14">
        <f>'Revenue'!AM17</f>
      </c>
      <c r="AN8" s="14">
        <f>'Revenue'!AN17</f>
      </c>
      <c r="AO8" s="14">
        <f>'Revenue'!AO17</f>
      </c>
      <c r="AP8" s="14">
        <f>'Revenue'!AP17</f>
      </c>
      <c r="AQ8" s="14">
        <f>'Revenue'!AQ17</f>
      </c>
      <c r="AR8" s="14">
        <f>'Revenue'!AR17</f>
      </c>
      <c r="AS8" s="14">
        <f>'Revenue'!AS17</f>
      </c>
      <c r="AT8" s="14">
        <f>'Revenue'!AT17</f>
      </c>
      <c r="AU8" s="14">
        <f>'Revenue'!AU17</f>
      </c>
      <c r="AV8" s="14">
        <f>'Revenue'!AV17</f>
      </c>
      <c r="AW8" s="14">
        <f>'Revenue'!AW17</f>
      </c>
      <c r="AX8" s="14">
        <f>'Revenue'!AX17</f>
      </c>
      <c r="AY8" s="14">
        <f>'Revenue'!AY17</f>
      </c>
      <c r="AZ8" s="14">
        <f>'Revenue'!AZ17</f>
      </c>
      <c r="BA8" s="14">
        <f>'Revenue'!BA17</f>
      </c>
      <c r="BB8" s="14">
        <f>'Revenue'!BB17</f>
      </c>
      <c r="BC8" s="14">
        <f>'Revenue'!BC17</f>
      </c>
      <c r="BD8" s="14">
        <f>'Revenue'!BD17</f>
      </c>
      <c r="BE8" s="14">
        <f>'Revenue'!BE17</f>
      </c>
      <c r="BF8" s="14">
        <f>'Revenue'!BF17</f>
      </c>
      <c r="BG8" s="14">
        <f>'Revenue'!BG17</f>
      </c>
      <c r="BH8" s="14">
        <f>'Revenue'!BH17</f>
      </c>
      <c r="BI8" s="14">
        <f>'Revenue'!BI17</f>
      </c>
      <c r="BJ8" s="14">
        <f>'Revenue'!BJ17</f>
      </c>
      <c r="BK8" s="14">
        <f>'Revenue'!BK17</f>
      </c>
      <c r="BL8" s="14">
        <f>'Revenue'!BL17</f>
      </c>
      <c r="BM8" s="14">
        <f>'Revenue'!BM17</f>
      </c>
      <c r="BN8" s="14">
        <f>'Revenue'!BN17</f>
      </c>
      <c r="BO8" s="14">
        <f>'Revenue'!BO17</f>
      </c>
      <c r="BP8" s="14">
        <f>'Revenue'!BP17</f>
      </c>
      <c r="BQ8" s="14">
        <f>'Revenue'!BQ17</f>
      </c>
      <c r="BR8" s="14">
        <f>'Revenue'!BR17</f>
      </c>
      <c r="BS8" s="14">
        <f>'Revenue'!BS17</f>
      </c>
      <c r="BT8" s="14">
        <f>'Revenue'!BT17</f>
      </c>
      <c r="BU8" s="14">
        <f>'Revenue'!BU17</f>
      </c>
      <c r="BV8" s="14">
        <f>'Revenue'!BV17</f>
      </c>
      <c r="BW8" s="14">
        <f>'Revenue'!BW17</f>
      </c>
      <c r="BX8" s="14">
        <f>'Revenue'!BX17</f>
      </c>
      <c r="BY8" s="14">
        <f>'Revenue'!BY17</f>
      </c>
      <c r="BZ8" s="14">
        <f>'Revenue'!BZ17</f>
      </c>
      <c r="CA8" s="14">
        <f>'Revenue'!CA17</f>
      </c>
      <c r="CB8" s="14">
        <f>'Revenue'!CB17</f>
      </c>
      <c r="CC8" s="14">
        <f>'Revenue'!CC17</f>
      </c>
      <c r="CD8" s="14">
        <f>'Revenue'!CD17</f>
      </c>
      <c r="CE8" s="14">
        <f>'Revenue'!CE17</f>
      </c>
      <c r="CF8" s="14">
        <f>'Revenue'!CF17</f>
      </c>
      <c r="CG8" s="14">
        <f>'Revenue'!CG17</f>
      </c>
      <c r="CH8" s="14">
        <f>'Revenue'!CH17</f>
      </c>
      <c r="CI8" s="14">
        <f>'Revenue'!CI17</f>
      </c>
      <c r="CJ8" s="14">
        <f>'Revenue'!CJ17</f>
      </c>
      <c r="CK8" s="14">
        <f>'Revenue'!CK17</f>
      </c>
      <c r="CL8" s="14">
        <f>'Revenue'!CL17</f>
      </c>
    </row>
    <row r="10" spans="2:2" x14ac:dyDescent="0.25">
      <c r="B10" s="46" t="s">
        <v>351</v>
      </c>
    </row>
    <row r="11" spans="2:3" x14ac:dyDescent="0.25">
      <c r="B11" s="33" t="s">
        <v>327</v>
      </c>
      <c r="C11" s="34" t="s">
        <v>228</v>
      </c>
    </row>
    <row r="12" spans="2:3" x14ac:dyDescent="0.25">
      <c r="B12" s="33" t="s">
        <v>328</v>
      </c>
      <c r="C12" s="34" t="s">
        <v>228</v>
      </c>
    </row>
    <row r="13" spans="2:3" x14ac:dyDescent="0.25">
      <c r="B13" s="33" t="s">
        <v>329</v>
      </c>
      <c r="C13" s="34" t="s">
        <v>228</v>
      </c>
    </row>
    <row r="14" spans="2:3" x14ac:dyDescent="0.25">
      <c r="B14" s="33" t="s">
        <v>330</v>
      </c>
      <c r="C14" s="34" t="s">
        <v>228</v>
      </c>
    </row>
    <row r="15" spans="2:3" x14ac:dyDescent="0.25">
      <c r="B15" s="33" t="s">
        <v>331</v>
      </c>
      <c r="C15" s="34" t="s">
        <v>228</v>
      </c>
    </row>
    <row r="16" spans="2:3" x14ac:dyDescent="0.25">
      <c r="B16" s="33" t="s">
        <v>332</v>
      </c>
      <c r="C16" s="34" t="s">
        <v>228</v>
      </c>
    </row>
    <row r="17" spans="2:3" x14ac:dyDescent="0.25">
      <c r="B17" s="33" t="s">
        <v>333</v>
      </c>
      <c r="C17" s="34" t="s">
        <v>228</v>
      </c>
    </row>
    <row r="18" spans="2:3" x14ac:dyDescent="0.25">
      <c r="B18" s="33" t="s">
        <v>334</v>
      </c>
      <c r="C18" s="34" t="s">
        <v>228</v>
      </c>
    </row>
    <row r="19" spans="2:3" x14ac:dyDescent="0.25">
      <c r="B19" s="33" t="s">
        <v>335</v>
      </c>
      <c r="C19" s="34" t="s">
        <v>228</v>
      </c>
    </row>
    <row r="20" spans="2:3" x14ac:dyDescent="0.25">
      <c r="B20" s="33" t="s">
        <v>336</v>
      </c>
      <c r="C20" s="34" t="s">
        <v>228</v>
      </c>
    </row>
    <row r="21" spans="2:3" x14ac:dyDescent="0.25">
      <c r="B21" s="33" t="s">
        <v>337</v>
      </c>
      <c r="C21" s="34" t="s">
        <v>228</v>
      </c>
    </row>
    <row r="22" spans="2:3" x14ac:dyDescent="0.25">
      <c r="B22" s="33" t="s">
        <v>338</v>
      </c>
      <c r="C22" s="34" t="s">
        <v>228</v>
      </c>
    </row>
    <row r="23" spans="2:90" x14ac:dyDescent="0.25">
      <c r="B23" s="46" t="s">
        <v>341</v>
      </c>
      <c r="C23" s="34" t="s">
        <v>228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7" t="s">
        <v>352</v>
      </c>
      <c r="C25" s="51" t="s">
        <v>228</v>
      </c>
      <c r="D25" s="42">
        <f>SUM(E25:CL25)</f>
      </c>
      <c r="E25" s="42">
        <f>E8+E23</f>
      </c>
      <c r="F25" s="42">
        <f>F8+F23</f>
      </c>
      <c r="G25" s="42">
        <f>G8+G23</f>
      </c>
      <c r="H25" s="42">
        <f>H8+H23</f>
      </c>
      <c r="I25" s="42">
        <f>I8+I23</f>
      </c>
      <c r="J25" s="42">
        <f>J8+J23</f>
      </c>
      <c r="K25" s="42">
        <f>K8+K23</f>
      </c>
      <c r="L25" s="42">
        <f>L8+L23</f>
      </c>
      <c r="M25" s="42">
        <f>M8+M23</f>
      </c>
      <c r="N25" s="42">
        <f>N8+N23</f>
      </c>
      <c r="O25" s="42">
        <f>O8+O23</f>
      </c>
      <c r="P25" s="42">
        <f>P8+P23</f>
      </c>
      <c r="Q25" s="42">
        <f>Q8+Q23</f>
      </c>
      <c r="R25" s="42">
        <f>R8+R23</f>
      </c>
      <c r="S25" s="42">
        <f>S8+S23</f>
      </c>
      <c r="T25" s="42">
        <f>T8+T23</f>
      </c>
      <c r="U25" s="42">
        <f>U8+U23</f>
      </c>
      <c r="V25" s="42">
        <f>V8+V23</f>
      </c>
      <c r="W25" s="42">
        <f>W8+W23</f>
      </c>
      <c r="X25" s="42">
        <f>X8+X23</f>
      </c>
      <c r="Y25" s="42">
        <f>Y8+Y23</f>
      </c>
      <c r="Z25" s="42">
        <f>Z8+Z23</f>
      </c>
      <c r="AA25" s="42">
        <f>AA8+AA23</f>
      </c>
      <c r="AB25" s="42">
        <f>AB8+AB23</f>
      </c>
      <c r="AC25" s="42">
        <f>AC8+AC23</f>
      </c>
      <c r="AD25" s="42">
        <f>AD8+AD23</f>
      </c>
      <c r="AE25" s="42">
        <f>AE8+AE23</f>
      </c>
      <c r="AF25" s="42">
        <f>AF8+AF23</f>
      </c>
      <c r="AG25" s="42">
        <f>AG8+AG23</f>
      </c>
      <c r="AH25" s="42">
        <f>AH8+AH23</f>
      </c>
      <c r="AI25" s="42">
        <f>AI8+AI23</f>
      </c>
      <c r="AJ25" s="42">
        <f>AJ8+AJ23</f>
      </c>
      <c r="AK25" s="42">
        <f>AK8+AK23</f>
      </c>
      <c r="AL25" s="42">
        <f>AL8+AL23</f>
      </c>
      <c r="AM25" s="42">
        <f>AM8+AM23</f>
      </c>
      <c r="AN25" s="42">
        <f>AN8+AN23</f>
      </c>
      <c r="AO25" s="42">
        <f>AO8+AO23</f>
      </c>
      <c r="AP25" s="42">
        <f>AP8+AP23</f>
      </c>
      <c r="AQ25" s="42">
        <f>AQ8+AQ23</f>
      </c>
      <c r="AR25" s="42">
        <f>AR8+AR23</f>
      </c>
      <c r="AS25" s="42">
        <f>AS8+AS23</f>
      </c>
      <c r="AT25" s="42">
        <f>AT8+AT23</f>
      </c>
      <c r="AU25" s="42">
        <f>AU8+AU23</f>
      </c>
      <c r="AV25" s="42">
        <f>AV8+AV23</f>
      </c>
      <c r="AW25" s="42">
        <f>AW8+AW23</f>
      </c>
      <c r="AX25" s="42">
        <f>AX8+AX23</f>
      </c>
      <c r="AY25" s="42">
        <f>AY8+AY23</f>
      </c>
      <c r="AZ25" s="42">
        <f>AZ8+AZ23</f>
      </c>
      <c r="BA25" s="42">
        <f>BA8+BA23</f>
      </c>
      <c r="BB25" s="42">
        <f>BB8+BB23</f>
      </c>
      <c r="BC25" s="42">
        <f>BC8+BC23</f>
      </c>
      <c r="BD25" s="42">
        <f>BD8+BD23</f>
      </c>
      <c r="BE25" s="42">
        <f>BE8+BE23</f>
      </c>
      <c r="BF25" s="42">
        <f>BF8+BF23</f>
      </c>
      <c r="BG25" s="42">
        <f>BG8+BG23</f>
      </c>
      <c r="BH25" s="42">
        <f>BH8+BH23</f>
      </c>
      <c r="BI25" s="42">
        <f>BI8+BI23</f>
      </c>
      <c r="BJ25" s="42">
        <f>BJ8+BJ23</f>
      </c>
      <c r="BK25" s="42">
        <f>BK8+BK23</f>
      </c>
      <c r="BL25" s="42">
        <f>BL8+BL23</f>
      </c>
      <c r="BM25" s="42">
        <f>BM8+BM23</f>
      </c>
      <c r="BN25" s="42">
        <f>BN8+BN23</f>
      </c>
      <c r="BO25" s="42">
        <f>BO8+BO23</f>
      </c>
      <c r="BP25" s="42">
        <f>BP8+BP23</f>
      </c>
      <c r="BQ25" s="42">
        <f>BQ8+BQ23</f>
      </c>
      <c r="BR25" s="42">
        <f>BR8+BR23</f>
      </c>
      <c r="BS25" s="42">
        <f>BS8+BS23</f>
      </c>
      <c r="BT25" s="42">
        <f>BT8+BT23</f>
      </c>
      <c r="BU25" s="42">
        <f>BU8+BU23</f>
      </c>
      <c r="BV25" s="42">
        <f>BV8+BV23</f>
      </c>
      <c r="BW25" s="42">
        <f>BW8+BW23</f>
      </c>
      <c r="BX25" s="42">
        <f>BX8+BX23</f>
      </c>
      <c r="BY25" s="42">
        <f>BY8+BY23</f>
      </c>
      <c r="BZ25" s="42">
        <f>BZ8+BZ23</f>
      </c>
      <c r="CA25" s="42">
        <f>CA8+CA23</f>
      </c>
      <c r="CB25" s="42">
        <f>CB8+CB23</f>
      </c>
      <c r="CC25" s="42">
        <f>CC8+CC23</f>
      </c>
      <c r="CD25" s="42">
        <f>CD8+CD23</f>
      </c>
      <c r="CE25" s="42">
        <f>CE8+CE23</f>
      </c>
      <c r="CF25" s="42">
        <f>CF8+CF23</f>
      </c>
      <c r="CG25" s="42">
        <f>CG8+CG23</f>
      </c>
      <c r="CH25" s="42">
        <f>CH8+CH23</f>
      </c>
      <c r="CI25" s="42">
        <f>CI8+CI23</f>
      </c>
      <c r="CJ25" s="42">
        <f>CJ8+CJ23</f>
      </c>
      <c r="CK25" s="42">
        <f>CK8+CK23</f>
      </c>
      <c r="CL25" s="42">
        <f>CL8+CL23</f>
      </c>
      <c r="CM25" s="48"/>
    </row>
    <row r="26" spans="2:90" x14ac:dyDescent="0.25">
      <c r="B26" s="33" t="s">
        <v>353</v>
      </c>
      <c r="C26" s="34" t="s">
        <v>354</v>
      </c>
      <c r="E26" s="39">
        <f>IF(E8&lt;=0,"",E25/E8)</f>
      </c>
      <c r="F26" s="39">
        <f>IF(F8&lt;=0,"",F25/F8)</f>
      </c>
      <c r="G26" s="39">
        <f>IF(G8&lt;=0,"",G25/G8)</f>
      </c>
      <c r="H26" s="39">
        <f>IF(H8&lt;=0,"",H25/H8)</f>
      </c>
      <c r="I26" s="39">
        <f>IF(I8&lt;=0,"",I25/I8)</f>
      </c>
      <c r="J26" s="39">
        <f>IF(J8&lt;=0,"",J25/J8)</f>
      </c>
      <c r="K26" s="39">
        <f>IF(K8&lt;=0,"",K25/K8)</f>
      </c>
      <c r="L26" s="39">
        <f>IF(L8&lt;=0,"",L25/L8)</f>
      </c>
      <c r="M26" s="39">
        <f>IF(M8&lt;=0,"",M25/M8)</f>
      </c>
      <c r="N26" s="39">
        <f>IF(N8&lt;=0,"",N25/N8)</f>
      </c>
      <c r="O26" s="39">
        <f>IF(O8&lt;=0,"",O25/O8)</f>
      </c>
      <c r="P26" s="39">
        <f>IF(P8&lt;=0,"",P25/P8)</f>
      </c>
      <c r="Q26" s="39">
        <f>IF(Q8&lt;=0,"",Q25/Q8)</f>
      </c>
      <c r="R26" s="39">
        <f>IF(R8&lt;=0,"",R25/R8)</f>
      </c>
      <c r="S26" s="39">
        <f>IF(S8&lt;=0,"",S25/S8)</f>
      </c>
      <c r="T26" s="39">
        <f>IF(T8&lt;=0,"",T25/T8)</f>
      </c>
      <c r="U26" s="39">
        <f>IF(U8&lt;=0,"",U25/U8)</f>
      </c>
      <c r="V26" s="39">
        <f>IF(V8&lt;=0,"",V25/V8)</f>
      </c>
      <c r="W26" s="39">
        <f>IF(W8&lt;=0,"",W25/W8)</f>
      </c>
      <c r="X26" s="39">
        <f>IF(X8&lt;=0,"",X25/X8)</f>
      </c>
      <c r="Y26" s="39">
        <f>IF(Y8&lt;=0,"",Y25/Y8)</f>
      </c>
      <c r="Z26" s="39">
        <f>IF(Z8&lt;=0,"",Z25/Z8)</f>
      </c>
      <c r="AA26" s="39">
        <f>IF(AA8&lt;=0,"",AA25/AA8)</f>
      </c>
      <c r="AB26" s="39">
        <f>IF(AB8&lt;=0,"",AB25/AB8)</f>
      </c>
      <c r="AC26" s="39">
        <f>IF(AC8&lt;=0,"",AC25/AC8)</f>
      </c>
      <c r="AD26" s="39">
        <f>IF(AD8&lt;=0,"",AD25/AD8)</f>
      </c>
      <c r="AE26" s="39">
        <f>IF(AE8&lt;=0,"",AE25/AE8)</f>
      </c>
      <c r="AF26" s="39">
        <f>IF(AF8&lt;=0,"",AF25/AF8)</f>
      </c>
      <c r="AG26" s="39">
        <f>IF(AG8&lt;=0,"",AG25/AG8)</f>
      </c>
      <c r="AH26" s="39">
        <f>IF(AH8&lt;=0,"",AH25/AH8)</f>
      </c>
      <c r="AI26" s="39">
        <f>IF(AI8&lt;=0,"",AI25/AI8)</f>
      </c>
      <c r="AJ26" s="39">
        <f>IF(AJ8&lt;=0,"",AJ25/AJ8)</f>
      </c>
      <c r="AK26" s="39">
        <f>IF(AK8&lt;=0,"",AK25/AK8)</f>
      </c>
      <c r="AL26" s="39">
        <f>IF(AL8&lt;=0,"",AL25/AL8)</f>
      </c>
      <c r="AM26" s="39">
        <f>IF(AM8&lt;=0,"",AM25/AM8)</f>
      </c>
      <c r="AN26" s="39">
        <f>IF(AN8&lt;=0,"",AN25/AN8)</f>
      </c>
      <c r="AO26" s="39">
        <f>IF(AO8&lt;=0,"",AO25/AO8)</f>
      </c>
      <c r="AP26" s="39">
        <f>IF(AP8&lt;=0,"",AP25/AP8)</f>
      </c>
      <c r="AQ26" s="39">
        <f>IF(AQ8&lt;=0,"",AQ25/AQ8)</f>
      </c>
      <c r="AR26" s="39">
        <f>IF(AR8&lt;=0,"",AR25/AR8)</f>
      </c>
      <c r="AS26" s="39">
        <f>IF(AS8&lt;=0,"",AS25/AS8)</f>
      </c>
      <c r="AT26" s="39">
        <f>IF(AT8&lt;=0,"",AT25/AT8)</f>
      </c>
      <c r="AU26" s="39">
        <f>IF(AU8&lt;=0,"",AU25/AU8)</f>
      </c>
      <c r="AV26" s="39">
        <f>IF(AV8&lt;=0,"",AV25/AV8)</f>
      </c>
      <c r="AW26" s="39">
        <f>IF(AW8&lt;=0,"",AW25/AW8)</f>
      </c>
      <c r="AX26" s="39">
        <f>IF(AX8&lt;=0,"",AX25/AX8)</f>
      </c>
      <c r="AY26" s="39">
        <f>IF(AY8&lt;=0,"",AY25/AY8)</f>
      </c>
      <c r="AZ26" s="39">
        <f>IF(AZ8&lt;=0,"",AZ25/AZ8)</f>
      </c>
      <c r="BA26" s="39">
        <f>IF(BA8&lt;=0,"",BA25/BA8)</f>
      </c>
      <c r="BB26" s="39">
        <f>IF(BB8&lt;=0,"",BB25/BB8)</f>
      </c>
      <c r="BC26" s="39">
        <f>IF(BC8&lt;=0,"",BC25/BC8)</f>
      </c>
      <c r="BD26" s="39">
        <f>IF(BD8&lt;=0,"",BD25/BD8)</f>
      </c>
      <c r="BE26" s="39">
        <f>IF(BE8&lt;=0,"",BE25/BE8)</f>
      </c>
      <c r="BF26" s="39">
        <f>IF(BF8&lt;=0,"",BF25/BF8)</f>
      </c>
      <c r="BG26" s="39">
        <f>IF(BG8&lt;=0,"",BG25/BG8)</f>
      </c>
      <c r="BH26" s="39">
        <f>IF(BH8&lt;=0,"",BH25/BH8)</f>
      </c>
      <c r="BI26" s="39">
        <f>IF(BI8&lt;=0,"",BI25/BI8)</f>
      </c>
      <c r="BJ26" s="39">
        <f>IF(BJ8&lt;=0,"",BJ25/BJ8)</f>
      </c>
      <c r="BK26" s="39">
        <f>IF(BK8&lt;=0,"",BK25/BK8)</f>
      </c>
      <c r="BL26" s="39">
        <f>IF(BL8&lt;=0,"",BL25/BL8)</f>
      </c>
      <c r="BM26" s="39">
        <f>IF(BM8&lt;=0,"",BM25/BM8)</f>
      </c>
      <c r="BN26" s="39">
        <f>IF(BN8&lt;=0,"",BN25/BN8)</f>
      </c>
      <c r="BO26" s="39">
        <f>IF(BO8&lt;=0,"",BO25/BO8)</f>
      </c>
      <c r="BP26" s="39">
        <f>IF(BP8&lt;=0,"",BP25/BP8)</f>
      </c>
      <c r="BQ26" s="39">
        <f>IF(BQ8&lt;=0,"",BQ25/BQ8)</f>
      </c>
      <c r="BR26" s="39">
        <f>IF(BR8&lt;=0,"",BR25/BR8)</f>
      </c>
      <c r="BS26" s="39">
        <f>IF(BS8&lt;=0,"",BS25/BS8)</f>
      </c>
      <c r="BT26" s="39">
        <f>IF(BT8&lt;=0,"",BT25/BT8)</f>
      </c>
      <c r="BU26" s="39">
        <f>IF(BU8&lt;=0,"",BU25/BU8)</f>
      </c>
      <c r="BV26" s="39">
        <f>IF(BV8&lt;=0,"",BV25/BV8)</f>
      </c>
      <c r="BW26" s="39">
        <f>IF(BW8&lt;=0,"",BW25/BW8)</f>
      </c>
      <c r="BX26" s="39">
        <f>IF(BX8&lt;=0,"",BX25/BX8)</f>
      </c>
      <c r="BY26" s="39">
        <f>IF(BY8&lt;=0,"",BY25/BY8)</f>
      </c>
      <c r="BZ26" s="39">
        <f>IF(BZ8&lt;=0,"",BZ25/BZ8)</f>
      </c>
      <c r="CA26" s="39">
        <f>IF(CA8&lt;=0,"",CA25/CA8)</f>
      </c>
      <c r="CB26" s="39">
        <f>IF(CB8&lt;=0,"",CB25/CB8)</f>
      </c>
      <c r="CC26" s="39">
        <f>IF(CC8&lt;=0,"",CC25/CC8)</f>
      </c>
      <c r="CD26" s="39">
        <f>IF(CD8&lt;=0,"",CD25/CD8)</f>
      </c>
      <c r="CE26" s="39">
        <f>IF(CE8&lt;=0,"",CE25/CE8)</f>
      </c>
      <c r="CF26" s="39">
        <f>IF(CF8&lt;=0,"",CF25/CF8)</f>
      </c>
      <c r="CG26" s="39">
        <f>IF(CG8&lt;=0,"",CG25/CG8)</f>
      </c>
      <c r="CH26" s="39">
        <f>IF(CH8&lt;=0,"",CH25/CH8)</f>
      </c>
      <c r="CI26" s="39">
        <f>IF(CI8&lt;=0,"",CI25/CI8)</f>
      </c>
      <c r="CJ26" s="39">
        <f>IF(CJ8&lt;=0,"",CJ25/CJ8)</f>
      </c>
      <c r="CK26" s="39">
        <f>IF(CK8&lt;=0,"",CK25/CK8)</f>
      </c>
      <c r="CL26" s="39">
        <f>IF(CL8&lt;=0,"",CL25/CL8)</f>
      </c>
    </row>
    <row r="28" spans="2:90" x14ac:dyDescent="0.25">
      <c r="B28" s="33" t="s">
        <v>355</v>
      </c>
      <c r="C28" s="34" t="s">
        <v>228</v>
      </c>
      <c r="D28" s="31">
        <f>SUM(E28:CL28)</f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f>-(('Funding'!C18*$D$75/100)/$D$76*(3/12))</f>
      </c>
      <c r="L28" s="31">
        <f>-(('Funding'!C18*$D$75/100)/$D$76*(3/12))</f>
      </c>
      <c r="M28" s="31">
        <f>-(('Funding'!C18*$D$75/100)/$D$76*(3/12))</f>
      </c>
      <c r="N28" s="31">
        <f>-(('Funding'!C18*$D$75/100)/$D$76*(3/12))</f>
      </c>
      <c r="O28" s="31">
        <f>-(('Funding'!C18*$D$75/100)/$D$76*(3/12))</f>
      </c>
      <c r="P28" s="31">
        <f>-(('Funding'!C18*$D$75/100)/$D$76*(3/12))</f>
      </c>
      <c r="Q28" s="31">
        <f>-(('Funding'!C18*$D$75/100)/$D$76*(3/12))</f>
      </c>
      <c r="R28" s="31">
        <f>-(('Funding'!C18*$D$75/100)/$D$76*(3/12))</f>
      </c>
      <c r="S28" s="31">
        <f>-(('Funding'!C18*$D$75/100)/$D$76*(3/12))</f>
      </c>
      <c r="T28" s="31">
        <f>-(('Funding'!C18*$D$75/100)/$D$76*(3/12))</f>
      </c>
      <c r="U28" s="31">
        <f>-(('Funding'!C18*$D$75/100)/$D$76*(3/12))</f>
      </c>
      <c r="V28" s="31">
        <f>-(('Funding'!C18*$D$75/100)/$D$76*(3/12))</f>
      </c>
      <c r="W28" s="31">
        <f>-(('Funding'!C18*$D$75/100)/$D$76*(3/12))</f>
      </c>
      <c r="X28" s="31">
        <f>-(('Funding'!C18*$D$75/100)/$D$76*(3/12))</f>
      </c>
      <c r="Y28" s="31">
        <f>-(('Funding'!C18*$D$75/100)/$D$76*(3/12))</f>
      </c>
      <c r="Z28" s="31">
        <f>-(('Funding'!C18*$D$75/100)/$D$76*(3/12))</f>
      </c>
      <c r="AA28" s="31">
        <f>-(('Funding'!C18*$D$75/100)/$D$76*(3/12))</f>
      </c>
      <c r="AB28" s="31">
        <f>-(('Funding'!C18*$D$75/100)/$D$76*(3/12))</f>
      </c>
      <c r="AC28" s="31">
        <f>-(('Funding'!C18*$D$75/100)/$D$76*(3/12))</f>
      </c>
      <c r="AD28" s="31">
        <f>-(('Funding'!C18*$D$75/100)/$D$76*(3/12))</f>
      </c>
      <c r="AE28" s="31">
        <f>-(('Funding'!C18*$D$75/100)/$D$76*(3/12))</f>
      </c>
      <c r="AF28" s="31">
        <f>-(('Funding'!C18*$D$75/100)/$D$76*(3/12))</f>
      </c>
      <c r="AG28" s="31">
        <f>-(('Funding'!C18*$D$75/100)/$D$76*(3/12))</f>
      </c>
      <c r="AH28" s="31">
        <f>-(('Funding'!C18*$D$75/100)/$D$76*(3/12))</f>
      </c>
      <c r="AI28" s="31">
        <f>-(('Funding'!C18*$D$75/100)/$D$76*(3/12))</f>
      </c>
      <c r="AJ28" s="31">
        <f>-(('Funding'!C18*$D$75/100)/$D$76*(3/12))</f>
      </c>
      <c r="AK28" s="31">
        <f>-(('Funding'!C18*$D$75/100)/$D$76*(3/12))</f>
      </c>
      <c r="AL28" s="31">
        <f>-(('Funding'!C18*$D$75/100)/$D$76*(3/12))</f>
      </c>
      <c r="AM28" s="31">
        <f>-(('Funding'!C18*$D$75/100)/$D$76*(3/12))</f>
      </c>
      <c r="AN28" s="31">
        <f>-(('Funding'!C18*$D$75/100)/$D$76*(3/12))</f>
      </c>
      <c r="AO28" s="31">
        <f>-(('Funding'!C18*$D$75/100)/$D$76*(3/12))</f>
      </c>
      <c r="AP28" s="31">
        <f>-(('Funding'!C18*$D$75/100)/$D$76*(3/12))</f>
      </c>
      <c r="AQ28" s="31">
        <f>-(('Funding'!C18*$D$75/100)/$D$76*(3/12))</f>
      </c>
      <c r="AR28" s="31">
        <f>-(('Funding'!C18*$D$75/100)/$D$76*(3/12))</f>
      </c>
      <c r="AS28" s="31">
        <f>-(('Funding'!C18*$D$75/100)/$D$76*(3/12))</f>
      </c>
      <c r="AT28" s="31">
        <f>-(('Funding'!C18*$D$75/100)/$D$76*(3/12))</f>
      </c>
      <c r="AU28" s="31">
        <f>-(('Funding'!C18*$D$75/100)/$D$76*(3/12))</f>
      </c>
      <c r="AV28" s="31">
        <f>-(('Funding'!C18*$D$75/100)/$D$76*(3/12))</f>
      </c>
      <c r="AW28" s="31">
        <f>-(('Funding'!C18*$D$75/100)/$D$76*(3/12))</f>
      </c>
      <c r="AX28" s="31">
        <f>-(('Funding'!C18*$D$75/100)/$D$76*(3/12))</f>
      </c>
      <c r="AY28" s="31">
        <f>-(('Funding'!C18*$D$75/100)/$D$76*(3/12))</f>
      </c>
      <c r="AZ28" s="31">
        <f>-(('Funding'!C18*$D$75/100)/$D$76*(3/12))</f>
      </c>
      <c r="BA28" s="31">
        <f>-(('Funding'!C18*$D$75/100)/$D$76*(3/12))</f>
      </c>
      <c r="BB28" s="31">
        <f>-(('Funding'!C18*$D$75/100)/$D$76*(3/12))</f>
      </c>
      <c r="BC28" s="31">
        <f>-(('Funding'!C18*$D$75/100)/$D$76*(3/12))</f>
      </c>
      <c r="BD28" s="31">
        <f>-(('Funding'!C18*$D$75/100)/$D$76*(3/12))</f>
      </c>
      <c r="BE28" s="31">
        <f>-(('Funding'!C18*$D$75/100)/$D$76*(3/12))</f>
      </c>
      <c r="BF28" s="31">
        <f>-(('Funding'!C18*$D$75/100)/$D$76*(3/12))</f>
      </c>
      <c r="BG28" s="31">
        <f>-(('Funding'!C18*$D$75/100)/$D$76*(3/12))</f>
      </c>
      <c r="BH28" s="31">
        <f>-(('Funding'!C18*$D$75/100)/$D$76*(3/12))</f>
      </c>
      <c r="BI28" s="31">
        <f>-(('Funding'!C18*$D$75/100)/$D$76*(3/12))</f>
      </c>
      <c r="BJ28" s="31">
        <f>-(('Funding'!C18*$D$75/100)/$D$76*(3/12))</f>
      </c>
      <c r="BK28" s="31">
        <f>-(('Funding'!C18*$D$75/100)/$D$76*(3/12))</f>
      </c>
      <c r="BL28" s="31">
        <f>-(('Funding'!C18*$D$75/100)/$D$76*(3/12))</f>
      </c>
      <c r="BM28" s="31">
        <f>-(('Funding'!C18*$D$75/100)/$D$76*(3/12))</f>
      </c>
      <c r="BN28" s="31">
        <f>-(('Funding'!C18*$D$75/100)/$D$76*(3/12))</f>
      </c>
      <c r="BO28" s="31">
        <f>-(('Funding'!C18*$D$75/100)/$D$76*(3/12))</f>
      </c>
      <c r="BP28" s="31">
        <f>-(('Funding'!C18*$D$75/100)/$D$76*(3/12))</f>
      </c>
      <c r="BQ28" s="31">
        <f>-(('Funding'!C18*$D$75/100)/$D$76*(3/12))</f>
      </c>
      <c r="BR28" s="31">
        <f>-(('Funding'!C18*$D$75/100)/$D$76*(3/12))</f>
      </c>
      <c r="BS28" s="31">
        <f>-(('Funding'!C18*$D$75/100)/$D$76*(3/12))</f>
      </c>
      <c r="BT28" s="31">
        <f>-(('Funding'!C18*$D$75/100)/$D$76*(3/12))</f>
      </c>
      <c r="BU28" s="31">
        <f>-(('Funding'!C18*$D$75/100)/$D$76*(3/12))</f>
      </c>
      <c r="BV28" s="31">
        <f>-(('Funding'!C18*$D$75/100)/$D$76*(3/12))</f>
      </c>
      <c r="BW28" s="31">
        <f>-(('Funding'!C18*$D$75/100)/$D$76*(3/12))</f>
      </c>
      <c r="BX28" s="31">
        <f>-(('Funding'!C18*$D$75/100)/$D$76*(3/12))</f>
      </c>
      <c r="BY28" s="31">
        <f>-(('Funding'!C18*$D$75/100)/$D$76*(3/12))</f>
      </c>
      <c r="BZ28" s="31">
        <f>-(('Funding'!C18*$D$75/100)/$D$76*(3/12))</f>
      </c>
      <c r="CA28" s="31">
        <f>-(('Funding'!C18*$D$75/100)/$D$76*(3/12))</f>
      </c>
      <c r="CB28" s="31">
        <f>-(('Funding'!C18*$D$75/100)/$D$76*(3/12))</f>
      </c>
      <c r="CC28" s="31">
        <f>-(('Funding'!C18*$D$75/100)/$D$76*(3/12))</f>
      </c>
      <c r="CD28" s="31">
        <f>-(('Funding'!C18*$D$75/100)/$D$76*(3/12))</f>
      </c>
      <c r="CE28" s="31">
        <f>-(('Funding'!C18*$D$75/100)/$D$76*(3/12))</f>
      </c>
      <c r="CF28" s="31">
        <f>-(('Funding'!C18*$D$75/100)/$D$76*(3/12))</f>
      </c>
      <c r="CG28" s="31">
        <f>-(('Funding'!C18*$D$75/100)/$D$76*(3/12))</f>
      </c>
      <c r="CH28" s="31">
        <f>-(('Funding'!C18*$D$75/100)/$D$76*(3/12))</f>
      </c>
      <c r="CI28" s="31">
        <f>-(('Funding'!C18*$D$75/100)/$D$76*(3/12))</f>
      </c>
      <c r="CJ28" s="31">
        <f>-(('Funding'!C18*$D$75/100)/$D$76*(3/12))</f>
      </c>
      <c r="CK28" s="31">
        <f>-(('Funding'!C18*$D$75/100)/$D$76*(3/12))</f>
      </c>
      <c r="CL28" s="31">
        <f>-(('Funding'!C18*$D$75/100)/$D$76*(3/12))</f>
      </c>
    </row>
    <row r="29" spans="2:90" x14ac:dyDescent="0.25">
      <c r="B29" s="33" t="s">
        <v>356</v>
      </c>
      <c r="C29" s="34" t="s">
        <v>228</v>
      </c>
      <c r="D29" s="31">
        <f>SUM(E29:CL29)</f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f>-($D$77*100/80)</f>
      </c>
      <c r="L29" s="31">
        <f>-($D$77*100/80)</f>
      </c>
      <c r="M29" s="31">
        <f>-($D$77*100/80)</f>
      </c>
      <c r="N29" s="31">
        <f>-($D$77*100/80)</f>
      </c>
      <c r="O29" s="31">
        <f>-($D$77*100/80)</f>
      </c>
      <c r="P29" s="31">
        <f>-($D$77*100/80)</f>
      </c>
      <c r="Q29" s="31">
        <f>-($D$77*100/80)</f>
      </c>
      <c r="R29" s="31">
        <f>-($D$77*100/80)</f>
      </c>
      <c r="S29" s="31">
        <f>-($D$77*100/80)</f>
      </c>
      <c r="T29" s="31">
        <f>-($D$77*100/80)</f>
      </c>
      <c r="U29" s="31">
        <f>-($D$77*100/80)</f>
      </c>
      <c r="V29" s="31">
        <f>-($D$77*100/80)</f>
      </c>
      <c r="W29" s="31">
        <f>-($D$77*100/80)</f>
      </c>
      <c r="X29" s="31">
        <f>-($D$77*100/80)</f>
      </c>
      <c r="Y29" s="31">
        <f>-($D$77*100/80)</f>
      </c>
      <c r="Z29" s="31">
        <f>-($D$77*100/80)</f>
      </c>
      <c r="AA29" s="31">
        <f>-($D$77*100/80)</f>
      </c>
      <c r="AB29" s="31">
        <f>-($D$77*100/80)</f>
      </c>
      <c r="AC29" s="31">
        <f>-($D$77*100/80)</f>
      </c>
      <c r="AD29" s="31">
        <f>-($D$77*100/80)</f>
      </c>
      <c r="AE29" s="31">
        <f>-($D$77*100/80)</f>
      </c>
      <c r="AF29" s="31">
        <f>-($D$77*100/80)</f>
      </c>
      <c r="AG29" s="31">
        <f>-($D$77*100/80)</f>
      </c>
      <c r="AH29" s="31">
        <f>-($D$77*100/80)</f>
      </c>
      <c r="AI29" s="31">
        <f>-($D$77*100/80)</f>
      </c>
      <c r="AJ29" s="31">
        <f>-($D$77*100/80)</f>
      </c>
      <c r="AK29" s="31">
        <f>-($D$77*100/80)</f>
      </c>
      <c r="AL29" s="31">
        <f>-($D$77*100/80)</f>
      </c>
      <c r="AM29" s="31">
        <f>-($D$77*100/80)</f>
      </c>
      <c r="AN29" s="31">
        <f>-($D$77*100/80)</f>
      </c>
      <c r="AO29" s="31">
        <f>-($D$77*100/80)</f>
      </c>
      <c r="AP29" s="31">
        <f>-($D$77*100/80)</f>
      </c>
      <c r="AQ29" s="31">
        <f>-($D$77*100/80)</f>
      </c>
      <c r="AR29" s="31">
        <f>-($D$77*100/80)</f>
      </c>
      <c r="AS29" s="31">
        <f>-($D$77*100/80)</f>
      </c>
      <c r="AT29" s="31">
        <f>-($D$77*100/80)</f>
      </c>
      <c r="AU29" s="31">
        <f>-($D$77*100/80)</f>
      </c>
      <c r="AV29" s="31">
        <f>-($D$77*100/80)</f>
      </c>
      <c r="AW29" s="31">
        <f>-($D$77*100/80)</f>
      </c>
      <c r="AX29" s="31">
        <f>-($D$77*100/80)</f>
      </c>
      <c r="AY29" s="31">
        <f>-($D$77*100/80)</f>
      </c>
      <c r="AZ29" s="31">
        <f>-($D$77*100/80)</f>
      </c>
      <c r="BA29" s="31">
        <f>-($D$77*100/80)</f>
      </c>
      <c r="BB29" s="31">
        <f>-($D$77*100/80)</f>
      </c>
      <c r="BC29" s="31">
        <f>-($D$77*100/80)</f>
      </c>
      <c r="BD29" s="31">
        <f>-($D$77*100/80)</f>
      </c>
      <c r="BE29" s="31">
        <f>-($D$77*100/80)</f>
      </c>
      <c r="BF29" s="31">
        <f>-($D$77*100/80)</f>
      </c>
      <c r="BG29" s="31">
        <f>-($D$77*100/80)</f>
      </c>
      <c r="BH29" s="31">
        <f>-($D$77*100/80)</f>
      </c>
      <c r="BI29" s="31">
        <f>-($D$77*100/80)</f>
      </c>
      <c r="BJ29" s="31">
        <f>-($D$77*100/80)</f>
      </c>
      <c r="BK29" s="31">
        <f>-($D$77*100/80)</f>
      </c>
      <c r="BL29" s="31">
        <f>-($D$77*100/80)</f>
      </c>
      <c r="BM29" s="31">
        <f>-($D$77*100/80)</f>
      </c>
      <c r="BN29" s="31">
        <f>-($D$77*100/80)</f>
      </c>
      <c r="BO29" s="31">
        <f>-($D$77*100/80)</f>
      </c>
      <c r="BP29" s="31">
        <f>-($D$77*100/80)</f>
      </c>
      <c r="BQ29" s="31">
        <f>-($D$77*100/80)</f>
      </c>
      <c r="BR29" s="31">
        <f>-($D$77*100/80)</f>
      </c>
      <c r="BS29" s="31">
        <f>-($D$77*100/80)</f>
      </c>
      <c r="BT29" s="31">
        <f>-($D$77*100/80)</f>
      </c>
      <c r="BU29" s="31">
        <f>-($D$77*100/80)</f>
      </c>
      <c r="BV29" s="31">
        <f>-($D$77*100/80)</f>
      </c>
      <c r="BW29" s="31">
        <f>-($D$77*100/80)</f>
      </c>
      <c r="BX29" s="31">
        <f>-($D$77*100/80)</f>
      </c>
      <c r="BY29" s="31">
        <f>-($D$77*100/80)</f>
      </c>
      <c r="BZ29" s="31">
        <f>-($D$77*100/80)</f>
      </c>
      <c r="CA29" s="31">
        <f>-($D$77*100/80)</f>
      </c>
      <c r="CB29" s="31">
        <f>-($D$77*100/80)</f>
      </c>
      <c r="CC29" s="31">
        <f>-($D$77*100/80)</f>
      </c>
      <c r="CD29" s="31">
        <f>-($D$77*100/80)</f>
      </c>
      <c r="CE29" s="31">
        <f>-($D$77*100/80)</f>
      </c>
      <c r="CF29" s="31">
        <f>-($D$77*100/80)</f>
      </c>
      <c r="CG29" s="31">
        <f>-($D$77*100/80)</f>
      </c>
      <c r="CH29" s="31">
        <f>-($D$77*100/80)</f>
      </c>
      <c r="CI29" s="31">
        <f>-($D$77*100/80)</f>
      </c>
      <c r="CJ29" s="31">
        <f>-($D$77*100/80)</f>
      </c>
      <c r="CK29" s="31">
        <f>-($D$77*100/80)</f>
      </c>
      <c r="CL29" s="31">
        <f>-($D$77*100/80)</f>
      </c>
    </row>
    <row r="30" spans="2:90" x14ac:dyDescent="0.25">
      <c r="B30" s="33" t="s">
        <v>357</v>
      </c>
      <c r="C30" s="34" t="s">
        <v>228</v>
      </c>
      <c r="D30" s="31">
        <f>SUM(E30:CL30)</f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f>-($D$79/80)</f>
      </c>
      <c r="L30" s="31">
        <f>-($D$79/80)</f>
      </c>
      <c r="M30" s="31">
        <f>-($D$79/80)</f>
      </c>
      <c r="N30" s="31">
        <f>-($D$79/80)</f>
      </c>
      <c r="O30" s="31">
        <f>-($D$79/80)</f>
      </c>
      <c r="P30" s="31">
        <f>-($D$79/80)</f>
      </c>
      <c r="Q30" s="31">
        <f>-($D$79/80)</f>
      </c>
      <c r="R30" s="31">
        <f>-($D$79/80)</f>
      </c>
      <c r="S30" s="31">
        <f>-($D$79/80)</f>
      </c>
      <c r="T30" s="31">
        <f>-($D$79/80)</f>
      </c>
      <c r="U30" s="31">
        <f>-($D$79/80)</f>
      </c>
      <c r="V30" s="31">
        <f>-($D$79/80)</f>
      </c>
      <c r="W30" s="31">
        <f>-($D$79/80)</f>
      </c>
      <c r="X30" s="31">
        <f>-($D$79/80)</f>
      </c>
      <c r="Y30" s="31">
        <f>-($D$79/80)</f>
      </c>
      <c r="Z30" s="31">
        <f>-($D$79/80)</f>
      </c>
      <c r="AA30" s="31">
        <f>-($D$79/80)</f>
      </c>
      <c r="AB30" s="31">
        <f>-($D$79/80)</f>
      </c>
      <c r="AC30" s="31">
        <f>-($D$79/80)</f>
      </c>
      <c r="AD30" s="31">
        <f>-($D$79/80)</f>
      </c>
      <c r="AE30" s="31">
        <f>-($D$79/80)</f>
      </c>
      <c r="AF30" s="31">
        <f>-($D$79/80)</f>
      </c>
      <c r="AG30" s="31">
        <f>-($D$79/80)</f>
      </c>
      <c r="AH30" s="31">
        <f>-($D$79/80)</f>
      </c>
      <c r="AI30" s="31">
        <f>-($D$79/80)</f>
      </c>
      <c r="AJ30" s="31">
        <f>-($D$79/80)</f>
      </c>
      <c r="AK30" s="31">
        <f>-($D$79/80)</f>
      </c>
      <c r="AL30" s="31">
        <f>-($D$79/80)</f>
      </c>
      <c r="AM30" s="31">
        <f>-($D$79/80)</f>
      </c>
      <c r="AN30" s="31">
        <f>-($D$79/80)</f>
      </c>
      <c r="AO30" s="31">
        <f>-($D$79/80)</f>
      </c>
      <c r="AP30" s="31">
        <f>-($D$79/80)</f>
      </c>
      <c r="AQ30" s="31">
        <f>-($D$79/80)</f>
      </c>
      <c r="AR30" s="31">
        <f>-($D$79/80)</f>
      </c>
      <c r="AS30" s="31">
        <f>-($D$79/80)</f>
      </c>
      <c r="AT30" s="31">
        <f>-($D$79/80)</f>
      </c>
      <c r="AU30" s="31">
        <f>-($D$79/80)</f>
      </c>
      <c r="AV30" s="31">
        <f>-($D$79/80)</f>
      </c>
      <c r="AW30" s="31">
        <f>-($D$79/80)</f>
      </c>
      <c r="AX30" s="31">
        <f>-($D$79/80)</f>
      </c>
      <c r="AY30" s="31">
        <f>-($D$79/80)</f>
      </c>
      <c r="AZ30" s="31">
        <f>-($D$79/80)</f>
      </c>
      <c r="BA30" s="31">
        <f>-($D$79/80)</f>
      </c>
      <c r="BB30" s="31">
        <f>-($D$79/80)</f>
      </c>
      <c r="BC30" s="31">
        <f>-($D$79/80)</f>
      </c>
      <c r="BD30" s="31">
        <f>-($D$79/80)</f>
      </c>
      <c r="BE30" s="31">
        <f>-($D$79/80)</f>
      </c>
      <c r="BF30" s="31">
        <f>-($D$79/80)</f>
      </c>
      <c r="BG30" s="31">
        <f>-($D$79/80)</f>
      </c>
      <c r="BH30" s="31">
        <f>-($D$79/80)</f>
      </c>
      <c r="BI30" s="31">
        <f>-($D$79/80)</f>
      </c>
      <c r="BJ30" s="31">
        <f>-($D$79/80)</f>
      </c>
      <c r="BK30" s="31">
        <f>-($D$79/80)</f>
      </c>
      <c r="BL30" s="31">
        <f>-($D$79/80)</f>
      </c>
      <c r="BM30" s="31">
        <f>-($D$79/80)</f>
      </c>
      <c r="BN30" s="31">
        <f>-($D$79/80)</f>
      </c>
      <c r="BO30" s="31">
        <f>-($D$79/80)</f>
      </c>
      <c r="BP30" s="31">
        <f>-($D$79/80)</f>
      </c>
      <c r="BQ30" s="31">
        <f>-($D$79/80)</f>
      </c>
      <c r="BR30" s="31">
        <f>-($D$79/80)</f>
      </c>
      <c r="BS30" s="31">
        <f>-($D$79/80)</f>
      </c>
      <c r="BT30" s="31">
        <f>-($D$79/80)</f>
      </c>
      <c r="BU30" s="31">
        <f>-($D$79/80)</f>
      </c>
      <c r="BV30" s="31">
        <f>-($D$79/80)</f>
      </c>
      <c r="BW30" s="31">
        <f>-($D$79/80)</f>
      </c>
      <c r="BX30" s="31">
        <f>-($D$79/80)</f>
      </c>
      <c r="BY30" s="31">
        <f>-($D$79/80)</f>
      </c>
      <c r="BZ30" s="31">
        <f>-($D$79/80)</f>
      </c>
      <c r="CA30" s="31">
        <f>-($D$79/80)</f>
      </c>
      <c r="CB30" s="31">
        <f>-($D$79/80)</f>
      </c>
      <c r="CC30" s="31">
        <f>-($D$79/80)</f>
      </c>
      <c r="CD30" s="31">
        <f>-($D$79/80)</f>
      </c>
      <c r="CE30" s="31">
        <f>-($D$79/80)</f>
      </c>
      <c r="CF30" s="31">
        <f>-($D$79/80)</f>
      </c>
      <c r="CG30" s="31">
        <f>-($D$79/80)</f>
      </c>
      <c r="CH30" s="31">
        <f>-($D$79/80)</f>
      </c>
      <c r="CI30" s="31">
        <f>-($D$79/80)</f>
      </c>
      <c r="CJ30" s="31">
        <f>-($D$79/80)</f>
      </c>
      <c r="CK30" s="31">
        <f>-($D$79/80)</f>
      </c>
      <c r="CL30" s="31">
        <f>-($D$79/80)</f>
      </c>
    </row>
    <row r="31" spans="2:90" x14ac:dyDescent="0.25">
      <c r="B31" s="33" t="s">
        <v>358</v>
      </c>
      <c r="C31" s="34" t="s">
        <v>228</v>
      </c>
      <c r="D31" s="31">
        <f>SUM(E31:CL31)</f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f>-($D$78/80)</f>
      </c>
      <c r="L31" s="31">
        <f>-($D$78/80)</f>
      </c>
      <c r="M31" s="31">
        <f>-($D$78/80)</f>
      </c>
      <c r="N31" s="31">
        <f>-($D$78/80)</f>
      </c>
      <c r="O31" s="31">
        <f>-($D$78/80)</f>
      </c>
      <c r="P31" s="31">
        <f>-($D$78/80)</f>
      </c>
      <c r="Q31" s="31">
        <f>-($D$78/80)</f>
      </c>
      <c r="R31" s="31">
        <f>-($D$78/80)</f>
      </c>
      <c r="S31" s="31">
        <f>-($D$78/80)</f>
      </c>
      <c r="T31" s="31">
        <f>-($D$78/80)</f>
      </c>
      <c r="U31" s="31">
        <f>-($D$78/80)</f>
      </c>
      <c r="V31" s="31">
        <f>-($D$78/80)</f>
      </c>
      <c r="W31" s="31">
        <f>-($D$78/80)</f>
      </c>
      <c r="X31" s="31">
        <f>-($D$78/80)</f>
      </c>
      <c r="Y31" s="31">
        <f>-($D$78/80)</f>
      </c>
      <c r="Z31" s="31">
        <f>-($D$78/80)</f>
      </c>
      <c r="AA31" s="31">
        <f>-($D$78/80)</f>
      </c>
      <c r="AB31" s="31">
        <f>-($D$78/80)</f>
      </c>
      <c r="AC31" s="31">
        <f>-($D$78/80)</f>
      </c>
      <c r="AD31" s="31">
        <f>-($D$78/80)</f>
      </c>
      <c r="AE31" s="31">
        <f>-($D$78/80)</f>
      </c>
      <c r="AF31" s="31">
        <f>-($D$78/80)</f>
      </c>
      <c r="AG31" s="31">
        <f>-($D$78/80)</f>
      </c>
      <c r="AH31" s="31">
        <f>-($D$78/80)</f>
      </c>
      <c r="AI31" s="31">
        <f>-($D$78/80)</f>
      </c>
      <c r="AJ31" s="31">
        <f>-($D$78/80)</f>
      </c>
      <c r="AK31" s="31">
        <f>-($D$78/80)</f>
      </c>
      <c r="AL31" s="31">
        <f>-($D$78/80)</f>
      </c>
      <c r="AM31" s="31">
        <f>-($D$78/80)</f>
      </c>
      <c r="AN31" s="31">
        <f>-($D$78/80)</f>
      </c>
      <c r="AO31" s="31">
        <f>-($D$78/80)</f>
      </c>
      <c r="AP31" s="31">
        <f>-($D$78/80)</f>
      </c>
      <c r="AQ31" s="31">
        <f>-($D$78/80)</f>
      </c>
      <c r="AR31" s="31">
        <f>-($D$78/80)</f>
      </c>
      <c r="AS31" s="31">
        <f>-($D$78/80)</f>
      </c>
      <c r="AT31" s="31">
        <f>-($D$78/80)</f>
      </c>
      <c r="AU31" s="31">
        <f>-($D$78/80)</f>
      </c>
      <c r="AV31" s="31">
        <f>-($D$78/80)</f>
      </c>
      <c r="AW31" s="31">
        <f>-($D$78/80)</f>
      </c>
      <c r="AX31" s="31">
        <f>-($D$78/80)</f>
      </c>
      <c r="AY31" s="31">
        <f>-($D$78/80)</f>
      </c>
      <c r="AZ31" s="31">
        <f>-($D$78/80)</f>
      </c>
      <c r="BA31" s="31">
        <f>-($D$78/80)</f>
      </c>
      <c r="BB31" s="31">
        <f>-($D$78/80)</f>
      </c>
      <c r="BC31" s="31">
        <f>-($D$78/80)</f>
      </c>
      <c r="BD31" s="31">
        <f>-($D$78/80)</f>
      </c>
      <c r="BE31" s="31">
        <f>-($D$78/80)</f>
      </c>
      <c r="BF31" s="31">
        <f>-($D$78/80)</f>
      </c>
      <c r="BG31" s="31">
        <f>-($D$78/80)</f>
      </c>
      <c r="BH31" s="31">
        <f>-($D$78/80)</f>
      </c>
      <c r="BI31" s="31">
        <f>-($D$78/80)</f>
      </c>
      <c r="BJ31" s="31">
        <f>-($D$78/80)</f>
      </c>
      <c r="BK31" s="31">
        <f>-($D$78/80)</f>
      </c>
      <c r="BL31" s="31">
        <f>-($D$78/80)</f>
      </c>
      <c r="BM31" s="31">
        <f>-($D$78/80)</f>
      </c>
      <c r="BN31" s="31">
        <f>-($D$78/80)</f>
      </c>
      <c r="BO31" s="31">
        <f>-($D$78/80)</f>
      </c>
      <c r="BP31" s="31">
        <f>-($D$78/80)</f>
      </c>
      <c r="BQ31" s="31">
        <f>-($D$78/80)</f>
      </c>
      <c r="BR31" s="31">
        <f>-($D$78/80)</f>
      </c>
      <c r="BS31" s="31">
        <f>-($D$78/80)</f>
      </c>
      <c r="BT31" s="31">
        <f>-($D$78/80)</f>
      </c>
      <c r="BU31" s="31">
        <f>-($D$78/80)</f>
      </c>
      <c r="BV31" s="31">
        <f>-($D$78/80)</f>
      </c>
      <c r="BW31" s="31">
        <f>-($D$78/80)</f>
      </c>
      <c r="BX31" s="31">
        <f>-($D$78/80)</f>
      </c>
      <c r="BY31" s="31">
        <f>-($D$78/80)</f>
      </c>
      <c r="BZ31" s="31">
        <f>-($D$78/80)</f>
      </c>
      <c r="CA31" s="31">
        <f>-($D$78/80)</f>
      </c>
      <c r="CB31" s="31">
        <f>-($D$78/80)</f>
      </c>
      <c r="CC31" s="31">
        <f>-($D$78/80)</f>
      </c>
      <c r="CD31" s="31">
        <f>-($D$78/80)</f>
      </c>
      <c r="CE31" s="31">
        <f>-($D$78/80)</f>
      </c>
      <c r="CF31" s="31">
        <f>-($D$78/80)</f>
      </c>
      <c r="CG31" s="31">
        <f>-($D$78/80)</f>
      </c>
      <c r="CH31" s="31">
        <f>-($D$78/80)</f>
      </c>
      <c r="CI31" s="31">
        <f>-($D$78/80)</f>
      </c>
      <c r="CJ31" s="31">
        <f>-($D$78/80)</f>
      </c>
      <c r="CK31" s="31">
        <f>-($D$78/80)</f>
      </c>
      <c r="CL31" s="31">
        <f>-($D$78/80)</f>
      </c>
    </row>
    <row r="32" spans="2:90" x14ac:dyDescent="0.25">
      <c r="B32" s="46" t="s">
        <v>359</v>
      </c>
      <c r="C32" s="34" t="s">
        <v>228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33" t="s">
        <v>360</v>
      </c>
      <c r="C33" s="34" t="s">
        <v>354</v>
      </c>
      <c r="E33" s="39">
        <f>IF(E8&lt;=0,"",E32/E8)</f>
      </c>
      <c r="F33" s="39">
        <f>IF(F8&lt;=0,"",F32/F8)</f>
      </c>
      <c r="G33" s="39">
        <f>IF(G8&lt;=0,"",G32/G8)</f>
      </c>
      <c r="H33" s="39">
        <f>IF(H8&lt;=0,"",H32/H8)</f>
      </c>
      <c r="I33" s="39">
        <f>IF(I8&lt;=0,"",I32/I8)</f>
      </c>
      <c r="J33" s="39">
        <f>IF(J8&lt;=0,"",J32/J8)</f>
      </c>
      <c r="K33" s="39">
        <f>IF(K8&lt;=0,"",K32/K8)</f>
      </c>
      <c r="L33" s="39">
        <f>IF(L8&lt;=0,"",L32/L8)</f>
      </c>
      <c r="M33" s="39">
        <f>IF(M8&lt;=0,"",M32/M8)</f>
      </c>
      <c r="N33" s="39">
        <f>IF(N8&lt;=0,"",N32/N8)</f>
      </c>
      <c r="O33" s="39">
        <f>IF(O8&lt;=0,"",O32/O8)</f>
      </c>
      <c r="P33" s="39">
        <f>IF(P8&lt;=0,"",P32/P8)</f>
      </c>
      <c r="Q33" s="39">
        <f>IF(Q8&lt;=0,"",Q32/Q8)</f>
      </c>
      <c r="R33" s="39">
        <f>IF(R8&lt;=0,"",R32/R8)</f>
      </c>
      <c r="S33" s="39">
        <f>IF(S8&lt;=0,"",S32/S8)</f>
      </c>
      <c r="T33" s="39">
        <f>IF(T8&lt;=0,"",T32/T8)</f>
      </c>
      <c r="U33" s="39">
        <f>IF(U8&lt;=0,"",U32/U8)</f>
      </c>
      <c r="V33" s="39">
        <f>IF(V8&lt;=0,"",V32/V8)</f>
      </c>
      <c r="W33" s="39">
        <f>IF(W8&lt;=0,"",W32/W8)</f>
      </c>
      <c r="X33" s="39">
        <f>IF(X8&lt;=0,"",X32/X8)</f>
      </c>
      <c r="Y33" s="39">
        <f>IF(Y8&lt;=0,"",Y32/Y8)</f>
      </c>
      <c r="Z33" s="39">
        <f>IF(Z8&lt;=0,"",Z32/Z8)</f>
      </c>
      <c r="AA33" s="39">
        <f>IF(AA8&lt;=0,"",AA32/AA8)</f>
      </c>
      <c r="AB33" s="39">
        <f>IF(AB8&lt;=0,"",AB32/AB8)</f>
      </c>
      <c r="AC33" s="39">
        <f>IF(AC8&lt;=0,"",AC32/AC8)</f>
      </c>
      <c r="AD33" s="39">
        <f>IF(AD8&lt;=0,"",AD32/AD8)</f>
      </c>
      <c r="AE33" s="39">
        <f>IF(AE8&lt;=0,"",AE32/AE8)</f>
      </c>
      <c r="AF33" s="39">
        <f>IF(AF8&lt;=0,"",AF32/AF8)</f>
      </c>
      <c r="AG33" s="39">
        <f>IF(AG8&lt;=0,"",AG32/AG8)</f>
      </c>
      <c r="AH33" s="39">
        <f>IF(AH8&lt;=0,"",AH32/AH8)</f>
      </c>
      <c r="AI33" s="39">
        <f>IF(AI8&lt;=0,"",AI32/AI8)</f>
      </c>
      <c r="AJ33" s="39">
        <f>IF(AJ8&lt;=0,"",AJ32/AJ8)</f>
      </c>
      <c r="AK33" s="39">
        <f>IF(AK8&lt;=0,"",AK32/AK8)</f>
      </c>
      <c r="AL33" s="39">
        <f>IF(AL8&lt;=0,"",AL32/AL8)</f>
      </c>
      <c r="AM33" s="39">
        <f>IF(AM8&lt;=0,"",AM32/AM8)</f>
      </c>
      <c r="AN33" s="39">
        <f>IF(AN8&lt;=0,"",AN32/AN8)</f>
      </c>
      <c r="AO33" s="39">
        <f>IF(AO8&lt;=0,"",AO32/AO8)</f>
      </c>
      <c r="AP33" s="39">
        <f>IF(AP8&lt;=0,"",AP32/AP8)</f>
      </c>
      <c r="AQ33" s="39">
        <f>IF(AQ8&lt;=0,"",AQ32/AQ8)</f>
      </c>
      <c r="AR33" s="39">
        <f>IF(AR8&lt;=0,"",AR32/AR8)</f>
      </c>
      <c r="AS33" s="39">
        <f>IF(AS8&lt;=0,"",AS32/AS8)</f>
      </c>
      <c r="AT33" s="39">
        <f>IF(AT8&lt;=0,"",AT32/AT8)</f>
      </c>
      <c r="AU33" s="39">
        <f>IF(AU8&lt;=0,"",AU32/AU8)</f>
      </c>
      <c r="AV33" s="39">
        <f>IF(AV8&lt;=0,"",AV32/AV8)</f>
      </c>
      <c r="AW33" s="39">
        <f>IF(AW8&lt;=0,"",AW32/AW8)</f>
      </c>
      <c r="AX33" s="39">
        <f>IF(AX8&lt;=0,"",AX32/AX8)</f>
      </c>
      <c r="AY33" s="39">
        <f>IF(AY8&lt;=0,"",AY32/AY8)</f>
      </c>
      <c r="AZ33" s="39">
        <f>IF(AZ8&lt;=0,"",AZ32/AZ8)</f>
      </c>
      <c r="BA33" s="39">
        <f>IF(BA8&lt;=0,"",BA32/BA8)</f>
      </c>
      <c r="BB33" s="39">
        <f>IF(BB8&lt;=0,"",BB32/BB8)</f>
      </c>
      <c r="BC33" s="39">
        <f>IF(BC8&lt;=0,"",BC32/BC8)</f>
      </c>
      <c r="BD33" s="39">
        <f>IF(BD8&lt;=0,"",BD32/BD8)</f>
      </c>
      <c r="BE33" s="39">
        <f>IF(BE8&lt;=0,"",BE32/BE8)</f>
      </c>
      <c r="BF33" s="39">
        <f>IF(BF8&lt;=0,"",BF32/BF8)</f>
      </c>
      <c r="BG33" s="39">
        <f>IF(BG8&lt;=0,"",BG32/BG8)</f>
      </c>
      <c r="BH33" s="39">
        <f>IF(BH8&lt;=0,"",BH32/BH8)</f>
      </c>
      <c r="BI33" s="39">
        <f>IF(BI8&lt;=0,"",BI32/BI8)</f>
      </c>
      <c r="BJ33" s="39">
        <f>IF(BJ8&lt;=0,"",BJ32/BJ8)</f>
      </c>
      <c r="BK33" s="39">
        <f>IF(BK8&lt;=0,"",BK32/BK8)</f>
      </c>
      <c r="BL33" s="39">
        <f>IF(BL8&lt;=0,"",BL32/BL8)</f>
      </c>
      <c r="BM33" s="39">
        <f>IF(BM8&lt;=0,"",BM32/BM8)</f>
      </c>
      <c r="BN33" s="39">
        <f>IF(BN8&lt;=0,"",BN32/BN8)</f>
      </c>
      <c r="BO33" s="39">
        <f>IF(BO8&lt;=0,"",BO32/BO8)</f>
      </c>
      <c r="BP33" s="39">
        <f>IF(BP8&lt;=0,"",BP32/BP8)</f>
      </c>
      <c r="BQ33" s="39">
        <f>IF(BQ8&lt;=0,"",BQ32/BQ8)</f>
      </c>
      <c r="BR33" s="39">
        <f>IF(BR8&lt;=0,"",BR32/BR8)</f>
      </c>
      <c r="BS33" s="39">
        <f>IF(BS8&lt;=0,"",BS32/BS8)</f>
      </c>
      <c r="BT33" s="39">
        <f>IF(BT8&lt;=0,"",BT32/BT8)</f>
      </c>
      <c r="BU33" s="39">
        <f>IF(BU8&lt;=0,"",BU32/BU8)</f>
      </c>
      <c r="BV33" s="39">
        <f>IF(BV8&lt;=0,"",BV32/BV8)</f>
      </c>
      <c r="BW33" s="39">
        <f>IF(BW8&lt;=0,"",BW32/BW8)</f>
      </c>
      <c r="BX33" s="39">
        <f>IF(BX8&lt;=0,"",BX32/BX8)</f>
      </c>
      <c r="BY33" s="39">
        <f>IF(BY8&lt;=0,"",BY32/BY8)</f>
      </c>
      <c r="BZ33" s="39">
        <f>IF(BZ8&lt;=0,"",BZ32/BZ8)</f>
      </c>
      <c r="CA33" s="39">
        <f>IF(CA8&lt;=0,"",CA32/CA8)</f>
      </c>
      <c r="CB33" s="39">
        <f>IF(CB8&lt;=0,"",CB32/CB8)</f>
      </c>
      <c r="CC33" s="39">
        <f>IF(CC8&lt;=0,"",CC32/CC8)</f>
      </c>
      <c r="CD33" s="39">
        <f>IF(CD8&lt;=0,"",CD32/CD8)</f>
      </c>
      <c r="CE33" s="39">
        <f>IF(CE8&lt;=0,"",CE32/CE8)</f>
      </c>
      <c r="CF33" s="39">
        <f>IF(CF8&lt;=0,"",CF32/CF8)</f>
      </c>
      <c r="CG33" s="39">
        <f>IF(CG8&lt;=0,"",CG32/CG8)</f>
      </c>
      <c r="CH33" s="39">
        <f>IF(CH8&lt;=0,"",CH32/CH8)</f>
      </c>
      <c r="CI33" s="39">
        <f>IF(CI8&lt;=0,"",CI32/CI8)</f>
      </c>
      <c r="CJ33" s="39">
        <f>IF(CJ8&lt;=0,"",CJ32/CJ8)</f>
      </c>
      <c r="CK33" s="39">
        <f>IF(CK8&lt;=0,"",CK32/CK8)</f>
      </c>
      <c r="CL33" s="39">
        <f>IF(CL8&lt;=0,"",CL32/CL8)</f>
      </c>
    </row>
    <row r="35" spans="2:2" x14ac:dyDescent="0.25">
      <c r="B35" s="46" t="s">
        <v>361</v>
      </c>
    </row>
    <row r="36" spans="2:90" x14ac:dyDescent="0.25">
      <c r="B36" s="33" t="s">
        <v>362</v>
      </c>
      <c r="C36" s="34" t="s">
        <v>228</v>
      </c>
      <c r="D36" s="31">
        <f>SUM(E36:CL36)</f>
      </c>
      <c r="E36" s="31">
        <f>-'Debt'!E33</f>
      </c>
      <c r="F36" s="31">
        <f>-'Debt'!F33</f>
      </c>
      <c r="G36" s="31">
        <f>-'Debt'!G33</f>
      </c>
      <c r="H36" s="31">
        <f>-'Debt'!H33</f>
      </c>
      <c r="I36" s="31">
        <f>-'Debt'!I33</f>
      </c>
      <c r="J36" s="31">
        <f>-'Debt'!J33</f>
      </c>
      <c r="K36" s="31">
        <f>-'Debt'!K33</f>
      </c>
      <c r="L36" s="31">
        <f>-'Debt'!L33</f>
      </c>
      <c r="M36" s="31">
        <f>-'Debt'!M33</f>
      </c>
      <c r="N36" s="31">
        <f>-'Debt'!N33</f>
      </c>
      <c r="O36" s="31">
        <f>-'Debt'!O33</f>
      </c>
      <c r="P36" s="31">
        <f>-'Debt'!P33</f>
      </c>
      <c r="Q36" s="31">
        <f>-'Debt'!Q33</f>
      </c>
      <c r="R36" s="31">
        <f>-'Debt'!R33</f>
      </c>
      <c r="S36" s="31">
        <f>-'Debt'!S33</f>
      </c>
      <c r="T36" s="31">
        <f>-'Debt'!T33</f>
      </c>
      <c r="U36" s="31">
        <f>-'Debt'!U33</f>
      </c>
      <c r="V36" s="31">
        <f>-'Debt'!V33</f>
      </c>
      <c r="W36" s="31">
        <f>-'Debt'!W33</f>
      </c>
      <c r="X36" s="31">
        <f>-'Debt'!X33</f>
      </c>
      <c r="Y36" s="31">
        <f>-'Debt'!Y33</f>
      </c>
      <c r="Z36" s="31">
        <f>-'Debt'!Z33</f>
      </c>
      <c r="AA36" s="31">
        <f>-'Debt'!AA33</f>
      </c>
      <c r="AB36" s="31">
        <f>-'Debt'!AB33</f>
      </c>
      <c r="AC36" s="31">
        <f>-'Debt'!AC33</f>
      </c>
      <c r="AD36" s="31">
        <f>-'Debt'!AD33</f>
      </c>
      <c r="AE36" s="31">
        <f>-'Debt'!AE33</f>
      </c>
      <c r="AF36" s="31">
        <f>-'Debt'!AF33</f>
      </c>
      <c r="AG36" s="31">
        <f>-'Debt'!AG33</f>
      </c>
      <c r="AH36" s="31">
        <f>-'Debt'!AH33</f>
      </c>
      <c r="AI36" s="31">
        <f>-'Debt'!AI33</f>
      </c>
      <c r="AJ36" s="31">
        <f>-'Debt'!AJ33</f>
      </c>
      <c r="AK36" s="31">
        <f>-'Debt'!AK33</f>
      </c>
      <c r="AL36" s="31">
        <f>-'Debt'!AL33</f>
      </c>
      <c r="AM36" s="31">
        <f>-'Debt'!AM33</f>
      </c>
      <c r="AN36" s="31">
        <f>-'Debt'!AN33</f>
      </c>
      <c r="AO36" s="31">
        <f>-'Debt'!AO33</f>
      </c>
      <c r="AP36" s="31">
        <f>-'Debt'!AP33</f>
      </c>
      <c r="AQ36" s="31">
        <f>-'Debt'!AQ33</f>
      </c>
      <c r="AR36" s="31">
        <f>-'Debt'!AR33</f>
      </c>
      <c r="AS36" s="31">
        <f>-'Debt'!AS33</f>
      </c>
      <c r="AT36" s="31">
        <f>-'Debt'!AT33</f>
      </c>
      <c r="AU36" s="31">
        <f>-'Debt'!AU33</f>
      </c>
      <c r="AV36" s="31">
        <f>-'Debt'!AV33</f>
      </c>
      <c r="AW36" s="31">
        <f>-'Debt'!AW33</f>
      </c>
      <c r="AX36" s="31">
        <f>-'Debt'!AX33</f>
      </c>
      <c r="AY36" s="31">
        <f>-'Debt'!AY33</f>
      </c>
      <c r="AZ36" s="31">
        <f>-'Debt'!AZ33</f>
      </c>
      <c r="BA36" s="31">
        <f>-'Debt'!BA33</f>
      </c>
      <c r="BB36" s="31">
        <f>-'Debt'!BB33</f>
      </c>
      <c r="BC36" s="31">
        <f>-'Debt'!BC33</f>
      </c>
      <c r="BD36" s="31">
        <f>-'Debt'!BD33</f>
      </c>
      <c r="BE36" s="31">
        <f>-'Debt'!BE33</f>
      </c>
      <c r="BF36" s="31">
        <f>-'Debt'!BF33</f>
      </c>
      <c r="BG36" s="31">
        <f>-'Debt'!BG33</f>
      </c>
      <c r="BH36" s="31">
        <f>-'Debt'!BH33</f>
      </c>
      <c r="BI36" s="31">
        <f>-'Debt'!BI33</f>
      </c>
      <c r="BJ36" s="31">
        <f>-'Debt'!BJ33</f>
      </c>
      <c r="BK36" s="31">
        <f>-'Debt'!BK33</f>
      </c>
      <c r="BL36" s="31">
        <f>-'Debt'!BL33</f>
      </c>
      <c r="BM36" s="31">
        <f>-'Debt'!BM33</f>
      </c>
      <c r="BN36" s="31">
        <f>-'Debt'!BN33</f>
      </c>
      <c r="BO36" s="31">
        <f>-'Debt'!BO33</f>
      </c>
      <c r="BP36" s="31">
        <f>-'Debt'!BP33</f>
      </c>
      <c r="BQ36" s="31">
        <f>-'Debt'!BQ33</f>
      </c>
      <c r="BR36" s="31">
        <f>-'Debt'!BR33</f>
      </c>
      <c r="BS36" s="31">
        <f>-'Debt'!BS33</f>
      </c>
      <c r="BT36" s="31">
        <f>-'Debt'!BT33</f>
      </c>
      <c r="BU36" s="31">
        <f>-'Debt'!BU33</f>
      </c>
      <c r="BV36" s="31">
        <f>-'Debt'!BV33</f>
      </c>
      <c r="BW36" s="31">
        <f>-'Debt'!BW33</f>
      </c>
      <c r="BX36" s="31">
        <f>-'Debt'!BX33</f>
      </c>
      <c r="BY36" s="31">
        <f>-'Debt'!BY33</f>
      </c>
      <c r="BZ36" s="31">
        <f>-'Debt'!BZ33</f>
      </c>
      <c r="CA36" s="31">
        <f>-'Debt'!CA33</f>
      </c>
      <c r="CB36" s="31">
        <f>-'Debt'!CB33</f>
      </c>
      <c r="CC36" s="31">
        <f>-'Debt'!CC33</f>
      </c>
      <c r="CD36" s="31">
        <f>-'Debt'!CD33</f>
      </c>
      <c r="CE36" s="31">
        <f>-'Debt'!CE33</f>
      </c>
      <c r="CF36" s="31">
        <f>-'Debt'!CF33</f>
      </c>
      <c r="CG36" s="31">
        <f>-'Debt'!CG33</f>
      </c>
      <c r="CH36" s="31">
        <f>-'Debt'!CH33</f>
      </c>
      <c r="CI36" s="31">
        <f>-'Debt'!CI33</f>
      </c>
      <c r="CJ36" s="31">
        <f>-'Debt'!CJ33</f>
      </c>
      <c r="CK36" s="31">
        <f>-'Debt'!CK33</f>
      </c>
      <c r="CL36" s="31">
        <f>-'Debt'!CL33</f>
      </c>
    </row>
    <row r="37" spans="2:90" x14ac:dyDescent="0.25">
      <c r="B37" s="33" t="s">
        <v>363</v>
      </c>
      <c r="C37" s="34" t="s">
        <v>228</v>
      </c>
      <c r="D37" s="31">
        <f>SUM(E37:CL37)</f>
      </c>
      <c r="E37" s="31">
        <f>-'Debt'!E42</f>
      </c>
      <c r="F37" s="31">
        <f>-'Debt'!F42</f>
      </c>
      <c r="G37" s="31">
        <f>-'Debt'!G42</f>
      </c>
      <c r="H37" s="31">
        <f>-'Debt'!H42</f>
      </c>
      <c r="I37" s="31">
        <f>-'Debt'!I42</f>
      </c>
      <c r="J37" s="31">
        <f>-'Debt'!J42</f>
      </c>
      <c r="K37" s="31">
        <f>-'Debt'!K42</f>
      </c>
      <c r="L37" s="31">
        <f>-'Debt'!L42</f>
      </c>
      <c r="M37" s="31">
        <f>-'Debt'!M42</f>
      </c>
      <c r="N37" s="31">
        <f>-'Debt'!N42</f>
      </c>
      <c r="O37" s="31">
        <f>-'Debt'!O42</f>
      </c>
      <c r="P37" s="31">
        <f>-'Debt'!P42</f>
      </c>
      <c r="Q37" s="31">
        <f>-'Debt'!Q42</f>
      </c>
      <c r="R37" s="31">
        <f>-'Debt'!R42</f>
      </c>
      <c r="S37" s="31">
        <f>-'Debt'!S42</f>
      </c>
      <c r="T37" s="31">
        <f>-'Debt'!T42</f>
      </c>
      <c r="U37" s="31">
        <f>-'Debt'!U42</f>
      </c>
      <c r="V37" s="31">
        <f>-'Debt'!V42</f>
      </c>
      <c r="W37" s="31">
        <f>-'Debt'!W42</f>
      </c>
      <c r="X37" s="31">
        <f>-'Debt'!X42</f>
      </c>
      <c r="Y37" s="31">
        <f>-'Debt'!Y42</f>
      </c>
      <c r="Z37" s="31">
        <f>-'Debt'!Z42</f>
      </c>
      <c r="AA37" s="31">
        <f>-'Debt'!AA42</f>
      </c>
      <c r="AB37" s="31">
        <f>-'Debt'!AB42</f>
      </c>
      <c r="AC37" s="31">
        <f>-'Debt'!AC42</f>
      </c>
      <c r="AD37" s="31">
        <f>-'Debt'!AD42</f>
      </c>
      <c r="AE37" s="31">
        <f>-'Debt'!AE42</f>
      </c>
      <c r="AF37" s="31">
        <f>-'Debt'!AF42</f>
      </c>
      <c r="AG37" s="31">
        <f>-'Debt'!AG42</f>
      </c>
      <c r="AH37" s="31">
        <f>-'Debt'!AH42</f>
      </c>
      <c r="AI37" s="31">
        <f>-'Debt'!AI42</f>
      </c>
      <c r="AJ37" s="31">
        <f>-'Debt'!AJ42</f>
      </c>
      <c r="AK37" s="31">
        <f>-'Debt'!AK42</f>
      </c>
      <c r="AL37" s="31">
        <f>-'Debt'!AL42</f>
      </c>
      <c r="AM37" s="31">
        <f>-'Debt'!AM42</f>
      </c>
      <c r="AN37" s="31">
        <f>-'Debt'!AN42</f>
      </c>
      <c r="AO37" s="31">
        <f>-'Debt'!AO42</f>
      </c>
      <c r="AP37" s="31">
        <f>-'Debt'!AP42</f>
      </c>
      <c r="AQ37" s="31">
        <f>-'Debt'!AQ42</f>
      </c>
      <c r="AR37" s="31">
        <f>-'Debt'!AR42</f>
      </c>
      <c r="AS37" s="31">
        <f>-'Debt'!AS42</f>
      </c>
      <c r="AT37" s="31">
        <f>-'Debt'!AT42</f>
      </c>
      <c r="AU37" s="31">
        <f>-'Debt'!AU42</f>
      </c>
      <c r="AV37" s="31">
        <f>-'Debt'!AV42</f>
      </c>
      <c r="AW37" s="31">
        <f>-'Debt'!AW42</f>
      </c>
      <c r="AX37" s="31">
        <f>-'Debt'!AX42</f>
      </c>
      <c r="AY37" s="31">
        <f>-'Debt'!AY42</f>
      </c>
      <c r="AZ37" s="31">
        <f>-'Debt'!AZ42</f>
      </c>
      <c r="BA37" s="31">
        <f>-'Debt'!BA42</f>
      </c>
      <c r="BB37" s="31">
        <f>-'Debt'!BB42</f>
      </c>
      <c r="BC37" s="31">
        <f>-'Debt'!BC42</f>
      </c>
      <c r="BD37" s="31">
        <f>-'Debt'!BD42</f>
      </c>
      <c r="BE37" s="31">
        <f>-'Debt'!BE42</f>
      </c>
      <c r="BF37" s="31">
        <f>-'Debt'!BF42</f>
      </c>
      <c r="BG37" s="31">
        <f>-'Debt'!BG42</f>
      </c>
      <c r="BH37" s="31">
        <f>-'Debt'!BH42</f>
      </c>
      <c r="BI37" s="31">
        <f>-'Debt'!BI42</f>
      </c>
      <c r="BJ37" s="31">
        <f>-'Debt'!BJ42</f>
      </c>
      <c r="BK37" s="31">
        <f>-'Debt'!BK42</f>
      </c>
      <c r="BL37" s="31">
        <f>-'Debt'!BL42</f>
      </c>
      <c r="BM37" s="31">
        <f>-'Debt'!BM42</f>
      </c>
      <c r="BN37" s="31">
        <f>-'Debt'!BN42</f>
      </c>
      <c r="BO37" s="31">
        <f>-'Debt'!BO42</f>
      </c>
      <c r="BP37" s="31">
        <f>-'Debt'!BP42</f>
      </c>
      <c r="BQ37" s="31">
        <f>-'Debt'!BQ42</f>
      </c>
      <c r="BR37" s="31">
        <f>-'Debt'!BR42</f>
      </c>
      <c r="BS37" s="31">
        <f>-'Debt'!BS42</f>
      </c>
      <c r="BT37" s="31">
        <f>-'Debt'!BT42</f>
      </c>
      <c r="BU37" s="31">
        <f>-'Debt'!BU42</f>
      </c>
      <c r="BV37" s="31">
        <f>-'Debt'!BV42</f>
      </c>
      <c r="BW37" s="31">
        <f>-'Debt'!BW42</f>
      </c>
      <c r="BX37" s="31">
        <f>-'Debt'!BX42</f>
      </c>
      <c r="BY37" s="31">
        <f>-'Debt'!BY42</f>
      </c>
      <c r="BZ37" s="31">
        <f>-'Debt'!BZ42</f>
      </c>
      <c r="CA37" s="31">
        <f>-'Debt'!CA42</f>
      </c>
      <c r="CB37" s="31">
        <f>-'Debt'!CB42</f>
      </c>
      <c r="CC37" s="31">
        <f>-'Debt'!CC42</f>
      </c>
      <c r="CD37" s="31">
        <f>-'Debt'!CD42</f>
      </c>
      <c r="CE37" s="31">
        <f>-'Debt'!CE42</f>
      </c>
      <c r="CF37" s="31">
        <f>-'Debt'!CF42</f>
      </c>
      <c r="CG37" s="31">
        <f>-'Debt'!CG42</f>
      </c>
      <c r="CH37" s="31">
        <f>-'Debt'!CH42</f>
      </c>
      <c r="CI37" s="31">
        <f>-'Debt'!CI42</f>
      </c>
      <c r="CJ37" s="31">
        <f>-'Debt'!CJ42</f>
      </c>
      <c r="CK37" s="31">
        <f>-'Debt'!CK42</f>
      </c>
      <c r="CL37" s="31">
        <f>-'Debt'!CL42</f>
      </c>
    </row>
    <row r="38" spans="2:90" x14ac:dyDescent="0.25">
      <c r="B38" s="33" t="s">
        <v>364</v>
      </c>
      <c r="C38" s="34" t="s">
        <v>228</v>
      </c>
      <c r="D38" s="31">
        <f>SUM(E38:CL38)</f>
      </c>
      <c r="E38" s="31">
        <f>-'Debt'!E51</f>
      </c>
      <c r="F38" s="31">
        <f>-'Debt'!F51</f>
      </c>
      <c r="G38" s="31">
        <f>-'Debt'!G51</f>
      </c>
      <c r="H38" s="31">
        <f>-'Debt'!H51</f>
      </c>
      <c r="I38" s="31">
        <f>-'Debt'!I51</f>
      </c>
      <c r="J38" s="31">
        <f>-'Debt'!J51</f>
      </c>
      <c r="K38" s="31">
        <f>-'Debt'!K51</f>
      </c>
      <c r="L38" s="31">
        <f>-'Debt'!L51</f>
      </c>
      <c r="M38" s="31">
        <f>-'Debt'!M51</f>
      </c>
      <c r="N38" s="31">
        <f>-'Debt'!N51</f>
      </c>
      <c r="O38" s="31">
        <f>-'Debt'!O51</f>
      </c>
      <c r="P38" s="31">
        <f>-'Debt'!P51</f>
      </c>
      <c r="Q38" s="31">
        <f>-'Debt'!Q51</f>
      </c>
      <c r="R38" s="31">
        <f>-'Debt'!R51</f>
      </c>
      <c r="S38" s="31">
        <f>-'Debt'!S51</f>
      </c>
      <c r="T38" s="31">
        <f>-'Debt'!T51</f>
      </c>
      <c r="U38" s="31">
        <f>-'Debt'!U51</f>
      </c>
      <c r="V38" s="31">
        <f>-'Debt'!V51</f>
      </c>
      <c r="W38" s="31">
        <f>-'Debt'!W51</f>
      </c>
      <c r="X38" s="31">
        <f>-'Debt'!X51</f>
      </c>
      <c r="Y38" s="31">
        <f>-'Debt'!Y51</f>
      </c>
      <c r="Z38" s="31">
        <f>-'Debt'!Z51</f>
      </c>
      <c r="AA38" s="31">
        <f>-'Debt'!AA51</f>
      </c>
      <c r="AB38" s="31">
        <f>-'Debt'!AB51</f>
      </c>
      <c r="AC38" s="31">
        <f>-'Debt'!AC51</f>
      </c>
      <c r="AD38" s="31">
        <f>-'Debt'!AD51</f>
      </c>
      <c r="AE38" s="31">
        <f>-'Debt'!AE51</f>
      </c>
      <c r="AF38" s="31">
        <f>-'Debt'!AF51</f>
      </c>
      <c r="AG38" s="31">
        <f>-'Debt'!AG51</f>
      </c>
      <c r="AH38" s="31">
        <f>-'Debt'!AH51</f>
      </c>
      <c r="AI38" s="31">
        <f>-'Debt'!AI51</f>
      </c>
      <c r="AJ38" s="31">
        <f>-'Debt'!AJ51</f>
      </c>
      <c r="AK38" s="31">
        <f>-'Debt'!AK51</f>
      </c>
      <c r="AL38" s="31">
        <f>-'Debt'!AL51</f>
      </c>
      <c r="AM38" s="31">
        <f>-'Debt'!AM51</f>
      </c>
      <c r="AN38" s="31">
        <f>-'Debt'!AN51</f>
      </c>
      <c r="AO38" s="31">
        <f>-'Debt'!AO51</f>
      </c>
      <c r="AP38" s="31">
        <f>-'Debt'!AP51</f>
      </c>
      <c r="AQ38" s="31">
        <f>-'Debt'!AQ51</f>
      </c>
      <c r="AR38" s="31">
        <f>-'Debt'!AR51</f>
      </c>
      <c r="AS38" s="31">
        <f>-'Debt'!AS51</f>
      </c>
      <c r="AT38" s="31">
        <f>-'Debt'!AT51</f>
      </c>
      <c r="AU38" s="31">
        <f>-'Debt'!AU51</f>
      </c>
      <c r="AV38" s="31">
        <f>-'Debt'!AV51</f>
      </c>
      <c r="AW38" s="31">
        <f>-'Debt'!AW51</f>
      </c>
      <c r="AX38" s="31">
        <f>-'Debt'!AX51</f>
      </c>
      <c r="AY38" s="31">
        <f>-'Debt'!AY51</f>
      </c>
      <c r="AZ38" s="31">
        <f>-'Debt'!AZ51</f>
      </c>
      <c r="BA38" s="31">
        <f>-'Debt'!BA51</f>
      </c>
      <c r="BB38" s="31">
        <f>-'Debt'!BB51</f>
      </c>
      <c r="BC38" s="31">
        <f>-'Debt'!BC51</f>
      </c>
      <c r="BD38" s="31">
        <f>-'Debt'!BD51</f>
      </c>
      <c r="BE38" s="31">
        <f>-'Debt'!BE51</f>
      </c>
      <c r="BF38" s="31">
        <f>-'Debt'!BF51</f>
      </c>
      <c r="BG38" s="31">
        <f>-'Debt'!BG51</f>
      </c>
      <c r="BH38" s="31">
        <f>-'Debt'!BH51</f>
      </c>
      <c r="BI38" s="31">
        <f>-'Debt'!BI51</f>
      </c>
      <c r="BJ38" s="31">
        <f>-'Debt'!BJ51</f>
      </c>
      <c r="BK38" s="31">
        <f>-'Debt'!BK51</f>
      </c>
      <c r="BL38" s="31">
        <f>-'Debt'!BL51</f>
      </c>
      <c r="BM38" s="31">
        <f>-'Debt'!BM51</f>
      </c>
      <c r="BN38" s="31">
        <f>-'Debt'!BN51</f>
      </c>
      <c r="BO38" s="31">
        <f>-'Debt'!BO51</f>
      </c>
      <c r="BP38" s="31">
        <f>-'Debt'!BP51</f>
      </c>
      <c r="BQ38" s="31">
        <f>-'Debt'!BQ51</f>
      </c>
      <c r="BR38" s="31">
        <f>-'Debt'!BR51</f>
      </c>
      <c r="BS38" s="31">
        <f>-'Debt'!BS51</f>
      </c>
      <c r="BT38" s="31">
        <f>-'Debt'!BT51</f>
      </c>
      <c r="BU38" s="31">
        <f>-'Debt'!BU51</f>
      </c>
      <c r="BV38" s="31">
        <f>-'Debt'!BV51</f>
      </c>
      <c r="BW38" s="31">
        <f>-'Debt'!BW51</f>
      </c>
      <c r="BX38" s="31">
        <f>-'Debt'!BX51</f>
      </c>
      <c r="BY38" s="31">
        <f>-'Debt'!BY51</f>
      </c>
      <c r="BZ38" s="31">
        <f>-'Debt'!BZ51</f>
      </c>
      <c r="CA38" s="31">
        <f>-'Debt'!CA51</f>
      </c>
      <c r="CB38" s="31">
        <f>-'Debt'!CB51</f>
      </c>
      <c r="CC38" s="31">
        <f>-'Debt'!CC51</f>
      </c>
      <c r="CD38" s="31">
        <f>-'Debt'!CD51</f>
      </c>
      <c r="CE38" s="31">
        <f>-'Debt'!CE51</f>
      </c>
      <c r="CF38" s="31">
        <f>-'Debt'!CF51</f>
      </c>
      <c r="CG38" s="31">
        <f>-'Debt'!CG51</f>
      </c>
      <c r="CH38" s="31">
        <f>-'Debt'!CH51</f>
      </c>
      <c r="CI38" s="31">
        <f>-'Debt'!CI51</f>
      </c>
      <c r="CJ38" s="31">
        <f>-'Debt'!CJ51</f>
      </c>
      <c r="CK38" s="31">
        <f>-'Debt'!CK51</f>
      </c>
      <c r="CL38" s="31">
        <f>-'Debt'!CL51</f>
      </c>
    </row>
    <row r="39" spans="2:90" x14ac:dyDescent="0.25">
      <c r="B39" s="33" t="s">
        <v>365</v>
      </c>
      <c r="C39" s="34" t="s">
        <v>228</v>
      </c>
      <c r="D39" s="31">
        <f>SUM(E39:CL39)</f>
      </c>
      <c r="E39" s="31">
        <f>-'Debt'!E61</f>
      </c>
      <c r="F39" s="31">
        <f>-'Debt'!F61</f>
      </c>
      <c r="G39" s="31">
        <f>-'Debt'!G61</f>
      </c>
      <c r="H39" s="31">
        <f>-'Debt'!H61</f>
      </c>
      <c r="I39" s="31">
        <f>-'Debt'!I61</f>
      </c>
      <c r="J39" s="31">
        <f>-'Debt'!J61</f>
      </c>
      <c r="K39" s="31">
        <f>-'Debt'!K61</f>
      </c>
      <c r="L39" s="31">
        <f>-'Debt'!L61</f>
      </c>
      <c r="M39" s="31">
        <f>-'Debt'!M61</f>
      </c>
      <c r="N39" s="31">
        <f>-'Debt'!N61</f>
      </c>
      <c r="O39" s="31">
        <f>-'Debt'!O61</f>
      </c>
      <c r="P39" s="31">
        <f>-'Debt'!P61</f>
      </c>
      <c r="Q39" s="31">
        <f>-'Debt'!Q61</f>
      </c>
      <c r="R39" s="31">
        <f>-'Debt'!R61</f>
      </c>
      <c r="S39" s="31">
        <f>-'Debt'!S61</f>
      </c>
      <c r="T39" s="31">
        <f>-'Debt'!T61</f>
      </c>
      <c r="U39" s="31">
        <f>-'Debt'!U61</f>
      </c>
      <c r="V39" s="31">
        <f>-'Debt'!V61</f>
      </c>
      <c r="W39" s="31">
        <f>-'Debt'!W61</f>
      </c>
      <c r="X39" s="31">
        <f>-'Debt'!X61</f>
      </c>
      <c r="Y39" s="31">
        <f>-'Debt'!Y61</f>
      </c>
      <c r="Z39" s="31">
        <f>-'Debt'!Z61</f>
      </c>
      <c r="AA39" s="31">
        <f>-'Debt'!AA61</f>
      </c>
      <c r="AB39" s="31">
        <f>-'Debt'!AB61</f>
      </c>
      <c r="AC39" s="31">
        <f>-'Debt'!AC61</f>
      </c>
      <c r="AD39" s="31">
        <f>-'Debt'!AD61</f>
      </c>
      <c r="AE39" s="31">
        <f>-'Debt'!AE61</f>
      </c>
      <c r="AF39" s="31">
        <f>-'Debt'!AF61</f>
      </c>
      <c r="AG39" s="31">
        <f>-'Debt'!AG61</f>
      </c>
      <c r="AH39" s="31">
        <f>-'Debt'!AH61</f>
      </c>
      <c r="AI39" s="31">
        <f>-'Debt'!AI61</f>
      </c>
      <c r="AJ39" s="31">
        <f>-'Debt'!AJ61</f>
      </c>
      <c r="AK39" s="31">
        <f>-'Debt'!AK61</f>
      </c>
      <c r="AL39" s="31">
        <f>-'Debt'!AL61</f>
      </c>
      <c r="AM39" s="31">
        <f>-'Debt'!AM61</f>
      </c>
      <c r="AN39" s="31">
        <f>-'Debt'!AN61</f>
      </c>
      <c r="AO39" s="31">
        <f>-'Debt'!AO61</f>
      </c>
      <c r="AP39" s="31">
        <f>-'Debt'!AP61</f>
      </c>
      <c r="AQ39" s="31">
        <f>-'Debt'!AQ61</f>
      </c>
      <c r="AR39" s="31">
        <f>-'Debt'!AR61</f>
      </c>
      <c r="AS39" s="31">
        <f>-'Debt'!AS61</f>
      </c>
      <c r="AT39" s="31">
        <f>-'Debt'!AT61</f>
      </c>
      <c r="AU39" s="31">
        <f>-'Debt'!AU61</f>
      </c>
      <c r="AV39" s="31">
        <f>-'Debt'!AV61</f>
      </c>
      <c r="AW39" s="31">
        <f>-'Debt'!AW61</f>
      </c>
      <c r="AX39" s="31">
        <f>-'Debt'!AX61</f>
      </c>
      <c r="AY39" s="31">
        <f>-'Debt'!AY61</f>
      </c>
      <c r="AZ39" s="31">
        <f>-'Debt'!AZ61</f>
      </c>
      <c r="BA39" s="31">
        <f>-'Debt'!BA61</f>
      </c>
      <c r="BB39" s="31">
        <f>-'Debt'!BB61</f>
      </c>
      <c r="BC39" s="31">
        <f>-'Debt'!BC61</f>
      </c>
      <c r="BD39" s="31">
        <f>-'Debt'!BD61</f>
      </c>
      <c r="BE39" s="31">
        <f>-'Debt'!BE61</f>
      </c>
      <c r="BF39" s="31">
        <f>-'Debt'!BF61</f>
      </c>
      <c r="BG39" s="31">
        <f>-'Debt'!BG61</f>
      </c>
      <c r="BH39" s="31">
        <f>-'Debt'!BH61</f>
      </c>
      <c r="BI39" s="31">
        <f>-'Debt'!BI61</f>
      </c>
      <c r="BJ39" s="31">
        <f>-'Debt'!BJ61</f>
      </c>
      <c r="BK39" s="31">
        <f>-'Debt'!BK61</f>
      </c>
      <c r="BL39" s="31">
        <f>-'Debt'!BL61</f>
      </c>
      <c r="BM39" s="31">
        <f>-'Debt'!BM61</f>
      </c>
      <c r="BN39" s="31">
        <f>-'Debt'!BN61</f>
      </c>
      <c r="BO39" s="31">
        <f>-'Debt'!BO61</f>
      </c>
      <c r="BP39" s="31">
        <f>-'Debt'!BP61</f>
      </c>
      <c r="BQ39" s="31">
        <f>-'Debt'!BQ61</f>
      </c>
      <c r="BR39" s="31">
        <f>-'Debt'!BR61</f>
      </c>
      <c r="BS39" s="31">
        <f>-'Debt'!BS61</f>
      </c>
      <c r="BT39" s="31">
        <f>-'Debt'!BT61</f>
      </c>
      <c r="BU39" s="31">
        <f>-'Debt'!BU61</f>
      </c>
      <c r="BV39" s="31">
        <f>-'Debt'!BV61</f>
      </c>
      <c r="BW39" s="31">
        <f>-'Debt'!BW61</f>
      </c>
      <c r="BX39" s="31">
        <f>-'Debt'!BX61</f>
      </c>
      <c r="BY39" s="31">
        <f>-'Debt'!BY61</f>
      </c>
      <c r="BZ39" s="31">
        <f>-'Debt'!BZ61</f>
      </c>
      <c r="CA39" s="31">
        <f>-'Debt'!CA61</f>
      </c>
      <c r="CB39" s="31">
        <f>-'Debt'!CB61</f>
      </c>
      <c r="CC39" s="31">
        <f>-'Debt'!CC61</f>
      </c>
      <c r="CD39" s="31">
        <f>-'Debt'!CD61</f>
      </c>
      <c r="CE39" s="31">
        <f>-'Debt'!CE61</f>
      </c>
      <c r="CF39" s="31">
        <f>-'Debt'!CF61</f>
      </c>
      <c r="CG39" s="31">
        <f>-'Debt'!CG61</f>
      </c>
      <c r="CH39" s="31">
        <f>-'Debt'!CH61</f>
      </c>
      <c r="CI39" s="31">
        <f>-'Debt'!CI61</f>
      </c>
      <c r="CJ39" s="31">
        <f>-'Debt'!CJ61</f>
      </c>
      <c r="CK39" s="31">
        <f>-'Debt'!CK61</f>
      </c>
      <c r="CL39" s="31">
        <f>-'Debt'!CL61</f>
      </c>
    </row>
    <row r="40" spans="2:90" x14ac:dyDescent="0.25">
      <c r="B40" s="33" t="s">
        <v>366</v>
      </c>
      <c r="C40" s="34" t="s">
        <v>228</v>
      </c>
      <c r="D40" s="31">
        <f>SUM(E40:CL40)</f>
      </c>
      <c r="E40" s="31">
        <f>-'Debt'!E70</f>
      </c>
      <c r="F40" s="31">
        <f>-'Debt'!F70</f>
      </c>
      <c r="G40" s="31">
        <f>-'Debt'!G70</f>
      </c>
      <c r="H40" s="31">
        <f>-'Debt'!H70</f>
      </c>
      <c r="I40" s="31">
        <f>-'Debt'!I70</f>
      </c>
      <c r="J40" s="31">
        <f>-'Debt'!J70</f>
      </c>
      <c r="K40" s="31">
        <f>-'Debt'!K70</f>
      </c>
      <c r="L40" s="31">
        <f>-'Debt'!L70</f>
      </c>
      <c r="M40" s="31">
        <f>-'Debt'!M70</f>
      </c>
      <c r="N40" s="31">
        <f>-'Debt'!N70</f>
      </c>
      <c r="O40" s="31">
        <f>-'Debt'!O70</f>
      </c>
      <c r="P40" s="31">
        <f>-'Debt'!P70</f>
      </c>
      <c r="Q40" s="31">
        <f>-'Debt'!Q70</f>
      </c>
      <c r="R40" s="31">
        <f>-'Debt'!R70</f>
      </c>
      <c r="S40" s="31">
        <f>-'Debt'!S70</f>
      </c>
      <c r="T40" s="31">
        <f>-'Debt'!T70</f>
      </c>
      <c r="U40" s="31">
        <f>-'Debt'!U70</f>
      </c>
      <c r="V40" s="31">
        <f>-'Debt'!V70</f>
      </c>
      <c r="W40" s="31">
        <f>-'Debt'!W70</f>
      </c>
      <c r="X40" s="31">
        <f>-'Debt'!X70</f>
      </c>
      <c r="Y40" s="31">
        <f>-'Debt'!Y70</f>
      </c>
      <c r="Z40" s="31">
        <f>-'Debt'!Z70</f>
      </c>
      <c r="AA40" s="31">
        <f>-'Debt'!AA70</f>
      </c>
      <c r="AB40" s="31">
        <f>-'Debt'!AB70</f>
      </c>
      <c r="AC40" s="31">
        <f>-'Debt'!AC70</f>
      </c>
      <c r="AD40" s="31">
        <f>-'Debt'!AD70</f>
      </c>
      <c r="AE40" s="31">
        <f>-'Debt'!AE70</f>
      </c>
      <c r="AF40" s="31">
        <f>-'Debt'!AF70</f>
      </c>
      <c r="AG40" s="31">
        <f>-'Debt'!AG70</f>
      </c>
      <c r="AH40" s="31">
        <f>-'Debt'!AH70</f>
      </c>
      <c r="AI40" s="31">
        <f>-'Debt'!AI70</f>
      </c>
      <c r="AJ40" s="31">
        <f>-'Debt'!AJ70</f>
      </c>
      <c r="AK40" s="31">
        <f>-'Debt'!AK70</f>
      </c>
      <c r="AL40" s="31">
        <f>-'Debt'!AL70</f>
      </c>
      <c r="AM40" s="31">
        <f>-'Debt'!AM70</f>
      </c>
      <c r="AN40" s="31">
        <f>-'Debt'!AN70</f>
      </c>
      <c r="AO40" s="31">
        <f>-'Debt'!AO70</f>
      </c>
      <c r="AP40" s="31">
        <f>-'Debt'!AP70</f>
      </c>
      <c r="AQ40" s="31">
        <f>-'Debt'!AQ70</f>
      </c>
      <c r="AR40" s="31">
        <f>-'Debt'!AR70</f>
      </c>
      <c r="AS40" s="31">
        <f>-'Debt'!AS70</f>
      </c>
      <c r="AT40" s="31">
        <f>-'Debt'!AT70</f>
      </c>
      <c r="AU40" s="31">
        <f>-'Debt'!AU70</f>
      </c>
      <c r="AV40" s="31">
        <f>-'Debt'!AV70</f>
      </c>
      <c r="AW40" s="31">
        <f>-'Debt'!AW70</f>
      </c>
      <c r="AX40" s="31">
        <f>-'Debt'!AX70</f>
      </c>
      <c r="AY40" s="31">
        <f>-'Debt'!AY70</f>
      </c>
      <c r="AZ40" s="31">
        <f>-'Debt'!AZ70</f>
      </c>
      <c r="BA40" s="31">
        <f>-'Debt'!BA70</f>
      </c>
      <c r="BB40" s="31">
        <f>-'Debt'!BB70</f>
      </c>
      <c r="BC40" s="31">
        <f>-'Debt'!BC70</f>
      </c>
      <c r="BD40" s="31">
        <f>-'Debt'!BD70</f>
      </c>
      <c r="BE40" s="31">
        <f>-'Debt'!BE70</f>
      </c>
      <c r="BF40" s="31">
        <f>-'Debt'!BF70</f>
      </c>
      <c r="BG40" s="31">
        <f>-'Debt'!BG70</f>
      </c>
      <c r="BH40" s="31">
        <f>-'Debt'!BH70</f>
      </c>
      <c r="BI40" s="31">
        <f>-'Debt'!BI70</f>
      </c>
      <c r="BJ40" s="31">
        <f>-'Debt'!BJ70</f>
      </c>
      <c r="BK40" s="31">
        <f>-'Debt'!BK70</f>
      </c>
      <c r="BL40" s="31">
        <f>-'Debt'!BL70</f>
      </c>
      <c r="BM40" s="31">
        <f>-'Debt'!BM70</f>
      </c>
      <c r="BN40" s="31">
        <f>-'Debt'!BN70</f>
      </c>
      <c r="BO40" s="31">
        <f>-'Debt'!BO70</f>
      </c>
      <c r="BP40" s="31">
        <f>-'Debt'!BP70</f>
      </c>
      <c r="BQ40" s="31">
        <f>-'Debt'!BQ70</f>
      </c>
      <c r="BR40" s="31">
        <f>-'Debt'!BR70</f>
      </c>
      <c r="BS40" s="31">
        <f>-'Debt'!BS70</f>
      </c>
      <c r="BT40" s="31">
        <f>-'Debt'!BT70</f>
      </c>
      <c r="BU40" s="31">
        <f>-'Debt'!BU70</f>
      </c>
      <c r="BV40" s="31">
        <f>-'Debt'!BV70</f>
      </c>
      <c r="BW40" s="31">
        <f>-'Debt'!BW70</f>
      </c>
      <c r="BX40" s="31">
        <f>-'Debt'!BX70</f>
      </c>
      <c r="BY40" s="31">
        <f>-'Debt'!BY70</f>
      </c>
      <c r="BZ40" s="31">
        <f>-'Debt'!BZ70</f>
      </c>
      <c r="CA40" s="31">
        <f>-'Debt'!CA70</f>
      </c>
      <c r="CB40" s="31">
        <f>-'Debt'!CB70</f>
      </c>
      <c r="CC40" s="31">
        <f>-'Debt'!CC70</f>
      </c>
      <c r="CD40" s="31">
        <f>-'Debt'!CD70</f>
      </c>
      <c r="CE40" s="31">
        <f>-'Debt'!CE70</f>
      </c>
      <c r="CF40" s="31">
        <f>-'Debt'!CF70</f>
      </c>
      <c r="CG40" s="31">
        <f>-'Debt'!CG70</f>
      </c>
      <c r="CH40" s="31">
        <f>-'Debt'!CH70</f>
      </c>
      <c r="CI40" s="31">
        <f>-'Debt'!CI70</f>
      </c>
      <c r="CJ40" s="31">
        <f>-'Debt'!CJ70</f>
      </c>
      <c r="CK40" s="31">
        <f>-'Debt'!CK70</f>
      </c>
      <c r="CL40" s="31">
        <f>-'Debt'!CL70</f>
      </c>
    </row>
    <row r="41" spans="2:90" x14ac:dyDescent="0.25">
      <c r="B41" s="46" t="s">
        <v>367</v>
      </c>
      <c r="C41" s="34" t="s">
        <v>228</v>
      </c>
      <c r="D41" s="14">
        <f>SUM(E41:CL41)</f>
      </c>
      <c r="E41" s="14">
        <f>E36+E37+E38+E39+E40</f>
      </c>
      <c r="F41" s="14">
        <f>F36+F37+F38+F39+F40</f>
      </c>
      <c r="G41" s="14">
        <f>G36+G37+G38+G39+G40</f>
      </c>
      <c r="H41" s="14">
        <f>H36+H37+H38+H39+H40</f>
      </c>
      <c r="I41" s="14">
        <f>I36+I37+I38+I39+I40</f>
      </c>
      <c r="J41" s="14">
        <f>J36+J37+J38+J39+J40</f>
      </c>
      <c r="K41" s="14">
        <f>K36+K37+K38+K39+K40</f>
      </c>
      <c r="L41" s="14">
        <f>L36+L37+L38+L39+L40</f>
      </c>
      <c r="M41" s="14">
        <f>M36+M37+M38+M39+M40</f>
      </c>
      <c r="N41" s="14">
        <f>N36+N37+N38+N39+N40</f>
      </c>
      <c r="O41" s="14">
        <f>O36+O37+O38+O39+O40</f>
      </c>
      <c r="P41" s="14">
        <f>P36+P37+P38+P39+P40</f>
      </c>
      <c r="Q41" s="14">
        <f>Q36+Q37+Q38+Q39+Q40</f>
      </c>
      <c r="R41" s="14">
        <f>R36+R37+R38+R39+R40</f>
      </c>
      <c r="S41" s="14">
        <f>S36+S37+S38+S39+S40</f>
      </c>
      <c r="T41" s="14">
        <f>T36+T37+T38+T39+T40</f>
      </c>
      <c r="U41" s="14">
        <f>U36+U37+U38+U39+U40</f>
      </c>
      <c r="V41" s="14">
        <f>V36+V37+V38+V39+V40</f>
      </c>
      <c r="W41" s="14">
        <f>W36+W37+W38+W39+W40</f>
      </c>
      <c r="X41" s="14">
        <f>X36+X37+X38+X39+X40</f>
      </c>
      <c r="Y41" s="14">
        <f>Y36+Y37+Y38+Y39+Y40</f>
      </c>
      <c r="Z41" s="14">
        <f>Z36+Z37+Z38+Z39+Z40</f>
      </c>
      <c r="AA41" s="14">
        <f>AA36+AA37+AA38+AA39+AA40</f>
      </c>
      <c r="AB41" s="14">
        <f>AB36+AB37+AB38+AB39+AB40</f>
      </c>
      <c r="AC41" s="14">
        <f>AC36+AC37+AC38+AC39+AC40</f>
      </c>
      <c r="AD41" s="14">
        <f>AD36+AD37+AD38+AD39+AD40</f>
      </c>
      <c r="AE41" s="14">
        <f>AE36+AE37+AE38+AE39+AE40</f>
      </c>
      <c r="AF41" s="14">
        <f>AF36+AF37+AF38+AF39+AF40</f>
      </c>
      <c r="AG41" s="14">
        <f>AG36+AG37+AG38+AG39+AG40</f>
      </c>
      <c r="AH41" s="14">
        <f>AH36+AH37+AH38+AH39+AH40</f>
      </c>
      <c r="AI41" s="14">
        <f>AI36+AI37+AI38+AI39+AI40</f>
      </c>
      <c r="AJ41" s="14">
        <f>AJ36+AJ37+AJ38+AJ39+AJ40</f>
      </c>
      <c r="AK41" s="14">
        <f>AK36+AK37+AK38+AK39+AK40</f>
      </c>
      <c r="AL41" s="14">
        <f>AL36+AL37+AL38+AL39+AL40</f>
      </c>
      <c r="AM41" s="14">
        <f>AM36+AM37+AM38+AM39+AM40</f>
      </c>
      <c r="AN41" s="14">
        <f>AN36+AN37+AN38+AN39+AN40</f>
      </c>
      <c r="AO41" s="14">
        <f>AO36+AO37+AO38+AO39+AO40</f>
      </c>
      <c r="AP41" s="14">
        <f>AP36+AP37+AP38+AP39+AP40</f>
      </c>
      <c r="AQ41" s="14">
        <f>AQ36+AQ37+AQ38+AQ39+AQ40</f>
      </c>
      <c r="AR41" s="14">
        <f>AR36+AR37+AR38+AR39+AR40</f>
      </c>
      <c r="AS41" s="14">
        <f>AS36+AS37+AS38+AS39+AS40</f>
      </c>
      <c r="AT41" s="14">
        <f>AT36+AT37+AT38+AT39+AT40</f>
      </c>
      <c r="AU41" s="14">
        <f>AU36+AU37+AU38+AU39+AU40</f>
      </c>
      <c r="AV41" s="14">
        <f>AV36+AV37+AV38+AV39+AV40</f>
      </c>
      <c r="AW41" s="14">
        <f>AW36+AW37+AW38+AW39+AW40</f>
      </c>
      <c r="AX41" s="14">
        <f>AX36+AX37+AX38+AX39+AX40</f>
      </c>
      <c r="AY41" s="14">
        <f>AY36+AY37+AY38+AY39+AY40</f>
      </c>
      <c r="AZ41" s="14">
        <f>AZ36+AZ37+AZ38+AZ39+AZ40</f>
      </c>
      <c r="BA41" s="14">
        <f>BA36+BA37+BA38+BA39+BA40</f>
      </c>
      <c r="BB41" s="14">
        <f>BB36+BB37+BB38+BB39+BB40</f>
      </c>
      <c r="BC41" s="14">
        <f>BC36+BC37+BC38+BC39+BC40</f>
      </c>
      <c r="BD41" s="14">
        <f>BD36+BD37+BD38+BD39+BD40</f>
      </c>
      <c r="BE41" s="14">
        <f>BE36+BE37+BE38+BE39+BE40</f>
      </c>
      <c r="BF41" s="14">
        <f>BF36+BF37+BF38+BF39+BF40</f>
      </c>
      <c r="BG41" s="14">
        <f>BG36+BG37+BG38+BG39+BG40</f>
      </c>
      <c r="BH41" s="14">
        <f>BH36+BH37+BH38+BH39+BH40</f>
      </c>
      <c r="BI41" s="14">
        <f>BI36+BI37+BI38+BI39+BI40</f>
      </c>
      <c r="BJ41" s="14">
        <f>BJ36+BJ37+BJ38+BJ39+BJ40</f>
      </c>
      <c r="BK41" s="14">
        <f>BK36+BK37+BK38+BK39+BK40</f>
      </c>
      <c r="BL41" s="14">
        <f>BL36+BL37+BL38+BL39+BL40</f>
      </c>
      <c r="BM41" s="14">
        <f>BM36+BM37+BM38+BM39+BM40</f>
      </c>
      <c r="BN41" s="14">
        <f>BN36+BN37+BN38+BN39+BN40</f>
      </c>
      <c r="BO41" s="14">
        <f>BO36+BO37+BO38+BO39+BO40</f>
      </c>
      <c r="BP41" s="14">
        <f>BP36+BP37+BP38+BP39+BP40</f>
      </c>
      <c r="BQ41" s="14">
        <f>BQ36+BQ37+BQ38+BQ39+BQ40</f>
      </c>
      <c r="BR41" s="14">
        <f>BR36+BR37+BR38+BR39+BR40</f>
      </c>
      <c r="BS41" s="14">
        <f>BS36+BS37+BS38+BS39+BS40</f>
      </c>
      <c r="BT41" s="14">
        <f>BT36+BT37+BT38+BT39+BT40</f>
      </c>
      <c r="BU41" s="14">
        <f>BU36+BU37+BU38+BU39+BU40</f>
      </c>
      <c r="BV41" s="14">
        <f>BV36+BV37+BV38+BV39+BV40</f>
      </c>
      <c r="BW41" s="14">
        <f>BW36+BW37+BW38+BW39+BW40</f>
      </c>
      <c r="BX41" s="14">
        <f>BX36+BX37+BX38+BX39+BX40</f>
      </c>
      <c r="BY41" s="14">
        <f>BY36+BY37+BY38+BY39+BY40</f>
      </c>
      <c r="BZ41" s="14">
        <f>BZ36+BZ37+BZ38+BZ39+BZ40</f>
      </c>
      <c r="CA41" s="14">
        <f>CA36+CA37+CA38+CA39+CA40</f>
      </c>
      <c r="CB41" s="14">
        <f>CB36+CB37+CB38+CB39+CB40</f>
      </c>
      <c r="CC41" s="14">
        <f>CC36+CC37+CC38+CC39+CC40</f>
      </c>
      <c r="CD41" s="14">
        <f>CD36+CD37+CD38+CD39+CD40</f>
      </c>
      <c r="CE41" s="14">
        <f>CE36+CE37+CE38+CE39+CE40</f>
      </c>
      <c r="CF41" s="14">
        <f>CF36+CF37+CF38+CF39+CF40</f>
      </c>
      <c r="CG41" s="14">
        <f>CG36+CG37+CG38+CG39+CG40</f>
      </c>
      <c r="CH41" s="14">
        <f>CH36+CH37+CH38+CH39+CH40</f>
      </c>
      <c r="CI41" s="14">
        <f>CI36+CI37+CI38+CI39+CI40</f>
      </c>
      <c r="CJ41" s="14">
        <f>CJ36+CJ37+CJ38+CJ39+CJ40</f>
      </c>
      <c r="CK41" s="14">
        <f>CK36+CK37+CK38+CK39+CK40</f>
      </c>
      <c r="CL41" s="14">
        <f>CL36+CL37+CL38+CL39+CL40</f>
      </c>
    </row>
    <row r="43" spans="2:90" x14ac:dyDescent="0.25">
      <c r="B43" s="46" t="s">
        <v>368</v>
      </c>
      <c r="C43" s="34" t="s">
        <v>228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33" t="s">
        <v>369</v>
      </c>
      <c r="C44" s="34" t="s">
        <v>228</v>
      </c>
      <c r="D44" s="31">
        <f>SUM(E44:CL44)</f>
      </c>
      <c r="E44" s="31">
        <f>IF(AND(E43&gt;0,E67&gt;0),-E66*E43/E67,0)</f>
      </c>
      <c r="F44" s="31">
        <f>IF(AND(F43&gt;0,E67&gt;0),-E66*F43/E67,0)</f>
      </c>
      <c r="G44" s="31">
        <f>IF(AND(G43&gt;0,E67&gt;0),-E66*G43/E67,0)</f>
      </c>
      <c r="H44" s="31">
        <f>IF(AND(H43&gt;0,F67&gt;0),-F66*H43/F67,0)</f>
      </c>
      <c r="I44" s="31">
        <f>IF(AND(I43&gt;0,F67&gt;0),-F66*I43/F67,0)</f>
      </c>
      <c r="J44" s="31">
        <f>IF(AND(J43&gt;0,F67&gt;0),-F66*J43/F67,0)</f>
      </c>
      <c r="K44" s="31">
        <f>IF(AND(K43&gt;0,F67&gt;0),-F66*K43/F67,0)</f>
      </c>
      <c r="L44" s="31">
        <f>IF(AND(L43&gt;0,G67&gt;0),-G66*L43/G67,0)</f>
      </c>
      <c r="M44" s="31">
        <f>IF(AND(M43&gt;0,G67&gt;0),-G66*M43/G67,0)</f>
      </c>
      <c r="N44" s="31">
        <f>IF(AND(N43&gt;0,G67&gt;0),-G66*N43/G67,0)</f>
      </c>
      <c r="O44" s="31">
        <f>IF(AND(O43&gt;0,G67&gt;0),-G66*O43/G67,0)</f>
      </c>
      <c r="P44" s="31">
        <f>IF(AND(P43&gt;0,H67&gt;0),-H66*P43/H67,0)</f>
      </c>
      <c r="Q44" s="31">
        <f>IF(AND(Q43&gt;0,H67&gt;0),-H66*Q43/H67,0)</f>
      </c>
      <c r="R44" s="31">
        <f>IF(AND(R43&gt;0,H67&gt;0),-H66*R43/H67,0)</f>
      </c>
      <c r="S44" s="31">
        <f>IF(AND(S43&gt;0,H67&gt;0),-H66*S43/H67,0)</f>
      </c>
      <c r="T44" s="31">
        <f>IF(AND(T43&gt;0,I67&gt;0),-I66*T43/I67,0)</f>
      </c>
      <c r="U44" s="31">
        <f>IF(AND(U43&gt;0,I67&gt;0),-I66*U43/I67,0)</f>
      </c>
      <c r="V44" s="31">
        <f>IF(AND(V43&gt;0,I67&gt;0),-I66*V43/I67,0)</f>
      </c>
      <c r="W44" s="31">
        <f>IF(AND(W43&gt;0,I67&gt;0),-I66*W43/I67,0)</f>
      </c>
      <c r="X44" s="31">
        <f>IF(AND(X43&gt;0,J67&gt;0),-J66*X43/J67,0)</f>
      </c>
      <c r="Y44" s="31">
        <f>IF(AND(Y43&gt;0,J67&gt;0),-J66*Y43/J67,0)</f>
      </c>
      <c r="Z44" s="31">
        <f>IF(AND(Z43&gt;0,J67&gt;0),-J66*Z43/J67,0)</f>
      </c>
      <c r="AA44" s="31">
        <f>IF(AND(AA43&gt;0,J67&gt;0),-J66*AA43/J67,0)</f>
      </c>
      <c r="AB44" s="31">
        <f>IF(AND(AB43&gt;0,K67&gt;0),-K66*AB43/K67,0)</f>
      </c>
      <c r="AC44" s="31">
        <f>IF(AND(AC43&gt;0,K67&gt;0),-K66*AC43/K67,0)</f>
      </c>
      <c r="AD44" s="31">
        <f>IF(AND(AD43&gt;0,K67&gt;0),-K66*AD43/K67,0)</f>
      </c>
      <c r="AE44" s="31">
        <f>IF(AND(AE43&gt;0,K67&gt;0),-K66*AE43/K67,0)</f>
      </c>
      <c r="AF44" s="31">
        <f>IF(AND(AF43&gt;0,L67&gt;0),-L66*AF43/L67,0)</f>
      </c>
      <c r="AG44" s="31">
        <f>IF(AND(AG43&gt;0,L67&gt;0),-L66*AG43/L67,0)</f>
      </c>
      <c r="AH44" s="31">
        <f>IF(AND(AH43&gt;0,L67&gt;0),-L66*AH43/L67,0)</f>
      </c>
      <c r="AI44" s="31">
        <f>IF(AND(AI43&gt;0,L67&gt;0),-L66*AI43/L67,0)</f>
      </c>
      <c r="AJ44" s="31">
        <f>IF(AND(AJ43&gt;0,M67&gt;0),-M66*AJ43/M67,0)</f>
      </c>
      <c r="AK44" s="31">
        <f>IF(AND(AK43&gt;0,M67&gt;0),-M66*AK43/M67,0)</f>
      </c>
      <c r="AL44" s="31">
        <f>IF(AND(AL43&gt;0,M67&gt;0),-M66*AL43/M67,0)</f>
      </c>
      <c r="AM44" s="31">
        <f>IF(AND(AM43&gt;0,M67&gt;0),-M66*AM43/M67,0)</f>
      </c>
      <c r="AN44" s="31">
        <f>IF(AND(AN43&gt;0,N67&gt;0),-N66*AN43/N67,0)</f>
      </c>
      <c r="AO44" s="31">
        <f>IF(AND(AO43&gt;0,N67&gt;0),-N66*AO43/N67,0)</f>
      </c>
      <c r="AP44" s="31">
        <f>IF(AND(AP43&gt;0,N67&gt;0),-N66*AP43/N67,0)</f>
      </c>
      <c r="AQ44" s="31">
        <f>IF(AND(AQ43&gt;0,N67&gt;0),-N66*AQ43/N67,0)</f>
      </c>
      <c r="AR44" s="31">
        <f>IF(AND(AR43&gt;0,O67&gt;0),-O66*AR43/O67,0)</f>
      </c>
      <c r="AS44" s="31">
        <f>IF(AND(AS43&gt;0,O67&gt;0),-O66*AS43/O67,0)</f>
      </c>
      <c r="AT44" s="31">
        <f>IF(AND(AT43&gt;0,O67&gt;0),-O66*AT43/O67,0)</f>
      </c>
      <c r="AU44" s="31">
        <f>IF(AND(AU43&gt;0,O67&gt;0),-O66*AU43/O67,0)</f>
      </c>
      <c r="AV44" s="31">
        <f>IF(AND(AV43&gt;0,P67&gt;0),-P66*AV43/P67,0)</f>
      </c>
      <c r="AW44" s="31">
        <f>IF(AND(AW43&gt;0,P67&gt;0),-P66*AW43/P67,0)</f>
      </c>
      <c r="AX44" s="31">
        <f>IF(AND(AX43&gt;0,P67&gt;0),-P66*AX43/P67,0)</f>
      </c>
      <c r="AY44" s="31">
        <f>IF(AND(AY43&gt;0,P67&gt;0),-P66*AY43/P67,0)</f>
      </c>
      <c r="AZ44" s="31">
        <f>IF(AND(AZ43&gt;0,Q67&gt;0),-Q66*AZ43/Q67,0)</f>
      </c>
      <c r="BA44" s="31">
        <f>IF(AND(BA43&gt;0,Q67&gt;0),-Q66*BA43/Q67,0)</f>
      </c>
      <c r="BB44" s="31">
        <f>IF(AND(BB43&gt;0,Q67&gt;0),-Q66*BB43/Q67,0)</f>
      </c>
      <c r="BC44" s="31">
        <f>IF(AND(BC43&gt;0,Q67&gt;0),-Q66*BC43/Q67,0)</f>
      </c>
      <c r="BD44" s="31">
        <f>IF(AND(BD43&gt;0,R67&gt;0),-R66*BD43/R67,0)</f>
      </c>
      <c r="BE44" s="31">
        <f>IF(AND(BE43&gt;0,R67&gt;0),-R66*BE43/R67,0)</f>
      </c>
      <c r="BF44" s="31">
        <f>IF(AND(BF43&gt;0,R67&gt;0),-R66*BF43/R67,0)</f>
      </c>
      <c r="BG44" s="31">
        <f>IF(AND(BG43&gt;0,R67&gt;0),-R66*BG43/R67,0)</f>
      </c>
      <c r="BH44" s="31">
        <f>IF(AND(BH43&gt;0,S67&gt;0),-S66*BH43/S67,0)</f>
      </c>
      <c r="BI44" s="31">
        <f>IF(AND(BI43&gt;0,S67&gt;0),-S66*BI43/S67,0)</f>
      </c>
      <c r="BJ44" s="31">
        <f>IF(AND(BJ43&gt;0,S67&gt;0),-S66*BJ43/S67,0)</f>
      </c>
      <c r="BK44" s="31">
        <f>IF(AND(BK43&gt;0,S67&gt;0),-S66*BK43/S67,0)</f>
      </c>
      <c r="BL44" s="31">
        <f>IF(AND(BL43&gt;0,T67&gt;0),-T66*BL43/T67,0)</f>
      </c>
      <c r="BM44" s="31">
        <f>IF(AND(BM43&gt;0,T67&gt;0),-T66*BM43/T67,0)</f>
      </c>
      <c r="BN44" s="31">
        <f>IF(AND(BN43&gt;0,T67&gt;0),-T66*BN43/T67,0)</f>
      </c>
      <c r="BO44" s="31">
        <f>IF(AND(BO43&gt;0,T67&gt;0),-T66*BO43/T67,0)</f>
      </c>
      <c r="BP44" s="31">
        <f>IF(AND(BP43&gt;0,U67&gt;0),-U66*BP43/U67,0)</f>
      </c>
      <c r="BQ44" s="31">
        <f>IF(AND(BQ43&gt;0,U67&gt;0),-U66*BQ43/U67,0)</f>
      </c>
      <c r="BR44" s="31">
        <f>IF(AND(BR43&gt;0,U67&gt;0),-U66*BR43/U67,0)</f>
      </c>
      <c r="BS44" s="31">
        <f>IF(AND(BS43&gt;0,U67&gt;0),-U66*BS43/U67,0)</f>
      </c>
      <c r="BT44" s="31">
        <f>IF(AND(BT43&gt;0,V67&gt;0),-V66*BT43/V67,0)</f>
      </c>
      <c r="BU44" s="31">
        <f>IF(AND(BU43&gt;0,V67&gt;0),-V66*BU43/V67,0)</f>
      </c>
      <c r="BV44" s="31">
        <f>IF(AND(BV43&gt;0,V67&gt;0),-V66*BV43/V67,0)</f>
      </c>
      <c r="BW44" s="31">
        <f>IF(AND(BW43&gt;0,V67&gt;0),-V66*BW43/V67,0)</f>
      </c>
      <c r="BX44" s="31">
        <f>IF(AND(BX43&gt;0,W67&gt;0),-W66*BX43/W67,0)</f>
      </c>
      <c r="BY44" s="31">
        <f>IF(AND(BY43&gt;0,W67&gt;0),-W66*BY43/W67,0)</f>
      </c>
      <c r="BZ44" s="31">
        <f>IF(AND(BZ43&gt;0,W67&gt;0),-W66*BZ43/W67,0)</f>
      </c>
      <c r="CA44" s="31">
        <f>IF(AND(CA43&gt;0,W67&gt;0),-W66*CA43/W67,0)</f>
      </c>
      <c r="CB44" s="31">
        <f>IF(AND(CB43&gt;0,X67&gt;0),-X66*CB43/X67,0)</f>
      </c>
      <c r="CC44" s="31">
        <f>IF(AND(CC43&gt;0,X67&gt;0),-X66*CC43/X67,0)</f>
      </c>
      <c r="CD44" s="31">
        <f>IF(AND(CD43&gt;0,X67&gt;0),-X66*CD43/X67,0)</f>
      </c>
      <c r="CE44" s="31">
        <f>IF(AND(CE43&gt;0,X67&gt;0),-X66*CE43/X67,0)</f>
      </c>
      <c r="CF44" s="31">
        <f>IF(AND(CF43&gt;0,Y67&gt;0),-Y66*CF43/Y67,0)</f>
      </c>
      <c r="CG44" s="31">
        <f>IF(AND(CG43&gt;0,Y67&gt;0),-Y66*CG43/Y67,0)</f>
      </c>
      <c r="CH44" s="31">
        <f>IF(AND(CH43&gt;0,Y67&gt;0),-Y66*CH43/Y67,0)</f>
      </c>
      <c r="CI44" s="31">
        <f>IF(AND(CI43&gt;0,Y67&gt;0),-Y66*CI43/Y67,0)</f>
      </c>
      <c r="CJ44" s="31">
        <f>IF(AND(CJ43&gt;0,Z67&gt;0),-Z66*CJ43/Z67,0)</f>
      </c>
      <c r="CK44" s="31">
        <f>IF(AND(CK43&gt;0,Z67&gt;0),-Z66*CK43/Z67,0)</f>
      </c>
      <c r="CL44" s="31">
        <f>IF(AND(CL43&gt;0,Z67&gt;0),-Z66*CL43/Z67,0)</f>
      </c>
    </row>
    <row r="45" spans="2:91" x14ac:dyDescent="0.25">
      <c r="B45" s="47" t="s">
        <v>370</v>
      </c>
      <c r="C45" s="51" t="s">
        <v>228</v>
      </c>
      <c r="D45" s="42">
        <f>SUM(E45:CL45)</f>
      </c>
      <c r="E45" s="42">
        <f>E43+E44</f>
      </c>
      <c r="F45" s="42">
        <f>F43+F44</f>
      </c>
      <c r="G45" s="42">
        <f>G43+G44</f>
      </c>
      <c r="H45" s="42">
        <f>H43+H44</f>
      </c>
      <c r="I45" s="42">
        <f>I43+I44</f>
      </c>
      <c r="J45" s="42">
        <f>J43+J44</f>
      </c>
      <c r="K45" s="42">
        <f>K43+K44</f>
      </c>
      <c r="L45" s="42">
        <f>L43+L44</f>
      </c>
      <c r="M45" s="42">
        <f>M43+M44</f>
      </c>
      <c r="N45" s="42">
        <f>N43+N44</f>
      </c>
      <c r="O45" s="42">
        <f>O43+O44</f>
      </c>
      <c r="P45" s="42">
        <f>P43+P44</f>
      </c>
      <c r="Q45" s="42">
        <f>Q43+Q44</f>
      </c>
      <c r="R45" s="42">
        <f>R43+R44</f>
      </c>
      <c r="S45" s="42">
        <f>S43+S44</f>
      </c>
      <c r="T45" s="42">
        <f>T43+T44</f>
      </c>
      <c r="U45" s="42">
        <f>U43+U44</f>
      </c>
      <c r="V45" s="42">
        <f>V43+V44</f>
      </c>
      <c r="W45" s="42">
        <f>W43+W44</f>
      </c>
      <c r="X45" s="42">
        <f>X43+X44</f>
      </c>
      <c r="Y45" s="42">
        <f>Y43+Y44</f>
      </c>
      <c r="Z45" s="42">
        <f>Z43+Z44</f>
      </c>
      <c r="AA45" s="42">
        <f>AA43+AA44</f>
      </c>
      <c r="AB45" s="42">
        <f>AB43+AB44</f>
      </c>
      <c r="AC45" s="42">
        <f>AC43+AC44</f>
      </c>
      <c r="AD45" s="42">
        <f>AD43+AD44</f>
      </c>
      <c r="AE45" s="42">
        <f>AE43+AE44</f>
      </c>
      <c r="AF45" s="42">
        <f>AF43+AF44</f>
      </c>
      <c r="AG45" s="42">
        <f>AG43+AG44</f>
      </c>
      <c r="AH45" s="42">
        <f>AH43+AH44</f>
      </c>
      <c r="AI45" s="42">
        <f>AI43+AI44</f>
      </c>
      <c r="AJ45" s="42">
        <f>AJ43+AJ44</f>
      </c>
      <c r="AK45" s="42">
        <f>AK43+AK44</f>
      </c>
      <c r="AL45" s="42">
        <f>AL43+AL44</f>
      </c>
      <c r="AM45" s="42">
        <f>AM43+AM44</f>
      </c>
      <c r="AN45" s="42">
        <f>AN43+AN44</f>
      </c>
      <c r="AO45" s="42">
        <f>AO43+AO44</f>
      </c>
      <c r="AP45" s="42">
        <f>AP43+AP44</f>
      </c>
      <c r="AQ45" s="42">
        <f>AQ43+AQ44</f>
      </c>
      <c r="AR45" s="42">
        <f>AR43+AR44</f>
      </c>
      <c r="AS45" s="42">
        <f>AS43+AS44</f>
      </c>
      <c r="AT45" s="42">
        <f>AT43+AT44</f>
      </c>
      <c r="AU45" s="42">
        <f>AU43+AU44</f>
      </c>
      <c r="AV45" s="42">
        <f>AV43+AV44</f>
      </c>
      <c r="AW45" s="42">
        <f>AW43+AW44</f>
      </c>
      <c r="AX45" s="42">
        <f>AX43+AX44</f>
      </c>
      <c r="AY45" s="42">
        <f>AY43+AY44</f>
      </c>
      <c r="AZ45" s="42">
        <f>AZ43+AZ44</f>
      </c>
      <c r="BA45" s="42">
        <f>BA43+BA44</f>
      </c>
      <c r="BB45" s="42">
        <f>BB43+BB44</f>
      </c>
      <c r="BC45" s="42">
        <f>BC43+BC44</f>
      </c>
      <c r="BD45" s="42">
        <f>BD43+BD44</f>
      </c>
      <c r="BE45" s="42">
        <f>BE43+BE44</f>
      </c>
      <c r="BF45" s="42">
        <f>BF43+BF44</f>
      </c>
      <c r="BG45" s="42">
        <f>BG43+BG44</f>
      </c>
      <c r="BH45" s="42">
        <f>BH43+BH44</f>
      </c>
      <c r="BI45" s="42">
        <f>BI43+BI44</f>
      </c>
      <c r="BJ45" s="42">
        <f>BJ43+BJ44</f>
      </c>
      <c r="BK45" s="42">
        <f>BK43+BK44</f>
      </c>
      <c r="BL45" s="42">
        <f>BL43+BL44</f>
      </c>
      <c r="BM45" s="42">
        <f>BM43+BM44</f>
      </c>
      <c r="BN45" s="42">
        <f>BN43+BN44</f>
      </c>
      <c r="BO45" s="42">
        <f>BO43+BO44</f>
      </c>
      <c r="BP45" s="42">
        <f>BP43+BP44</f>
      </c>
      <c r="BQ45" s="42">
        <f>BQ43+BQ44</f>
      </c>
      <c r="BR45" s="42">
        <f>BR43+BR44</f>
      </c>
      <c r="BS45" s="42">
        <f>BS43+BS44</f>
      </c>
      <c r="BT45" s="42">
        <f>BT43+BT44</f>
      </c>
      <c r="BU45" s="42">
        <f>BU43+BU44</f>
      </c>
      <c r="BV45" s="42">
        <f>BV43+BV44</f>
      </c>
      <c r="BW45" s="42">
        <f>BW43+BW44</f>
      </c>
      <c r="BX45" s="42">
        <f>BX43+BX44</f>
      </c>
      <c r="BY45" s="42">
        <f>BY43+BY44</f>
      </c>
      <c r="BZ45" s="42">
        <f>BZ43+BZ44</f>
      </c>
      <c r="CA45" s="42">
        <f>CA43+CA44</f>
      </c>
      <c r="CB45" s="42">
        <f>CB43+CB44</f>
      </c>
      <c r="CC45" s="42">
        <f>CC43+CC44</f>
      </c>
      <c r="CD45" s="42">
        <f>CD43+CD44</f>
      </c>
      <c r="CE45" s="42">
        <f>CE43+CE44</f>
      </c>
      <c r="CF45" s="42">
        <f>CF43+CF44</f>
      </c>
      <c r="CG45" s="42">
        <f>CG43+CG44</f>
      </c>
      <c r="CH45" s="42">
        <f>CH43+CH44</f>
      </c>
      <c r="CI45" s="42">
        <f>CI43+CI44</f>
      </c>
      <c r="CJ45" s="42">
        <f>CJ43+CJ44</f>
      </c>
      <c r="CK45" s="42">
        <f>CK43+CK44</f>
      </c>
      <c r="CL45" s="42">
        <f>CL43+CL44</f>
      </c>
      <c r="CM45" s="48"/>
    </row>
    <row r="48" spans="2:91" x14ac:dyDescent="0.25">
      <c r="B48" s="9" t="s">
        <v>371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33" t="s">
        <v>372</v>
      </c>
      <c r="C50" s="34" t="s">
        <v>228</v>
      </c>
      <c r="D50" s="31">
        <f>SUM(E50:CL50)</f>
      </c>
      <c r="E50" s="31">
        <f>E43-E29-(0)</f>
      </c>
      <c r="F50" s="31">
        <f>F43-F29-(0)</f>
      </c>
      <c r="G50" s="31">
        <f>G43-G29-(0)</f>
      </c>
      <c r="H50" s="31">
        <f>H43-H29-(0)</f>
      </c>
      <c r="I50" s="31">
        <f>I43-I29-(0)</f>
      </c>
      <c r="J50" s="31">
        <f>J43-J29-(0)</f>
      </c>
      <c r="K50" s="31">
        <f>K43-K29-(0)</f>
      </c>
      <c r="L50" s="31">
        <f>L43-L29-(0)</f>
      </c>
      <c r="M50" s="31">
        <f>M43-M29-(0)</f>
      </c>
      <c r="N50" s="31">
        <f>N43-N29-(0)</f>
      </c>
      <c r="O50" s="31">
        <f>O43-O29-(0)</f>
      </c>
      <c r="P50" s="31">
        <f>P43-P29-(0)</f>
      </c>
      <c r="Q50" s="31">
        <f>Q43-Q29-(0)</f>
      </c>
      <c r="R50" s="31">
        <f>R43-R29-(0)</f>
      </c>
      <c r="S50" s="31">
        <f>S43-S29-(0)</f>
      </c>
      <c r="T50" s="31">
        <f>T43-T29-(0)</f>
      </c>
      <c r="U50" s="31">
        <f>U43-U29-(0)</f>
      </c>
      <c r="V50" s="31">
        <f>V43-V29-(0)</f>
      </c>
      <c r="W50" s="31">
        <f>W43-W29-(0)</f>
      </c>
      <c r="X50" s="31">
        <f>X43-X29-(0)</f>
      </c>
      <c r="Y50" s="31">
        <f>Y43-Y29-(0)</f>
      </c>
      <c r="Z50" s="31">
        <f>Z43-Z29-(0)</f>
      </c>
      <c r="AA50" s="31">
        <f>AA43-AA29-(0)</f>
      </c>
      <c r="AB50" s="31">
        <f>AB43-AB29-(0)</f>
      </c>
      <c r="AC50" s="31">
        <f>AC43-AC29-(0)</f>
      </c>
      <c r="AD50" s="31">
        <f>AD43-AD29-(0)</f>
      </c>
      <c r="AE50" s="31">
        <f>AE43-AE29-(0)</f>
      </c>
      <c r="AF50" s="31">
        <f>AF43-AF29-(0)</f>
      </c>
      <c r="AG50" s="31">
        <f>AG43-AG29-(0)</f>
      </c>
      <c r="AH50" s="31">
        <f>AH43-AH29-(0)</f>
      </c>
      <c r="AI50" s="31">
        <f>AI43-AI29-(0)</f>
      </c>
      <c r="AJ50" s="31">
        <f>AJ43-AJ29-(0)</f>
      </c>
      <c r="AK50" s="31">
        <f>AK43-AK29-(0)</f>
      </c>
      <c r="AL50" s="31">
        <f>AL43-AL29-(0)</f>
      </c>
      <c r="AM50" s="31">
        <f>AM43-AM29-(0)</f>
      </c>
      <c r="AN50" s="31">
        <f>AN43-AN29-(0)</f>
      </c>
      <c r="AO50" s="31">
        <f>AO43-AO29-(0)</f>
      </c>
      <c r="AP50" s="31">
        <f>AP43-AP29-(0)</f>
      </c>
      <c r="AQ50" s="31">
        <f>AQ43-AQ29-(0)</f>
      </c>
      <c r="AR50" s="31">
        <f>AR43-AR29-(0)</f>
      </c>
      <c r="AS50" s="31">
        <f>AS43-AS29-(0)</f>
      </c>
      <c r="AT50" s="31">
        <f>AT43-AT29-(0)</f>
      </c>
      <c r="AU50" s="31">
        <f>AU43-AU29-(0)</f>
      </c>
      <c r="AV50" s="31">
        <f>AV43-AV29-(0)</f>
      </c>
      <c r="AW50" s="31">
        <f>AW43-AW29-(0)</f>
      </c>
      <c r="AX50" s="31">
        <f>AX43-AX29-(0)</f>
      </c>
      <c r="AY50" s="31">
        <f>AY43-AY29-(0)</f>
      </c>
      <c r="AZ50" s="31">
        <f>AZ43-AZ29-(0)</f>
      </c>
      <c r="BA50" s="31">
        <f>BA43-BA29-(0)</f>
      </c>
      <c r="BB50" s="31">
        <f>BB43-BB29-(0)</f>
      </c>
      <c r="BC50" s="31">
        <f>BC43-BC29-(0)</f>
      </c>
      <c r="BD50" s="31">
        <f>BD43-BD29-(0)</f>
      </c>
      <c r="BE50" s="31">
        <f>BE43-BE29-(0)</f>
      </c>
      <c r="BF50" s="31">
        <f>BF43-BF29-(0)</f>
      </c>
      <c r="BG50" s="31">
        <f>BG43-BG29-(0)</f>
      </c>
      <c r="BH50" s="31">
        <f>BH43-BH29-(0)</f>
      </c>
      <c r="BI50" s="31">
        <f>BI43-BI29-(0)</f>
      </c>
      <c r="BJ50" s="31">
        <f>BJ43-BJ29-(0)</f>
      </c>
      <c r="BK50" s="31">
        <f>BK43-BK29-(0)</f>
      </c>
      <c r="BL50" s="31">
        <f>BL43-BL29-(0)</f>
      </c>
      <c r="BM50" s="31">
        <f>BM43-BM29-(0)</f>
      </c>
      <c r="BN50" s="31">
        <f>BN43-BN29-(0)</f>
      </c>
      <c r="BO50" s="31">
        <f>BO43-BO29-(0)</f>
      </c>
      <c r="BP50" s="31">
        <f>BP43-BP29-(0)</f>
      </c>
      <c r="BQ50" s="31">
        <f>BQ43-BQ29-(0)</f>
      </c>
      <c r="BR50" s="31">
        <f>BR43-BR29-(0)</f>
      </c>
      <c r="BS50" s="31">
        <f>BS43-BS29-(0)</f>
      </c>
      <c r="BT50" s="31">
        <f>BT43-BT29-(0)</f>
      </c>
      <c r="BU50" s="31">
        <f>BU43-BU29-(0)</f>
      </c>
      <c r="BV50" s="31">
        <f>BV43-BV29-(0)</f>
      </c>
      <c r="BW50" s="31">
        <f>BW43-BW29-(0)</f>
      </c>
      <c r="BX50" s="31">
        <f>BX43-BX29-(0)</f>
      </c>
      <c r="BY50" s="31">
        <f>BY43-BY29-(0)</f>
      </c>
      <c r="BZ50" s="31">
        <f>BZ43-BZ29-(0)</f>
      </c>
      <c r="CA50" s="31">
        <f>CA43-CA29-(0)</f>
      </c>
      <c r="CB50" s="31">
        <f>CB43-CB29-(0)</f>
      </c>
      <c r="CC50" s="31">
        <f>CC43-CC29-(0)</f>
      </c>
      <c r="CD50" s="31">
        <f>CD43-CD29-(0)</f>
      </c>
      <c r="CE50" s="31">
        <f>CE43-CE29-(0)</f>
      </c>
      <c r="CF50" s="31">
        <f>CF43-CF29-(0)</f>
      </c>
      <c r="CG50" s="31">
        <f>CG43-CG29-(0)</f>
      </c>
      <c r="CH50" s="31">
        <f>CH43-CH29-(0)</f>
      </c>
      <c r="CI50" s="31">
        <f>CI43-CI29-(0)</f>
      </c>
      <c r="CJ50" s="31">
        <f>CJ43-CJ29-(0)</f>
      </c>
      <c r="CK50" s="31">
        <f>CK43-CK29-(0)</f>
      </c>
      <c r="CL50" s="31">
        <f>CL43-CL29-($D$77*100)</f>
      </c>
    </row>
    <row r="52" spans="2:26" x14ac:dyDescent="0.25">
      <c r="B52" s="33" t="s">
        <v>373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33" t="s">
        <v>374</v>
      </c>
      <c r="C53" s="34" t="s">
        <v>228</v>
      </c>
      <c r="E53" s="31">
        <f>E50+F50+G50</f>
      </c>
      <c r="F53" s="31">
        <f>H50+I50+J50+K50</f>
      </c>
      <c r="G53" s="31">
        <f>L50+M50+N50+O50</f>
      </c>
      <c r="H53" s="31">
        <f>P50+Q50+R50+S50</f>
      </c>
      <c r="I53" s="31">
        <f>T50+U50+V50+W50</f>
      </c>
      <c r="J53" s="31">
        <f>X50+Y50+Z50+AA50</f>
      </c>
      <c r="K53" s="31">
        <f>AB50+AC50+AD50+AE50</f>
      </c>
      <c r="L53" s="31">
        <f>AF50+AG50+AH50+AI50</f>
      </c>
      <c r="M53" s="31">
        <f>AJ50+AK50+AL50+AM50</f>
      </c>
      <c r="N53" s="31">
        <f>AN50+AO50+AP50+AQ50</f>
      </c>
      <c r="O53" s="31">
        <f>AR50+AS50+AT50+AU50</f>
      </c>
      <c r="P53" s="31">
        <f>AV50+AW50+AX50+AY50</f>
      </c>
      <c r="Q53" s="31">
        <f>AZ50+BA50+BB50+BC50</f>
      </c>
      <c r="R53" s="31">
        <f>BD50+BE50+BF50+BG50</f>
      </c>
      <c r="S53" s="31">
        <f>BH50+BI50+BJ50+BK50</f>
      </c>
      <c r="T53" s="31">
        <f>BL50+BM50+BN50+BO50</f>
      </c>
      <c r="U53" s="31">
        <f>BP50+BQ50+BR50+BS50</f>
      </c>
      <c r="V53" s="31">
        <f>BT50+BU50+BV50+BW50</f>
      </c>
      <c r="W53" s="31">
        <f>BX50+BY50+BZ50+CA50</f>
      </c>
      <c r="X53" s="31">
        <f>CB50+CC50+CD50+CE50</f>
      </c>
      <c r="Y53" s="31">
        <f>CF50+CG50+CH50+CI50</f>
      </c>
      <c r="Z53" s="31">
        <f>CJ50+CK50+CL50</f>
      </c>
    </row>
    <row r="54" spans="2:26" x14ac:dyDescent="0.25">
      <c r="B54" s="33" t="s">
        <v>375</v>
      </c>
      <c r="C54" s="34" t="s">
        <v>228</v>
      </c>
      <c r="E54" s="31">
        <f>0</f>
      </c>
      <c r="F54" s="31">
        <f>E56</f>
      </c>
      <c r="G54" s="31">
        <f>F56</f>
      </c>
      <c r="H54" s="31">
        <f>G56</f>
      </c>
      <c r="I54" s="31">
        <f>H56</f>
      </c>
      <c r="J54" s="31">
        <f>I56</f>
      </c>
      <c r="K54" s="31">
        <f>J56</f>
      </c>
      <c r="L54" s="31">
        <f>K56</f>
      </c>
      <c r="M54" s="31">
        <f>L56</f>
      </c>
      <c r="N54" s="31">
        <f>M56</f>
      </c>
      <c r="O54" s="31">
        <f>N56</f>
      </c>
      <c r="P54" s="31">
        <f>O56</f>
      </c>
      <c r="Q54" s="31">
        <f>P56</f>
      </c>
      <c r="R54" s="31">
        <f>Q56</f>
      </c>
      <c r="S54" s="31">
        <f>R56</f>
      </c>
      <c r="T54" s="31">
        <f>S56</f>
      </c>
      <c r="U54" s="31">
        <f>T56</f>
      </c>
      <c r="V54" s="31">
        <f>U56</f>
      </c>
      <c r="W54" s="31">
        <f>V56</f>
      </c>
      <c r="X54" s="31">
        <f>W56</f>
      </c>
      <c r="Y54" s="31">
        <f>X56</f>
      </c>
      <c r="Z54" s="31">
        <f>Y56</f>
      </c>
    </row>
    <row r="55" spans="2:26" x14ac:dyDescent="0.25">
      <c r="B55" s="33" t="s">
        <v>376</v>
      </c>
      <c r="C55" s="34" t="s">
        <v>228</v>
      </c>
      <c r="E55" s="31">
        <f>IF(E53&lt;=0,0,MIN(E54,E53*$D$80/100))</f>
      </c>
      <c r="F55" s="31">
        <f>IF(F53&lt;=0,0,MIN(F54,F53*$D$80/100))</f>
      </c>
      <c r="G55" s="31">
        <f>IF(G53&lt;=0,0,MIN(G54,G53*$D$80/100))</f>
      </c>
      <c r="H55" s="31">
        <f>IF(H53&lt;=0,0,MIN(H54,H53*$D$80/100))</f>
      </c>
      <c r="I55" s="31">
        <f>IF(I53&lt;=0,0,MIN(I54,I53*$D$80/100))</f>
      </c>
      <c r="J55" s="31">
        <f>IF(J53&lt;=0,0,MIN(J54,J53*$D$80/100))</f>
      </c>
      <c r="K55" s="31">
        <f>IF(K53&lt;=0,0,MIN(K54,K53*$D$80/100))</f>
      </c>
      <c r="L55" s="31">
        <f>IF(L53&lt;=0,0,MIN(L54,L53*$D$80/100))</f>
      </c>
      <c r="M55" s="31">
        <f>IF(M53&lt;=0,0,MIN(M54,M53*$D$80/100))</f>
      </c>
      <c r="N55" s="31">
        <f>IF(N53&lt;=0,0,MIN(N54,N53*$D$80/100))</f>
      </c>
      <c r="O55" s="31">
        <f>IF(O53&lt;=0,0,MIN(O54,O53*$D$80/100))</f>
      </c>
      <c r="P55" s="31">
        <f>IF(P53&lt;=0,0,MIN(P54,P53*$D$80/100))</f>
      </c>
      <c r="Q55" s="31">
        <f>IF(Q53&lt;=0,0,MIN(Q54,Q53*$D$80/100))</f>
      </c>
      <c r="R55" s="31">
        <f>IF(R53&lt;=0,0,MIN(R54,R53*$D$80/100))</f>
      </c>
      <c r="S55" s="31">
        <f>IF(S53&lt;=0,0,MIN(S54,S53*$D$80/100))</f>
      </c>
      <c r="T55" s="31">
        <f>IF(T53&lt;=0,0,MIN(T54,T53*$D$80/100))</f>
      </c>
      <c r="U55" s="31">
        <f>IF(U53&lt;=0,0,MIN(U54,U53*$D$80/100))</f>
      </c>
      <c r="V55" s="31">
        <f>IF(V53&lt;=0,0,MIN(V54,V53*$D$80/100))</f>
      </c>
      <c r="W55" s="31">
        <f>IF(W53&lt;=0,0,MIN(W54,W53*$D$80/100))</f>
      </c>
      <c r="X55" s="31">
        <f>IF(X53&lt;=0,0,MIN(X54,X53*$D$80/100))</f>
      </c>
      <c r="Y55" s="31">
        <f>IF(Y53&lt;=0,0,MIN(Y54,Y53*$D$80/100))</f>
      </c>
      <c r="Z55" s="31">
        <f>IF(Z53&lt;=0,0,MIN(Z54,Z53*$D$80/100))</f>
      </c>
    </row>
    <row r="56" spans="2:26" x14ac:dyDescent="0.25">
      <c r="B56" s="33" t="s">
        <v>377</v>
      </c>
      <c r="C56" s="34" t="s">
        <v>228</v>
      </c>
      <c r="E56" s="31">
        <f>IF(E53&lt;=0,E54-E53,E54-E55)</f>
      </c>
      <c r="F56" s="31">
        <f>IF(F53&lt;=0,F54-F53,F54-F55)</f>
      </c>
      <c r="G56" s="31">
        <f>IF(G53&lt;=0,G54-G53,G54-G55)</f>
      </c>
      <c r="H56" s="31">
        <f>IF(H53&lt;=0,H54-H53,H54-H55)</f>
      </c>
      <c r="I56" s="31">
        <f>IF(I53&lt;=0,I54-I53,I54-I55)</f>
      </c>
      <c r="J56" s="31">
        <f>IF(J53&lt;=0,J54-J53,J54-J55)</f>
      </c>
      <c r="K56" s="31">
        <f>IF(K53&lt;=0,K54-K53,K54-K55)</f>
      </c>
      <c r="L56" s="31">
        <f>IF(L53&lt;=0,L54-L53,L54-L55)</f>
      </c>
      <c r="M56" s="31">
        <f>IF(M53&lt;=0,M54-M53,M54-M55)</f>
      </c>
      <c r="N56" s="31">
        <f>IF(N53&lt;=0,N54-N53,N54-N55)</f>
      </c>
      <c r="O56" s="31">
        <f>IF(O53&lt;=0,O54-O53,O54-O55)</f>
      </c>
      <c r="P56" s="31">
        <f>IF(P53&lt;=0,P54-P53,P54-P55)</f>
      </c>
      <c r="Q56" s="31">
        <f>IF(Q53&lt;=0,Q54-Q53,Q54-Q55)</f>
      </c>
      <c r="R56" s="31">
        <f>IF(R53&lt;=0,R54-R53,R54-R55)</f>
      </c>
      <c r="S56" s="31">
        <f>IF(S53&lt;=0,S54-S53,S54-S55)</f>
      </c>
      <c r="T56" s="31">
        <f>IF(T53&lt;=0,T54-T53,T54-T55)</f>
      </c>
      <c r="U56" s="31">
        <f>IF(U53&lt;=0,U54-U53,U54-U55)</f>
      </c>
      <c r="V56" s="31">
        <f>IF(V53&lt;=0,V54-V53,V54-V55)</f>
      </c>
      <c r="W56" s="31">
        <f>IF(W53&lt;=0,W54-W53,W54-W55)</f>
      </c>
      <c r="X56" s="31">
        <f>IF(X53&lt;=0,X54-X53,X54-X55)</f>
      </c>
      <c r="Y56" s="31">
        <f>IF(Y53&lt;=0,Y54-Y53,Y54-Y55)</f>
      </c>
      <c r="Z56" s="31">
        <f>IF(Z53&lt;=0,Z54-Z53,Z54-Z55)</f>
      </c>
    </row>
    <row r="57" spans="2:26" x14ac:dyDescent="0.25">
      <c r="B57" s="33" t="s">
        <v>378</v>
      </c>
      <c r="C57" s="34" t="s">
        <v>228</v>
      </c>
      <c r="E57" s="31">
        <f>MAX(0,E53-E55)</f>
      </c>
      <c r="F57" s="31">
        <f>MAX(0,F53-F55)</f>
      </c>
      <c r="G57" s="31">
        <f>MAX(0,G53-G55)</f>
      </c>
      <c r="H57" s="31">
        <f>MAX(0,H53-H55)</f>
      </c>
      <c r="I57" s="31">
        <f>MAX(0,I53-I55)</f>
      </c>
      <c r="J57" s="31">
        <f>MAX(0,J53-J55)</f>
      </c>
      <c r="K57" s="31">
        <f>MAX(0,K53-K55)</f>
      </c>
      <c r="L57" s="31">
        <f>MAX(0,L53-L55)</f>
      </c>
      <c r="M57" s="31">
        <f>MAX(0,M53-M55)</f>
      </c>
      <c r="N57" s="31">
        <f>MAX(0,N53-N55)</f>
      </c>
      <c r="O57" s="31">
        <f>MAX(0,O53-O55)</f>
      </c>
      <c r="P57" s="31">
        <f>MAX(0,P53-P55)</f>
      </c>
      <c r="Q57" s="31">
        <f>MAX(0,Q53-Q55)</f>
      </c>
      <c r="R57" s="31">
        <f>MAX(0,R53-R55)</f>
      </c>
      <c r="S57" s="31">
        <f>MAX(0,S53-S55)</f>
      </c>
      <c r="T57" s="31">
        <f>MAX(0,T53-T55)</f>
      </c>
      <c r="U57" s="31">
        <f>MAX(0,U53-U55)</f>
      </c>
      <c r="V57" s="31">
        <f>MAX(0,V53-V55)</f>
      </c>
      <c r="W57" s="31">
        <f>MAX(0,W53-W55)</f>
      </c>
      <c r="X57" s="31">
        <f>MAX(0,X53-X55)</f>
      </c>
      <c r="Y57" s="31">
        <f>MAX(0,Y53-Y55)</f>
      </c>
      <c r="Z57" s="31">
        <f>MAX(0,Z53-Z55)</f>
      </c>
    </row>
    <row r="58" spans="2:26" x14ac:dyDescent="0.25">
      <c r="B58" s="33" t="s">
        <v>379</v>
      </c>
      <c r="C58" s="34" t="s">
        <v>228</v>
      </c>
      <c r="E58" s="31">
        <f>IF(E53&lt;=0,0,MIN(MAX(E57,0),200)*0.09+MIN(MAX(E57-200,0),19800)*0.19+MIN(MAX(E57-20000,0),280000)*0.21+MAX(E57-300000,0)*0.24)</f>
      </c>
      <c r="F58" s="31">
        <f>IF(F53&lt;=0,0,MIN(MAX(F57,0),200)*0.09+MIN(MAX(F57-200,0),19800)*0.19+MIN(MAX(F57-20000,0),280000)*0.21+MAX(F57-300000,0)*0.24)</f>
      </c>
      <c r="G58" s="31">
        <f>IF(G53&lt;=0,0,MIN(MAX(G57,0),200)*0.09+MIN(MAX(G57-200,0),19800)*0.19+MIN(MAX(G57-20000,0),280000)*0.21+MAX(G57-300000,0)*0.24)</f>
      </c>
      <c r="H58" s="31">
        <f>IF(H53&lt;=0,0,MIN(MAX(H57,0),200)*0.09+MIN(MAX(H57-200,0),19800)*0.19+MIN(MAX(H57-20000,0),280000)*0.21+MAX(H57-300000,0)*0.24)</f>
      </c>
      <c r="I58" s="31">
        <f>IF(I53&lt;=0,0,MIN(MAX(I57,0),200)*0.09+MIN(MAX(I57-200,0),19800)*0.19+MIN(MAX(I57-20000,0),280000)*0.21+MAX(I57-300000,0)*0.24)</f>
      </c>
      <c r="J58" s="31">
        <f>IF(J53&lt;=0,0,MIN(MAX(J57,0),200)*0.09+MIN(MAX(J57-200,0),19800)*0.19+MIN(MAX(J57-20000,0),280000)*0.21+MAX(J57-300000,0)*0.24)</f>
      </c>
      <c r="K58" s="31">
        <f>IF(K53&lt;=0,0,MIN(MAX(K57,0),200)*0.09+MIN(MAX(K57-200,0),19800)*0.19+MIN(MAX(K57-20000,0),280000)*0.21+MAX(K57-300000,0)*0.24)</f>
      </c>
      <c r="L58" s="31">
        <f>IF(L53&lt;=0,0,MIN(MAX(L57,0),200)*0.09+MIN(MAX(L57-200,0),19800)*0.19+MIN(MAX(L57-20000,0),280000)*0.21+MAX(L57-300000,0)*0.24)</f>
      </c>
      <c r="M58" s="31">
        <f>IF(M53&lt;=0,0,MIN(MAX(M57,0),200)*0.09+MIN(MAX(M57-200,0),19800)*0.19+MIN(MAX(M57-20000,0),280000)*0.21+MAX(M57-300000,0)*0.24)</f>
      </c>
      <c r="N58" s="31">
        <f>IF(N53&lt;=0,0,MIN(MAX(N57,0),200)*0.09+MIN(MAX(N57-200,0),19800)*0.19+MIN(MAX(N57-20000,0),280000)*0.21+MAX(N57-300000,0)*0.24)</f>
      </c>
      <c r="O58" s="31">
        <f>IF(O53&lt;=0,0,MIN(MAX(O57,0),200)*0.09+MIN(MAX(O57-200,0),19800)*0.19+MIN(MAX(O57-20000,0),280000)*0.21+MAX(O57-300000,0)*0.24)</f>
      </c>
      <c r="P58" s="31">
        <f>IF(P53&lt;=0,0,MIN(MAX(P57,0),200)*0.09+MIN(MAX(P57-200,0),19800)*0.19+MIN(MAX(P57-20000,0),280000)*0.21+MAX(P57-300000,0)*0.24)</f>
      </c>
      <c r="Q58" s="31">
        <f>IF(Q53&lt;=0,0,MIN(MAX(Q57,0),200)*0.09+MIN(MAX(Q57-200,0),19800)*0.19+MIN(MAX(Q57-20000,0),280000)*0.21+MAX(Q57-300000,0)*0.24)</f>
      </c>
      <c r="R58" s="31">
        <f>IF(R53&lt;=0,0,MIN(MAX(R57,0),200)*0.09+MIN(MAX(R57-200,0),19800)*0.19+MIN(MAX(R57-20000,0),280000)*0.21+MAX(R57-300000,0)*0.24)</f>
      </c>
      <c r="S58" s="31">
        <f>IF(S53&lt;=0,0,MIN(MAX(S57,0),200)*0.09+MIN(MAX(S57-200,0),19800)*0.19+MIN(MAX(S57-20000,0),280000)*0.21+MAX(S57-300000,0)*0.24)</f>
      </c>
      <c r="T58" s="31">
        <f>IF(T53&lt;=0,0,MIN(MAX(T57,0),200)*0.09+MIN(MAX(T57-200,0),19800)*0.19+MIN(MAX(T57-20000,0),280000)*0.21+MAX(T57-300000,0)*0.24)</f>
      </c>
      <c r="U58" s="31">
        <f>IF(U53&lt;=0,0,MIN(MAX(U57,0),200)*0.09+MIN(MAX(U57-200,0),19800)*0.19+MIN(MAX(U57-20000,0),280000)*0.21+MAX(U57-300000,0)*0.24)</f>
      </c>
      <c r="V58" s="31">
        <f>IF(V53&lt;=0,0,MIN(MAX(V57,0),200)*0.09+MIN(MAX(V57-200,0),19800)*0.19+MIN(MAX(V57-20000,0),280000)*0.21+MAX(V57-300000,0)*0.24)</f>
      </c>
      <c r="W58" s="31">
        <f>IF(W53&lt;=0,0,MIN(MAX(W57,0),200)*0.09+MIN(MAX(W57-200,0),19800)*0.19+MIN(MAX(W57-20000,0),280000)*0.21+MAX(W57-300000,0)*0.24)</f>
      </c>
      <c r="X58" s="31">
        <f>IF(X53&lt;=0,0,MIN(MAX(X57,0),200)*0.09+MIN(MAX(X57-200,0),19800)*0.19+MIN(MAX(X57-20000,0),280000)*0.21+MAX(X57-300000,0)*0.24)</f>
      </c>
      <c r="Y58" s="31">
        <f>IF(Y53&lt;=0,0,MIN(MAX(Y57,0),200)*0.09+MIN(MAX(Y57-200,0),19800)*0.19+MIN(MAX(Y57-20000,0),280000)*0.21+MAX(Y57-300000,0)*0.24)</f>
      </c>
      <c r="Z58" s="31">
        <f>IF(Z53&lt;=0,0,MIN(MAX(Z57,0),200)*0.09+MIN(MAX(Z57-200,0),19800)*0.19+MIN(MAX(Z57-20000,0),280000)*0.21+MAX(Z57-300000,0)*0.24)</f>
      </c>
    </row>
    <row r="59" spans="2:26" x14ac:dyDescent="0.25">
      <c r="B59" s="33" t="s">
        <v>380</v>
      </c>
      <c r="C59" s="34" t="s">
        <v>228</v>
      </c>
      <c r="E59" s="31">
        <f>E57*$D$81/100</f>
      </c>
      <c r="F59" s="31">
        <f>F57*$D$81/100</f>
      </c>
      <c r="G59" s="31">
        <f>G57*$D$81/100</f>
      </c>
      <c r="H59" s="31">
        <f>H57*$D$81/100</f>
      </c>
      <c r="I59" s="31">
        <f>I57*$D$81/100</f>
      </c>
      <c r="J59" s="31">
        <f>J57*$D$81/100</f>
      </c>
      <c r="K59" s="31">
        <f>K57*$D$81/100</f>
      </c>
      <c r="L59" s="31">
        <f>L57*$D$81/100</f>
      </c>
      <c r="M59" s="31">
        <f>M57*$D$81/100</f>
      </c>
      <c r="N59" s="31">
        <f>N57*$D$81/100</f>
      </c>
      <c r="O59" s="31">
        <f>O57*$D$81/100</f>
      </c>
      <c r="P59" s="31">
        <f>P57*$D$81/100</f>
      </c>
      <c r="Q59" s="31">
        <f>Q57*$D$81/100</f>
      </c>
      <c r="R59" s="31">
        <f>R57*$D$81/100</f>
      </c>
      <c r="S59" s="31">
        <f>S57*$D$81/100</f>
      </c>
      <c r="T59" s="31">
        <f>T57*$D$81/100</f>
      </c>
      <c r="U59" s="31">
        <f>U57*$D$81/100</f>
      </c>
      <c r="V59" s="31">
        <f>V57*$D$81/100</f>
      </c>
      <c r="W59" s="31">
        <f>W57*$D$81/100</f>
      </c>
      <c r="X59" s="31">
        <f>X57*$D$81/100</f>
      </c>
      <c r="Y59" s="31">
        <f>Y57*$D$81/100</f>
      </c>
      <c r="Z59" s="31">
        <f>Z57*$D$81/100</f>
      </c>
    </row>
    <row r="60" spans="2:26" x14ac:dyDescent="0.25">
      <c r="B60" s="33" t="s">
        <v>381</v>
      </c>
      <c r="C60" s="34" t="s">
        <v>228</v>
      </c>
      <c r="E60" s="31">
        <f>0</f>
      </c>
      <c r="F60" s="31">
        <f>E65</f>
      </c>
      <c r="G60" s="31">
        <f>F65</f>
      </c>
      <c r="H60" s="31">
        <f>G65</f>
      </c>
      <c r="I60" s="31">
        <f>H65</f>
      </c>
      <c r="J60" s="31">
        <f>I65</f>
      </c>
      <c r="K60" s="31">
        <f>J65</f>
      </c>
      <c r="L60" s="31">
        <f>K65</f>
      </c>
      <c r="M60" s="31">
        <f>L65</f>
      </c>
      <c r="N60" s="31">
        <f>M65</f>
      </c>
      <c r="O60" s="31">
        <f>N65</f>
      </c>
      <c r="P60" s="31">
        <f>O65</f>
      </c>
      <c r="Q60" s="31">
        <f>P65</f>
      </c>
      <c r="R60" s="31">
        <f>Q65</f>
      </c>
      <c r="S60" s="31">
        <f>R65</f>
      </c>
      <c r="T60" s="31">
        <f>S65</f>
      </c>
      <c r="U60" s="31">
        <f>T65</f>
      </c>
      <c r="V60" s="31">
        <f>U65</f>
      </c>
      <c r="W60" s="31">
        <f>V65</f>
      </c>
      <c r="X60" s="31">
        <f>W65</f>
      </c>
      <c r="Y60" s="31">
        <f>X65</f>
      </c>
      <c r="Z60" s="31">
        <f>Y65</f>
      </c>
    </row>
    <row r="61" spans="2:26" x14ac:dyDescent="0.25">
      <c r="B61" s="33" t="s">
        <v>382</v>
      </c>
      <c r="C61" s="34" t="s">
        <v>228</v>
      </c>
      <c r="E61" s="31">
        <f>(0)*$D$82/100</f>
      </c>
      <c r="F61" s="31">
        <f>(0)*$D$82/100</f>
      </c>
      <c r="G61" s="31">
        <f>(0)*$D$82/100</f>
      </c>
      <c r="H61" s="31">
        <f>(0)*$D$82/100</f>
      </c>
      <c r="I61" s="31">
        <f>(0)*$D$82/100</f>
      </c>
      <c r="J61" s="31">
        <f>(0)*$D$82/100</f>
      </c>
      <c r="K61" s="31">
        <f>(0)*$D$82/100</f>
      </c>
      <c r="L61" s="31">
        <f>(0)*$D$82/100</f>
      </c>
      <c r="M61" s="31">
        <f>(0)*$D$82/100</f>
      </c>
      <c r="N61" s="31">
        <f>(0)*$D$82/100</f>
      </c>
      <c r="O61" s="31">
        <f>(0)*$D$82/100</f>
      </c>
      <c r="P61" s="31">
        <f>(0)*$D$82/100</f>
      </c>
      <c r="Q61" s="31">
        <f>(0)*$D$82/100</f>
      </c>
      <c r="R61" s="31">
        <f>(0)*$D$82/100</f>
      </c>
      <c r="S61" s="31">
        <f>(0)*$D$82/100</f>
      </c>
      <c r="T61" s="31">
        <f>(0)*$D$82/100</f>
      </c>
      <c r="U61" s="31">
        <f>(0)*$D$82/100</f>
      </c>
      <c r="V61" s="31">
        <f>(0)*$D$82/100</f>
      </c>
      <c r="W61" s="31">
        <f>(0)*$D$82/100</f>
      </c>
      <c r="X61" s="31">
        <f>(0)*$D$82/100</f>
      </c>
      <c r="Y61" s="31">
        <f>(0)*$D$82/100</f>
      </c>
      <c r="Z61" s="31">
        <f>(0)*$D$82/100</f>
      </c>
    </row>
    <row r="62" spans="2:26" x14ac:dyDescent="0.25">
      <c r="B62" s="33" t="s">
        <v>383</v>
      </c>
      <c r="C62" s="34" t="s">
        <v>228</v>
      </c>
      <c r="E62" s="31">
        <f>MAX(0,E58-(E60+E61))</f>
      </c>
      <c r="F62" s="31">
        <f>MAX(0,F58-(F60+F61))</f>
      </c>
      <c r="G62" s="31">
        <f>MAX(0,G58-(G60+G61))</f>
      </c>
      <c r="H62" s="31">
        <f>MAX(0,H58-(H60+H61))</f>
      </c>
      <c r="I62" s="31">
        <f>MAX(0,I58-(I60+I61))</f>
      </c>
      <c r="J62" s="31">
        <f>MAX(0,J58-(J60+J61))</f>
      </c>
      <c r="K62" s="31">
        <f>MAX(0,K58-(K60+K61))</f>
      </c>
      <c r="L62" s="31">
        <f>MAX(0,L58-(L60+L61))</f>
      </c>
      <c r="M62" s="31">
        <f>MAX(0,M58-(M60+M61))</f>
      </c>
      <c r="N62" s="31">
        <f>MAX(0,N58-(N60+N61))</f>
      </c>
      <c r="O62" s="31">
        <f>MAX(0,O58-(O60+O61))</f>
      </c>
      <c r="P62" s="31">
        <f>MAX(0,P58-(P60+P61))</f>
      </c>
      <c r="Q62" s="31">
        <f>MAX(0,Q58-(Q60+Q61))</f>
      </c>
      <c r="R62" s="31">
        <f>MAX(0,R58-(R60+R61))</f>
      </c>
      <c r="S62" s="31">
        <f>MAX(0,S58-(S60+S61))</f>
      </c>
      <c r="T62" s="31">
        <f>MAX(0,T58-(T60+T61))</f>
      </c>
      <c r="U62" s="31">
        <f>MAX(0,U58-(U60+U61))</f>
      </c>
      <c r="V62" s="31">
        <f>MAX(0,V58-(V60+V61))</f>
      </c>
      <c r="W62" s="31">
        <f>MAX(0,W58-(W60+W61))</f>
      </c>
      <c r="X62" s="31">
        <f>MAX(0,X58-(X60+X61))</f>
      </c>
      <c r="Y62" s="31">
        <f>MAX(0,Y58-(Y60+Y61))</f>
      </c>
      <c r="Z62" s="31">
        <f>MAX(0,Z58-(Z60+Z61))</f>
      </c>
    </row>
    <row r="63" spans="2:26" x14ac:dyDescent="0.25">
      <c r="B63" s="33" t="s">
        <v>384</v>
      </c>
      <c r="C63" s="34" t="s">
        <v>228</v>
      </c>
      <c r="E63" s="31">
        <f>IF(E53&lt;=0,0,MAX(E59,E62))</f>
      </c>
      <c r="F63" s="31">
        <f>IF(F53&lt;=0,0,MAX(F59,F62))</f>
      </c>
      <c r="G63" s="31">
        <f>IF(G53&lt;=0,0,MAX(G59,G62))</f>
      </c>
      <c r="H63" s="31">
        <f>IF(H53&lt;=0,0,MAX(H59,H62))</f>
      </c>
      <c r="I63" s="31">
        <f>IF(I53&lt;=0,0,MAX(I59,I62))</f>
      </c>
      <c r="J63" s="31">
        <f>IF(J53&lt;=0,0,MAX(J59,J62))</f>
      </c>
      <c r="K63" s="31">
        <f>IF(K53&lt;=0,0,MAX(K59,K62))</f>
      </c>
      <c r="L63" s="31">
        <f>IF(L53&lt;=0,0,MAX(L59,L62))</f>
      </c>
      <c r="M63" s="31">
        <f>IF(M53&lt;=0,0,MAX(M59,M62))</f>
      </c>
      <c r="N63" s="31">
        <f>IF(N53&lt;=0,0,MAX(N59,N62))</f>
      </c>
      <c r="O63" s="31">
        <f>IF(O53&lt;=0,0,MAX(O59,O62))</f>
      </c>
      <c r="P63" s="31">
        <f>IF(P53&lt;=0,0,MAX(P59,P62))</f>
      </c>
      <c r="Q63" s="31">
        <f>IF(Q53&lt;=0,0,MAX(Q59,Q62))</f>
      </c>
      <c r="R63" s="31">
        <f>IF(R53&lt;=0,0,MAX(R59,R62))</f>
      </c>
      <c r="S63" s="31">
        <f>IF(S53&lt;=0,0,MAX(S59,S62))</f>
      </c>
      <c r="T63" s="31">
        <f>IF(T53&lt;=0,0,MAX(T59,T62))</f>
      </c>
      <c r="U63" s="31">
        <f>IF(U53&lt;=0,0,MAX(U59,U62))</f>
      </c>
      <c r="V63" s="31">
        <f>IF(V53&lt;=0,0,MAX(V59,V62))</f>
      </c>
      <c r="W63" s="31">
        <f>IF(W53&lt;=0,0,MAX(W59,W62))</f>
      </c>
      <c r="X63" s="31">
        <f>IF(X53&lt;=0,0,MAX(X59,X62))</f>
      </c>
      <c r="Y63" s="31">
        <f>IF(Y53&lt;=0,0,MAX(Y59,Y62))</f>
      </c>
      <c r="Z63" s="31">
        <f>IF(Z53&lt;=0,0,MAX(Z59,Z62))</f>
      </c>
    </row>
    <row r="64" spans="2:26" x14ac:dyDescent="0.25">
      <c r="B64" s="33" t="s">
        <v>385</v>
      </c>
      <c r="C64" s="34" t="s">
        <v>228</v>
      </c>
      <c r="E64" s="31">
        <f>E58-E63</f>
      </c>
      <c r="F64" s="31">
        <f>F58-F63</f>
      </c>
      <c r="G64" s="31">
        <f>G58-G63</f>
      </c>
      <c r="H64" s="31">
        <f>H58-H63</f>
      </c>
      <c r="I64" s="31">
        <f>I58-I63</f>
      </c>
      <c r="J64" s="31">
        <f>J58-J63</f>
      </c>
      <c r="K64" s="31">
        <f>K58-K63</f>
      </c>
      <c r="L64" s="31">
        <f>L58-L63</f>
      </c>
      <c r="M64" s="31">
        <f>M58-M63</f>
      </c>
      <c r="N64" s="31">
        <f>N58-N63</f>
      </c>
      <c r="O64" s="31">
        <f>O58-O63</f>
      </c>
      <c r="P64" s="31">
        <f>P58-P63</f>
      </c>
      <c r="Q64" s="31">
        <f>Q58-Q63</f>
      </c>
      <c r="R64" s="31">
        <f>R58-R63</f>
      </c>
      <c r="S64" s="31">
        <f>S58-S63</f>
      </c>
      <c r="T64" s="31">
        <f>T58-T63</f>
      </c>
      <c r="U64" s="31">
        <f>U58-U63</f>
      </c>
      <c r="V64" s="31">
        <f>V58-V63</f>
      </c>
      <c r="W64" s="31">
        <f>W58-W63</f>
      </c>
      <c r="X64" s="31">
        <f>X58-X63</f>
      </c>
      <c r="Y64" s="31">
        <f>Y58-Y63</f>
      </c>
      <c r="Z64" s="31">
        <f>Z58-Z63</f>
      </c>
    </row>
    <row r="65" spans="2:26" x14ac:dyDescent="0.25">
      <c r="B65" s="33" t="s">
        <v>386</v>
      </c>
      <c r="C65" s="34" t="s">
        <v>228</v>
      </c>
      <c r="E65" s="31">
        <f>E60+E61-E64</f>
      </c>
      <c r="F65" s="31">
        <f>F60+F61-F64</f>
      </c>
      <c r="G65" s="31">
        <f>G60+G61-G64</f>
      </c>
      <c r="H65" s="31">
        <f>H60+H61-H64</f>
      </c>
      <c r="I65" s="31">
        <f>I60+I61-I64</f>
      </c>
      <c r="J65" s="31">
        <f>J60+J61-J64</f>
      </c>
      <c r="K65" s="31">
        <f>K60+K61-K64</f>
      </c>
      <c r="L65" s="31">
        <f>L60+L61-L64</f>
      </c>
      <c r="M65" s="31">
        <f>M60+M61-M64</f>
      </c>
      <c r="N65" s="31">
        <f>N60+N61-N64</f>
      </c>
      <c r="O65" s="31">
        <f>O60+O61-O64</f>
      </c>
      <c r="P65" s="31">
        <f>P60+P61-P64</f>
      </c>
      <c r="Q65" s="31">
        <f>Q60+Q61-Q64</f>
      </c>
      <c r="R65" s="31">
        <f>R60+R61-R64</f>
      </c>
      <c r="S65" s="31">
        <f>S60+S61-S64</f>
      </c>
      <c r="T65" s="31">
        <f>T60+T61-T64</f>
      </c>
      <c r="U65" s="31">
        <f>U60+U61-U64</f>
      </c>
      <c r="V65" s="31">
        <f>V60+V61-V64</f>
      </c>
      <c r="W65" s="31">
        <f>W60+W61-W64</f>
      </c>
      <c r="X65" s="31">
        <f>X60+X61-X64</f>
      </c>
      <c r="Y65" s="31">
        <f>Y60+Y61-Y64</f>
      </c>
      <c r="Z65" s="31">
        <f>Z60+Z61-Z64</f>
      </c>
    </row>
    <row r="66" spans="2:26" x14ac:dyDescent="0.25">
      <c r="B66" s="46" t="s">
        <v>387</v>
      </c>
      <c r="C66" s="34" t="s">
        <v>228</v>
      </c>
      <c r="E66" s="14">
        <f>E63*(1+$D$83/100)+E64*$D$84/100</f>
      </c>
      <c r="F66" s="14">
        <f>F63*(1+$D$83/100)+F64*$D$84/100</f>
      </c>
      <c r="G66" s="14">
        <f>G63*(1+$D$83/100)+G64*$D$84/100</f>
      </c>
      <c r="H66" s="14">
        <f>H63*(1+$D$83/100)+H64*$D$84/100</f>
      </c>
      <c r="I66" s="14">
        <f>I63*(1+$D$83/100)+I64*$D$84/100</f>
      </c>
      <c r="J66" s="14">
        <f>J63*(1+$D$83/100)+J64*$D$84/100</f>
      </c>
      <c r="K66" s="14">
        <f>K63*(1+$D$83/100)+K64*$D$84/100</f>
      </c>
      <c r="L66" s="14">
        <f>L63*(1+$D$83/100)+L64*$D$84/100</f>
      </c>
      <c r="M66" s="14">
        <f>M63*(1+$D$83/100)+M64*$D$84/100</f>
      </c>
      <c r="N66" s="14">
        <f>N63*(1+$D$83/100)+N64*$D$84/100</f>
      </c>
      <c r="O66" s="14">
        <f>O63*(1+$D$83/100)+O64*$D$84/100</f>
      </c>
      <c r="P66" s="14">
        <f>P63*(1+$D$83/100)+P64*$D$84/100</f>
      </c>
      <c r="Q66" s="14">
        <f>Q63*(1+$D$83/100)+Q64*$D$84/100</f>
      </c>
      <c r="R66" s="14">
        <f>R63*(1+$D$83/100)+R64*$D$84/100</f>
      </c>
      <c r="S66" s="14">
        <f>S63*(1+$D$83/100)+S64*$D$84/100</f>
      </c>
      <c r="T66" s="14">
        <f>T63*(1+$D$83/100)+T64*$D$84/100</f>
      </c>
      <c r="U66" s="14">
        <f>U63*(1+$D$83/100)+U64*$D$84/100</f>
      </c>
      <c r="V66" s="14">
        <f>V63*(1+$D$83/100)+V64*$D$84/100</f>
      </c>
      <c r="W66" s="14">
        <f>W63*(1+$D$83/100)+W64*$D$84/100</f>
      </c>
      <c r="X66" s="14">
        <f>X63*(1+$D$83/100)+X64*$D$84/100</f>
      </c>
      <c r="Y66" s="14">
        <f>Y63*(1+$D$83/100)+Y64*$D$84/100</f>
      </c>
      <c r="Z66" s="14">
        <f>Z63*(1+$D$83/100)+Z64*$D$84/100</f>
      </c>
    </row>
    <row r="67" spans="2:26" x14ac:dyDescent="0.25">
      <c r="B67" s="33" t="s">
        <v>388</v>
      </c>
      <c r="C67" s="34" t="s">
        <v>228</v>
      </c>
      <c r="E67" s="31">
        <f>MAX(0,E43)+MAX(0,F43)+MAX(0,G43)</f>
      </c>
      <c r="F67" s="31">
        <f>MAX(0,H43)+MAX(0,I43)+MAX(0,J43)+MAX(0,K43)</f>
      </c>
      <c r="G67" s="31">
        <f>MAX(0,L43)+MAX(0,M43)+MAX(0,N43)+MAX(0,O43)</f>
      </c>
      <c r="H67" s="31">
        <f>MAX(0,P43)+MAX(0,Q43)+MAX(0,R43)+MAX(0,S43)</f>
      </c>
      <c r="I67" s="31">
        <f>MAX(0,T43)+MAX(0,U43)+MAX(0,V43)+MAX(0,W43)</f>
      </c>
      <c r="J67" s="31">
        <f>MAX(0,X43)+MAX(0,Y43)+MAX(0,Z43)+MAX(0,AA43)</f>
      </c>
      <c r="K67" s="31">
        <f>MAX(0,AB43)+MAX(0,AC43)+MAX(0,AD43)+MAX(0,AE43)</f>
      </c>
      <c r="L67" s="31">
        <f>MAX(0,AF43)+MAX(0,AG43)+MAX(0,AH43)+MAX(0,AI43)</f>
      </c>
      <c r="M67" s="31">
        <f>MAX(0,AJ43)+MAX(0,AK43)+MAX(0,AL43)+MAX(0,AM43)</f>
      </c>
      <c r="N67" s="31">
        <f>MAX(0,AN43)+MAX(0,AO43)+MAX(0,AP43)+MAX(0,AQ43)</f>
      </c>
      <c r="O67" s="31">
        <f>MAX(0,AR43)+MAX(0,AS43)+MAX(0,AT43)+MAX(0,AU43)</f>
      </c>
      <c r="P67" s="31">
        <f>MAX(0,AV43)+MAX(0,AW43)+MAX(0,AX43)+MAX(0,AY43)</f>
      </c>
      <c r="Q67" s="31">
        <f>MAX(0,AZ43)+MAX(0,BA43)+MAX(0,BB43)+MAX(0,BC43)</f>
      </c>
      <c r="R67" s="31">
        <f>MAX(0,BD43)+MAX(0,BE43)+MAX(0,BF43)+MAX(0,BG43)</f>
      </c>
      <c r="S67" s="31">
        <f>MAX(0,BH43)+MAX(0,BI43)+MAX(0,BJ43)+MAX(0,BK43)</f>
      </c>
      <c r="T67" s="31">
        <f>MAX(0,BL43)+MAX(0,BM43)+MAX(0,BN43)+MAX(0,BO43)</f>
      </c>
      <c r="U67" s="31">
        <f>MAX(0,BP43)+MAX(0,BQ43)+MAX(0,BR43)+MAX(0,BS43)</f>
      </c>
      <c r="V67" s="31">
        <f>MAX(0,BT43)+MAX(0,BU43)+MAX(0,BV43)+MAX(0,BW43)</f>
      </c>
      <c r="W67" s="31">
        <f>MAX(0,BX43)+MAX(0,BY43)+MAX(0,BZ43)+MAX(0,CA43)</f>
      </c>
      <c r="X67" s="31">
        <f>MAX(0,CB43)+MAX(0,CC43)+MAX(0,CD43)+MAX(0,CE43)</f>
      </c>
      <c r="Y67" s="31">
        <f>MAX(0,CF43)+MAX(0,CG43)+MAX(0,CH43)+MAX(0,CI43)</f>
      </c>
      <c r="Z67" s="31">
        <f>MAX(0,CJ43)+MAX(0,CK43)+MAX(0,CL43)</f>
      </c>
    </row>
    <row r="69" spans="2:2" x14ac:dyDescent="0.25">
      <c r="B69" s="37" t="s">
        <v>389</v>
      </c>
    </row>
    <row r="70" spans="2:2" x14ac:dyDescent="0.25">
      <c r="B70" s="37" t="s">
        <v>342</v>
      </c>
    </row>
    <row r="73" spans="2:91" x14ac:dyDescent="0.25">
      <c r="B73" s="9" t="s">
        <v>220</v>
      </c>
      <c r="C73" s="10"/>
      <c r="D73" s="43" t="s">
        <v>221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</row>
    <row r="74" spans="2:2" x14ac:dyDescent="0.25">
      <c r="B74" s="37" t="s">
        <v>222</v>
      </c>
    </row>
    <row r="75" spans="2:4" x14ac:dyDescent="0.25">
      <c r="B75" s="33" t="s">
        <v>390</v>
      </c>
      <c r="C75" s="44" t="s">
        <v>391</v>
      </c>
      <c r="D75" s="59">
        <f>'입력값'!C15</f>
      </c>
    </row>
    <row r="76" spans="2:4" x14ac:dyDescent="0.25">
      <c r="B76" s="33" t="s">
        <v>392</v>
      </c>
      <c r="C76" s="44" t="s">
        <v>393</v>
      </c>
      <c r="D76" s="62">
        <f>'입력값'!C16</f>
      </c>
    </row>
    <row r="77" spans="2:4" x14ac:dyDescent="0.25">
      <c r="B77" s="33" t="s">
        <v>394</v>
      </c>
      <c r="C77" s="44" t="s">
        <v>395</v>
      </c>
      <c r="D77" s="45">
        <f>'입력값'!C17</f>
      </c>
    </row>
    <row r="78" spans="2:4" x14ac:dyDescent="0.25">
      <c r="B78" s="33" t="s">
        <v>396</v>
      </c>
      <c r="C78" s="44" t="s">
        <v>397</v>
      </c>
      <c r="D78" s="45">
        <f>'입력값'!C21</f>
      </c>
    </row>
    <row r="79" spans="2:4" x14ac:dyDescent="0.25">
      <c r="B79" s="33" t="s">
        <v>398</v>
      </c>
      <c r="C79" s="44" t="s">
        <v>399</v>
      </c>
      <c r="D79" s="45">
        <f>'입력값'!C22</f>
      </c>
    </row>
    <row r="80" spans="2:4" x14ac:dyDescent="0.25">
      <c r="B80" s="33" t="s">
        <v>400</v>
      </c>
      <c r="C80" s="44" t="s">
        <v>401</v>
      </c>
      <c r="D80" s="59">
        <f>'입력값'!C32</f>
      </c>
    </row>
    <row r="81" spans="2:4" x14ac:dyDescent="0.25">
      <c r="B81" s="33" t="s">
        <v>402</v>
      </c>
      <c r="C81" s="44" t="s">
        <v>403</v>
      </c>
      <c r="D81" s="59">
        <f>'입력값'!C33</f>
      </c>
    </row>
    <row r="82" spans="2:4" x14ac:dyDescent="0.25">
      <c r="B82" s="33" t="s">
        <v>404</v>
      </c>
      <c r="C82" s="44" t="s">
        <v>405</v>
      </c>
      <c r="D82" s="59">
        <f>'입력값'!C34</f>
      </c>
    </row>
    <row r="83" spans="2:4" x14ac:dyDescent="0.25">
      <c r="B83" s="33" t="s">
        <v>406</v>
      </c>
      <c r="C83" s="44" t="s">
        <v>407</v>
      </c>
      <c r="D83" s="59">
        <f>'입력값'!C35</f>
      </c>
    </row>
    <row r="84" spans="2:4" x14ac:dyDescent="0.25">
      <c r="B84" s="33" t="s">
        <v>408</v>
      </c>
      <c r="C84" s="44" t="s">
        <v>409</v>
      </c>
      <c r="D84" s="59">
        <f>'입력값'!C36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7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410</v>
      </c>
    </row>
    <row r="4" spans="2:91" x14ac:dyDescent="0.25">
      <c r="B4" s="9" t="s">
        <v>411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7" t="s">
        <v>99</v>
      </c>
      <c r="C6" s="27" t="s">
        <v>100</v>
      </c>
      <c r="D6" s="27" t="s">
        <v>101</v>
      </c>
      <c r="E6" s="32" t="s">
        <v>102</v>
      </c>
      <c r="F6" s="32" t="s">
        <v>103</v>
      </c>
      <c r="G6" s="32" t="s">
        <v>104</v>
      </c>
      <c r="H6" s="32" t="s">
        <v>105</v>
      </c>
      <c r="I6" s="32" t="s">
        <v>106</v>
      </c>
      <c r="J6" s="32" t="s">
        <v>107</v>
      </c>
      <c r="K6" s="32" t="s">
        <v>108</v>
      </c>
      <c r="L6" s="32" t="s">
        <v>109</v>
      </c>
      <c r="M6" s="32" t="s">
        <v>110</v>
      </c>
      <c r="N6" s="32" t="s">
        <v>111</v>
      </c>
      <c r="O6" s="32" t="s">
        <v>112</v>
      </c>
      <c r="P6" s="32" t="s">
        <v>113</v>
      </c>
      <c r="Q6" s="32" t="s">
        <v>114</v>
      </c>
      <c r="R6" s="32" t="s">
        <v>115</v>
      </c>
      <c r="S6" s="32" t="s">
        <v>116</v>
      </c>
      <c r="T6" s="32" t="s">
        <v>117</v>
      </c>
      <c r="U6" s="32" t="s">
        <v>118</v>
      </c>
      <c r="V6" s="32" t="s">
        <v>119</v>
      </c>
      <c r="W6" s="32" t="s">
        <v>120</v>
      </c>
      <c r="X6" s="32" t="s">
        <v>121</v>
      </c>
      <c r="Y6" s="32" t="s">
        <v>122</v>
      </c>
      <c r="Z6" s="32" t="s">
        <v>123</v>
      </c>
      <c r="AA6" s="32" t="s">
        <v>124</v>
      </c>
      <c r="AB6" s="32" t="s">
        <v>125</v>
      </c>
      <c r="AC6" s="32" t="s">
        <v>126</v>
      </c>
      <c r="AD6" s="32" t="s">
        <v>127</v>
      </c>
      <c r="AE6" s="32" t="s">
        <v>128</v>
      </c>
      <c r="AF6" s="32" t="s">
        <v>129</v>
      </c>
      <c r="AG6" s="32" t="s">
        <v>130</v>
      </c>
      <c r="AH6" s="32" t="s">
        <v>131</v>
      </c>
      <c r="AI6" s="32" t="s">
        <v>132</v>
      </c>
      <c r="AJ6" s="32" t="s">
        <v>133</v>
      </c>
      <c r="AK6" s="32" t="s">
        <v>134</v>
      </c>
      <c r="AL6" s="32" t="s">
        <v>135</v>
      </c>
      <c r="AM6" s="32" t="s">
        <v>136</v>
      </c>
      <c r="AN6" s="32" t="s">
        <v>137</v>
      </c>
      <c r="AO6" s="32" t="s">
        <v>138</v>
      </c>
      <c r="AP6" s="32" t="s">
        <v>139</v>
      </c>
      <c r="AQ6" s="32" t="s">
        <v>140</v>
      </c>
      <c r="AR6" s="32" t="s">
        <v>141</v>
      </c>
      <c r="AS6" s="32" t="s">
        <v>142</v>
      </c>
      <c r="AT6" s="32" t="s">
        <v>143</v>
      </c>
      <c r="AU6" s="32" t="s">
        <v>144</v>
      </c>
      <c r="AV6" s="32" t="s">
        <v>145</v>
      </c>
      <c r="AW6" s="32" t="s">
        <v>146</v>
      </c>
      <c r="AX6" s="32" t="s">
        <v>147</v>
      </c>
      <c r="AY6" s="32" t="s">
        <v>148</v>
      </c>
      <c r="AZ6" s="32" t="s">
        <v>149</v>
      </c>
      <c r="BA6" s="32" t="s">
        <v>150</v>
      </c>
      <c r="BB6" s="32" t="s">
        <v>151</v>
      </c>
      <c r="BC6" s="32" t="s">
        <v>152</v>
      </c>
      <c r="BD6" s="32" t="s">
        <v>153</v>
      </c>
      <c r="BE6" s="32" t="s">
        <v>154</v>
      </c>
      <c r="BF6" s="32" t="s">
        <v>155</v>
      </c>
      <c r="BG6" s="32" t="s">
        <v>156</v>
      </c>
      <c r="BH6" s="32" t="s">
        <v>157</v>
      </c>
      <c r="BI6" s="32" t="s">
        <v>158</v>
      </c>
      <c r="BJ6" s="32" t="s">
        <v>159</v>
      </c>
      <c r="BK6" s="32" t="s">
        <v>160</v>
      </c>
      <c r="BL6" s="32" t="s">
        <v>161</v>
      </c>
      <c r="BM6" s="32" t="s">
        <v>162</v>
      </c>
      <c r="BN6" s="32" t="s">
        <v>163</v>
      </c>
      <c r="BO6" s="32" t="s">
        <v>164</v>
      </c>
      <c r="BP6" s="32" t="s">
        <v>165</v>
      </c>
      <c r="BQ6" s="32" t="s">
        <v>166</v>
      </c>
      <c r="BR6" s="32" t="s">
        <v>167</v>
      </c>
      <c r="BS6" s="32" t="s">
        <v>168</v>
      </c>
      <c r="BT6" s="32" t="s">
        <v>169</v>
      </c>
      <c r="BU6" s="32" t="s">
        <v>170</v>
      </c>
      <c r="BV6" s="32" t="s">
        <v>171</v>
      </c>
      <c r="BW6" s="32" t="s">
        <v>172</v>
      </c>
      <c r="BX6" s="32" t="s">
        <v>173</v>
      </c>
      <c r="BY6" s="32" t="s">
        <v>174</v>
      </c>
      <c r="BZ6" s="32" t="s">
        <v>175</v>
      </c>
      <c r="CA6" s="32" t="s">
        <v>176</v>
      </c>
      <c r="CB6" s="32" t="s">
        <v>177</v>
      </c>
      <c r="CC6" s="32" t="s">
        <v>178</v>
      </c>
      <c r="CD6" s="32" t="s">
        <v>179</v>
      </c>
      <c r="CE6" s="32" t="s">
        <v>180</v>
      </c>
      <c r="CF6" s="32" t="s">
        <v>181</v>
      </c>
      <c r="CG6" s="32" t="s">
        <v>182</v>
      </c>
      <c r="CH6" s="32" t="s">
        <v>183</v>
      </c>
      <c r="CI6" s="32" t="s">
        <v>184</v>
      </c>
      <c r="CJ6" s="32" t="s">
        <v>185</v>
      </c>
      <c r="CK6" s="32" t="s">
        <v>186</v>
      </c>
      <c r="CL6" s="32" t="s">
        <v>187</v>
      </c>
    </row>
    <row r="9" spans="2:91" x14ac:dyDescent="0.25">
      <c r="B9" s="47" t="s">
        <v>412</v>
      </c>
      <c r="C9" s="51" t="s">
        <v>228</v>
      </c>
      <c r="D9" s="42">
        <f>SUM(E9:CL9)</f>
      </c>
      <c r="E9" s="42">
        <f>'Revenue'!E17-'Opex'!E22+'IS(Q)'!E44+'IS(Q)'!E31+'Revenue'!E22</f>
      </c>
      <c r="F9" s="42">
        <f>'Revenue'!F17-'Opex'!F22+'IS(Q)'!F44+'IS(Q)'!F31+'Revenue'!F22</f>
      </c>
      <c r="G9" s="42">
        <f>'Revenue'!G17-'Opex'!G22+'IS(Q)'!G44+'IS(Q)'!G31+'Revenue'!G22</f>
      </c>
      <c r="H9" s="42">
        <f>'Revenue'!H17-'Opex'!H22+'IS(Q)'!H44+'IS(Q)'!H31+'Revenue'!H22</f>
      </c>
      <c r="I9" s="42">
        <f>'Revenue'!I17-'Opex'!I22+'IS(Q)'!I44+'IS(Q)'!I31+'Revenue'!I22</f>
      </c>
      <c r="J9" s="42">
        <f>'Revenue'!J17-'Opex'!J22+'IS(Q)'!J44+'IS(Q)'!J31+'Revenue'!J22</f>
      </c>
      <c r="K9" s="42">
        <f>'Revenue'!K17-'Opex'!K22+'IS(Q)'!K44+'IS(Q)'!K31+'Revenue'!K22</f>
      </c>
      <c r="L9" s="42">
        <f>'Revenue'!L17-'Opex'!L22+'IS(Q)'!L44+'IS(Q)'!L31+'Revenue'!L22</f>
      </c>
      <c r="M9" s="42">
        <f>'Revenue'!M17-'Opex'!M22+'IS(Q)'!M44+'IS(Q)'!M31+'Revenue'!M22</f>
      </c>
      <c r="N9" s="42">
        <f>'Revenue'!N17-'Opex'!N22+'IS(Q)'!N44+'IS(Q)'!N31+'Revenue'!N22</f>
      </c>
      <c r="O9" s="42">
        <f>'Revenue'!O17-'Opex'!O22+'IS(Q)'!O44+'IS(Q)'!O31+'Revenue'!O22</f>
      </c>
      <c r="P9" s="42">
        <f>'Revenue'!P17-'Opex'!P22+'IS(Q)'!P44+'IS(Q)'!P31+'Revenue'!P22</f>
      </c>
      <c r="Q9" s="42">
        <f>'Revenue'!Q17-'Opex'!Q22+'IS(Q)'!Q44+'IS(Q)'!Q31+'Revenue'!Q22</f>
      </c>
      <c r="R9" s="42">
        <f>'Revenue'!R17-'Opex'!R22+'IS(Q)'!R44+'IS(Q)'!R31+'Revenue'!R22</f>
      </c>
      <c r="S9" s="42">
        <f>'Revenue'!S17-'Opex'!S22+'IS(Q)'!S44+'IS(Q)'!S31+'Revenue'!S22</f>
      </c>
      <c r="T9" s="42">
        <f>'Revenue'!T17-'Opex'!T22+'IS(Q)'!T44+'IS(Q)'!T31+'Revenue'!T22</f>
      </c>
      <c r="U9" s="42">
        <f>'Revenue'!U17-'Opex'!U22+'IS(Q)'!U44+'IS(Q)'!U31+'Revenue'!U22</f>
      </c>
      <c r="V9" s="42">
        <f>'Revenue'!V17-'Opex'!V22+'IS(Q)'!V44+'IS(Q)'!V31+'Revenue'!V22</f>
      </c>
      <c r="W9" s="42">
        <f>'Revenue'!W17-'Opex'!W22+'IS(Q)'!W44+'IS(Q)'!W31+'Revenue'!W22</f>
      </c>
      <c r="X9" s="42">
        <f>'Revenue'!X17-'Opex'!X22+'IS(Q)'!X44+'IS(Q)'!X31+'Revenue'!X22</f>
      </c>
      <c r="Y9" s="42">
        <f>'Revenue'!Y17-'Opex'!Y22+'IS(Q)'!Y44+'IS(Q)'!Y31+'Revenue'!Y22</f>
      </c>
      <c r="Z9" s="42">
        <f>'Revenue'!Z17-'Opex'!Z22+'IS(Q)'!Z44+'IS(Q)'!Z31+'Revenue'!Z22</f>
      </c>
      <c r="AA9" s="42">
        <f>'Revenue'!AA17-'Opex'!AA22+'IS(Q)'!AA44+'IS(Q)'!AA31+'Revenue'!AA22</f>
      </c>
      <c r="AB9" s="42">
        <f>'Revenue'!AB17-'Opex'!AB22+'IS(Q)'!AB44+'IS(Q)'!AB31+'Revenue'!AB22</f>
      </c>
      <c r="AC9" s="42">
        <f>'Revenue'!AC17-'Opex'!AC22+'IS(Q)'!AC44+'IS(Q)'!AC31+'Revenue'!AC22</f>
      </c>
      <c r="AD9" s="42">
        <f>'Revenue'!AD17-'Opex'!AD22+'IS(Q)'!AD44+'IS(Q)'!AD31+'Revenue'!AD22</f>
      </c>
      <c r="AE9" s="42">
        <f>'Revenue'!AE17-'Opex'!AE22+'IS(Q)'!AE44+'IS(Q)'!AE31+'Revenue'!AE22</f>
      </c>
      <c r="AF9" s="42">
        <f>'Revenue'!AF17-'Opex'!AF22+'IS(Q)'!AF44+'IS(Q)'!AF31+'Revenue'!AF22</f>
      </c>
      <c r="AG9" s="42">
        <f>'Revenue'!AG17-'Opex'!AG22+'IS(Q)'!AG44+'IS(Q)'!AG31+'Revenue'!AG22</f>
      </c>
      <c r="AH9" s="42">
        <f>'Revenue'!AH17-'Opex'!AH22+'IS(Q)'!AH44+'IS(Q)'!AH31+'Revenue'!AH22</f>
      </c>
      <c r="AI9" s="42">
        <f>'Revenue'!AI17-'Opex'!AI22+'IS(Q)'!AI44+'IS(Q)'!AI31+'Revenue'!AI22</f>
      </c>
      <c r="AJ9" s="42">
        <f>'Revenue'!AJ17-'Opex'!AJ22+'IS(Q)'!AJ44+'IS(Q)'!AJ31+'Revenue'!AJ22</f>
      </c>
      <c r="AK9" s="42">
        <f>'Revenue'!AK17-'Opex'!AK22+'IS(Q)'!AK44+'IS(Q)'!AK31+'Revenue'!AK22</f>
      </c>
      <c r="AL9" s="42">
        <f>'Revenue'!AL17-'Opex'!AL22+'IS(Q)'!AL44+'IS(Q)'!AL31+'Revenue'!AL22</f>
      </c>
      <c r="AM9" s="42">
        <f>'Revenue'!AM17-'Opex'!AM22+'IS(Q)'!AM44+'IS(Q)'!AM31+'Revenue'!AM22</f>
      </c>
      <c r="AN9" s="42">
        <f>'Revenue'!AN17-'Opex'!AN22+'IS(Q)'!AN44+'IS(Q)'!AN31+'Revenue'!AN22</f>
      </c>
      <c r="AO9" s="42">
        <f>'Revenue'!AO17-'Opex'!AO22+'IS(Q)'!AO44+'IS(Q)'!AO31+'Revenue'!AO22</f>
      </c>
      <c r="AP9" s="42">
        <f>'Revenue'!AP17-'Opex'!AP22+'IS(Q)'!AP44+'IS(Q)'!AP31+'Revenue'!AP22</f>
      </c>
      <c r="AQ9" s="42">
        <f>'Revenue'!AQ17-'Opex'!AQ22+'IS(Q)'!AQ44+'IS(Q)'!AQ31+'Revenue'!AQ22</f>
      </c>
      <c r="AR9" s="42">
        <f>'Revenue'!AR17-'Opex'!AR22+'IS(Q)'!AR44+'IS(Q)'!AR31+'Revenue'!AR22</f>
      </c>
      <c r="AS9" s="42">
        <f>'Revenue'!AS17-'Opex'!AS22+'IS(Q)'!AS44+'IS(Q)'!AS31+'Revenue'!AS22</f>
      </c>
      <c r="AT9" s="42">
        <f>'Revenue'!AT17-'Opex'!AT22+'IS(Q)'!AT44+'IS(Q)'!AT31+'Revenue'!AT22</f>
      </c>
      <c r="AU9" s="42">
        <f>'Revenue'!AU17-'Opex'!AU22+'IS(Q)'!AU44+'IS(Q)'!AU31+'Revenue'!AU22</f>
      </c>
      <c r="AV9" s="42">
        <f>'Revenue'!AV17-'Opex'!AV22+'IS(Q)'!AV44+'IS(Q)'!AV31+'Revenue'!AV22</f>
      </c>
      <c r="AW9" s="42">
        <f>'Revenue'!AW17-'Opex'!AW22+'IS(Q)'!AW44+'IS(Q)'!AW31+'Revenue'!AW22</f>
      </c>
      <c r="AX9" s="42">
        <f>'Revenue'!AX17-'Opex'!AX22+'IS(Q)'!AX44+'IS(Q)'!AX31+'Revenue'!AX22</f>
      </c>
      <c r="AY9" s="42">
        <f>'Revenue'!AY17-'Opex'!AY22+'IS(Q)'!AY44+'IS(Q)'!AY31+'Revenue'!AY22</f>
      </c>
      <c r="AZ9" s="42">
        <f>'Revenue'!AZ17-'Opex'!AZ22+'IS(Q)'!AZ44+'IS(Q)'!AZ31+'Revenue'!AZ22</f>
      </c>
      <c r="BA9" s="42">
        <f>'Revenue'!BA17-'Opex'!BA22+'IS(Q)'!BA44+'IS(Q)'!BA31+'Revenue'!BA22</f>
      </c>
      <c r="BB9" s="42">
        <f>'Revenue'!BB17-'Opex'!BB22+'IS(Q)'!BB44+'IS(Q)'!BB31+'Revenue'!BB22</f>
      </c>
      <c r="BC9" s="42">
        <f>'Revenue'!BC17-'Opex'!BC22+'IS(Q)'!BC44+'IS(Q)'!BC31+'Revenue'!BC22</f>
      </c>
      <c r="BD9" s="42">
        <f>'Revenue'!BD17-'Opex'!BD22+'IS(Q)'!BD44+'IS(Q)'!BD31+'Revenue'!BD22</f>
      </c>
      <c r="BE9" s="42">
        <f>'Revenue'!BE17-'Opex'!BE22+'IS(Q)'!BE44+'IS(Q)'!BE31+'Revenue'!BE22</f>
      </c>
      <c r="BF9" s="42">
        <f>'Revenue'!BF17-'Opex'!BF22+'IS(Q)'!BF44+'IS(Q)'!BF31+'Revenue'!BF22</f>
      </c>
      <c r="BG9" s="42">
        <f>'Revenue'!BG17-'Opex'!BG22+'IS(Q)'!BG44+'IS(Q)'!BG31+'Revenue'!BG22</f>
      </c>
      <c r="BH9" s="42">
        <f>'Revenue'!BH17-'Opex'!BH22+'IS(Q)'!BH44+'IS(Q)'!BH31+'Revenue'!BH22</f>
      </c>
      <c r="BI9" s="42">
        <f>'Revenue'!BI17-'Opex'!BI22+'IS(Q)'!BI44+'IS(Q)'!BI31+'Revenue'!BI22</f>
      </c>
      <c r="BJ9" s="42">
        <f>'Revenue'!BJ17-'Opex'!BJ22+'IS(Q)'!BJ44+'IS(Q)'!BJ31+'Revenue'!BJ22</f>
      </c>
      <c r="BK9" s="42">
        <f>'Revenue'!BK17-'Opex'!BK22+'IS(Q)'!BK44+'IS(Q)'!BK31+'Revenue'!BK22</f>
      </c>
      <c r="BL9" s="42">
        <f>'Revenue'!BL17-'Opex'!BL22+'IS(Q)'!BL44+'IS(Q)'!BL31+'Revenue'!BL22</f>
      </c>
      <c r="BM9" s="42">
        <f>'Revenue'!BM17-'Opex'!BM22+'IS(Q)'!BM44+'IS(Q)'!BM31+'Revenue'!BM22</f>
      </c>
      <c r="BN9" s="42">
        <f>'Revenue'!BN17-'Opex'!BN22+'IS(Q)'!BN44+'IS(Q)'!BN31+'Revenue'!BN22</f>
      </c>
      <c r="BO9" s="42">
        <f>'Revenue'!BO17-'Opex'!BO22+'IS(Q)'!BO44+'IS(Q)'!BO31+'Revenue'!BO22</f>
      </c>
      <c r="BP9" s="42">
        <f>'Revenue'!BP17-'Opex'!BP22+'IS(Q)'!BP44+'IS(Q)'!BP31+'Revenue'!BP22</f>
      </c>
      <c r="BQ9" s="42">
        <f>'Revenue'!BQ17-'Opex'!BQ22+'IS(Q)'!BQ44+'IS(Q)'!BQ31+'Revenue'!BQ22</f>
      </c>
      <c r="BR9" s="42">
        <f>'Revenue'!BR17-'Opex'!BR22+'IS(Q)'!BR44+'IS(Q)'!BR31+'Revenue'!BR22</f>
      </c>
      <c r="BS9" s="42">
        <f>'Revenue'!BS17-'Opex'!BS22+'IS(Q)'!BS44+'IS(Q)'!BS31+'Revenue'!BS22</f>
      </c>
      <c r="BT9" s="42">
        <f>'Revenue'!BT17-'Opex'!BT22+'IS(Q)'!BT44+'IS(Q)'!BT31+'Revenue'!BT22</f>
      </c>
      <c r="BU9" s="42">
        <f>'Revenue'!BU17-'Opex'!BU22+'IS(Q)'!BU44+'IS(Q)'!BU31+'Revenue'!BU22</f>
      </c>
      <c r="BV9" s="42">
        <f>'Revenue'!BV17-'Opex'!BV22+'IS(Q)'!BV44+'IS(Q)'!BV31+'Revenue'!BV22</f>
      </c>
      <c r="BW9" s="42">
        <f>'Revenue'!BW17-'Opex'!BW22+'IS(Q)'!BW44+'IS(Q)'!BW31+'Revenue'!BW22</f>
      </c>
      <c r="BX9" s="42">
        <f>'Revenue'!BX17-'Opex'!BX22+'IS(Q)'!BX44+'IS(Q)'!BX31+'Revenue'!BX22</f>
      </c>
      <c r="BY9" s="42">
        <f>'Revenue'!BY17-'Opex'!BY22+'IS(Q)'!BY44+'IS(Q)'!BY31+'Revenue'!BY22</f>
      </c>
      <c r="BZ9" s="42">
        <f>'Revenue'!BZ17-'Opex'!BZ22+'IS(Q)'!BZ44+'IS(Q)'!BZ31+'Revenue'!BZ22</f>
      </c>
      <c r="CA9" s="42">
        <f>'Revenue'!CA17-'Opex'!CA22+'IS(Q)'!CA44+'IS(Q)'!CA31+'Revenue'!CA22</f>
      </c>
      <c r="CB9" s="42">
        <f>'Revenue'!CB17-'Opex'!CB22+'IS(Q)'!CB44+'IS(Q)'!CB31+'Revenue'!CB22</f>
      </c>
      <c r="CC9" s="42">
        <f>'Revenue'!CC17-'Opex'!CC22+'IS(Q)'!CC44+'IS(Q)'!CC31+'Revenue'!CC22</f>
      </c>
      <c r="CD9" s="42">
        <f>'Revenue'!CD17-'Opex'!CD22+'IS(Q)'!CD44+'IS(Q)'!CD31+'Revenue'!CD22</f>
      </c>
      <c r="CE9" s="42">
        <f>'Revenue'!CE17-'Opex'!CE22+'IS(Q)'!CE44+'IS(Q)'!CE31+'Revenue'!CE22</f>
      </c>
      <c r="CF9" s="42">
        <f>'Revenue'!CF17-'Opex'!CF22+'IS(Q)'!CF44+'IS(Q)'!CF31+'Revenue'!CF22</f>
      </c>
      <c r="CG9" s="42">
        <f>'Revenue'!CG17-'Opex'!CG22+'IS(Q)'!CG44+'IS(Q)'!CG31+'Revenue'!CG22</f>
      </c>
      <c r="CH9" s="42">
        <f>'Revenue'!CH17-'Opex'!CH22+'IS(Q)'!CH44+'IS(Q)'!CH31+'Revenue'!CH22</f>
      </c>
      <c r="CI9" s="42">
        <f>'Revenue'!CI17-'Opex'!CI22+'IS(Q)'!CI44+'IS(Q)'!CI31+'Revenue'!CI22</f>
      </c>
      <c r="CJ9" s="42">
        <f>'Revenue'!CJ17-'Opex'!CJ22+'IS(Q)'!CJ44+'IS(Q)'!CJ31+'Revenue'!CJ22</f>
      </c>
      <c r="CK9" s="42">
        <f>'Revenue'!CK17-'Opex'!CK22+'IS(Q)'!CK44+'IS(Q)'!CK31+'Revenue'!CK22</f>
      </c>
      <c r="CL9" s="42">
        <f>'Revenue'!CL17-'Opex'!CL22+'IS(Q)'!CL44+'IS(Q)'!CL31+'Revenue'!CL22</f>
      </c>
      <c r="CM9" s="48"/>
    </row>
    <row r="10" spans="2:90" x14ac:dyDescent="0.25">
      <c r="B10" s="33" t="s">
        <v>254</v>
      </c>
      <c r="C10" s="34" t="s">
        <v>228</v>
      </c>
      <c r="D10" s="31">
        <f>SUM(E10:CL10)</f>
      </c>
      <c r="E10" s="31">
        <f>'Debt'!E79</f>
      </c>
      <c r="F10" s="31">
        <f>'Debt'!F79</f>
      </c>
      <c r="G10" s="31">
        <f>'Debt'!G79</f>
      </c>
      <c r="H10" s="31">
        <f>'Debt'!H79</f>
      </c>
      <c r="I10" s="31">
        <f>'Debt'!I79</f>
      </c>
      <c r="J10" s="31">
        <f>'Debt'!J79</f>
      </c>
      <c r="K10" s="31">
        <f>'Debt'!K79</f>
      </c>
      <c r="L10" s="31">
        <f>'Debt'!L79</f>
      </c>
      <c r="M10" s="31">
        <f>'Debt'!M79</f>
      </c>
      <c r="N10" s="31">
        <f>'Debt'!N79</f>
      </c>
      <c r="O10" s="31">
        <f>'Debt'!O79</f>
      </c>
      <c r="P10" s="31">
        <f>'Debt'!P79</f>
      </c>
      <c r="Q10" s="31">
        <f>'Debt'!Q79</f>
      </c>
      <c r="R10" s="31">
        <f>'Debt'!R79</f>
      </c>
      <c r="S10" s="31">
        <f>'Debt'!S79</f>
      </c>
      <c r="T10" s="31">
        <f>'Debt'!T79</f>
      </c>
      <c r="U10" s="31">
        <f>'Debt'!U79</f>
      </c>
      <c r="V10" s="31">
        <f>'Debt'!V79</f>
      </c>
      <c r="W10" s="31">
        <f>'Debt'!W79</f>
      </c>
      <c r="X10" s="31">
        <f>'Debt'!X79</f>
      </c>
      <c r="Y10" s="31">
        <f>'Debt'!Y79</f>
      </c>
      <c r="Z10" s="31">
        <f>'Debt'!Z79</f>
      </c>
      <c r="AA10" s="31">
        <f>'Debt'!AA79</f>
      </c>
      <c r="AB10" s="31">
        <f>'Debt'!AB79</f>
      </c>
      <c r="AC10" s="31">
        <f>'Debt'!AC79</f>
      </c>
      <c r="AD10" s="31">
        <f>'Debt'!AD79</f>
      </c>
      <c r="AE10" s="31">
        <f>'Debt'!AE79</f>
      </c>
      <c r="AF10" s="31">
        <f>'Debt'!AF79</f>
      </c>
      <c r="AG10" s="31">
        <f>'Debt'!AG79</f>
      </c>
      <c r="AH10" s="31">
        <f>'Debt'!AH79</f>
      </c>
      <c r="AI10" s="31">
        <f>'Debt'!AI79</f>
      </c>
      <c r="AJ10" s="31">
        <f>'Debt'!AJ79</f>
      </c>
      <c r="AK10" s="31">
        <f>'Debt'!AK79</f>
      </c>
      <c r="AL10" s="31">
        <f>'Debt'!AL79</f>
      </c>
      <c r="AM10" s="31">
        <f>'Debt'!AM79</f>
      </c>
      <c r="AN10" s="31">
        <f>'Debt'!AN79</f>
      </c>
      <c r="AO10" s="31">
        <f>'Debt'!AO79</f>
      </c>
      <c r="AP10" s="31">
        <f>'Debt'!AP79</f>
      </c>
      <c r="AQ10" s="31">
        <f>'Debt'!AQ79</f>
      </c>
      <c r="AR10" s="31">
        <f>'Debt'!AR79</f>
      </c>
      <c r="AS10" s="31">
        <f>'Debt'!AS79</f>
      </c>
      <c r="AT10" s="31">
        <f>'Debt'!AT79</f>
      </c>
      <c r="AU10" s="31">
        <f>'Debt'!AU79</f>
      </c>
      <c r="AV10" s="31">
        <f>'Debt'!AV79</f>
      </c>
      <c r="AW10" s="31">
        <f>'Debt'!AW79</f>
      </c>
      <c r="AX10" s="31">
        <f>'Debt'!AX79</f>
      </c>
      <c r="AY10" s="31">
        <f>'Debt'!AY79</f>
      </c>
      <c r="AZ10" s="31">
        <f>'Debt'!AZ79</f>
      </c>
      <c r="BA10" s="31">
        <f>'Debt'!BA79</f>
      </c>
      <c r="BB10" s="31">
        <f>'Debt'!BB79</f>
      </c>
      <c r="BC10" s="31">
        <f>'Debt'!BC79</f>
      </c>
      <c r="BD10" s="31">
        <f>'Debt'!BD79</f>
      </c>
      <c r="BE10" s="31">
        <f>'Debt'!BE79</f>
      </c>
      <c r="BF10" s="31">
        <f>'Debt'!BF79</f>
      </c>
      <c r="BG10" s="31">
        <f>'Debt'!BG79</f>
      </c>
      <c r="BH10" s="31">
        <f>'Debt'!BH79</f>
      </c>
      <c r="BI10" s="31">
        <f>'Debt'!BI79</f>
      </c>
      <c r="BJ10" s="31">
        <f>'Debt'!BJ79</f>
      </c>
      <c r="BK10" s="31">
        <f>'Debt'!BK79</f>
      </c>
      <c r="BL10" s="31">
        <f>'Debt'!BL79</f>
      </c>
      <c r="BM10" s="31">
        <f>'Debt'!BM79</f>
      </c>
      <c r="BN10" s="31">
        <f>'Debt'!BN79</f>
      </c>
      <c r="BO10" s="31">
        <f>'Debt'!BO79</f>
      </c>
      <c r="BP10" s="31">
        <f>'Debt'!BP79</f>
      </c>
      <c r="BQ10" s="31">
        <f>'Debt'!BQ79</f>
      </c>
      <c r="BR10" s="31">
        <f>'Debt'!BR79</f>
      </c>
      <c r="BS10" s="31">
        <f>'Debt'!BS79</f>
      </c>
      <c r="BT10" s="31">
        <f>'Debt'!BT79</f>
      </c>
      <c r="BU10" s="31">
        <f>'Debt'!BU79</f>
      </c>
      <c r="BV10" s="31">
        <f>'Debt'!BV79</f>
      </c>
      <c r="BW10" s="31">
        <f>'Debt'!BW79</f>
      </c>
      <c r="BX10" s="31">
        <f>'Debt'!BX79</f>
      </c>
      <c r="BY10" s="31">
        <f>'Debt'!BY79</f>
      </c>
      <c r="BZ10" s="31">
        <f>'Debt'!BZ79</f>
      </c>
      <c r="CA10" s="31">
        <f>'Debt'!CA79</f>
      </c>
      <c r="CB10" s="31">
        <f>'Debt'!CB79</f>
      </c>
      <c r="CC10" s="31">
        <f>'Debt'!CC79</f>
      </c>
      <c r="CD10" s="31">
        <f>'Debt'!CD79</f>
      </c>
      <c r="CE10" s="31">
        <f>'Debt'!CE79</f>
      </c>
      <c r="CF10" s="31">
        <f>'Debt'!CF79</f>
      </c>
      <c r="CG10" s="31">
        <f>'Debt'!CG79</f>
      </c>
      <c r="CH10" s="31">
        <f>'Debt'!CH79</f>
      </c>
      <c r="CI10" s="31">
        <f>'Debt'!CI79</f>
      </c>
      <c r="CJ10" s="31">
        <f>'Debt'!CJ79</f>
      </c>
      <c r="CK10" s="31">
        <f>'Debt'!CK79</f>
      </c>
      <c r="CL10" s="31">
        <f>'Debt'!CL79</f>
      </c>
    </row>
    <row r="11" spans="2:90" x14ac:dyDescent="0.25">
      <c r="B11" s="46" t="s">
        <v>413</v>
      </c>
      <c r="C11" s="34" t="s">
        <v>414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6" t="s">
        <v>415</v>
      </c>
      <c r="C13" s="34" t="s">
        <v>228</v>
      </c>
      <c r="D13" s="14">
        <f>SUM(E13:CL13)</f>
      </c>
      <c r="E13" s="14">
        <f>E9-E10-E14-'Opex'!E23+E19</f>
      </c>
      <c r="F13" s="14">
        <f>F9-F10-F14-'Opex'!F23+F19</f>
      </c>
      <c r="G13" s="14">
        <f>G9-G10-G14-'Opex'!G23+G19</f>
      </c>
      <c r="H13" s="14">
        <f>H9-H10-H14-'Opex'!H23+H19</f>
      </c>
      <c r="I13" s="14">
        <f>I9-I10-I14-'Opex'!I23+I19</f>
      </c>
      <c r="J13" s="14">
        <f>J9-J10-J14-'Opex'!J23+J19</f>
      </c>
      <c r="K13" s="14">
        <f>K9-K10-K14-'Opex'!K23+K19</f>
      </c>
      <c r="L13" s="14">
        <f>L9-L10-L14-'Opex'!L23+L19</f>
      </c>
      <c r="M13" s="14">
        <f>M9-M10-M14-'Opex'!M23+M19</f>
      </c>
      <c r="N13" s="14">
        <f>N9-N10-N14-'Opex'!N23+N19</f>
      </c>
      <c r="O13" s="14">
        <f>O9-O10-O14-'Opex'!O23+O19</f>
      </c>
      <c r="P13" s="14">
        <f>P9-P10-P14-'Opex'!P23+P19</f>
      </c>
      <c r="Q13" s="14">
        <f>Q9-Q10-Q14-'Opex'!Q23+Q19</f>
      </c>
      <c r="R13" s="14">
        <f>R9-R10-R14-'Opex'!R23+R19</f>
      </c>
      <c r="S13" s="14">
        <f>S9-S10-S14-'Opex'!S23+S19</f>
      </c>
      <c r="T13" s="14">
        <f>T9-T10-T14-'Opex'!T23+T19</f>
      </c>
      <c r="U13" s="14">
        <f>U9-U10-U14-'Opex'!U23+U19</f>
      </c>
      <c r="V13" s="14">
        <f>V9-V10-V14-'Opex'!V23+V19</f>
      </c>
      <c r="W13" s="14">
        <f>W9-W10-W14-'Opex'!W23+W19</f>
      </c>
      <c r="X13" s="14">
        <f>X9-X10-X14-'Opex'!X23+X19</f>
      </c>
      <c r="Y13" s="14">
        <f>Y9-Y10-Y14-'Opex'!Y23+Y19</f>
      </c>
      <c r="Z13" s="14">
        <f>Z9-Z10-Z14-'Opex'!Z23+Z19</f>
      </c>
      <c r="AA13" s="14">
        <f>AA9-AA10-AA14-'Opex'!AA23+AA19</f>
      </c>
      <c r="AB13" s="14">
        <f>AB9-AB10-AB14-'Opex'!AB23+AB19</f>
      </c>
      <c r="AC13" s="14">
        <f>AC9-AC10-AC14-'Opex'!AC23+AC19</f>
      </c>
      <c r="AD13" s="14">
        <f>AD9-AD10-AD14-'Opex'!AD23+AD19</f>
      </c>
      <c r="AE13" s="14">
        <f>AE9-AE10-AE14-'Opex'!AE23+AE19</f>
      </c>
      <c r="AF13" s="14">
        <f>AF9-AF10-AF14-'Opex'!AF23+AF19</f>
      </c>
      <c r="AG13" s="14">
        <f>AG9-AG10-AG14-'Opex'!AG23+AG19</f>
      </c>
      <c r="AH13" s="14">
        <f>AH9-AH10-AH14-'Opex'!AH23+AH19</f>
      </c>
      <c r="AI13" s="14">
        <f>AI9-AI10-AI14-'Opex'!AI23+AI19</f>
      </c>
      <c r="AJ13" s="14">
        <f>AJ9-AJ10-AJ14-'Opex'!AJ23+AJ19</f>
      </c>
      <c r="AK13" s="14">
        <f>AK9-AK10-AK14-'Opex'!AK23+AK19</f>
      </c>
      <c r="AL13" s="14">
        <f>AL9-AL10-AL14-'Opex'!AL23+AL19</f>
      </c>
      <c r="AM13" s="14">
        <f>AM9-AM10-AM14-'Opex'!AM23+AM19</f>
      </c>
      <c r="AN13" s="14">
        <f>AN9-AN10-AN14-'Opex'!AN23+AN19</f>
      </c>
      <c r="AO13" s="14">
        <f>AO9-AO10-AO14-'Opex'!AO23+AO19</f>
      </c>
      <c r="AP13" s="14">
        <f>AP9-AP10-AP14-'Opex'!AP23+AP19</f>
      </c>
      <c r="AQ13" s="14">
        <f>AQ9-AQ10-AQ14-'Opex'!AQ23+AQ19</f>
      </c>
      <c r="AR13" s="14">
        <f>AR9-AR10-AR14-'Opex'!AR23+AR19</f>
      </c>
      <c r="AS13" s="14">
        <f>AS9-AS10-AS14-'Opex'!AS23+AS19</f>
      </c>
      <c r="AT13" s="14">
        <f>AT9-AT10-AT14-'Opex'!AT23+AT19</f>
      </c>
      <c r="AU13" s="14">
        <f>AU9-AU10-AU14-'Opex'!AU23+AU19</f>
      </c>
      <c r="AV13" s="14">
        <f>AV9-AV10-AV14-'Opex'!AV23+AV19</f>
      </c>
      <c r="AW13" s="14">
        <f>AW9-AW10-AW14-'Opex'!AW23+AW19</f>
      </c>
      <c r="AX13" s="14">
        <f>AX9-AX10-AX14-'Opex'!AX23+AX19</f>
      </c>
      <c r="AY13" s="14">
        <f>AY9-AY10-AY14-'Opex'!AY23+AY19</f>
      </c>
      <c r="AZ13" s="14">
        <f>AZ9-AZ10-AZ14-'Opex'!AZ23+AZ19</f>
      </c>
      <c r="BA13" s="14">
        <f>BA9-BA10-BA14-'Opex'!BA23+BA19</f>
      </c>
      <c r="BB13" s="14">
        <f>BB9-BB10-BB14-'Opex'!BB23+BB19</f>
      </c>
      <c r="BC13" s="14">
        <f>BC9-BC10-BC14-'Opex'!BC23+BC19</f>
      </c>
      <c r="BD13" s="14">
        <f>BD9-BD10-BD14-'Opex'!BD23+BD19</f>
      </c>
      <c r="BE13" s="14">
        <f>BE9-BE10-BE14-'Opex'!BE23+BE19</f>
      </c>
      <c r="BF13" s="14">
        <f>BF9-BF10-BF14-'Opex'!BF23+BF19</f>
      </c>
      <c r="BG13" s="14">
        <f>BG9-BG10-BG14-'Opex'!BG23+BG19</f>
      </c>
      <c r="BH13" s="14">
        <f>BH9-BH10-BH14-'Opex'!BH23+BH19</f>
      </c>
      <c r="BI13" s="14">
        <f>BI9-BI10-BI14-'Opex'!BI23+BI19</f>
      </c>
      <c r="BJ13" s="14">
        <f>BJ9-BJ10-BJ14-'Opex'!BJ23+BJ19</f>
      </c>
      <c r="BK13" s="14">
        <f>BK9-BK10-BK14-'Opex'!BK23+BK19</f>
      </c>
      <c r="BL13" s="14">
        <f>BL9-BL10-BL14-'Opex'!BL23+BL19</f>
      </c>
      <c r="BM13" s="14">
        <f>BM9-BM10-BM14-'Opex'!BM23+BM19</f>
      </c>
      <c r="BN13" s="14">
        <f>BN9-BN10-BN14-'Opex'!BN23+BN19</f>
      </c>
      <c r="BO13" s="14">
        <f>BO9-BO10-BO14-'Opex'!BO23+BO19</f>
      </c>
      <c r="BP13" s="14">
        <f>BP9-BP10-BP14-'Opex'!BP23+BP19</f>
      </c>
      <c r="BQ13" s="14">
        <f>BQ9-BQ10-BQ14-'Opex'!BQ23+BQ19</f>
      </c>
      <c r="BR13" s="14">
        <f>BR9-BR10-BR14-'Opex'!BR23+BR19</f>
      </c>
      <c r="BS13" s="14">
        <f>BS9-BS10-BS14-'Opex'!BS23+BS19</f>
      </c>
      <c r="BT13" s="14">
        <f>BT9-BT10-BT14-'Opex'!BT23+BT19</f>
      </c>
      <c r="BU13" s="14">
        <f>BU9-BU10-BU14-'Opex'!BU23+BU19</f>
      </c>
      <c r="BV13" s="14">
        <f>BV9-BV10-BV14-'Opex'!BV23+BV19</f>
      </c>
      <c r="BW13" s="14">
        <f>BW9-BW10-BW14-'Opex'!BW23+BW19</f>
      </c>
      <c r="BX13" s="14">
        <f>BX9-BX10-BX14-'Opex'!BX23+BX19</f>
      </c>
      <c r="BY13" s="14">
        <f>BY9-BY10-BY14-'Opex'!BY23+BY19</f>
      </c>
      <c r="BZ13" s="14">
        <f>BZ9-BZ10-BZ14-'Opex'!BZ23+BZ19</f>
      </c>
      <c r="CA13" s="14">
        <f>CA9-CA10-CA14-'Opex'!CA23+CA19</f>
      </c>
      <c r="CB13" s="14">
        <f>CB9-CB10-CB14-'Opex'!CB23+CB19</f>
      </c>
      <c r="CC13" s="14">
        <f>CC9-CC10-CC14-'Opex'!CC23+CC19</f>
      </c>
      <c r="CD13" s="14">
        <f>CD9-CD10-CD14-'Opex'!CD23+CD19</f>
      </c>
      <c r="CE13" s="14">
        <f>CE9-CE10-CE14-'Opex'!CE23+CE19</f>
      </c>
      <c r="CF13" s="14">
        <f>CF9-CF10-CF14-'Opex'!CF23+CF19</f>
      </c>
      <c r="CG13" s="14">
        <f>CG9-CG10-CG14-'Opex'!CG23+CG19</f>
      </c>
      <c r="CH13" s="14">
        <f>CH9-CH10-CH14-'Opex'!CH23+CH19</f>
      </c>
      <c r="CI13" s="14">
        <f>CI9-CI10-CI14-'Opex'!CI23+CI19</f>
      </c>
      <c r="CJ13" s="14">
        <f>CJ9-CJ10-CJ14-'Opex'!CJ23+CJ19</f>
      </c>
      <c r="CK13" s="14">
        <f>CK9-CK10-CK14-'Opex'!CK23+CK19</f>
      </c>
      <c r="CL13" s="14">
        <f>CL9-CL10-CL14-'Opex'!CL23-$D$73*100+CL19</f>
      </c>
    </row>
    <row r="14" spans="2:90" x14ac:dyDescent="0.25">
      <c r="B14" s="33" t="s">
        <v>416</v>
      </c>
      <c r="C14" s="34" t="s">
        <v>228</v>
      </c>
      <c r="D14" s="31">
        <f>SUM(E14:CL14)</f>
      </c>
      <c r="E14" s="31">
        <f>E21-E20</f>
      </c>
      <c r="F14" s="31">
        <f>F21-F20</f>
      </c>
      <c r="G14" s="31">
        <f>G21-G20</f>
      </c>
      <c r="H14" s="31">
        <f>H21-H20</f>
      </c>
      <c r="I14" s="31">
        <f>I21-I20</f>
      </c>
      <c r="J14" s="31">
        <f>J21-J20</f>
      </c>
      <c r="K14" s="31">
        <f>K21-K20</f>
      </c>
      <c r="L14" s="31">
        <f>L21-L20</f>
      </c>
      <c r="M14" s="31">
        <f>M21-M20</f>
      </c>
      <c r="N14" s="31">
        <f>N21-N20</f>
      </c>
      <c r="O14" s="31">
        <f>O21-O20</f>
      </c>
      <c r="P14" s="31">
        <f>P21-P20</f>
      </c>
      <c r="Q14" s="31">
        <f>Q21-Q20</f>
      </c>
      <c r="R14" s="31">
        <f>R21-R20</f>
      </c>
      <c r="S14" s="31">
        <f>S21-S20</f>
      </c>
      <c r="T14" s="31">
        <f>T21-T20</f>
      </c>
      <c r="U14" s="31">
        <f>U21-U20</f>
      </c>
      <c r="V14" s="31">
        <f>V21-V20</f>
      </c>
      <c r="W14" s="31">
        <f>W21-W20</f>
      </c>
      <c r="X14" s="31">
        <f>X21-X20</f>
      </c>
      <c r="Y14" s="31">
        <f>Y21-Y20</f>
      </c>
      <c r="Z14" s="31">
        <f>Z21-Z20</f>
      </c>
      <c r="AA14" s="31">
        <f>AA21-AA20</f>
      </c>
      <c r="AB14" s="31">
        <f>AB21-AB20</f>
      </c>
      <c r="AC14" s="31">
        <f>AC21-AC20</f>
      </c>
      <c r="AD14" s="31">
        <f>AD21-AD20</f>
      </c>
      <c r="AE14" s="31">
        <f>AE21-AE20</f>
      </c>
      <c r="AF14" s="31">
        <f>AF21-AF20</f>
      </c>
      <c r="AG14" s="31">
        <f>AG21-AG20</f>
      </c>
      <c r="AH14" s="31">
        <f>AH21-AH20</f>
      </c>
      <c r="AI14" s="31">
        <f>AI21-AI20</f>
      </c>
      <c r="AJ14" s="31">
        <f>AJ21-AJ20</f>
      </c>
      <c r="AK14" s="31">
        <f>AK21-AK20</f>
      </c>
      <c r="AL14" s="31">
        <f>AL21-AL20</f>
      </c>
      <c r="AM14" s="31">
        <f>AM21-AM20</f>
      </c>
      <c r="AN14" s="31">
        <f>AN21-AN20</f>
      </c>
      <c r="AO14" s="31">
        <f>AO21-AO20</f>
      </c>
      <c r="AP14" s="31">
        <f>AP21-AP20</f>
      </c>
      <c r="AQ14" s="31">
        <f>AQ21-AQ20</f>
      </c>
      <c r="AR14" s="31">
        <f>AR21-AR20</f>
      </c>
      <c r="AS14" s="31">
        <f>AS21-AS20</f>
      </c>
      <c r="AT14" s="31">
        <f>AT21-AT20</f>
      </c>
      <c r="AU14" s="31">
        <f>AU21-AU20</f>
      </c>
      <c r="AV14" s="31">
        <f>AV21-AV20</f>
      </c>
      <c r="AW14" s="31">
        <f>AW21-AW20</f>
      </c>
      <c r="AX14" s="31">
        <f>AX21-AX20</f>
      </c>
      <c r="AY14" s="31">
        <f>AY21-AY20</f>
      </c>
      <c r="AZ14" s="31">
        <f>AZ21-AZ20</f>
      </c>
      <c r="BA14" s="31">
        <f>BA21-BA20</f>
      </c>
      <c r="BB14" s="31">
        <f>BB21-BB20</f>
      </c>
      <c r="BC14" s="31">
        <f>BC21-BC20</f>
      </c>
      <c r="BD14" s="31">
        <f>BD21-BD20</f>
      </c>
      <c r="BE14" s="31">
        <f>BE21-BE20</f>
      </c>
      <c r="BF14" s="31">
        <f>BF21-BF20</f>
      </c>
      <c r="BG14" s="31">
        <f>BG21-BG20</f>
      </c>
      <c r="BH14" s="31">
        <f>BH21-BH20</f>
      </c>
      <c r="BI14" s="31">
        <f>BI21-BI20</f>
      </c>
      <c r="BJ14" s="31">
        <f>BJ21-BJ20</f>
      </c>
      <c r="BK14" s="31">
        <f>BK21-BK20</f>
      </c>
      <c r="BL14" s="31">
        <f>BL21-BL20</f>
      </c>
      <c r="BM14" s="31">
        <f>BM21-BM20</f>
      </c>
      <c r="BN14" s="31">
        <f>BN21-BN20</f>
      </c>
      <c r="BO14" s="31">
        <f>BO21-BO20</f>
      </c>
      <c r="BP14" s="31">
        <f>BP21-BP20</f>
      </c>
      <c r="BQ14" s="31">
        <f>BQ21-BQ20</f>
      </c>
      <c r="BR14" s="31">
        <f>BR21-BR20</f>
      </c>
      <c r="BS14" s="31">
        <f>BS21-BS20</f>
      </c>
      <c r="BT14" s="31">
        <f>BT21-BT20</f>
      </c>
      <c r="BU14" s="31">
        <f>BU21-BU20</f>
      </c>
      <c r="BV14" s="31">
        <f>BV21-BV20</f>
      </c>
      <c r="BW14" s="31">
        <f>BW21-BW20</f>
      </c>
      <c r="BX14" s="31">
        <f>BX21-BX20</f>
      </c>
      <c r="BY14" s="31">
        <f>BY21-BY20</f>
      </c>
      <c r="BZ14" s="31">
        <f>BZ21-BZ20</f>
      </c>
      <c r="CA14" s="31">
        <f>CA21-CA20</f>
      </c>
      <c r="CB14" s="31">
        <f>CB21-CB20</f>
      </c>
      <c r="CC14" s="31">
        <f>CC21-CC20</f>
      </c>
      <c r="CD14" s="31">
        <f>CD21-CD20</f>
      </c>
      <c r="CE14" s="31">
        <f>CE21-CE20</f>
      </c>
      <c r="CF14" s="31">
        <f>CF21-CF20</f>
      </c>
      <c r="CG14" s="31">
        <f>CG21-CG20</f>
      </c>
      <c r="CH14" s="31">
        <f>CH21-CH20</f>
      </c>
      <c r="CI14" s="31">
        <f>CI21-CI20</f>
      </c>
      <c r="CJ14" s="31">
        <f>CJ21-CJ20</f>
      </c>
      <c r="CK14" s="31">
        <f>CK21-CK20</f>
      </c>
      <c r="CL14" s="31">
        <f>CL21-CL20</f>
      </c>
    </row>
    <row r="15" spans="2:90" x14ac:dyDescent="0.25">
      <c r="B15" s="33" t="s">
        <v>417</v>
      </c>
      <c r="C15" s="34" t="s">
        <v>228</v>
      </c>
      <c r="E15" s="31">
        <f>0</f>
      </c>
      <c r="F15" s="31">
        <f>E17</f>
      </c>
      <c r="G15" s="31">
        <f>F17</f>
      </c>
      <c r="H15" s="31">
        <f>G17</f>
      </c>
      <c r="I15" s="31">
        <f>H17</f>
      </c>
      <c r="J15" s="31">
        <f>I17</f>
      </c>
      <c r="K15" s="31">
        <f>J17</f>
      </c>
      <c r="L15" s="31">
        <f>K17</f>
      </c>
      <c r="M15" s="31">
        <f>L17</f>
      </c>
      <c r="N15" s="31">
        <f>M17</f>
      </c>
      <c r="O15" s="31">
        <f>N17</f>
      </c>
      <c r="P15" s="31">
        <f>O17</f>
      </c>
      <c r="Q15" s="31">
        <f>P17</f>
      </c>
      <c r="R15" s="31">
        <f>Q17</f>
      </c>
      <c r="S15" s="31">
        <f>R17</f>
      </c>
      <c r="T15" s="31">
        <f>S17</f>
      </c>
      <c r="U15" s="31">
        <f>T17</f>
      </c>
      <c r="V15" s="31">
        <f>U17</f>
      </c>
      <c r="W15" s="31">
        <f>V17</f>
      </c>
      <c r="X15" s="31">
        <f>W17</f>
      </c>
      <c r="Y15" s="31">
        <f>X17</f>
      </c>
      <c r="Z15" s="31">
        <f>Y17</f>
      </c>
      <c r="AA15" s="31">
        <f>Z17</f>
      </c>
      <c r="AB15" s="31">
        <f>AA17</f>
      </c>
      <c r="AC15" s="31">
        <f>AB17</f>
      </c>
      <c r="AD15" s="31">
        <f>AC17</f>
      </c>
      <c r="AE15" s="31">
        <f>AD17</f>
      </c>
      <c r="AF15" s="31">
        <f>AE17</f>
      </c>
      <c r="AG15" s="31">
        <f>AF17</f>
      </c>
      <c r="AH15" s="31">
        <f>AG17</f>
      </c>
      <c r="AI15" s="31">
        <f>AH17</f>
      </c>
      <c r="AJ15" s="31">
        <f>AI17</f>
      </c>
      <c r="AK15" s="31">
        <f>AJ17</f>
      </c>
      <c r="AL15" s="31">
        <f>AK17</f>
      </c>
      <c r="AM15" s="31">
        <f>AL17</f>
      </c>
      <c r="AN15" s="31">
        <f>AM17</f>
      </c>
      <c r="AO15" s="31">
        <f>AN17</f>
      </c>
      <c r="AP15" s="31">
        <f>AO17</f>
      </c>
      <c r="AQ15" s="31">
        <f>AP17</f>
      </c>
      <c r="AR15" s="31">
        <f>AQ17</f>
      </c>
      <c r="AS15" s="31">
        <f>AR17</f>
      </c>
      <c r="AT15" s="31">
        <f>AS17</f>
      </c>
      <c r="AU15" s="31">
        <f>AT17</f>
      </c>
      <c r="AV15" s="31">
        <f>AU17</f>
      </c>
      <c r="AW15" s="31">
        <f>AV17</f>
      </c>
      <c r="AX15" s="31">
        <f>AW17</f>
      </c>
      <c r="AY15" s="31">
        <f>AX17</f>
      </c>
      <c r="AZ15" s="31">
        <f>AY17</f>
      </c>
      <c r="BA15" s="31">
        <f>AZ17</f>
      </c>
      <c r="BB15" s="31">
        <f>BA17</f>
      </c>
      <c r="BC15" s="31">
        <f>BB17</f>
      </c>
      <c r="BD15" s="31">
        <f>BC17</f>
      </c>
      <c r="BE15" s="31">
        <f>BD17</f>
      </c>
      <c r="BF15" s="31">
        <f>BE17</f>
      </c>
      <c r="BG15" s="31">
        <f>BF17</f>
      </c>
      <c r="BH15" s="31">
        <f>BG17</f>
      </c>
      <c r="BI15" s="31">
        <f>BH17</f>
      </c>
      <c r="BJ15" s="31">
        <f>BI17</f>
      </c>
      <c r="BK15" s="31">
        <f>BJ17</f>
      </c>
      <c r="BL15" s="31">
        <f>BK17</f>
      </c>
      <c r="BM15" s="31">
        <f>BL17</f>
      </c>
      <c r="BN15" s="31">
        <f>BM17</f>
      </c>
      <c r="BO15" s="31">
        <f>BN17</f>
      </c>
      <c r="BP15" s="31">
        <f>BO17</f>
      </c>
      <c r="BQ15" s="31">
        <f>BP17</f>
      </c>
      <c r="BR15" s="31">
        <f>BQ17</f>
      </c>
      <c r="BS15" s="31">
        <f>BR17</f>
      </c>
      <c r="BT15" s="31">
        <f>BS17</f>
      </c>
      <c r="BU15" s="31">
        <f>BT17</f>
      </c>
      <c r="BV15" s="31">
        <f>BU17</f>
      </c>
      <c r="BW15" s="31">
        <f>BV17</f>
      </c>
      <c r="BX15" s="31">
        <f>BW17</f>
      </c>
      <c r="BY15" s="31">
        <f>BX17</f>
      </c>
      <c r="BZ15" s="31">
        <f>BY17</f>
      </c>
      <c r="CA15" s="31">
        <f>BZ17</f>
      </c>
      <c r="CB15" s="31">
        <f>CA17</f>
      </c>
      <c r="CC15" s="31">
        <f>CB17</f>
      </c>
      <c r="CD15" s="31">
        <f>CC17</f>
      </c>
      <c r="CE15" s="31">
        <f>CD17</f>
      </c>
      <c r="CF15" s="31">
        <f>CE17</f>
      </c>
      <c r="CG15" s="31">
        <f>CF17</f>
      </c>
      <c r="CH15" s="31">
        <f>CG17</f>
      </c>
      <c r="CI15" s="31">
        <f>CH17</f>
      </c>
      <c r="CJ15" s="31">
        <f>CI17</f>
      </c>
      <c r="CK15" s="31">
        <f>CJ17</f>
      </c>
      <c r="CL15" s="31">
        <f>CK17</f>
      </c>
    </row>
    <row r="16" spans="2:91" x14ac:dyDescent="0.25">
      <c r="B16" s="47" t="s">
        <v>418</v>
      </c>
      <c r="C16" s="51" t="s">
        <v>228</v>
      </c>
      <c r="D16" s="42">
        <f>SUM(E16:CL16)</f>
      </c>
      <c r="E16" s="42">
        <f>0</f>
      </c>
      <c r="F16" s="42">
        <f>0</f>
      </c>
      <c r="G16" s="42">
        <f>0</f>
      </c>
      <c r="H16" s="42">
        <f>0</f>
      </c>
      <c r="I16" s="42">
        <f>0</f>
      </c>
      <c r="J16" s="42">
        <f>0</f>
      </c>
      <c r="K16" s="42">
        <f>IF(AND(0&gt;=($D$77-1),OR(ISBLANK(K11),K11&gt;=$D$75),OR(ISBLANK(K48),K48&gt;=$D$76)),MAX(0,K18-$D$74*100),0)</f>
      </c>
      <c r="L16" s="42">
        <f>IF(AND(0&gt;=($D$77-1),OR(ISBLANK(L11),L11&gt;=$D$75),OR(ISBLANK(L48),L48&gt;=$D$76)),MAX(0,L18-$D$74*100),0)</f>
      </c>
      <c r="M16" s="42">
        <f>IF(AND(0&gt;=($D$77-1),OR(ISBLANK(M11),M11&gt;=$D$75),OR(ISBLANK(M48),M48&gt;=$D$76)),MAX(0,M18-$D$74*100),0)</f>
      </c>
      <c r="N16" s="42">
        <f>IF(AND(0&gt;=($D$77-1),OR(ISBLANK(N11),N11&gt;=$D$75),OR(ISBLANK(N48),N48&gt;=$D$76)),MAX(0,N18-$D$74*100),0)</f>
      </c>
      <c r="O16" s="42">
        <f>IF(AND(1&gt;=($D$77-1),OR(ISBLANK(O11),O11&gt;=$D$75),OR(ISBLANK(O48),O48&gt;=$D$76)),MAX(0,O18-$D$74*100),0)</f>
      </c>
      <c r="P16" s="42">
        <f>IF(AND(1&gt;=($D$77-1),OR(ISBLANK(P11),P11&gt;=$D$75),OR(ISBLANK(P48),P48&gt;=$D$76)),MAX(0,P18-$D$74*100),0)</f>
      </c>
      <c r="Q16" s="42">
        <f>IF(AND(1&gt;=($D$77-1),OR(ISBLANK(Q11),Q11&gt;=$D$75),OR(ISBLANK(Q48),Q48&gt;=$D$76)),MAX(0,Q18-$D$74*100),0)</f>
      </c>
      <c r="R16" s="42">
        <f>IF(AND(1&gt;=($D$77-1),OR(ISBLANK(R11),R11&gt;=$D$75),OR(ISBLANK(R48),R48&gt;=$D$76)),MAX(0,R18-$D$74*100),0)</f>
      </c>
      <c r="S16" s="42">
        <f>IF(AND(2&gt;=($D$77-1),OR(ISBLANK(S11),S11&gt;=$D$75),OR(ISBLANK(S48),S48&gt;=$D$76)),MAX(0,S18-$D$74*100),0)</f>
      </c>
      <c r="T16" s="42">
        <f>IF(AND(2&gt;=($D$77-1),OR(ISBLANK(T11),T11&gt;=$D$75),OR(ISBLANK(T48),T48&gt;=$D$76)),MAX(0,T18-$D$74*100),0)</f>
      </c>
      <c r="U16" s="42">
        <f>IF(AND(2&gt;=($D$77-1),OR(ISBLANK(U11),U11&gt;=$D$75),OR(ISBLANK(U48),U48&gt;=$D$76)),MAX(0,U18-$D$74*100),0)</f>
      </c>
      <c r="V16" s="42">
        <f>IF(AND(2&gt;=($D$77-1),OR(ISBLANK(V11),V11&gt;=$D$75),OR(ISBLANK(V48),V48&gt;=$D$76)),MAX(0,V18-$D$74*100),0)</f>
      </c>
      <c r="W16" s="42">
        <f>IF(AND(3&gt;=($D$77-1),OR(ISBLANK(W11),W11&gt;=$D$75),OR(ISBLANK(W48),W48&gt;=$D$76)),MAX(0,W18-$D$74*100),0)</f>
      </c>
      <c r="X16" s="42">
        <f>IF(AND(3&gt;=($D$77-1),OR(ISBLANK(X11),X11&gt;=$D$75),OR(ISBLANK(X48),X48&gt;=$D$76)),MAX(0,X18-$D$74*100),0)</f>
      </c>
      <c r="Y16" s="42">
        <f>IF(AND(3&gt;=($D$77-1),OR(ISBLANK(Y11),Y11&gt;=$D$75),OR(ISBLANK(Y48),Y48&gt;=$D$76)),MAX(0,Y18-$D$74*100),0)</f>
      </c>
      <c r="Z16" s="42">
        <f>IF(AND(3&gt;=($D$77-1),OR(ISBLANK(Z11),Z11&gt;=$D$75),OR(ISBLANK(Z48),Z48&gt;=$D$76)),MAX(0,Z18-$D$74*100),0)</f>
      </c>
      <c r="AA16" s="42">
        <f>IF(AND(4&gt;=($D$77-1),OR(ISBLANK(AA11),AA11&gt;=$D$75),OR(ISBLANK(AA48),AA48&gt;=$D$76)),MAX(0,AA18-$D$74*100),0)</f>
      </c>
      <c r="AB16" s="42">
        <f>IF(AND(4&gt;=($D$77-1),OR(ISBLANK(AB11),AB11&gt;=$D$75),OR(ISBLANK(AB48),AB48&gt;=$D$76)),MAX(0,AB18-$D$74*100),0)</f>
      </c>
      <c r="AC16" s="42">
        <f>IF(AND(4&gt;=($D$77-1),OR(ISBLANK(AC11),AC11&gt;=$D$75),OR(ISBLANK(AC48),AC48&gt;=$D$76)),MAX(0,AC18-$D$74*100),0)</f>
      </c>
      <c r="AD16" s="42">
        <f>IF(AND(4&gt;=($D$77-1),OR(ISBLANK(AD11),AD11&gt;=$D$75),OR(ISBLANK(AD48),AD48&gt;=$D$76)),MAX(0,AD18-$D$74*100),0)</f>
      </c>
      <c r="AE16" s="42">
        <f>IF(AND(5&gt;=($D$77-1),OR(ISBLANK(AE11),AE11&gt;=$D$75),OR(ISBLANK(AE48),AE48&gt;=$D$76)),MAX(0,AE18-$D$74*100),0)</f>
      </c>
      <c r="AF16" s="42">
        <f>IF(AND(5&gt;=($D$77-1),OR(ISBLANK(AF11),AF11&gt;=$D$75),OR(ISBLANK(AF48),AF48&gt;=$D$76)),MAX(0,AF18-$D$74*100),0)</f>
      </c>
      <c r="AG16" s="42">
        <f>IF(AND(5&gt;=($D$77-1),OR(ISBLANK(AG11),AG11&gt;=$D$75),OR(ISBLANK(AG48),AG48&gt;=$D$76)),MAX(0,AG18-$D$74*100),0)</f>
      </c>
      <c r="AH16" s="42">
        <f>IF(AND(5&gt;=($D$77-1),OR(ISBLANK(AH11),AH11&gt;=$D$75),OR(ISBLANK(AH48),AH48&gt;=$D$76)),MAX(0,AH18-$D$74*100),0)</f>
      </c>
      <c r="AI16" s="42">
        <f>IF(AND(6&gt;=($D$77-1),OR(ISBLANK(AI11),AI11&gt;=$D$75),OR(ISBLANK(AI48),AI48&gt;=$D$76)),MAX(0,AI18-$D$74*100),0)</f>
      </c>
      <c r="AJ16" s="42">
        <f>IF(AND(6&gt;=($D$77-1),OR(ISBLANK(AJ11),AJ11&gt;=$D$75),OR(ISBLANK(AJ48),AJ48&gt;=$D$76)),MAX(0,AJ18-$D$74*100),0)</f>
      </c>
      <c r="AK16" s="42">
        <f>IF(AND(6&gt;=($D$77-1),OR(ISBLANK(AK11),AK11&gt;=$D$75),OR(ISBLANK(AK48),AK48&gt;=$D$76)),MAX(0,AK18-$D$74*100),0)</f>
      </c>
      <c r="AL16" s="42">
        <f>IF(AND(6&gt;=($D$77-1),OR(ISBLANK(AL11),AL11&gt;=$D$75),OR(ISBLANK(AL48),AL48&gt;=$D$76)),MAX(0,AL18-$D$74*100),0)</f>
      </c>
      <c r="AM16" s="42">
        <f>IF(AND(7&gt;=($D$77-1),OR(ISBLANK(AM11),AM11&gt;=$D$75),OR(ISBLANK(AM48),AM48&gt;=$D$76)),MAX(0,AM18-$D$74*100),0)</f>
      </c>
      <c r="AN16" s="42">
        <f>IF(AND(7&gt;=($D$77-1),OR(ISBLANK(AN11),AN11&gt;=$D$75),OR(ISBLANK(AN48),AN48&gt;=$D$76)),MAX(0,AN18-$D$74*100),0)</f>
      </c>
      <c r="AO16" s="42">
        <f>IF(AND(7&gt;=($D$77-1),OR(ISBLANK(AO11),AO11&gt;=$D$75),OR(ISBLANK(AO48),AO48&gt;=$D$76)),MAX(0,AO18-$D$74*100),0)</f>
      </c>
      <c r="AP16" s="42">
        <f>IF(AND(7&gt;=($D$77-1),OR(ISBLANK(AP11),AP11&gt;=$D$75),OR(ISBLANK(AP48),AP48&gt;=$D$76)),MAX(0,AP18-$D$74*100),0)</f>
      </c>
      <c r="AQ16" s="42">
        <f>IF(AND(8&gt;=($D$77-1),OR(ISBLANK(AQ11),AQ11&gt;=$D$75),OR(ISBLANK(AQ48),AQ48&gt;=$D$76)),MAX(0,AQ18-$D$74*100),0)</f>
      </c>
      <c r="AR16" s="42">
        <f>IF(AND(8&gt;=($D$77-1),OR(ISBLANK(AR11),AR11&gt;=$D$75),OR(ISBLANK(AR48),AR48&gt;=$D$76)),MAX(0,AR18-$D$74*100),0)</f>
      </c>
      <c r="AS16" s="42">
        <f>IF(AND(8&gt;=($D$77-1),OR(ISBLANK(AS11),AS11&gt;=$D$75),OR(ISBLANK(AS48),AS48&gt;=$D$76)),MAX(0,AS18-$D$74*100),0)</f>
      </c>
      <c r="AT16" s="42">
        <f>IF(AND(8&gt;=($D$77-1),OR(ISBLANK(AT11),AT11&gt;=$D$75),OR(ISBLANK(AT48),AT48&gt;=$D$76)),MAX(0,AT18-$D$74*100),0)</f>
      </c>
      <c r="AU16" s="42">
        <f>IF(AND(9&gt;=($D$77-1),OR(ISBLANK(AU11),AU11&gt;=$D$75),OR(ISBLANK(AU48),AU48&gt;=$D$76)),MAX(0,AU18-$D$74*100),0)</f>
      </c>
      <c r="AV16" s="42">
        <f>IF(AND(9&gt;=($D$77-1),OR(ISBLANK(AV11),AV11&gt;=$D$75),OR(ISBLANK(AV48),AV48&gt;=$D$76)),MAX(0,AV18-$D$74*100),0)</f>
      </c>
      <c r="AW16" s="42">
        <f>IF(AND(9&gt;=($D$77-1),OR(ISBLANK(AW11),AW11&gt;=$D$75),OR(ISBLANK(AW48),AW48&gt;=$D$76)),MAX(0,AW18-$D$74*100),0)</f>
      </c>
      <c r="AX16" s="42">
        <f>IF(AND(9&gt;=($D$77-1),OR(ISBLANK(AX11),AX11&gt;=$D$75),OR(ISBLANK(AX48),AX48&gt;=$D$76)),MAX(0,AX18-$D$74*100),0)</f>
      </c>
      <c r="AY16" s="42">
        <f>IF(AND(10&gt;=($D$77-1),OR(ISBLANK(AY11),AY11&gt;=$D$75),OR(ISBLANK(AY48),AY48&gt;=$D$76)),MAX(0,AY18-$D$74*100),0)</f>
      </c>
      <c r="AZ16" s="42">
        <f>IF(AND(10&gt;=($D$77-1),OR(ISBLANK(AZ11),AZ11&gt;=$D$75),OR(ISBLANK(AZ48),AZ48&gt;=$D$76)),MAX(0,AZ18-$D$74*100),0)</f>
      </c>
      <c r="BA16" s="42">
        <f>IF(AND(10&gt;=($D$77-1),OR(ISBLANK(BA11),BA11&gt;=$D$75),OR(ISBLANK(BA48),BA48&gt;=$D$76)),MAX(0,BA18-$D$74*100),0)</f>
      </c>
      <c r="BB16" s="42">
        <f>IF(AND(10&gt;=($D$77-1),OR(ISBLANK(BB11),BB11&gt;=$D$75),OR(ISBLANK(BB48),BB48&gt;=$D$76)),MAX(0,BB18-$D$74*100),0)</f>
      </c>
      <c r="BC16" s="42">
        <f>IF(AND(11&gt;=($D$77-1),OR(ISBLANK(BC11),BC11&gt;=$D$75),OR(ISBLANK(BC48),BC48&gt;=$D$76)),MAX(0,BC18-$D$74*100),0)</f>
      </c>
      <c r="BD16" s="42">
        <f>IF(AND(11&gt;=($D$77-1),OR(ISBLANK(BD11),BD11&gt;=$D$75),OR(ISBLANK(BD48),BD48&gt;=$D$76)),MAX(0,BD18-$D$74*100),0)</f>
      </c>
      <c r="BE16" s="42">
        <f>IF(AND(11&gt;=($D$77-1),OR(ISBLANK(BE11),BE11&gt;=$D$75),OR(ISBLANK(BE48),BE48&gt;=$D$76)),MAX(0,BE18-$D$74*100),0)</f>
      </c>
      <c r="BF16" s="42">
        <f>IF(AND(11&gt;=($D$77-1),OR(ISBLANK(BF11),BF11&gt;=$D$75),OR(ISBLANK(BF48),BF48&gt;=$D$76)),MAX(0,BF18-$D$74*100),0)</f>
      </c>
      <c r="BG16" s="42">
        <f>IF(AND(12&gt;=($D$77-1),OR(ISBLANK(BG11),BG11&gt;=$D$75),OR(ISBLANK(BG48),BG48&gt;=$D$76)),MAX(0,BG18-$D$74*100),0)</f>
      </c>
      <c r="BH16" s="42">
        <f>IF(AND(12&gt;=($D$77-1),OR(ISBLANK(BH11),BH11&gt;=$D$75),OR(ISBLANK(BH48),BH48&gt;=$D$76)),MAX(0,BH18-$D$74*100),0)</f>
      </c>
      <c r="BI16" s="42">
        <f>IF(AND(12&gt;=($D$77-1),OR(ISBLANK(BI11),BI11&gt;=$D$75),OR(ISBLANK(BI48),BI48&gt;=$D$76)),MAX(0,BI18-$D$74*100),0)</f>
      </c>
      <c r="BJ16" s="42">
        <f>IF(AND(12&gt;=($D$77-1),OR(ISBLANK(BJ11),BJ11&gt;=$D$75),OR(ISBLANK(BJ48),BJ48&gt;=$D$76)),MAX(0,BJ18-$D$74*100),0)</f>
      </c>
      <c r="BK16" s="42">
        <f>IF(AND(13&gt;=($D$77-1),OR(ISBLANK(BK11),BK11&gt;=$D$75),OR(ISBLANK(BK48),BK48&gt;=$D$76)),MAX(0,BK18-$D$74*100),0)</f>
      </c>
      <c r="BL16" s="42">
        <f>IF(AND(13&gt;=($D$77-1),OR(ISBLANK(BL11),BL11&gt;=$D$75),OR(ISBLANK(BL48),BL48&gt;=$D$76)),MAX(0,BL18-$D$74*100),0)</f>
      </c>
      <c r="BM16" s="42">
        <f>IF(AND(13&gt;=($D$77-1),OR(ISBLANK(BM11),BM11&gt;=$D$75),OR(ISBLANK(BM48),BM48&gt;=$D$76)),MAX(0,BM18-$D$74*100),0)</f>
      </c>
      <c r="BN16" s="42">
        <f>IF(AND(13&gt;=($D$77-1),OR(ISBLANK(BN11),BN11&gt;=$D$75),OR(ISBLANK(BN48),BN48&gt;=$D$76)),MAX(0,BN18-$D$74*100),0)</f>
      </c>
      <c r="BO16" s="42">
        <f>IF(AND(14&gt;=($D$77-1),OR(ISBLANK(BO11),BO11&gt;=$D$75),OR(ISBLANK(BO48),BO48&gt;=$D$76)),MAX(0,BO18-$D$74*100),0)</f>
      </c>
      <c r="BP16" s="42">
        <f>IF(AND(14&gt;=($D$77-1),OR(ISBLANK(BP11),BP11&gt;=$D$75),OR(ISBLANK(BP48),BP48&gt;=$D$76)),MAX(0,BP18-$D$74*100),0)</f>
      </c>
      <c r="BQ16" s="42">
        <f>IF(AND(14&gt;=($D$77-1),OR(ISBLANK(BQ11),BQ11&gt;=$D$75),OR(ISBLANK(BQ48),BQ48&gt;=$D$76)),MAX(0,BQ18-$D$74*100),0)</f>
      </c>
      <c r="BR16" s="42">
        <f>IF(AND(14&gt;=($D$77-1),OR(ISBLANK(BR11),BR11&gt;=$D$75),OR(ISBLANK(BR48),BR48&gt;=$D$76)),MAX(0,BR18-$D$74*100),0)</f>
      </c>
      <c r="BS16" s="42">
        <f>IF(AND(15&gt;=($D$77-1),OR(ISBLANK(BS11),BS11&gt;=$D$75),OR(ISBLANK(BS48),BS48&gt;=$D$76)),MAX(0,BS18-$D$74*100),0)</f>
      </c>
      <c r="BT16" s="42">
        <f>IF(AND(15&gt;=($D$77-1),OR(ISBLANK(BT11),BT11&gt;=$D$75),OR(ISBLANK(BT48),BT48&gt;=$D$76)),MAX(0,BT18-$D$74*100),0)</f>
      </c>
      <c r="BU16" s="42">
        <f>IF(AND(15&gt;=($D$77-1),OR(ISBLANK(BU11),BU11&gt;=$D$75),OR(ISBLANK(BU48),BU48&gt;=$D$76)),MAX(0,BU18-$D$74*100),0)</f>
      </c>
      <c r="BV16" s="42">
        <f>IF(AND(15&gt;=($D$77-1),OR(ISBLANK(BV11),BV11&gt;=$D$75),OR(ISBLANK(BV48),BV48&gt;=$D$76)),MAX(0,BV18-$D$74*100),0)</f>
      </c>
      <c r="BW16" s="42">
        <f>IF(AND(16&gt;=($D$77-1),OR(ISBLANK(BW11),BW11&gt;=$D$75),OR(ISBLANK(BW48),BW48&gt;=$D$76)),MAX(0,BW18-$D$74*100),0)</f>
      </c>
      <c r="BX16" s="42">
        <f>IF(AND(16&gt;=($D$77-1),OR(ISBLANK(BX11),BX11&gt;=$D$75),OR(ISBLANK(BX48),BX48&gt;=$D$76)),MAX(0,BX18-$D$74*100),0)</f>
      </c>
      <c r="BY16" s="42">
        <f>IF(AND(16&gt;=($D$77-1),OR(ISBLANK(BY11),BY11&gt;=$D$75),OR(ISBLANK(BY48),BY48&gt;=$D$76)),MAX(0,BY18-$D$74*100),0)</f>
      </c>
      <c r="BZ16" s="42">
        <f>IF(AND(16&gt;=($D$77-1),OR(ISBLANK(BZ11),BZ11&gt;=$D$75),OR(ISBLANK(BZ48),BZ48&gt;=$D$76)),MAX(0,BZ18-$D$74*100),0)</f>
      </c>
      <c r="CA16" s="42">
        <f>IF(AND(17&gt;=($D$77-1),OR(ISBLANK(CA11),CA11&gt;=$D$75),OR(ISBLANK(CA48),CA48&gt;=$D$76)),MAX(0,CA18-$D$74*100),0)</f>
      </c>
      <c r="CB16" s="42">
        <f>IF(AND(17&gt;=($D$77-1),OR(ISBLANK(CB11),CB11&gt;=$D$75),OR(ISBLANK(CB48),CB48&gt;=$D$76)),MAX(0,CB18-$D$74*100),0)</f>
      </c>
      <c r="CC16" s="42">
        <f>IF(AND(17&gt;=($D$77-1),OR(ISBLANK(CC11),CC11&gt;=$D$75),OR(ISBLANK(CC48),CC48&gt;=$D$76)),MAX(0,CC18-$D$74*100),0)</f>
      </c>
      <c r="CD16" s="42">
        <f>IF(AND(17&gt;=($D$77-1),OR(ISBLANK(CD11),CD11&gt;=$D$75),OR(ISBLANK(CD48),CD48&gt;=$D$76)),MAX(0,CD18-$D$74*100),0)</f>
      </c>
      <c r="CE16" s="42">
        <f>IF(AND(18&gt;=($D$77-1),OR(ISBLANK(CE11),CE11&gt;=$D$75),OR(ISBLANK(CE48),CE48&gt;=$D$76)),MAX(0,CE18-$D$74*100),0)</f>
      </c>
      <c r="CF16" s="42">
        <f>IF(AND(18&gt;=($D$77-1),OR(ISBLANK(CF11),CF11&gt;=$D$75),OR(ISBLANK(CF48),CF48&gt;=$D$76)),MAX(0,CF18-$D$74*100),0)</f>
      </c>
      <c r="CG16" s="42">
        <f>IF(AND(18&gt;=($D$77-1),OR(ISBLANK(CG11),CG11&gt;=$D$75),OR(ISBLANK(CG48),CG48&gt;=$D$76)),MAX(0,CG18-$D$74*100),0)</f>
      </c>
      <c r="CH16" s="42">
        <f>IF(AND(18&gt;=($D$77-1),OR(ISBLANK(CH11),CH11&gt;=$D$75),OR(ISBLANK(CH48),CH48&gt;=$D$76)),MAX(0,CH18-$D$74*100),0)</f>
      </c>
      <c r="CI16" s="42">
        <f>IF(AND(19&gt;=($D$77-1),OR(ISBLANK(CI11),CI11&gt;=$D$75),OR(ISBLANK(CI48),CI48&gt;=$D$76)),MAX(0,CI18-$D$74*100),0)</f>
      </c>
      <c r="CJ16" s="42">
        <f>IF(AND(19&gt;=($D$77-1),OR(ISBLANK(CJ11),CJ11&gt;=$D$75),OR(ISBLANK(CJ48),CJ48&gt;=$D$76)),MAX(0,CJ18-$D$74*100),0)</f>
      </c>
      <c r="CK16" s="42">
        <f>IF(AND(19&gt;=($D$77-1),OR(ISBLANK(CK11),CK11&gt;=$D$75),OR(ISBLANK(CK48),CK48&gt;=$D$76)),MAX(0,CK18-$D$74*100),0)</f>
      </c>
      <c r="CL16" s="42">
        <f>MAX(0,CL18)</f>
      </c>
      <c r="CM16" s="48"/>
    </row>
    <row r="17" spans="2:90" x14ac:dyDescent="0.25">
      <c r="B17" s="33" t="s">
        <v>419</v>
      </c>
      <c r="C17" s="34" t="s">
        <v>228</v>
      </c>
      <c r="E17" s="31">
        <f>E18-E16</f>
      </c>
      <c r="F17" s="31">
        <f>F18-F16</f>
      </c>
      <c r="G17" s="31">
        <f>G18-G16</f>
      </c>
      <c r="H17" s="31">
        <f>H18-H16</f>
      </c>
      <c r="I17" s="31">
        <f>I18-I16</f>
      </c>
      <c r="J17" s="31">
        <f>J18-J16</f>
      </c>
      <c r="K17" s="31">
        <f>K18-K16</f>
      </c>
      <c r="L17" s="31">
        <f>L18-L16</f>
      </c>
      <c r="M17" s="31">
        <f>M18-M16</f>
      </c>
      <c r="N17" s="31">
        <f>N18-N16</f>
      </c>
      <c r="O17" s="31">
        <f>O18-O16</f>
      </c>
      <c r="P17" s="31">
        <f>P18-P16</f>
      </c>
      <c r="Q17" s="31">
        <f>Q18-Q16</f>
      </c>
      <c r="R17" s="31">
        <f>R18-R16</f>
      </c>
      <c r="S17" s="31">
        <f>S18-S16</f>
      </c>
      <c r="T17" s="31">
        <f>T18-T16</f>
      </c>
      <c r="U17" s="31">
        <f>U18-U16</f>
      </c>
      <c r="V17" s="31">
        <f>V18-V16</f>
      </c>
      <c r="W17" s="31">
        <f>W18-W16</f>
      </c>
      <c r="X17" s="31">
        <f>X18-X16</f>
      </c>
      <c r="Y17" s="31">
        <f>Y18-Y16</f>
      </c>
      <c r="Z17" s="31">
        <f>Z18-Z16</f>
      </c>
      <c r="AA17" s="31">
        <f>AA18-AA16</f>
      </c>
      <c r="AB17" s="31">
        <f>AB18-AB16</f>
      </c>
      <c r="AC17" s="31">
        <f>AC18-AC16</f>
      </c>
      <c r="AD17" s="31">
        <f>AD18-AD16</f>
      </c>
      <c r="AE17" s="31">
        <f>AE18-AE16</f>
      </c>
      <c r="AF17" s="31">
        <f>AF18-AF16</f>
      </c>
      <c r="AG17" s="31">
        <f>AG18-AG16</f>
      </c>
      <c r="AH17" s="31">
        <f>AH18-AH16</f>
      </c>
      <c r="AI17" s="31">
        <f>AI18-AI16</f>
      </c>
      <c r="AJ17" s="31">
        <f>AJ18-AJ16</f>
      </c>
      <c r="AK17" s="31">
        <f>AK18-AK16</f>
      </c>
      <c r="AL17" s="31">
        <f>AL18-AL16</f>
      </c>
      <c r="AM17" s="31">
        <f>AM18-AM16</f>
      </c>
      <c r="AN17" s="31">
        <f>AN18-AN16</f>
      </c>
      <c r="AO17" s="31">
        <f>AO18-AO16</f>
      </c>
      <c r="AP17" s="31">
        <f>AP18-AP16</f>
      </c>
      <c r="AQ17" s="31">
        <f>AQ18-AQ16</f>
      </c>
      <c r="AR17" s="31">
        <f>AR18-AR16</f>
      </c>
      <c r="AS17" s="31">
        <f>AS18-AS16</f>
      </c>
      <c r="AT17" s="31">
        <f>AT18-AT16</f>
      </c>
      <c r="AU17" s="31">
        <f>AU18-AU16</f>
      </c>
      <c r="AV17" s="31">
        <f>AV18-AV16</f>
      </c>
      <c r="AW17" s="31">
        <f>AW18-AW16</f>
      </c>
      <c r="AX17" s="31">
        <f>AX18-AX16</f>
      </c>
      <c r="AY17" s="31">
        <f>AY18-AY16</f>
      </c>
      <c r="AZ17" s="31">
        <f>AZ18-AZ16</f>
      </c>
      <c r="BA17" s="31">
        <f>BA18-BA16</f>
      </c>
      <c r="BB17" s="31">
        <f>BB18-BB16</f>
      </c>
      <c r="BC17" s="31">
        <f>BC18-BC16</f>
      </c>
      <c r="BD17" s="31">
        <f>BD18-BD16</f>
      </c>
      <c r="BE17" s="31">
        <f>BE18-BE16</f>
      </c>
      <c r="BF17" s="31">
        <f>BF18-BF16</f>
      </c>
      <c r="BG17" s="31">
        <f>BG18-BG16</f>
      </c>
      <c r="BH17" s="31">
        <f>BH18-BH16</f>
      </c>
      <c r="BI17" s="31">
        <f>BI18-BI16</f>
      </c>
      <c r="BJ17" s="31">
        <f>BJ18-BJ16</f>
      </c>
      <c r="BK17" s="31">
        <f>BK18-BK16</f>
      </c>
      <c r="BL17" s="31">
        <f>BL18-BL16</f>
      </c>
      <c r="BM17" s="31">
        <f>BM18-BM16</f>
      </c>
      <c r="BN17" s="31">
        <f>BN18-BN16</f>
      </c>
      <c r="BO17" s="31">
        <f>BO18-BO16</f>
      </c>
      <c r="BP17" s="31">
        <f>BP18-BP16</f>
      </c>
      <c r="BQ17" s="31">
        <f>BQ18-BQ16</f>
      </c>
      <c r="BR17" s="31">
        <f>BR18-BR16</f>
      </c>
      <c r="BS17" s="31">
        <f>BS18-BS16</f>
      </c>
      <c r="BT17" s="31">
        <f>BT18-BT16</f>
      </c>
      <c r="BU17" s="31">
        <f>BU18-BU16</f>
      </c>
      <c r="BV17" s="31">
        <f>BV18-BV16</f>
      </c>
      <c r="BW17" s="31">
        <f>BW18-BW16</f>
      </c>
      <c r="BX17" s="31">
        <f>BX18-BX16</f>
      </c>
      <c r="BY17" s="31">
        <f>BY18-BY16</f>
      </c>
      <c r="BZ17" s="31">
        <f>BZ18-BZ16</f>
      </c>
      <c r="CA17" s="31">
        <f>CA18-CA16</f>
      </c>
      <c r="CB17" s="31">
        <f>CB18-CB16</f>
      </c>
      <c r="CC17" s="31">
        <f>CC18-CC16</f>
      </c>
      <c r="CD17" s="31">
        <f>CD18-CD16</f>
      </c>
      <c r="CE17" s="31">
        <f>CE18-CE16</f>
      </c>
      <c r="CF17" s="31">
        <f>CF18-CF16</f>
      </c>
      <c r="CG17" s="31">
        <f>CG18-CG16</f>
      </c>
      <c r="CH17" s="31">
        <f>CH18-CH16</f>
      </c>
      <c r="CI17" s="31">
        <f>CI18-CI16</f>
      </c>
      <c r="CJ17" s="31">
        <f>CJ18-CJ16</f>
      </c>
      <c r="CK17" s="31">
        <f>CK18-CK16</f>
      </c>
      <c r="CL17" s="31">
        <f>CL18-CL16</f>
      </c>
    </row>
    <row r="18" spans="2:90" x14ac:dyDescent="0.25">
      <c r="B18" s="33" t="s">
        <v>420</v>
      </c>
      <c r="C18" s="34" t="s">
        <v>228</v>
      </c>
      <c r="E18" s="31">
        <f>E15+E13</f>
      </c>
      <c r="F18" s="31">
        <f>F15+F13</f>
      </c>
      <c r="G18" s="31">
        <f>G15+G13</f>
      </c>
      <c r="H18" s="31">
        <f>H15+H13</f>
      </c>
      <c r="I18" s="31">
        <f>I15+I13</f>
      </c>
      <c r="J18" s="31">
        <f>J15+J13</f>
      </c>
      <c r="K18" s="31">
        <f>K15+K13</f>
      </c>
      <c r="L18" s="31">
        <f>L15+L13</f>
      </c>
      <c r="M18" s="31">
        <f>M15+M13</f>
      </c>
      <c r="N18" s="31">
        <f>N15+N13</f>
      </c>
      <c r="O18" s="31">
        <f>O15+O13</f>
      </c>
      <c r="P18" s="31">
        <f>P15+P13</f>
      </c>
      <c r="Q18" s="31">
        <f>Q15+Q13</f>
      </c>
      <c r="R18" s="31">
        <f>R15+R13</f>
      </c>
      <c r="S18" s="31">
        <f>S15+S13</f>
      </c>
      <c r="T18" s="31">
        <f>T15+T13</f>
      </c>
      <c r="U18" s="31">
        <f>U15+U13</f>
      </c>
      <c r="V18" s="31">
        <f>V15+V13</f>
      </c>
      <c r="W18" s="31">
        <f>W15+W13</f>
      </c>
      <c r="X18" s="31">
        <f>X15+X13</f>
      </c>
      <c r="Y18" s="31">
        <f>Y15+Y13</f>
      </c>
      <c r="Z18" s="31">
        <f>Z15+Z13</f>
      </c>
      <c r="AA18" s="31">
        <f>AA15+AA13</f>
      </c>
      <c r="AB18" s="31">
        <f>AB15+AB13</f>
      </c>
      <c r="AC18" s="31">
        <f>AC15+AC13</f>
      </c>
      <c r="AD18" s="31">
        <f>AD15+AD13</f>
      </c>
      <c r="AE18" s="31">
        <f>AE15+AE13</f>
      </c>
      <c r="AF18" s="31">
        <f>AF15+AF13</f>
      </c>
      <c r="AG18" s="31">
        <f>AG15+AG13</f>
      </c>
      <c r="AH18" s="31">
        <f>AH15+AH13</f>
      </c>
      <c r="AI18" s="31">
        <f>AI15+AI13</f>
      </c>
      <c r="AJ18" s="31">
        <f>AJ15+AJ13</f>
      </c>
      <c r="AK18" s="31">
        <f>AK15+AK13</f>
      </c>
      <c r="AL18" s="31">
        <f>AL15+AL13</f>
      </c>
      <c r="AM18" s="31">
        <f>AM15+AM13</f>
      </c>
      <c r="AN18" s="31">
        <f>AN15+AN13</f>
      </c>
      <c r="AO18" s="31">
        <f>AO15+AO13</f>
      </c>
      <c r="AP18" s="31">
        <f>AP15+AP13</f>
      </c>
      <c r="AQ18" s="31">
        <f>AQ15+AQ13</f>
      </c>
      <c r="AR18" s="31">
        <f>AR15+AR13</f>
      </c>
      <c r="AS18" s="31">
        <f>AS15+AS13</f>
      </c>
      <c r="AT18" s="31">
        <f>AT15+AT13</f>
      </c>
      <c r="AU18" s="31">
        <f>AU15+AU13</f>
      </c>
      <c r="AV18" s="31">
        <f>AV15+AV13</f>
      </c>
      <c r="AW18" s="31">
        <f>AW15+AW13</f>
      </c>
      <c r="AX18" s="31">
        <f>AX15+AX13</f>
      </c>
      <c r="AY18" s="31">
        <f>AY15+AY13</f>
      </c>
      <c r="AZ18" s="31">
        <f>AZ15+AZ13</f>
      </c>
      <c r="BA18" s="31">
        <f>BA15+BA13</f>
      </c>
      <c r="BB18" s="31">
        <f>BB15+BB13</f>
      </c>
      <c r="BC18" s="31">
        <f>BC15+BC13</f>
      </c>
      <c r="BD18" s="31">
        <f>BD15+BD13</f>
      </c>
      <c r="BE18" s="31">
        <f>BE15+BE13</f>
      </c>
      <c r="BF18" s="31">
        <f>BF15+BF13</f>
      </c>
      <c r="BG18" s="31">
        <f>BG15+BG13</f>
      </c>
      <c r="BH18" s="31">
        <f>BH15+BH13</f>
      </c>
      <c r="BI18" s="31">
        <f>BI15+BI13</f>
      </c>
      <c r="BJ18" s="31">
        <f>BJ15+BJ13</f>
      </c>
      <c r="BK18" s="31">
        <f>BK15+BK13</f>
      </c>
      <c r="BL18" s="31">
        <f>BL15+BL13</f>
      </c>
      <c r="BM18" s="31">
        <f>BM15+BM13</f>
      </c>
      <c r="BN18" s="31">
        <f>BN15+BN13</f>
      </c>
      <c r="BO18" s="31">
        <f>BO15+BO13</f>
      </c>
      <c r="BP18" s="31">
        <f>BP15+BP13</f>
      </c>
      <c r="BQ18" s="31">
        <f>BQ15+BQ13</f>
      </c>
      <c r="BR18" s="31">
        <f>BR15+BR13</f>
      </c>
      <c r="BS18" s="31">
        <f>BS15+BS13</f>
      </c>
      <c r="BT18" s="31">
        <f>BT15+BT13</f>
      </c>
      <c r="BU18" s="31">
        <f>BU15+BU13</f>
      </c>
      <c r="BV18" s="31">
        <f>BV15+BV13</f>
      </c>
      <c r="BW18" s="31">
        <f>BW15+BW13</f>
      </c>
      <c r="BX18" s="31">
        <f>BX15+BX13</f>
      </c>
      <c r="BY18" s="31">
        <f>BY15+BY13</f>
      </c>
      <c r="BZ18" s="31">
        <f>BZ15+BZ13</f>
      </c>
      <c r="CA18" s="31">
        <f>CA15+CA13</f>
      </c>
      <c r="CB18" s="31">
        <f>CB15+CB13</f>
      </c>
      <c r="CC18" s="31">
        <f>CC15+CC13</f>
      </c>
      <c r="CD18" s="31">
        <f>CD15+CD13</f>
      </c>
      <c r="CE18" s="31">
        <f>CE15+CE13</f>
      </c>
      <c r="CF18" s="31">
        <f>CF15+CF13</f>
      </c>
      <c r="CG18" s="31">
        <f>CG15+CG13</f>
      </c>
      <c r="CH18" s="31">
        <f>CH15+CH13</f>
      </c>
      <c r="CI18" s="31">
        <f>CI15+CI13</f>
      </c>
      <c r="CJ18" s="31">
        <f>CJ15+CJ13</f>
      </c>
      <c r="CK18" s="31">
        <f>CK15+CK13</f>
      </c>
      <c r="CL18" s="31">
        <f>CL15+CL13</f>
      </c>
    </row>
    <row r="19" spans="2:90" x14ac:dyDescent="0.25">
      <c r="B19" s="33" t="s">
        <v>421</v>
      </c>
      <c r="C19" s="34" t="s">
        <v>228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</row>
    <row r="20" spans="2:90" x14ac:dyDescent="0.25">
      <c r="B20" s="33" t="s">
        <v>422</v>
      </c>
      <c r="C20" s="34" t="s">
        <v>228</v>
      </c>
      <c r="E20" s="31">
        <f>0</f>
      </c>
      <c r="F20" s="31">
        <f>E21</f>
      </c>
      <c r="G20" s="31">
        <f>F21</f>
      </c>
      <c r="H20" s="31">
        <f>G21</f>
      </c>
      <c r="I20" s="31">
        <f>H21</f>
      </c>
      <c r="J20" s="31">
        <f>'입력값'!C23*100</f>
      </c>
      <c r="K20" s="31">
        <f>J21</f>
      </c>
      <c r="L20" s="31">
        <f>K21</f>
      </c>
      <c r="M20" s="31">
        <f>L21</f>
      </c>
      <c r="N20" s="31">
        <f>M21</f>
      </c>
      <c r="O20" s="31">
        <f>N21</f>
      </c>
      <c r="P20" s="31">
        <f>O21</f>
      </c>
      <c r="Q20" s="31">
        <f>P21</f>
      </c>
      <c r="R20" s="31">
        <f>Q21</f>
      </c>
      <c r="S20" s="31">
        <f>R21</f>
      </c>
      <c r="T20" s="31">
        <f>S21</f>
      </c>
      <c r="U20" s="31">
        <f>T21</f>
      </c>
      <c r="V20" s="31">
        <f>U21</f>
      </c>
      <c r="W20" s="31">
        <f>V21</f>
      </c>
      <c r="X20" s="31">
        <f>W21</f>
      </c>
      <c r="Y20" s="31">
        <f>X21</f>
      </c>
      <c r="Z20" s="31">
        <f>Y21</f>
      </c>
      <c r="AA20" s="31">
        <f>Z21</f>
      </c>
      <c r="AB20" s="31">
        <f>AA21</f>
      </c>
      <c r="AC20" s="31">
        <f>AB21</f>
      </c>
      <c r="AD20" s="31">
        <f>AC21</f>
      </c>
      <c r="AE20" s="31">
        <f>AD21</f>
      </c>
      <c r="AF20" s="31">
        <f>AE21</f>
      </c>
      <c r="AG20" s="31">
        <f>AF21</f>
      </c>
      <c r="AH20" s="31">
        <f>AG21</f>
      </c>
      <c r="AI20" s="31">
        <f>AH21</f>
      </c>
      <c r="AJ20" s="31">
        <f>AI21</f>
      </c>
      <c r="AK20" s="31">
        <f>AJ21</f>
      </c>
      <c r="AL20" s="31">
        <f>AK21</f>
      </c>
      <c r="AM20" s="31">
        <f>AL21</f>
      </c>
      <c r="AN20" s="31">
        <f>AM21</f>
      </c>
      <c r="AO20" s="31">
        <f>AN21</f>
      </c>
      <c r="AP20" s="31">
        <f>AO21</f>
      </c>
      <c r="AQ20" s="31">
        <f>AP21</f>
      </c>
      <c r="AR20" s="31">
        <f>AQ21</f>
      </c>
      <c r="AS20" s="31">
        <f>AR21</f>
      </c>
      <c r="AT20" s="31">
        <f>AS21</f>
      </c>
      <c r="AU20" s="31">
        <f>AT21</f>
      </c>
      <c r="AV20" s="31">
        <f>AU21</f>
      </c>
      <c r="AW20" s="31">
        <f>AV21</f>
      </c>
      <c r="AX20" s="31">
        <f>AW21</f>
      </c>
      <c r="AY20" s="31">
        <f>AX21</f>
      </c>
      <c r="AZ20" s="31">
        <f>AY21</f>
      </c>
      <c r="BA20" s="31">
        <f>AZ21</f>
      </c>
      <c r="BB20" s="31">
        <f>BA21</f>
      </c>
      <c r="BC20" s="31">
        <f>BB21</f>
      </c>
      <c r="BD20" s="31">
        <f>BC21</f>
      </c>
      <c r="BE20" s="31">
        <f>BD21</f>
      </c>
      <c r="BF20" s="31">
        <f>BE21</f>
      </c>
      <c r="BG20" s="31">
        <f>BF21</f>
      </c>
      <c r="BH20" s="31">
        <f>BG21</f>
      </c>
      <c r="BI20" s="31">
        <f>BH21</f>
      </c>
      <c r="BJ20" s="31">
        <f>BI21</f>
      </c>
      <c r="BK20" s="31">
        <f>BJ21</f>
      </c>
      <c r="BL20" s="31">
        <f>BK21</f>
      </c>
      <c r="BM20" s="31">
        <f>BL21</f>
      </c>
      <c r="BN20" s="31">
        <f>BM21</f>
      </c>
      <c r="BO20" s="31">
        <f>BN21</f>
      </c>
      <c r="BP20" s="31">
        <f>BO21</f>
      </c>
      <c r="BQ20" s="31">
        <f>BP21</f>
      </c>
      <c r="BR20" s="31">
        <f>BQ21</f>
      </c>
      <c r="BS20" s="31">
        <f>BR21</f>
      </c>
      <c r="BT20" s="31">
        <f>BS21</f>
      </c>
      <c r="BU20" s="31">
        <f>BT21</f>
      </c>
      <c r="BV20" s="31">
        <f>BU21</f>
      </c>
      <c r="BW20" s="31">
        <f>BV21</f>
      </c>
      <c r="BX20" s="31">
        <f>BW21</f>
      </c>
      <c r="BY20" s="31">
        <f>BX21</f>
      </c>
      <c r="BZ20" s="31">
        <f>BY21</f>
      </c>
      <c r="CA20" s="31">
        <f>BZ21</f>
      </c>
      <c r="CB20" s="31">
        <f>CA21</f>
      </c>
      <c r="CC20" s="31">
        <f>CB21</f>
      </c>
      <c r="CD20" s="31">
        <f>CC21</f>
      </c>
      <c r="CE20" s="31">
        <f>CD21</f>
      </c>
      <c r="CF20" s="31">
        <f>CE21</f>
      </c>
      <c r="CG20" s="31">
        <f>CF21</f>
      </c>
      <c r="CH20" s="31">
        <f>CG21</f>
      </c>
      <c r="CI20" s="31">
        <f>CH21</f>
      </c>
      <c r="CJ20" s="31">
        <f>CI21</f>
      </c>
      <c r="CK20" s="31">
        <f>CJ21</f>
      </c>
      <c r="CL20" s="31">
        <f>CK21</f>
      </c>
    </row>
    <row r="21" spans="2:90" x14ac:dyDescent="0.25">
      <c r="B21" s="33" t="s">
        <v>423</v>
      </c>
      <c r="C21" s="34" t="s">
        <v>228</v>
      </c>
      <c r="E21" s="31">
        <f>E20</f>
      </c>
      <c r="F21" s="31">
        <f>F20</f>
      </c>
      <c r="G21" s="31">
        <f>G20</f>
      </c>
      <c r="H21" s="31">
        <f>H20</f>
      </c>
      <c r="I21" s="31">
        <f>I20</f>
      </c>
      <c r="J21" s="31">
        <f>J20</f>
      </c>
      <c r="K21" s="31">
        <f>L10+M10</f>
      </c>
      <c r="L21" s="31">
        <f>M10+N10</f>
      </c>
      <c r="M21" s="31">
        <f>N10+O10</f>
      </c>
      <c r="N21" s="31">
        <f>O10+P10</f>
      </c>
      <c r="O21" s="31">
        <f>P10+Q10</f>
      </c>
      <c r="P21" s="31">
        <f>Q10+R10</f>
      </c>
      <c r="Q21" s="31">
        <f>R10+S10</f>
      </c>
      <c r="R21" s="31">
        <f>S10+T10</f>
      </c>
      <c r="S21" s="31">
        <f>T10+U10</f>
      </c>
      <c r="T21" s="31">
        <f>U10+V10</f>
      </c>
      <c r="U21" s="31">
        <f>V10+W10</f>
      </c>
      <c r="V21" s="31">
        <f>W10+X10</f>
      </c>
      <c r="W21" s="31">
        <f>X10+Y10</f>
      </c>
      <c r="X21" s="31">
        <f>Y10+Z10</f>
      </c>
      <c r="Y21" s="31">
        <f>Z10+AA10</f>
      </c>
      <c r="Z21" s="31">
        <f>AA10+AB10</f>
      </c>
      <c r="AA21" s="31">
        <f>AB10+AC10</f>
      </c>
      <c r="AB21" s="31">
        <f>AC10+AD10</f>
      </c>
      <c r="AC21" s="31">
        <f>AD10+AE10</f>
      </c>
      <c r="AD21" s="31">
        <f>AE10+AF10</f>
      </c>
      <c r="AE21" s="31">
        <f>AF10+AG10</f>
      </c>
      <c r="AF21" s="31">
        <f>AG10+AH10</f>
      </c>
      <c r="AG21" s="31">
        <f>AH10+AI10</f>
      </c>
      <c r="AH21" s="31">
        <f>AI10+AJ10</f>
      </c>
      <c r="AI21" s="31">
        <f>AJ10+AK10</f>
      </c>
      <c r="AJ21" s="31">
        <f>AK10+AL10</f>
      </c>
      <c r="AK21" s="31">
        <f>AL10+AM10</f>
      </c>
      <c r="AL21" s="31">
        <f>AM10+AN10</f>
      </c>
      <c r="AM21" s="31">
        <f>AN10+AO10</f>
      </c>
      <c r="AN21" s="31">
        <f>AO10+AP10</f>
      </c>
      <c r="AO21" s="31">
        <f>AP10+AQ10</f>
      </c>
      <c r="AP21" s="31">
        <f>AQ10+AR10</f>
      </c>
      <c r="AQ21" s="31">
        <f>AR10+AS10</f>
      </c>
      <c r="AR21" s="31">
        <f>AS10+AT10</f>
      </c>
      <c r="AS21" s="31">
        <f>AT10+AU10</f>
      </c>
      <c r="AT21" s="31">
        <f>AU10+AV10</f>
      </c>
      <c r="AU21" s="31">
        <f>AV10+AW10</f>
      </c>
      <c r="AV21" s="31">
        <f>AW10+AX10</f>
      </c>
      <c r="AW21" s="31">
        <f>AX10+AY10</f>
      </c>
      <c r="AX21" s="31">
        <f>AY10+AZ10</f>
      </c>
      <c r="AY21" s="31">
        <f>AZ10+BA10</f>
      </c>
      <c r="AZ21" s="31">
        <f>BA10+BB10</f>
      </c>
      <c r="BA21" s="31">
        <f>BB10+BC10</f>
      </c>
      <c r="BB21" s="31">
        <f>BC10+BD10</f>
      </c>
      <c r="BC21" s="31">
        <f>BD10+BE10</f>
      </c>
      <c r="BD21" s="31">
        <f>BE10+BF10</f>
      </c>
      <c r="BE21" s="31">
        <f>BF10+BG10</f>
      </c>
      <c r="BF21" s="31">
        <f>BG10+BH10</f>
      </c>
      <c r="BG21" s="31">
        <f>BH10+BI10</f>
      </c>
      <c r="BH21" s="31">
        <f>BI10+BJ10</f>
      </c>
      <c r="BI21" s="31">
        <f>BJ10+BK10</f>
      </c>
      <c r="BJ21" s="31">
        <f>BK10+BL10</f>
      </c>
      <c r="BK21" s="31">
        <f>BL10+BM10</f>
      </c>
      <c r="BL21" s="31">
        <f>BM10+BN10</f>
      </c>
      <c r="BM21" s="31">
        <f>BN10+BO10</f>
      </c>
      <c r="BN21" s="31">
        <f>BO10+BP10</f>
      </c>
      <c r="BO21" s="31">
        <f>BP10+BQ10</f>
      </c>
      <c r="BP21" s="31">
        <f>BQ10+BR10</f>
      </c>
      <c r="BQ21" s="31">
        <f>BR10+BS10</f>
      </c>
      <c r="BR21" s="31">
        <f>BS10+BT10</f>
      </c>
      <c r="BS21" s="31">
        <f>BT10+BU10</f>
      </c>
      <c r="BT21" s="31">
        <f>BU10+BV10</f>
      </c>
      <c r="BU21" s="31">
        <f>BV10+BW10</f>
      </c>
      <c r="BV21" s="31">
        <f>BW10+BX10</f>
      </c>
      <c r="BW21" s="31">
        <f>BX10+BY10</f>
      </c>
      <c r="BX21" s="31">
        <f>BY10+BZ10</f>
      </c>
      <c r="BY21" s="31">
        <f>BZ10+CA10</f>
      </c>
      <c r="BZ21" s="31">
        <f>CA10+CB10</f>
      </c>
      <c r="CA21" s="31">
        <f>CB10+CC10</f>
      </c>
      <c r="CB21" s="31">
        <f>CC10+CD10</f>
      </c>
      <c r="CC21" s="31">
        <f>CD10+CE10</f>
      </c>
      <c r="CD21" s="31">
        <f>CE10+CF10</f>
      </c>
      <c r="CE21" s="31">
        <f>CF10+CG10</f>
      </c>
      <c r="CF21" s="31">
        <f>CG10+CH10</f>
      </c>
      <c r="CG21" s="31">
        <f>CH10+CI10</f>
      </c>
      <c r="CH21" s="31">
        <f>CI10+CJ10</f>
      </c>
      <c r="CI21" s="31">
        <f>CJ10+CK10</f>
      </c>
      <c r="CJ21" s="31">
        <f>CK10+CL10</f>
      </c>
      <c r="CK21" s="31">
        <f>CL10</f>
      </c>
      <c r="CL21" s="31">
        <f>0</f>
      </c>
    </row>
    <row r="22" spans="2:90" x14ac:dyDescent="0.25">
      <c r="B22" s="33" t="s">
        <v>424</v>
      </c>
      <c r="C22" s="34" t="s">
        <v>228</v>
      </c>
      <c r="E22" s="31">
        <f>0</f>
      </c>
      <c r="F22" s="31">
        <f>E22</f>
      </c>
      <c r="G22" s="31">
        <f>F22</f>
      </c>
      <c r="H22" s="31">
        <f>G22</f>
      </c>
      <c r="I22" s="31">
        <f>H22</f>
      </c>
      <c r="J22" s="31">
        <f>I22</f>
      </c>
      <c r="K22" s="31">
        <f>J22+'IS(Q)'!K45</f>
      </c>
      <c r="L22" s="31">
        <f>K22+'IS(Q)'!L45</f>
      </c>
      <c r="M22" s="31">
        <f>L22+'IS(Q)'!M45</f>
      </c>
      <c r="N22" s="31">
        <f>M22+'IS(Q)'!N45</f>
      </c>
      <c r="O22" s="31">
        <f>N22+'IS(Q)'!O45</f>
      </c>
      <c r="P22" s="31">
        <f>O22+'IS(Q)'!P45</f>
      </c>
      <c r="Q22" s="31">
        <f>P22+'IS(Q)'!Q45</f>
      </c>
      <c r="R22" s="31">
        <f>Q22+'IS(Q)'!R45</f>
      </c>
      <c r="S22" s="31">
        <f>R22+'IS(Q)'!S45</f>
      </c>
      <c r="T22" s="31">
        <f>S22+'IS(Q)'!T45</f>
      </c>
      <c r="U22" s="31">
        <f>T22+'IS(Q)'!U45</f>
      </c>
      <c r="V22" s="31">
        <f>U22+'IS(Q)'!V45</f>
      </c>
      <c r="W22" s="31">
        <f>V22+'IS(Q)'!W45</f>
      </c>
      <c r="X22" s="31">
        <f>W22+'IS(Q)'!X45</f>
      </c>
      <c r="Y22" s="31">
        <f>X22+'IS(Q)'!Y45</f>
      </c>
      <c r="Z22" s="31">
        <f>Y22+'IS(Q)'!Z45</f>
      </c>
      <c r="AA22" s="31">
        <f>Z22+'IS(Q)'!AA45</f>
      </c>
      <c r="AB22" s="31">
        <f>AA22+'IS(Q)'!AB45</f>
      </c>
      <c r="AC22" s="31">
        <f>AB22+'IS(Q)'!AC45</f>
      </c>
      <c r="AD22" s="31">
        <f>AC22+'IS(Q)'!AD45</f>
      </c>
      <c r="AE22" s="31">
        <f>AD22+'IS(Q)'!AE45</f>
      </c>
      <c r="AF22" s="31">
        <f>AE22+'IS(Q)'!AF45</f>
      </c>
      <c r="AG22" s="31">
        <f>AF22+'IS(Q)'!AG45</f>
      </c>
      <c r="AH22" s="31">
        <f>AG22+'IS(Q)'!AH45</f>
      </c>
      <c r="AI22" s="31">
        <f>AH22+'IS(Q)'!AI45</f>
      </c>
      <c r="AJ22" s="31">
        <f>AI22+'IS(Q)'!AJ45</f>
      </c>
      <c r="AK22" s="31">
        <f>AJ22+'IS(Q)'!AK45</f>
      </c>
      <c r="AL22" s="31">
        <f>AK22+'IS(Q)'!AL45</f>
      </c>
      <c r="AM22" s="31">
        <f>AL22+'IS(Q)'!AM45</f>
      </c>
      <c r="AN22" s="31">
        <f>AM22+'IS(Q)'!AN45</f>
      </c>
      <c r="AO22" s="31">
        <f>AN22+'IS(Q)'!AO45</f>
      </c>
      <c r="AP22" s="31">
        <f>AO22+'IS(Q)'!AP45</f>
      </c>
      <c r="AQ22" s="31">
        <f>AP22+'IS(Q)'!AQ45</f>
      </c>
      <c r="AR22" s="31">
        <f>AQ22+'IS(Q)'!AR45</f>
      </c>
      <c r="AS22" s="31">
        <f>AR22+'IS(Q)'!AS45</f>
      </c>
      <c r="AT22" s="31">
        <f>AS22+'IS(Q)'!AT45</f>
      </c>
      <c r="AU22" s="31">
        <f>AT22+'IS(Q)'!AU45</f>
      </c>
      <c r="AV22" s="31">
        <f>AU22+'IS(Q)'!AV45</f>
      </c>
      <c r="AW22" s="31">
        <f>AV22+'IS(Q)'!AW45</f>
      </c>
      <c r="AX22" s="31">
        <f>AW22+'IS(Q)'!AX45</f>
      </c>
      <c r="AY22" s="31">
        <f>AX22+'IS(Q)'!AY45</f>
      </c>
      <c r="AZ22" s="31">
        <f>AY22+'IS(Q)'!AZ45</f>
      </c>
      <c r="BA22" s="31">
        <f>AZ22+'IS(Q)'!BA45</f>
      </c>
      <c r="BB22" s="31">
        <f>BA22+'IS(Q)'!BB45</f>
      </c>
      <c r="BC22" s="31">
        <f>BB22+'IS(Q)'!BC45</f>
      </c>
      <c r="BD22" s="31">
        <f>BC22+'IS(Q)'!BD45</f>
      </c>
      <c r="BE22" s="31">
        <f>BD22+'IS(Q)'!BE45</f>
      </c>
      <c r="BF22" s="31">
        <f>BE22+'IS(Q)'!BF45</f>
      </c>
      <c r="BG22" s="31">
        <f>BF22+'IS(Q)'!BG45</f>
      </c>
      <c r="BH22" s="31">
        <f>BG22+'IS(Q)'!BH45</f>
      </c>
      <c r="BI22" s="31">
        <f>BH22+'IS(Q)'!BI45</f>
      </c>
      <c r="BJ22" s="31">
        <f>BI22+'IS(Q)'!BJ45</f>
      </c>
      <c r="BK22" s="31">
        <f>BJ22+'IS(Q)'!BK45</f>
      </c>
      <c r="BL22" s="31">
        <f>BK22+'IS(Q)'!BL45</f>
      </c>
      <c r="BM22" s="31">
        <f>BL22+'IS(Q)'!BM45</f>
      </c>
      <c r="BN22" s="31">
        <f>BM22+'IS(Q)'!BN45</f>
      </c>
      <c r="BO22" s="31">
        <f>BN22+'IS(Q)'!BO45</f>
      </c>
      <c r="BP22" s="31">
        <f>BO22+'IS(Q)'!BP45</f>
      </c>
      <c r="BQ22" s="31">
        <f>BP22+'IS(Q)'!BQ45</f>
      </c>
      <c r="BR22" s="31">
        <f>BQ22+'IS(Q)'!BR45</f>
      </c>
      <c r="BS22" s="31">
        <f>BR22+'IS(Q)'!BS45</f>
      </c>
      <c r="BT22" s="31">
        <f>BS22+'IS(Q)'!BT45</f>
      </c>
      <c r="BU22" s="31">
        <f>BT22+'IS(Q)'!BU45</f>
      </c>
      <c r="BV22" s="31">
        <f>BU22+'IS(Q)'!BV45</f>
      </c>
      <c r="BW22" s="31">
        <f>BV22+'IS(Q)'!BW45</f>
      </c>
      <c r="BX22" s="31">
        <f>BW22+'IS(Q)'!BX45</f>
      </c>
      <c r="BY22" s="31">
        <f>BX22+'IS(Q)'!BY45</f>
      </c>
      <c r="BZ22" s="31">
        <f>BY22+'IS(Q)'!BZ45</f>
      </c>
      <c r="CA22" s="31">
        <f>BZ22+'IS(Q)'!CA45</f>
      </c>
      <c r="CB22" s="31">
        <f>CA22+'IS(Q)'!CB45</f>
      </c>
      <c r="CC22" s="31">
        <f>CB22+'IS(Q)'!CC45</f>
      </c>
      <c r="CD22" s="31">
        <f>CC22+'IS(Q)'!CD45</f>
      </c>
      <c r="CE22" s="31">
        <f>CD22+'IS(Q)'!CE45</f>
      </c>
      <c r="CF22" s="31">
        <f>CE22+'IS(Q)'!CF45</f>
      </c>
      <c r="CG22" s="31">
        <f>CF22+'IS(Q)'!CG45</f>
      </c>
      <c r="CH22" s="31">
        <f>CG22+'IS(Q)'!CH45</f>
      </c>
      <c r="CI22" s="31">
        <f>CH22+'IS(Q)'!CI45</f>
      </c>
      <c r="CJ22" s="31">
        <f>CI22+'IS(Q)'!CJ45</f>
      </c>
      <c r="CK22" s="31">
        <f>CJ22+'IS(Q)'!CK45</f>
      </c>
      <c r="CL22" s="31">
        <f>CK22+'IS(Q)'!CL45</f>
      </c>
    </row>
    <row r="23" spans="2:90" x14ac:dyDescent="0.25">
      <c r="B23" s="33" t="s">
        <v>425</v>
      </c>
      <c r="C23" s="34" t="s">
        <v>228</v>
      </c>
      <c r="E23" s="31">
        <f>0</f>
      </c>
      <c r="F23" s="31">
        <f>E23</f>
      </c>
      <c r="G23" s="31">
        <f>F23</f>
      </c>
      <c r="H23" s="31">
        <f>G23</f>
      </c>
      <c r="I23" s="31">
        <f>H23</f>
      </c>
      <c r="J23" s="31">
        <f>I23</f>
      </c>
      <c r="K23" s="31">
        <f>J23</f>
      </c>
      <c r="L23" s="31">
        <f>K23</f>
      </c>
      <c r="M23" s="31">
        <f>L23</f>
      </c>
      <c r="N23" s="31">
        <f>M23</f>
      </c>
      <c r="O23" s="31">
        <f>N23</f>
      </c>
      <c r="P23" s="31">
        <f>O23</f>
      </c>
      <c r="Q23" s="31">
        <f>P23</f>
      </c>
      <c r="R23" s="31">
        <f>Q23</f>
      </c>
      <c r="S23" s="31">
        <f>R23</f>
      </c>
      <c r="T23" s="31">
        <f>S23</f>
      </c>
      <c r="U23" s="31">
        <f>T23</f>
      </c>
      <c r="V23" s="31">
        <f>U23</f>
      </c>
      <c r="W23" s="31">
        <f>V23</f>
      </c>
      <c r="X23" s="31">
        <f>W23</f>
      </c>
      <c r="Y23" s="31">
        <f>X23</f>
      </c>
      <c r="Z23" s="31">
        <f>Y23</f>
      </c>
      <c r="AA23" s="31">
        <f>Z23</f>
      </c>
      <c r="AB23" s="31">
        <f>AA23</f>
      </c>
      <c r="AC23" s="31">
        <f>AB23</f>
      </c>
      <c r="AD23" s="31">
        <f>AC23</f>
      </c>
      <c r="AE23" s="31">
        <f>AD23</f>
      </c>
      <c r="AF23" s="31">
        <f>AE23</f>
      </c>
      <c r="AG23" s="31">
        <f>AF23</f>
      </c>
      <c r="AH23" s="31">
        <f>AG23</f>
      </c>
      <c r="AI23" s="31">
        <f>AH23</f>
      </c>
      <c r="AJ23" s="31">
        <f>AI23</f>
      </c>
      <c r="AK23" s="31">
        <f>AJ23</f>
      </c>
      <c r="AL23" s="31">
        <f>AK23</f>
      </c>
      <c r="AM23" s="31">
        <f>AL23</f>
      </c>
      <c r="AN23" s="31">
        <f>AM23</f>
      </c>
      <c r="AO23" s="31">
        <f>AN23</f>
      </c>
      <c r="AP23" s="31">
        <f>AO23</f>
      </c>
      <c r="AQ23" s="31">
        <f>AP23</f>
      </c>
      <c r="AR23" s="31">
        <f>AQ23</f>
      </c>
      <c r="AS23" s="31">
        <f>AR23</f>
      </c>
      <c r="AT23" s="31">
        <f>AS23</f>
      </c>
      <c r="AU23" s="31">
        <f>AT23</f>
      </c>
      <c r="AV23" s="31">
        <f>AU23</f>
      </c>
      <c r="AW23" s="31">
        <f>AV23</f>
      </c>
      <c r="AX23" s="31">
        <f>AW23</f>
      </c>
      <c r="AY23" s="31">
        <f>AX23</f>
      </c>
      <c r="AZ23" s="31">
        <f>AY23</f>
      </c>
      <c r="BA23" s="31">
        <f>AZ23</f>
      </c>
      <c r="BB23" s="31">
        <f>BA23</f>
      </c>
      <c r="BC23" s="31">
        <f>BB23</f>
      </c>
      <c r="BD23" s="31">
        <f>BC23</f>
      </c>
      <c r="BE23" s="31">
        <f>BD23</f>
      </c>
      <c r="BF23" s="31">
        <f>BE23</f>
      </c>
      <c r="BG23" s="31">
        <f>BF23</f>
      </c>
      <c r="BH23" s="31">
        <f>BG23</f>
      </c>
      <c r="BI23" s="31">
        <f>BH23</f>
      </c>
      <c r="BJ23" s="31">
        <f>BI23</f>
      </c>
      <c r="BK23" s="31">
        <f>BJ23</f>
      </c>
      <c r="BL23" s="31">
        <f>BK23</f>
      </c>
      <c r="BM23" s="31">
        <f>BL23</f>
      </c>
      <c r="BN23" s="31">
        <f>BM23</f>
      </c>
      <c r="BO23" s="31">
        <f>BN23</f>
      </c>
      <c r="BP23" s="31">
        <f>BO23</f>
      </c>
      <c r="BQ23" s="31">
        <f>BP23</f>
      </c>
      <c r="BR23" s="31">
        <f>BQ23</f>
      </c>
      <c r="BS23" s="31">
        <f>BR23</f>
      </c>
      <c r="BT23" s="31">
        <f>BS23</f>
      </c>
      <c r="BU23" s="31">
        <f>BT23</f>
      </c>
      <c r="BV23" s="31">
        <f>BU23</f>
      </c>
      <c r="BW23" s="31">
        <f>BV23</f>
      </c>
      <c r="BX23" s="31">
        <f>BW23</f>
      </c>
      <c r="BY23" s="31">
        <f>BX23</f>
      </c>
      <c r="BZ23" s="31">
        <f>BY23</f>
      </c>
      <c r="CA23" s="31">
        <f>BZ23</f>
      </c>
      <c r="CB23" s="31">
        <f>CA23</f>
      </c>
      <c r="CC23" s="31">
        <f>CB23</f>
      </c>
      <c r="CD23" s="31">
        <f>CC23</f>
      </c>
      <c r="CE23" s="31">
        <f>CD23</f>
      </c>
      <c r="CF23" s="31">
        <f>CE23</f>
      </c>
      <c r="CG23" s="31">
        <f>CF23</f>
      </c>
      <c r="CH23" s="31">
        <f>CG23</f>
      </c>
      <c r="CI23" s="31">
        <f>CH23</f>
      </c>
      <c r="CJ23" s="31">
        <f>CI23</f>
      </c>
      <c r="CK23" s="31">
        <f>CJ23</f>
      </c>
      <c r="CL23" s="31">
        <f>CK23</f>
      </c>
    </row>
    <row r="24" spans="2:91" x14ac:dyDescent="0.25">
      <c r="B24" s="9" t="s">
        <v>426</v>
      </c>
      <c r="C24" s="63" t="s">
        <v>228</v>
      </c>
      <c r="D24" s="10"/>
      <c r="E24" s="64">
        <f>0</f>
      </c>
      <c r="F24" s="64">
        <f>E24</f>
      </c>
      <c r="G24" s="64">
        <f>F24</f>
      </c>
      <c r="H24" s="64">
        <f>G24</f>
      </c>
      <c r="I24" s="64">
        <f>H24</f>
      </c>
      <c r="J24" s="64">
        <f>I24</f>
      </c>
      <c r="K24" s="64">
        <f>J24</f>
      </c>
      <c r="L24" s="64">
        <f>K24</f>
      </c>
      <c r="M24" s="64">
        <f>L24</f>
      </c>
      <c r="N24" s="64">
        <f>M24</f>
      </c>
      <c r="O24" s="64">
        <f>N24</f>
      </c>
      <c r="P24" s="64">
        <f>O24</f>
      </c>
      <c r="Q24" s="64">
        <f>P24</f>
      </c>
      <c r="R24" s="64">
        <f>Q24</f>
      </c>
      <c r="S24" s="64">
        <f>R24</f>
      </c>
      <c r="T24" s="64">
        <f>S24</f>
      </c>
      <c r="U24" s="64">
        <f>T24</f>
      </c>
      <c r="V24" s="64">
        <f>U24</f>
      </c>
      <c r="W24" s="64">
        <f>V24</f>
      </c>
      <c r="X24" s="64">
        <f>W24</f>
      </c>
      <c r="Y24" s="64">
        <f>X24</f>
      </c>
      <c r="Z24" s="64">
        <f>Y24</f>
      </c>
      <c r="AA24" s="64">
        <f>Z24</f>
      </c>
      <c r="AB24" s="64">
        <f>AA24</f>
      </c>
      <c r="AC24" s="64">
        <f>AB24</f>
      </c>
      <c r="AD24" s="64">
        <f>AC24</f>
      </c>
      <c r="AE24" s="64">
        <f>AD24</f>
      </c>
      <c r="AF24" s="64">
        <f>AE24</f>
      </c>
      <c r="AG24" s="64">
        <f>AF24</f>
      </c>
      <c r="AH24" s="64">
        <f>AG24</f>
      </c>
      <c r="AI24" s="64">
        <f>AH24</f>
      </c>
      <c r="AJ24" s="64">
        <f>AI24</f>
      </c>
      <c r="AK24" s="64">
        <f>AJ24</f>
      </c>
      <c r="AL24" s="64">
        <f>AK24</f>
      </c>
      <c r="AM24" s="64">
        <f>AL24</f>
      </c>
      <c r="AN24" s="64">
        <f>AM24</f>
      </c>
      <c r="AO24" s="64">
        <f>AN24</f>
      </c>
      <c r="AP24" s="64">
        <f>AO24</f>
      </c>
      <c r="AQ24" s="64">
        <f>AP24</f>
      </c>
      <c r="AR24" s="64">
        <f>AQ24</f>
      </c>
      <c r="AS24" s="64">
        <f>AR24</f>
      </c>
      <c r="AT24" s="64">
        <f>AS24</f>
      </c>
      <c r="AU24" s="64">
        <f>AT24</f>
      </c>
      <c r="AV24" s="64">
        <f>AU24</f>
      </c>
      <c r="AW24" s="64">
        <f>AV24</f>
      </c>
      <c r="AX24" s="64">
        <f>AW24</f>
      </c>
      <c r="AY24" s="64">
        <f>AX24</f>
      </c>
      <c r="AZ24" s="64">
        <f>AY24</f>
      </c>
      <c r="BA24" s="64">
        <f>AZ24</f>
      </c>
      <c r="BB24" s="64">
        <f>BA24</f>
      </c>
      <c r="BC24" s="64">
        <f>BB24</f>
      </c>
      <c r="BD24" s="64">
        <f>BC24</f>
      </c>
      <c r="BE24" s="64">
        <f>BD24</f>
      </c>
      <c r="BF24" s="64">
        <f>BE24</f>
      </c>
      <c r="BG24" s="64">
        <f>BF24</f>
      </c>
      <c r="BH24" s="64">
        <f>BG24</f>
      </c>
      <c r="BI24" s="64">
        <f>BH24</f>
      </c>
      <c r="BJ24" s="64">
        <f>BI24</f>
      </c>
      <c r="BK24" s="64">
        <f>BJ24</f>
      </c>
      <c r="BL24" s="64">
        <f>BK24</f>
      </c>
      <c r="BM24" s="64">
        <f>BL24</f>
      </c>
      <c r="BN24" s="64">
        <f>BM24</f>
      </c>
      <c r="BO24" s="64">
        <f>BN24</f>
      </c>
      <c r="BP24" s="64">
        <f>BO24</f>
      </c>
      <c r="BQ24" s="64">
        <f>BP24</f>
      </c>
      <c r="BR24" s="64">
        <f>BQ24</f>
      </c>
      <c r="BS24" s="64">
        <f>BR24</f>
      </c>
      <c r="BT24" s="64">
        <f>BS24</f>
      </c>
      <c r="BU24" s="64">
        <f>BT24</f>
      </c>
      <c r="BV24" s="64">
        <f>BU24</f>
      </c>
      <c r="BW24" s="64">
        <f>BV24</f>
      </c>
      <c r="BX24" s="64">
        <f>BW24</f>
      </c>
      <c r="BY24" s="64">
        <f>BX24</f>
      </c>
      <c r="BZ24" s="64">
        <f>BY24</f>
      </c>
      <c r="CA24" s="64">
        <f>BZ24</f>
      </c>
      <c r="CB24" s="64">
        <f>CA24</f>
      </c>
      <c r="CC24" s="64">
        <f>CB24</f>
      </c>
      <c r="CD24" s="64">
        <f>CC24</f>
      </c>
      <c r="CE24" s="64">
        <f>CD24</f>
      </c>
      <c r="CF24" s="64">
        <f>CE24</f>
      </c>
      <c r="CG24" s="64">
        <f>CF24</f>
      </c>
      <c r="CH24" s="64">
        <f>CG24</f>
      </c>
      <c r="CI24" s="64">
        <f>CH24</f>
      </c>
      <c r="CJ24" s="64">
        <f>CI24</f>
      </c>
      <c r="CK24" s="64">
        <f>CJ24</f>
      </c>
      <c r="CL24" s="64">
        <f>CK24</f>
      </c>
      <c r="CM24" s="10"/>
    </row>
    <row r="26" spans="2:22" x14ac:dyDescent="0.25">
      <c r="B26" s="33" t="s">
        <v>373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</row>
    <row r="27" spans="2:22" x14ac:dyDescent="0.25">
      <c r="B27" s="33" t="s">
        <v>427</v>
      </c>
      <c r="C27" s="34" t="s">
        <v>228</v>
      </c>
      <c r="E27" s="31">
        <f>K10</f>
      </c>
      <c r="F27" s="31">
        <f>L10+M10+N10+O10</f>
      </c>
      <c r="G27" s="31">
        <f>P10+Q10+R10+S10</f>
      </c>
      <c r="H27" s="31">
        <f>T10+U10+V10+W10</f>
      </c>
      <c r="I27" s="31">
        <f>X10+Y10+Z10+AA10</f>
      </c>
      <c r="J27" s="31">
        <f>AB10+AC10+AD10+AE10</f>
      </c>
      <c r="K27" s="31">
        <f>AF10+AG10+AH10+AI10</f>
      </c>
      <c r="L27" s="31">
        <f>AJ10+AK10+AL10+AM10</f>
      </c>
      <c r="M27" s="31">
        <f>AN10+AO10+AP10+AQ10</f>
      </c>
      <c r="N27" s="31">
        <f>AR10+AS10+AT10+AU10</f>
      </c>
      <c r="O27" s="31">
        <f>AV10+AW10+AX10+AY10</f>
      </c>
      <c r="P27" s="31">
        <f>AZ10+BA10+BB10+BC10</f>
      </c>
      <c r="Q27" s="31">
        <f>BD10+BE10+BF10+BG10</f>
      </c>
      <c r="R27" s="31">
        <f>BH10+BI10+BJ10+BK10</f>
      </c>
      <c r="S27" s="31">
        <f>BL10+BM10+BN10+BO10</f>
      </c>
      <c r="T27" s="31">
        <f>BP10+BQ10+BR10+BS10</f>
      </c>
      <c r="U27" s="31">
        <f>BT10+BU10+BV10+BW10</f>
      </c>
      <c r="V27" s="31">
        <f>BX10+BY10</f>
      </c>
    </row>
    <row r="28" spans="2:22" x14ac:dyDescent="0.25">
      <c r="B28" s="33" t="s">
        <v>428</v>
      </c>
      <c r="C28" s="34" t="s">
        <v>228</v>
      </c>
      <c r="E28" s="31">
        <f>K9</f>
      </c>
      <c r="F28" s="31">
        <f>L9+M9+N9+O9</f>
      </c>
      <c r="G28" s="31">
        <f>P9+Q9+R9+S9</f>
      </c>
      <c r="H28" s="31">
        <f>T9+U9+V9+W9</f>
      </c>
      <c r="I28" s="31">
        <f>X9+Y9+Z9+AA9</f>
      </c>
      <c r="J28" s="31">
        <f>AB9+AC9+AD9+AE9</f>
      </c>
      <c r="K28" s="31">
        <f>AF9+AG9+AH9+AI9</f>
      </c>
      <c r="L28" s="31">
        <f>AJ9+AK9+AL9+AM9</f>
      </c>
      <c r="M28" s="31">
        <f>AN9+AO9+AP9+AQ9</f>
      </c>
      <c r="N28" s="31">
        <f>AR9+AS9+AT9+AU9</f>
      </c>
      <c r="O28" s="31">
        <f>AV9+AW9+AX9+AY9</f>
      </c>
      <c r="P28" s="31">
        <f>AZ9+BA9+BB9+BC9</f>
      </c>
      <c r="Q28" s="31">
        <f>BD9+BE9+BF9+BG9</f>
      </c>
      <c r="R28" s="31">
        <f>BH9+BI9+BJ9+BK9</f>
      </c>
      <c r="S28" s="31">
        <f>BL9+BM9+BN9+BO9</f>
      </c>
      <c r="T28" s="31">
        <f>BP9+BQ9+BR9+BS9</f>
      </c>
      <c r="U28" s="31">
        <f>BT9+BU9+BV9+BW9</f>
      </c>
      <c r="V28" s="31">
        <f>BX9+BY9</f>
      </c>
    </row>
    <row r="29" spans="2:22" x14ac:dyDescent="0.25">
      <c r="B29" s="33" t="s">
        <v>429</v>
      </c>
      <c r="C29" s="34" t="s">
        <v>414</v>
      </c>
      <c r="E29" s="65">
        <f>IF(E27=0,"",E28/E27)</f>
      </c>
      <c r="F29" s="65">
        <f>IF(F27=0,"",F28/F27)</f>
      </c>
      <c r="G29" s="65">
        <f>IF(G27=0,"",G28/G27)</f>
      </c>
      <c r="H29" s="65">
        <f>IF(H27=0,"",H28/H27)</f>
      </c>
      <c r="I29" s="65">
        <f>IF(I27=0,"",I28/I27)</f>
      </c>
      <c r="J29" s="65">
        <f>IF(J27=0,"",J28/J27)</f>
      </c>
      <c r="K29" s="65">
        <f>IF(K27=0,"",K28/K27)</f>
      </c>
      <c r="L29" s="65">
        <f>IF(L27=0,"",L28/L27)</f>
      </c>
      <c r="M29" s="65">
        <f>IF(M27=0,"",M28/M27)</f>
      </c>
      <c r="N29" s="65">
        <f>IF(N27=0,"",N28/N27)</f>
      </c>
      <c r="O29" s="65">
        <f>IF(O27=0,"",O28/O27)</f>
      </c>
      <c r="P29" s="65">
        <f>IF(P27=0,"",P28/P27)</f>
      </c>
      <c r="Q29" s="65">
        <f>IF(Q27=0,"",Q28/Q27)</f>
      </c>
      <c r="R29" s="65">
        <f>IF(R27=0,"",R28/R27)</f>
      </c>
      <c r="S29" s="65">
        <f>IF(S27=0,"",S28/S27)</f>
      </c>
      <c r="T29" s="65">
        <f>IF(T27=0,"",T28/T27)</f>
      </c>
      <c r="U29" s="65">
        <f>IF(U27=0,"",U28/U27)</f>
      </c>
      <c r="V29" s="65">
        <f>IF(V27=0,"",V28/V27)</f>
      </c>
    </row>
    <row r="30" spans="2:22" x14ac:dyDescent="0.25">
      <c r="B30" s="33" t="s">
        <v>430</v>
      </c>
      <c r="C30" s="34" t="s">
        <v>414</v>
      </c>
      <c r="E30" s="65">
        <f>IF(E27=0,"",(H15+H20+E28)/E27)</f>
      </c>
      <c r="F30" s="65">
        <f>IF(F27=0,"",(L15+L20+F28)/F27)</f>
      </c>
      <c r="G30" s="65">
        <f>IF(G27=0,"",(P15+P20+G28)/G27)</f>
      </c>
      <c r="H30" s="65">
        <f>IF(H27=0,"",(T15+T20+H28)/H27)</f>
      </c>
      <c r="I30" s="65">
        <f>IF(I27=0,"",(X15+X20+I28)/I27)</f>
      </c>
      <c r="J30" s="65">
        <f>IF(J27=0,"",(AB15+AB20+J28)/J27)</f>
      </c>
      <c r="K30" s="65">
        <f>IF(K27=0,"",(AF15+AF20+K28)/K27)</f>
      </c>
      <c r="L30" s="65">
        <f>IF(L27=0,"",(AJ15+AJ20+L28)/L27)</f>
      </c>
      <c r="M30" s="65">
        <f>IF(M27=0,"",(AN15+AN20+M28)/M27)</f>
      </c>
      <c r="N30" s="65">
        <f>IF(N27=0,"",(AR15+AR20+N28)/N27)</f>
      </c>
      <c r="O30" s="65">
        <f>IF(O27=0,"",(AV15+AV20+O28)/O27)</f>
      </c>
      <c r="P30" s="65">
        <f>IF(P27=0,"",(AZ15+AZ20+P28)/P27)</f>
      </c>
      <c r="Q30" s="65">
        <f>IF(Q27=0,"",(BD15+BD20+Q28)/Q27)</f>
      </c>
      <c r="R30" s="65">
        <f>IF(R27=0,"",(BH15+BH20+R28)/R27)</f>
      </c>
      <c r="S30" s="65">
        <f>IF(S27=0,"",(BL15+BL20+S28)/S27)</f>
      </c>
      <c r="T30" s="65">
        <f>IF(T27=0,"",(BP15+BP20+T28)/T27)</f>
      </c>
      <c r="U30" s="65">
        <f>IF(U27=0,"",(BT15+BT20+U28)/U27)</f>
      </c>
      <c r="V30" s="65">
        <f>IF(V27=0,"",(BX15+BX20+V28)/V27)</f>
      </c>
    </row>
    <row r="31" spans="2:3" x14ac:dyDescent="0.25">
      <c r="B31" s="33" t="s">
        <v>431</v>
      </c>
      <c r="C31" s="34" t="s">
        <v>228</v>
      </c>
    </row>
    <row r="32" spans="2:3" x14ac:dyDescent="0.25">
      <c r="B32" s="33" t="s">
        <v>432</v>
      </c>
      <c r="C32" s="34" t="s">
        <v>228</v>
      </c>
    </row>
    <row r="33" spans="2:3" x14ac:dyDescent="0.25">
      <c r="B33" s="33" t="s">
        <v>433</v>
      </c>
      <c r="C33" s="34" t="s">
        <v>228</v>
      </c>
    </row>
    <row r="34" spans="2:3" x14ac:dyDescent="0.25">
      <c r="B34" s="33" t="s">
        <v>434</v>
      </c>
      <c r="C34" s="34" t="s">
        <v>228</v>
      </c>
    </row>
    <row r="35" spans="2:3" x14ac:dyDescent="0.25">
      <c r="B35" s="33" t="s">
        <v>435</v>
      </c>
      <c r="C35" s="34" t="s">
        <v>436</v>
      </c>
    </row>
    <row r="36" spans="2:3" x14ac:dyDescent="0.25">
      <c r="B36" s="33" t="s">
        <v>437</v>
      </c>
      <c r="C36" s="34" t="s">
        <v>436</v>
      </c>
    </row>
    <row r="37" spans="2:3" x14ac:dyDescent="0.25">
      <c r="B37" s="33" t="s">
        <v>438</v>
      </c>
      <c r="C37" s="34" t="s">
        <v>436</v>
      </c>
    </row>
    <row r="38" spans="2:3" x14ac:dyDescent="0.25">
      <c r="B38" s="33" t="s">
        <v>439</v>
      </c>
      <c r="C38" s="34" t="s">
        <v>228</v>
      </c>
    </row>
    <row r="39" spans="2:3" x14ac:dyDescent="0.25">
      <c r="B39" s="33" t="s">
        <v>440</v>
      </c>
      <c r="C39" s="34" t="s">
        <v>228</v>
      </c>
    </row>
    <row r="40" spans="2:3" x14ac:dyDescent="0.25">
      <c r="B40" s="33" t="s">
        <v>441</v>
      </c>
      <c r="C40" s="34" t="s">
        <v>228</v>
      </c>
    </row>
    <row r="41" spans="2:3" x14ac:dyDescent="0.25">
      <c r="B41" s="33" t="s">
        <v>442</v>
      </c>
      <c r="C41" s="34" t="s">
        <v>228</v>
      </c>
    </row>
    <row r="42" spans="2:3" x14ac:dyDescent="0.25">
      <c r="B42" s="33" t="s">
        <v>443</v>
      </c>
      <c r="C42" s="34" t="s">
        <v>228</v>
      </c>
    </row>
    <row r="43" spans="2:3" x14ac:dyDescent="0.25">
      <c r="B43" s="33" t="s">
        <v>444</v>
      </c>
      <c r="C43" s="34" t="s">
        <v>228</v>
      </c>
    </row>
    <row r="45" spans="2:91" x14ac:dyDescent="0.25">
      <c r="B45" s="9" t="s">
        <v>445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6" spans="2:90" x14ac:dyDescent="0.25">
      <c r="B46" s="33" t="s">
        <v>446</v>
      </c>
      <c r="C46" s="34" t="s">
        <v>228</v>
      </c>
      <c r="E46" s="31">
        <f>0</f>
      </c>
      <c r="F46" s="31">
        <f>E46</f>
      </c>
      <c r="G46" s="31">
        <f>F46</f>
      </c>
      <c r="H46" s="31">
        <f>G46</f>
      </c>
      <c r="I46" s="31">
        <f>H46</f>
      </c>
      <c r="J46" s="31">
        <f>I46</f>
      </c>
      <c r="K46" s="31">
        <f>J46+K9</f>
      </c>
      <c r="L46" s="31">
        <f>K46+L9</f>
      </c>
      <c r="M46" s="31">
        <f>L46+M9</f>
      </c>
      <c r="N46" s="31">
        <f>M46+N9</f>
      </c>
      <c r="O46" s="31">
        <f>N46+O9</f>
      </c>
      <c r="P46" s="31">
        <f>O46+P9</f>
      </c>
      <c r="Q46" s="31">
        <f>P46+Q9</f>
      </c>
      <c r="R46" s="31">
        <f>Q46+R9</f>
      </c>
      <c r="S46" s="31">
        <f>R46+S9</f>
      </c>
      <c r="T46" s="31">
        <f>S46+T9</f>
      </c>
      <c r="U46" s="31">
        <f>T46+U9</f>
      </c>
      <c r="V46" s="31">
        <f>U46+V9</f>
      </c>
      <c r="W46" s="31">
        <f>V46+W9</f>
      </c>
      <c r="X46" s="31">
        <f>W46+X9</f>
      </c>
      <c r="Y46" s="31">
        <f>X46+Y9</f>
      </c>
      <c r="Z46" s="31">
        <f>Y46+Z9</f>
      </c>
      <c r="AA46" s="31">
        <f>Z46+AA9</f>
      </c>
      <c r="AB46" s="31">
        <f>AA46+AB9</f>
      </c>
      <c r="AC46" s="31">
        <f>AB46+AC9</f>
      </c>
      <c r="AD46" s="31">
        <f>AC46+AD9</f>
      </c>
      <c r="AE46" s="31">
        <f>AD46+AE9</f>
      </c>
      <c r="AF46" s="31">
        <f>AE46+AF9</f>
      </c>
      <c r="AG46" s="31">
        <f>AF46+AG9</f>
      </c>
      <c r="AH46" s="31">
        <f>AG46+AH9</f>
      </c>
      <c r="AI46" s="31">
        <f>AH46+AI9</f>
      </c>
      <c r="AJ46" s="31">
        <f>AI46+AJ9</f>
      </c>
      <c r="AK46" s="31">
        <f>AJ46+AK9</f>
      </c>
      <c r="AL46" s="31">
        <f>AK46+AL9</f>
      </c>
      <c r="AM46" s="31">
        <f>AL46+AM9</f>
      </c>
      <c r="AN46" s="31">
        <f>AM46+AN9</f>
      </c>
      <c r="AO46" s="31">
        <f>AN46+AO9</f>
      </c>
      <c r="AP46" s="31">
        <f>AO46+AP9</f>
      </c>
      <c r="AQ46" s="31">
        <f>AP46+AQ9</f>
      </c>
      <c r="AR46" s="31">
        <f>AQ46+AR9</f>
      </c>
      <c r="AS46" s="31">
        <f>AR46+AS9</f>
      </c>
      <c r="AT46" s="31">
        <f>AS46+AT9</f>
      </c>
      <c r="AU46" s="31">
        <f>AT46+AU9</f>
      </c>
      <c r="AV46" s="31">
        <f>AU46+AV9</f>
      </c>
      <c r="AW46" s="31">
        <f>AV46+AW9</f>
      </c>
      <c r="AX46" s="31">
        <f>AW46+AX9</f>
      </c>
      <c r="AY46" s="31">
        <f>AX46+AY9</f>
      </c>
      <c r="AZ46" s="31">
        <f>AY46+AZ9</f>
      </c>
      <c r="BA46" s="31">
        <f>AZ46+BA9</f>
      </c>
      <c r="BB46" s="31">
        <f>BA46+BB9</f>
      </c>
      <c r="BC46" s="31">
        <f>BB46+BC9</f>
      </c>
      <c r="BD46" s="31">
        <f>BC46+BD9</f>
      </c>
      <c r="BE46" s="31">
        <f>BD46+BE9</f>
      </c>
      <c r="BF46" s="31">
        <f>BE46+BF9</f>
      </c>
      <c r="BG46" s="31">
        <f>BF46+BG9</f>
      </c>
      <c r="BH46" s="31">
        <f>BG46+BH9</f>
      </c>
      <c r="BI46" s="31">
        <f>BH46+BI9</f>
      </c>
      <c r="BJ46" s="31">
        <f>BI46+BJ9</f>
      </c>
      <c r="BK46" s="31">
        <f>BJ46+BK9</f>
      </c>
      <c r="BL46" s="31">
        <f>BK46+BL9</f>
      </c>
      <c r="BM46" s="31">
        <f>BL46+BM9</f>
      </c>
      <c r="BN46" s="31">
        <f>BM46+BN9</f>
      </c>
      <c r="BO46" s="31">
        <f>BN46+BO9</f>
      </c>
      <c r="BP46" s="31">
        <f>BO46+BP9</f>
      </c>
      <c r="BQ46" s="31">
        <f>BP46+BQ9</f>
      </c>
      <c r="BR46" s="31">
        <f>BQ46+BR9</f>
      </c>
      <c r="BS46" s="31">
        <f>BR46+BS9</f>
      </c>
      <c r="BT46" s="31">
        <f>BS46+BT9</f>
      </c>
      <c r="BU46" s="31">
        <f>BT46+BU9</f>
      </c>
      <c r="BV46" s="31">
        <f>BU46+BV9</f>
      </c>
      <c r="BW46" s="31">
        <f>BV46+BW9</f>
      </c>
      <c r="BX46" s="31">
        <f>BW46+BX9</f>
      </c>
      <c r="BY46" s="31">
        <f>BX46+BY9</f>
      </c>
      <c r="BZ46" s="31">
        <f>BY46+BZ9</f>
      </c>
      <c r="CA46" s="31">
        <f>BZ46+CA9</f>
      </c>
      <c r="CB46" s="31">
        <f>CA46+CB9</f>
      </c>
      <c r="CC46" s="31">
        <f>CB46+CC9</f>
      </c>
      <c r="CD46" s="31">
        <f>CC46+CD9</f>
      </c>
      <c r="CE46" s="31">
        <f>CD46+CE9</f>
      </c>
      <c r="CF46" s="31">
        <f>CE46+CF9</f>
      </c>
      <c r="CG46" s="31">
        <f>CF46+CG9</f>
      </c>
      <c r="CH46" s="31">
        <f>CG46+CH9</f>
      </c>
      <c r="CI46" s="31">
        <f>CH46+CI9</f>
      </c>
      <c r="CJ46" s="31">
        <f>CI46+CJ9</f>
      </c>
      <c r="CK46" s="31">
        <f>CJ46+CK9</f>
      </c>
      <c r="CL46" s="31">
        <f>CK46+CL9</f>
      </c>
    </row>
    <row r="47" spans="2:90" x14ac:dyDescent="0.25">
      <c r="B47" s="46" t="s">
        <v>447</v>
      </c>
      <c r="C47" s="34" t="s">
        <v>414</v>
      </c>
      <c r="D47" s="16">
        <f>MIN(E29:V29)</f>
      </c>
      <c r="E47" s="31">
        <f>0</f>
      </c>
      <c r="F47" s="31">
        <f>E47</f>
      </c>
      <c r="G47" s="31">
        <f>F47</f>
      </c>
      <c r="H47" s="31">
        <f>G47</f>
      </c>
      <c r="I47" s="31">
        <f>H47</f>
      </c>
      <c r="J47" s="31">
        <f>I47</f>
      </c>
      <c r="K47" s="31">
        <f>J47+K10</f>
      </c>
      <c r="L47" s="31">
        <f>K47+L10</f>
      </c>
      <c r="M47" s="31">
        <f>L47+M10</f>
      </c>
      <c r="N47" s="31">
        <f>M47+N10</f>
      </c>
      <c r="O47" s="31">
        <f>N47+O10</f>
      </c>
      <c r="P47" s="31">
        <f>O47+P10</f>
      </c>
      <c r="Q47" s="31">
        <f>P47+Q10</f>
      </c>
      <c r="R47" s="31">
        <f>Q47+R10</f>
      </c>
      <c r="S47" s="31">
        <f>R47+S10</f>
      </c>
      <c r="T47" s="31">
        <f>S47+T10</f>
      </c>
      <c r="U47" s="31">
        <f>T47+U10</f>
      </c>
      <c r="V47" s="31">
        <f>U47+V10</f>
      </c>
      <c r="W47" s="31">
        <f>V47+W10</f>
      </c>
      <c r="X47" s="31">
        <f>W47+X10</f>
      </c>
      <c r="Y47" s="31">
        <f>X47+Y10</f>
      </c>
      <c r="Z47" s="31">
        <f>Y47+Z10</f>
      </c>
      <c r="AA47" s="31">
        <f>Z47+AA10</f>
      </c>
      <c r="AB47" s="31">
        <f>AA47+AB10</f>
      </c>
      <c r="AC47" s="31">
        <f>AB47+AC10</f>
      </c>
      <c r="AD47" s="31">
        <f>AC47+AD10</f>
      </c>
      <c r="AE47" s="31">
        <f>AD47+AE10</f>
      </c>
      <c r="AF47" s="31">
        <f>AE47+AF10</f>
      </c>
      <c r="AG47" s="31">
        <f>AF47+AG10</f>
      </c>
      <c r="AH47" s="31">
        <f>AG47+AH10</f>
      </c>
      <c r="AI47" s="31">
        <f>AH47+AI10</f>
      </c>
      <c r="AJ47" s="31">
        <f>AI47+AJ10</f>
      </c>
      <c r="AK47" s="31">
        <f>AJ47+AK10</f>
      </c>
      <c r="AL47" s="31">
        <f>AK47+AL10</f>
      </c>
      <c r="AM47" s="31">
        <f>AL47+AM10</f>
      </c>
      <c r="AN47" s="31">
        <f>AM47+AN10</f>
      </c>
      <c r="AO47" s="31">
        <f>AN47+AO10</f>
      </c>
      <c r="AP47" s="31">
        <f>AO47+AP10</f>
      </c>
      <c r="AQ47" s="31">
        <f>AP47+AQ10</f>
      </c>
      <c r="AR47" s="31">
        <f>AQ47+AR10</f>
      </c>
      <c r="AS47" s="31">
        <f>AR47+AS10</f>
      </c>
      <c r="AT47" s="31">
        <f>AS47+AT10</f>
      </c>
      <c r="AU47" s="31">
        <f>AT47+AU10</f>
      </c>
      <c r="AV47" s="31">
        <f>AU47+AV10</f>
      </c>
      <c r="AW47" s="31">
        <f>AV47+AW10</f>
      </c>
      <c r="AX47" s="31">
        <f>AW47+AX10</f>
      </c>
      <c r="AY47" s="31">
        <f>AX47+AY10</f>
      </c>
      <c r="AZ47" s="31">
        <f>AY47+AZ10</f>
      </c>
      <c r="BA47" s="31">
        <f>AZ47+BA10</f>
      </c>
      <c r="BB47" s="31">
        <f>BA47+BB10</f>
      </c>
      <c r="BC47" s="31">
        <f>BB47+BC10</f>
      </c>
      <c r="BD47" s="31">
        <f>BC47+BD10</f>
      </c>
      <c r="BE47" s="31">
        <f>BD47+BE10</f>
      </c>
      <c r="BF47" s="31">
        <f>BE47+BF10</f>
      </c>
      <c r="BG47" s="31">
        <f>BF47+BG10</f>
      </c>
      <c r="BH47" s="31">
        <f>BG47+BH10</f>
      </c>
      <c r="BI47" s="31">
        <f>BH47+BI10</f>
      </c>
      <c r="BJ47" s="31">
        <f>BI47+BJ10</f>
      </c>
      <c r="BK47" s="31">
        <f>BJ47+BK10</f>
      </c>
      <c r="BL47" s="31">
        <f>BK47+BL10</f>
      </c>
      <c r="BM47" s="31">
        <f>BL47+BM10</f>
      </c>
      <c r="BN47" s="31">
        <f>BM47+BN10</f>
      </c>
      <c r="BO47" s="31">
        <f>BN47+BO10</f>
      </c>
      <c r="BP47" s="31">
        <f>BO47+BP10</f>
      </c>
      <c r="BQ47" s="31">
        <f>BP47+BQ10</f>
      </c>
      <c r="BR47" s="31">
        <f>BQ47+BR10</f>
      </c>
      <c r="BS47" s="31">
        <f>BR47+BS10</f>
      </c>
      <c r="BT47" s="31">
        <f>BS47+BT10</f>
      </c>
      <c r="BU47" s="31">
        <f>BT47+BU10</f>
      </c>
      <c r="BV47" s="31">
        <f>BU47+BV10</f>
      </c>
      <c r="BW47" s="31">
        <f>BV47+BW10</f>
      </c>
      <c r="BX47" s="31">
        <f>BW47+BX10</f>
      </c>
      <c r="BY47" s="31">
        <f>BX47+BY10</f>
      </c>
      <c r="BZ47" s="31">
        <f>BY47+BZ10</f>
      </c>
      <c r="CA47" s="31">
        <f>BZ47+CA10</f>
      </c>
      <c r="CB47" s="31">
        <f>CA47+CB10</f>
      </c>
      <c r="CC47" s="31">
        <f>CB47+CC10</f>
      </c>
      <c r="CD47" s="31">
        <f>CC47+CD10</f>
      </c>
      <c r="CE47" s="31">
        <f>CD47+CE10</f>
      </c>
      <c r="CF47" s="31">
        <f>CE47+CF10</f>
      </c>
      <c r="CG47" s="31">
        <f>CF47+CG10</f>
      </c>
      <c r="CH47" s="31">
        <f>CG47+CH10</f>
      </c>
      <c r="CI47" s="31">
        <f>CH47+CI10</f>
      </c>
      <c r="CJ47" s="31">
        <f>CI47+CJ10</f>
      </c>
      <c r="CK47" s="31">
        <f>CJ47+CK10</f>
      </c>
      <c r="CL47" s="31">
        <f>CK47+CL10</f>
      </c>
    </row>
    <row r="48" spans="2:90" x14ac:dyDescent="0.25">
      <c r="B48" s="46" t="s">
        <v>448</v>
      </c>
      <c r="C48" s="34" t="s">
        <v>414</v>
      </c>
      <c r="D48" s="16">
        <f>MIN(E30:V30)</f>
      </c>
      <c r="E48" s="65"/>
      <c r="F48" s="65"/>
      <c r="G48" s="65"/>
      <c r="H48" s="65"/>
      <c r="I48" s="65"/>
      <c r="J48" s="65"/>
      <c r="K48" s="65">
        <f>IF(K47&gt;0,K46/K47,"")</f>
      </c>
      <c r="L48" s="65">
        <f>IF(L47&gt;0,L46/L47,"")</f>
      </c>
      <c r="M48" s="65">
        <f>IF(M47&gt;0,M46/M47,"")</f>
      </c>
      <c r="N48" s="65">
        <f>IF(N47&gt;0,N46/N47,"")</f>
      </c>
      <c r="O48" s="65">
        <f>IF(O47&gt;0,O46/O47,"")</f>
      </c>
      <c r="P48" s="65">
        <f>IF(P47&gt;0,P46/P47,"")</f>
      </c>
      <c r="Q48" s="65">
        <f>IF(Q47&gt;0,Q46/Q47,"")</f>
      </c>
      <c r="R48" s="65">
        <f>IF(R47&gt;0,R46/R47,"")</f>
      </c>
      <c r="S48" s="65">
        <f>IF(S47&gt;0,S46/S47,"")</f>
      </c>
      <c r="T48" s="65">
        <f>IF(T47&gt;0,T46/T47,"")</f>
      </c>
      <c r="U48" s="65">
        <f>IF(U47&gt;0,U46/U47,"")</f>
      </c>
      <c r="V48" s="65">
        <f>IF(V47&gt;0,V46/V47,"")</f>
      </c>
      <c r="W48" s="65">
        <f>IF(W47&gt;0,W46/W47,"")</f>
      </c>
      <c r="X48" s="65">
        <f>IF(X47&gt;0,X46/X47,"")</f>
      </c>
      <c r="Y48" s="65">
        <f>IF(Y47&gt;0,Y46/Y47,"")</f>
      </c>
      <c r="Z48" s="65">
        <f>IF(Z47&gt;0,Z46/Z47,"")</f>
      </c>
      <c r="AA48" s="65">
        <f>IF(AA47&gt;0,AA46/AA47,"")</f>
      </c>
      <c r="AB48" s="65">
        <f>IF(AB47&gt;0,AB46/AB47,"")</f>
      </c>
      <c r="AC48" s="65">
        <f>IF(AC47&gt;0,AC46/AC47,"")</f>
      </c>
      <c r="AD48" s="65">
        <f>IF(AD47&gt;0,AD46/AD47,"")</f>
      </c>
      <c r="AE48" s="65">
        <f>IF(AE47&gt;0,AE46/AE47,"")</f>
      </c>
      <c r="AF48" s="65">
        <f>IF(AF47&gt;0,AF46/AF47,"")</f>
      </c>
      <c r="AG48" s="65">
        <f>IF(AG47&gt;0,AG46/AG47,"")</f>
      </c>
      <c r="AH48" s="65">
        <f>IF(AH47&gt;0,AH46/AH47,"")</f>
      </c>
      <c r="AI48" s="65">
        <f>IF(AI47&gt;0,AI46/AI47,"")</f>
      </c>
      <c r="AJ48" s="65">
        <f>IF(AJ47&gt;0,AJ46/AJ47,"")</f>
      </c>
      <c r="AK48" s="65">
        <f>IF(AK47&gt;0,AK46/AK47,"")</f>
      </c>
      <c r="AL48" s="65">
        <f>IF(AL47&gt;0,AL46/AL47,"")</f>
      </c>
      <c r="AM48" s="65">
        <f>IF(AM47&gt;0,AM46/AM47,"")</f>
      </c>
      <c r="AN48" s="65">
        <f>IF(AN47&gt;0,AN46/AN47,"")</f>
      </c>
      <c r="AO48" s="65">
        <f>IF(AO47&gt;0,AO46/AO47,"")</f>
      </c>
      <c r="AP48" s="65">
        <f>IF(AP47&gt;0,AP46/AP47,"")</f>
      </c>
      <c r="AQ48" s="65">
        <f>IF(AQ47&gt;0,AQ46/AQ47,"")</f>
      </c>
      <c r="AR48" s="65">
        <f>IF(AR47&gt;0,AR46/AR47,"")</f>
      </c>
      <c r="AS48" s="65">
        <f>IF(AS47&gt;0,AS46/AS47,"")</f>
      </c>
      <c r="AT48" s="65">
        <f>IF(AT47&gt;0,AT46/AT47,"")</f>
      </c>
      <c r="AU48" s="65">
        <f>IF(AU47&gt;0,AU46/AU47,"")</f>
      </c>
      <c r="AV48" s="65">
        <f>IF(AV47&gt;0,AV46/AV47,"")</f>
      </c>
      <c r="AW48" s="65">
        <f>IF(AW47&gt;0,AW46/AW47,"")</f>
      </c>
      <c r="AX48" s="65">
        <f>IF(AX47&gt;0,AX46/AX47,"")</f>
      </c>
      <c r="AY48" s="65">
        <f>IF(AY47&gt;0,AY46/AY47,"")</f>
      </c>
      <c r="AZ48" s="65">
        <f>IF(AZ47&gt;0,AZ46/AZ47,"")</f>
      </c>
      <c r="BA48" s="65">
        <f>IF(BA47&gt;0,BA46/BA47,"")</f>
      </c>
      <c r="BB48" s="65">
        <f>IF(BB47&gt;0,BB46/BB47,"")</f>
      </c>
      <c r="BC48" s="65">
        <f>IF(BC47&gt;0,BC46/BC47,"")</f>
      </c>
      <c r="BD48" s="65">
        <f>IF(BD47&gt;0,BD46/BD47,"")</f>
      </c>
      <c r="BE48" s="65">
        <f>IF(BE47&gt;0,BE46/BE47,"")</f>
      </c>
      <c r="BF48" s="65">
        <f>IF(BF47&gt;0,BF46/BF47,"")</f>
      </c>
      <c r="BG48" s="65">
        <f>IF(BG47&gt;0,BG46/BG47,"")</f>
      </c>
      <c r="BH48" s="65">
        <f>IF(BH47&gt;0,BH46/BH47,"")</f>
      </c>
      <c r="BI48" s="65">
        <f>IF(BI47&gt;0,BI46/BI47,"")</f>
      </c>
      <c r="BJ48" s="65">
        <f>IF(BJ47&gt;0,BJ46/BJ47,"")</f>
      </c>
      <c r="BK48" s="65">
        <f>IF(BK47&gt;0,BK46/BK47,"")</f>
      </c>
      <c r="BL48" s="65">
        <f>IF(BL47&gt;0,BL46/BL47,"")</f>
      </c>
      <c r="BM48" s="65">
        <f>IF(BM47&gt;0,BM46/BM47,"")</f>
      </c>
      <c r="BN48" s="65">
        <f>IF(BN47&gt;0,BN46/BN47,"")</f>
      </c>
      <c r="BO48" s="65">
        <f>IF(BO47&gt;0,BO46/BO47,"")</f>
      </c>
      <c r="BP48" s="65">
        <f>IF(BP47&gt;0,BP46/BP47,"")</f>
      </c>
      <c r="BQ48" s="65">
        <f>IF(BQ47&gt;0,BQ46/BQ47,"")</f>
      </c>
      <c r="BR48" s="65">
        <f>IF(BR47&gt;0,BR46/BR47,"")</f>
      </c>
      <c r="BS48" s="65">
        <f>IF(BS47&gt;0,BS46/BS47,"")</f>
      </c>
      <c r="BT48" s="65">
        <f>IF(BT47&gt;0,BT46/BT47,"")</f>
      </c>
      <c r="BU48" s="65">
        <f>IF(BU47&gt;0,BU46/BU47,"")</f>
      </c>
      <c r="BV48" s="65">
        <f>IF(BV47&gt;0,BV46/BV47,"")</f>
      </c>
      <c r="BW48" s="65">
        <f>IF(BW47&gt;0,BW46/BW47,"")</f>
      </c>
      <c r="BX48" s="65">
        <f>IF(BX47&gt;0,BX46/BX47,"")</f>
      </c>
      <c r="BY48" s="65">
        <f>IF(BY47&gt;0,BY46/BY47,"")</f>
      </c>
      <c r="BZ48" s="65">
        <f>IF(BZ47&gt;0,BZ46/BZ47,"")</f>
      </c>
      <c r="CA48" s="65">
        <f>IF(CA47&gt;0,CA46/CA47,"")</f>
      </c>
      <c r="CB48" s="65">
        <f>IF(CB47&gt;0,CB46/CB47,"")</f>
      </c>
      <c r="CC48" s="65">
        <f>IF(CC47&gt;0,CC46/CC47,"")</f>
      </c>
      <c r="CD48" s="65">
        <f>IF(CD47&gt;0,CD46/CD47,"")</f>
      </c>
      <c r="CE48" s="65">
        <f>IF(CE47&gt;0,CE46/CE47,"")</f>
      </c>
      <c r="CF48" s="65">
        <f>IF(CF47&gt;0,CF46/CF47,"")</f>
      </c>
      <c r="CG48" s="65">
        <f>IF(CG47&gt;0,CG46/CG47,"")</f>
      </c>
      <c r="CH48" s="65">
        <f>IF(CH47&gt;0,CH46/CH47,"")</f>
      </c>
      <c r="CI48" s="65">
        <f>IF(CI47&gt;0,CI46/CI47,"")</f>
      </c>
      <c r="CJ48" s="65">
        <f>IF(CJ47&gt;0,CJ46/CJ47,"")</f>
      </c>
      <c r="CK48" s="65">
        <f>IF(CK47&gt;0,CK46/CK47,"")</f>
      </c>
      <c r="CL48" s="65">
        <f>IF(CL47&gt;0,CL46/CL47,"")</f>
      </c>
    </row>
    <row r="49" spans="2:4" x14ac:dyDescent="0.25">
      <c r="B49" s="46" t="s">
        <v>449</v>
      </c>
      <c r="C49" s="34" t="s">
        <v>228</v>
      </c>
      <c r="D49" s="14">
        <f>CL17</f>
      </c>
    </row>
    <row r="51" spans="2:91" x14ac:dyDescent="0.25">
      <c r="B51" s="9" t="s">
        <v>450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7" t="s">
        <v>99</v>
      </c>
      <c r="C53" s="27" t="s">
        <v>100</v>
      </c>
      <c r="D53" s="27" t="s">
        <v>101</v>
      </c>
      <c r="E53" s="32" t="s">
        <v>102</v>
      </c>
      <c r="F53" s="32" t="s">
        <v>103</v>
      </c>
      <c r="G53" s="32" t="s">
        <v>104</v>
      </c>
      <c r="H53" s="32" t="s">
        <v>105</v>
      </c>
      <c r="I53" s="32" t="s">
        <v>106</v>
      </c>
      <c r="J53" s="32" t="s">
        <v>107</v>
      </c>
      <c r="K53" s="32" t="s">
        <v>108</v>
      </c>
      <c r="L53" s="32" t="s">
        <v>109</v>
      </c>
      <c r="M53" s="32" t="s">
        <v>110</v>
      </c>
      <c r="N53" s="32" t="s">
        <v>111</v>
      </c>
      <c r="O53" s="32" t="s">
        <v>112</v>
      </c>
      <c r="P53" s="32" t="s">
        <v>113</v>
      </c>
      <c r="Q53" s="32" t="s">
        <v>114</v>
      </c>
      <c r="R53" s="32" t="s">
        <v>115</v>
      </c>
      <c r="S53" s="32" t="s">
        <v>116</v>
      </c>
      <c r="T53" s="32" t="s">
        <v>117</v>
      </c>
      <c r="U53" s="32" t="s">
        <v>118</v>
      </c>
      <c r="V53" s="32" t="s">
        <v>119</v>
      </c>
      <c r="W53" s="32" t="s">
        <v>120</v>
      </c>
      <c r="X53" s="32" t="s">
        <v>121</v>
      </c>
      <c r="Y53" s="32" t="s">
        <v>122</v>
      </c>
      <c r="Z53" s="32" t="s">
        <v>123</v>
      </c>
      <c r="AA53" s="32" t="s">
        <v>124</v>
      </c>
      <c r="AB53" s="32" t="s">
        <v>125</v>
      </c>
      <c r="AC53" s="32" t="s">
        <v>126</v>
      </c>
      <c r="AD53" s="32" t="s">
        <v>127</v>
      </c>
      <c r="AE53" s="32" t="s">
        <v>128</v>
      </c>
      <c r="AF53" s="32" t="s">
        <v>129</v>
      </c>
      <c r="AG53" s="32" t="s">
        <v>130</v>
      </c>
      <c r="AH53" s="32" t="s">
        <v>131</v>
      </c>
      <c r="AI53" s="32" t="s">
        <v>132</v>
      </c>
      <c r="AJ53" s="32" t="s">
        <v>133</v>
      </c>
      <c r="AK53" s="32" t="s">
        <v>134</v>
      </c>
      <c r="AL53" s="32" t="s">
        <v>135</v>
      </c>
      <c r="AM53" s="32" t="s">
        <v>136</v>
      </c>
      <c r="AN53" s="32" t="s">
        <v>137</v>
      </c>
      <c r="AO53" s="32" t="s">
        <v>138</v>
      </c>
      <c r="AP53" s="32" t="s">
        <v>139</v>
      </c>
      <c r="AQ53" s="32" t="s">
        <v>140</v>
      </c>
      <c r="AR53" s="32" t="s">
        <v>141</v>
      </c>
      <c r="AS53" s="32" t="s">
        <v>142</v>
      </c>
      <c r="AT53" s="32" t="s">
        <v>143</v>
      </c>
      <c r="AU53" s="32" t="s">
        <v>144</v>
      </c>
      <c r="AV53" s="32" t="s">
        <v>145</v>
      </c>
      <c r="AW53" s="32" t="s">
        <v>146</v>
      </c>
      <c r="AX53" s="32" t="s">
        <v>147</v>
      </c>
      <c r="AY53" s="32" t="s">
        <v>148</v>
      </c>
      <c r="AZ53" s="32" t="s">
        <v>149</v>
      </c>
      <c r="BA53" s="32" t="s">
        <v>150</v>
      </c>
      <c r="BB53" s="32" t="s">
        <v>151</v>
      </c>
      <c r="BC53" s="32" t="s">
        <v>152</v>
      </c>
      <c r="BD53" s="32" t="s">
        <v>153</v>
      </c>
      <c r="BE53" s="32" t="s">
        <v>154</v>
      </c>
      <c r="BF53" s="32" t="s">
        <v>155</v>
      </c>
      <c r="BG53" s="32" t="s">
        <v>156</v>
      </c>
      <c r="BH53" s="32" t="s">
        <v>157</v>
      </c>
      <c r="BI53" s="32" t="s">
        <v>158</v>
      </c>
      <c r="BJ53" s="32" t="s">
        <v>159</v>
      </c>
      <c r="BK53" s="32" t="s">
        <v>160</v>
      </c>
      <c r="BL53" s="32" t="s">
        <v>161</v>
      </c>
      <c r="BM53" s="32" t="s">
        <v>162</v>
      </c>
      <c r="BN53" s="32" t="s">
        <v>163</v>
      </c>
      <c r="BO53" s="32" t="s">
        <v>164</v>
      </c>
      <c r="BP53" s="32" t="s">
        <v>165</v>
      </c>
      <c r="BQ53" s="32" t="s">
        <v>166</v>
      </c>
      <c r="BR53" s="32" t="s">
        <v>167</v>
      </c>
      <c r="BS53" s="32" t="s">
        <v>168</v>
      </c>
      <c r="BT53" s="32" t="s">
        <v>169</v>
      </c>
      <c r="BU53" s="32" t="s">
        <v>170</v>
      </c>
      <c r="BV53" s="32" t="s">
        <v>171</v>
      </c>
      <c r="BW53" s="32" t="s">
        <v>172</v>
      </c>
      <c r="BX53" s="32" t="s">
        <v>173</v>
      </c>
      <c r="BY53" s="32" t="s">
        <v>174</v>
      </c>
      <c r="BZ53" s="32" t="s">
        <v>175</v>
      </c>
      <c r="CA53" s="32" t="s">
        <v>176</v>
      </c>
      <c r="CB53" s="32" t="s">
        <v>177</v>
      </c>
      <c r="CC53" s="32" t="s">
        <v>178</v>
      </c>
      <c r="CD53" s="32" t="s">
        <v>179</v>
      </c>
      <c r="CE53" s="32" t="s">
        <v>180</v>
      </c>
      <c r="CF53" s="32" t="s">
        <v>181</v>
      </c>
      <c r="CG53" s="32" t="s">
        <v>182</v>
      </c>
      <c r="CH53" s="32" t="s">
        <v>183</v>
      </c>
      <c r="CI53" s="32" t="s">
        <v>184</v>
      </c>
      <c r="CJ53" s="32" t="s">
        <v>185</v>
      </c>
      <c r="CK53" s="32" t="s">
        <v>186</v>
      </c>
      <c r="CL53" s="32" t="s">
        <v>187</v>
      </c>
    </row>
    <row r="55" spans="2:90" x14ac:dyDescent="0.25">
      <c r="B55" s="33" t="s">
        <v>451</v>
      </c>
      <c r="C55" s="34" t="s">
        <v>228</v>
      </c>
      <c r="D55" s="31">
        <f>SUM(E55:CL55)</f>
      </c>
      <c r="E55" s="31">
        <f>'Debt'!E17</f>
      </c>
      <c r="F55" s="31">
        <f>'Debt'!F17-'Debt'!E17</f>
      </c>
      <c r="G55" s="31">
        <f>'Debt'!G17-'Debt'!F17</f>
      </c>
      <c r="H55" s="31">
        <f>'Debt'!H17-'Debt'!G17</f>
      </c>
      <c r="I55" s="31">
        <f>'Debt'!I17-'Debt'!H17</f>
      </c>
      <c r="J55" s="31">
        <f>'Debt'!J17-'Debt'!I17</f>
      </c>
      <c r="K55" s="31">
        <f>'Debt'!K17-'Debt'!J17</f>
      </c>
      <c r="L55" s="31">
        <f>'Debt'!L17-'Debt'!K17</f>
      </c>
      <c r="M55" s="31">
        <f>'Debt'!M17-'Debt'!L17</f>
      </c>
      <c r="N55" s="31">
        <f>'Debt'!N17-'Debt'!M17</f>
      </c>
      <c r="O55" s="31">
        <f>'Debt'!O17-'Debt'!N17</f>
      </c>
      <c r="P55" s="31">
        <f>'Debt'!P17-'Debt'!O17</f>
      </c>
      <c r="Q55" s="31">
        <f>'Debt'!Q17-'Debt'!P17</f>
      </c>
      <c r="R55" s="31">
        <f>'Debt'!R17-'Debt'!Q17</f>
      </c>
      <c r="S55" s="31">
        <f>'Debt'!S17-'Debt'!R17</f>
      </c>
      <c r="T55" s="31">
        <f>'Debt'!T17-'Debt'!S17</f>
      </c>
      <c r="U55" s="31">
        <f>'Debt'!U17-'Debt'!T17</f>
      </c>
      <c r="V55" s="31">
        <f>'Debt'!V17-'Debt'!U17</f>
      </c>
      <c r="W55" s="31">
        <f>'Debt'!W17-'Debt'!V17</f>
      </c>
      <c r="X55" s="31">
        <f>'Debt'!X17-'Debt'!W17</f>
      </c>
      <c r="Y55" s="31">
        <f>'Debt'!Y17-'Debt'!X17</f>
      </c>
      <c r="Z55" s="31">
        <f>'Debt'!Z17-'Debt'!Y17</f>
      </c>
      <c r="AA55" s="31">
        <f>'Debt'!AA17-'Debt'!Z17</f>
      </c>
      <c r="AB55" s="31">
        <f>'Debt'!AB17-'Debt'!AA17</f>
      </c>
      <c r="AC55" s="31">
        <f>'Debt'!AC17-'Debt'!AB17</f>
      </c>
      <c r="AD55" s="31">
        <f>'Debt'!AD17-'Debt'!AC17</f>
      </c>
      <c r="AE55" s="31">
        <f>'Debt'!AE17-'Debt'!AD17</f>
      </c>
      <c r="AF55" s="31">
        <f>'Debt'!AF17-'Debt'!AE17</f>
      </c>
      <c r="AG55" s="31">
        <f>'Debt'!AG17-'Debt'!AF17</f>
      </c>
      <c r="AH55" s="31">
        <f>'Debt'!AH17-'Debt'!AG17</f>
      </c>
      <c r="AI55" s="31">
        <f>'Debt'!AI17-'Debt'!AH17</f>
      </c>
      <c r="AJ55" s="31">
        <f>'Debt'!AJ17-'Debt'!AI17</f>
      </c>
      <c r="AK55" s="31">
        <f>'Debt'!AK17-'Debt'!AJ17</f>
      </c>
      <c r="AL55" s="31">
        <f>'Debt'!AL17-'Debt'!AK17</f>
      </c>
      <c r="AM55" s="31">
        <f>'Debt'!AM17-'Debt'!AL17</f>
      </c>
      <c r="AN55" s="31">
        <f>'Debt'!AN17-'Debt'!AM17</f>
      </c>
      <c r="AO55" s="31">
        <f>'Debt'!AO17-'Debt'!AN17</f>
      </c>
      <c r="AP55" s="31">
        <f>'Debt'!AP17-'Debt'!AO17</f>
      </c>
      <c r="AQ55" s="31">
        <f>'Debt'!AQ17-'Debt'!AP17</f>
      </c>
      <c r="AR55" s="31">
        <f>'Debt'!AR17-'Debt'!AQ17</f>
      </c>
      <c r="AS55" s="31">
        <f>'Debt'!AS17-'Debt'!AR17</f>
      </c>
      <c r="AT55" s="31">
        <f>'Debt'!AT17-'Debt'!AS17</f>
      </c>
      <c r="AU55" s="31">
        <f>'Debt'!AU17-'Debt'!AT17</f>
      </c>
      <c r="AV55" s="31">
        <f>'Debt'!AV17-'Debt'!AU17</f>
      </c>
      <c r="AW55" s="31">
        <f>'Debt'!AW17-'Debt'!AV17</f>
      </c>
      <c r="AX55" s="31">
        <f>'Debt'!AX17-'Debt'!AW17</f>
      </c>
      <c r="AY55" s="31">
        <f>'Debt'!AY17-'Debt'!AX17</f>
      </c>
      <c r="AZ55" s="31">
        <f>'Debt'!AZ17-'Debt'!AY17</f>
      </c>
      <c r="BA55" s="31">
        <f>'Debt'!BA17-'Debt'!AZ17</f>
      </c>
      <c r="BB55" s="31">
        <f>'Debt'!BB17-'Debt'!BA17</f>
      </c>
      <c r="BC55" s="31">
        <f>'Debt'!BC17-'Debt'!BB17</f>
      </c>
      <c r="BD55" s="31">
        <f>'Debt'!BD17-'Debt'!BC17</f>
      </c>
      <c r="BE55" s="31">
        <f>'Debt'!BE17-'Debt'!BD17</f>
      </c>
      <c r="BF55" s="31">
        <f>'Debt'!BF17-'Debt'!BE17</f>
      </c>
      <c r="BG55" s="31">
        <f>'Debt'!BG17-'Debt'!BF17</f>
      </c>
      <c r="BH55" s="31">
        <f>'Debt'!BH17-'Debt'!BG17</f>
      </c>
      <c r="BI55" s="31">
        <f>'Debt'!BI17-'Debt'!BH17</f>
      </c>
      <c r="BJ55" s="31">
        <f>'Debt'!BJ17-'Debt'!BI17</f>
      </c>
      <c r="BK55" s="31">
        <f>'Debt'!BK17-'Debt'!BJ17</f>
      </c>
      <c r="BL55" s="31">
        <f>'Debt'!BL17-'Debt'!BK17</f>
      </c>
      <c r="BM55" s="31">
        <f>'Debt'!BM17-'Debt'!BL17</f>
      </c>
      <c r="BN55" s="31">
        <f>'Debt'!BN17-'Debt'!BM17</f>
      </c>
      <c r="BO55" s="31">
        <f>'Debt'!BO17-'Debt'!BN17</f>
      </c>
      <c r="BP55" s="31">
        <f>'Debt'!BP17-'Debt'!BO17</f>
      </c>
      <c r="BQ55" s="31">
        <f>'Debt'!BQ17-'Debt'!BP17</f>
      </c>
      <c r="BR55" s="31">
        <f>'Debt'!BR17-'Debt'!BQ17</f>
      </c>
      <c r="BS55" s="31">
        <f>'Debt'!BS17-'Debt'!BR17</f>
      </c>
      <c r="BT55" s="31">
        <f>'Debt'!BT17-'Debt'!BS17</f>
      </c>
      <c r="BU55" s="31">
        <f>'Debt'!BU17-'Debt'!BT17</f>
      </c>
      <c r="BV55" s="31">
        <f>'Debt'!BV17-'Debt'!BU17</f>
      </c>
      <c r="BW55" s="31">
        <f>'Debt'!BW17-'Debt'!BV17</f>
      </c>
      <c r="BX55" s="31">
        <f>'Debt'!BX17-'Debt'!BW17</f>
      </c>
      <c r="BY55" s="31">
        <f>'Debt'!BY17-'Debt'!BX17</f>
      </c>
      <c r="BZ55" s="31">
        <f>'Debt'!BZ17-'Debt'!BY17</f>
      </c>
      <c r="CA55" s="31">
        <f>'Debt'!CA17-'Debt'!BZ17</f>
      </c>
      <c r="CB55" s="31">
        <f>'Debt'!CB17-'Debt'!CA17</f>
      </c>
      <c r="CC55" s="31">
        <f>'Debt'!CC17-'Debt'!CB17</f>
      </c>
      <c r="CD55" s="31">
        <f>'Debt'!CD17-'Debt'!CC17</f>
      </c>
      <c r="CE55" s="31">
        <f>'Debt'!CE17-'Debt'!CD17</f>
      </c>
      <c r="CF55" s="31">
        <f>'Debt'!CF17-'Debt'!CE17</f>
      </c>
      <c r="CG55" s="31">
        <f>'Debt'!CG17-'Debt'!CF17</f>
      </c>
      <c r="CH55" s="31">
        <f>'Debt'!CH17-'Debt'!CG17</f>
      </c>
      <c r="CI55" s="31">
        <f>'Debt'!CI17-'Debt'!CH17</f>
      </c>
      <c r="CJ55" s="31">
        <f>'Debt'!CJ17-'Debt'!CI17</f>
      </c>
      <c r="CK55" s="31">
        <f>'Debt'!CK17-'Debt'!CJ17</f>
      </c>
      <c r="CL55" s="31">
        <f>'Debt'!CL17-'Debt'!CK17</f>
      </c>
    </row>
    <row r="56" spans="2:90" x14ac:dyDescent="0.25">
      <c r="B56" s="33" t="s">
        <v>452</v>
      </c>
      <c r="C56" s="34" t="s">
        <v>228</v>
      </c>
      <c r="E56" s="31">
        <f>'Revenue'!E17-'Opex'!E24+'IS(Q)'!E44+'IS(Q)'!E31+'Revenue'!E22-('Debt'!E8)</f>
      </c>
      <c r="F56" s="31">
        <f>'Revenue'!F17-'Opex'!F24+'IS(Q)'!F44+'IS(Q)'!F31+'Revenue'!F22-('Debt'!F8)</f>
      </c>
      <c r="G56" s="31">
        <f>'Revenue'!G17-'Opex'!G24+'IS(Q)'!G44+'IS(Q)'!G31+'Revenue'!G22-('Debt'!G8)</f>
      </c>
      <c r="H56" s="31">
        <f>'Revenue'!H17-'Opex'!H24+'IS(Q)'!H44+'IS(Q)'!H31+'Revenue'!H22-('Debt'!H8)</f>
      </c>
      <c r="I56" s="31">
        <f>'Revenue'!I17-'Opex'!I24+'IS(Q)'!I44+'IS(Q)'!I31+'Revenue'!I22-('Debt'!I8)</f>
      </c>
      <c r="J56" s="31">
        <f>'Revenue'!J17-'Opex'!J24+'IS(Q)'!J44+'IS(Q)'!J31+'Revenue'!J22-('Debt'!J8)</f>
      </c>
      <c r="K56" s="31">
        <f>'Revenue'!K17-'Opex'!K24+'IS(Q)'!K44+'IS(Q)'!K31+'Revenue'!K22-('Debt'!K8)</f>
      </c>
      <c r="L56" s="31">
        <f>'Revenue'!L17-'Opex'!L24+'IS(Q)'!L44+'IS(Q)'!L31+'Revenue'!L22-('Debt'!L8)</f>
      </c>
      <c r="M56" s="31">
        <f>'Revenue'!M17-'Opex'!M24+'IS(Q)'!M44+'IS(Q)'!M31+'Revenue'!M22-('Debt'!M8)</f>
      </c>
      <c r="N56" s="31">
        <f>'Revenue'!N17-'Opex'!N24+'IS(Q)'!N44+'IS(Q)'!N31+'Revenue'!N22-('Debt'!N8)</f>
      </c>
      <c r="O56" s="31">
        <f>'Revenue'!O17-'Opex'!O24+'IS(Q)'!O44+'IS(Q)'!O31+'Revenue'!O22-('Debt'!O8)</f>
      </c>
      <c r="P56" s="31">
        <f>'Revenue'!P17-'Opex'!P24+'IS(Q)'!P44+'IS(Q)'!P31+'Revenue'!P22-('Debt'!P8)</f>
      </c>
      <c r="Q56" s="31">
        <f>'Revenue'!Q17-'Opex'!Q24+'IS(Q)'!Q44+'IS(Q)'!Q31+'Revenue'!Q22-('Debt'!Q8)</f>
      </c>
      <c r="R56" s="31">
        <f>'Revenue'!R17-'Opex'!R24+'IS(Q)'!R44+'IS(Q)'!R31+'Revenue'!R22-('Debt'!R8)</f>
      </c>
      <c r="S56" s="31">
        <f>'Revenue'!S17-'Opex'!S24+'IS(Q)'!S44+'IS(Q)'!S31+'Revenue'!S22-('Debt'!S8)</f>
      </c>
      <c r="T56" s="31">
        <f>'Revenue'!T17-'Opex'!T24+'IS(Q)'!T44+'IS(Q)'!T31+'Revenue'!T22-('Debt'!T8)</f>
      </c>
      <c r="U56" s="31">
        <f>'Revenue'!U17-'Opex'!U24+'IS(Q)'!U44+'IS(Q)'!U31+'Revenue'!U22-('Debt'!U8)</f>
      </c>
      <c r="V56" s="31">
        <f>'Revenue'!V17-'Opex'!V24+'IS(Q)'!V44+'IS(Q)'!V31+'Revenue'!V22-('Debt'!V8)</f>
      </c>
      <c r="W56" s="31">
        <f>'Revenue'!W17-'Opex'!W24+'IS(Q)'!W44+'IS(Q)'!W31+'Revenue'!W22-('Debt'!W8)</f>
      </c>
      <c r="X56" s="31">
        <f>'Revenue'!X17-'Opex'!X24+'IS(Q)'!X44+'IS(Q)'!X31+'Revenue'!X22-('Debt'!X8)</f>
      </c>
      <c r="Y56" s="31">
        <f>'Revenue'!Y17-'Opex'!Y24+'IS(Q)'!Y44+'IS(Q)'!Y31+'Revenue'!Y22-('Debt'!Y8)</f>
      </c>
      <c r="Z56" s="31">
        <f>'Revenue'!Z17-'Opex'!Z24+'IS(Q)'!Z44+'IS(Q)'!Z31+'Revenue'!Z22-('Debt'!Z8)</f>
      </c>
      <c r="AA56" s="31">
        <f>'Revenue'!AA17-'Opex'!AA24+'IS(Q)'!AA44+'IS(Q)'!AA31+'Revenue'!AA22-('Debt'!AA8)</f>
      </c>
      <c r="AB56" s="31">
        <f>'Revenue'!AB17-'Opex'!AB24+'IS(Q)'!AB44+'IS(Q)'!AB31+'Revenue'!AB22-('Debt'!AB8)</f>
      </c>
      <c r="AC56" s="31">
        <f>'Revenue'!AC17-'Opex'!AC24+'IS(Q)'!AC44+'IS(Q)'!AC31+'Revenue'!AC22-('Debt'!AC8)</f>
      </c>
      <c r="AD56" s="31">
        <f>'Revenue'!AD17-'Opex'!AD24+'IS(Q)'!AD44+'IS(Q)'!AD31+'Revenue'!AD22-('Debt'!AD8)</f>
      </c>
      <c r="AE56" s="31">
        <f>'Revenue'!AE17-'Opex'!AE24+'IS(Q)'!AE44+'IS(Q)'!AE31+'Revenue'!AE22-('Debt'!AE8)</f>
      </c>
      <c r="AF56" s="31">
        <f>'Revenue'!AF17-'Opex'!AF24+'IS(Q)'!AF44+'IS(Q)'!AF31+'Revenue'!AF22-('Debt'!AF8)</f>
      </c>
      <c r="AG56" s="31">
        <f>'Revenue'!AG17-'Opex'!AG24+'IS(Q)'!AG44+'IS(Q)'!AG31+'Revenue'!AG22-('Debt'!AG8)</f>
      </c>
      <c r="AH56" s="31">
        <f>'Revenue'!AH17-'Opex'!AH24+'IS(Q)'!AH44+'IS(Q)'!AH31+'Revenue'!AH22-('Debt'!AH8)</f>
      </c>
      <c r="AI56" s="31">
        <f>'Revenue'!AI17-'Opex'!AI24+'IS(Q)'!AI44+'IS(Q)'!AI31+'Revenue'!AI22-('Debt'!AI8)</f>
      </c>
      <c r="AJ56" s="31">
        <f>'Revenue'!AJ17-'Opex'!AJ24+'IS(Q)'!AJ44+'IS(Q)'!AJ31+'Revenue'!AJ22-('Debt'!AJ8)</f>
      </c>
      <c r="AK56" s="31">
        <f>'Revenue'!AK17-'Opex'!AK24+'IS(Q)'!AK44+'IS(Q)'!AK31+'Revenue'!AK22-('Debt'!AK8)</f>
      </c>
      <c r="AL56" s="31">
        <f>'Revenue'!AL17-'Opex'!AL24+'IS(Q)'!AL44+'IS(Q)'!AL31+'Revenue'!AL22-('Debt'!AL8)</f>
      </c>
      <c r="AM56" s="31">
        <f>'Revenue'!AM17-'Opex'!AM24+'IS(Q)'!AM44+'IS(Q)'!AM31+'Revenue'!AM22-('Debt'!AM8)</f>
      </c>
      <c r="AN56" s="31">
        <f>'Revenue'!AN17-'Opex'!AN24+'IS(Q)'!AN44+'IS(Q)'!AN31+'Revenue'!AN22-('Debt'!AN8)</f>
      </c>
      <c r="AO56" s="31">
        <f>'Revenue'!AO17-'Opex'!AO24+'IS(Q)'!AO44+'IS(Q)'!AO31+'Revenue'!AO22-('Debt'!AO8)</f>
      </c>
      <c r="AP56" s="31">
        <f>'Revenue'!AP17-'Opex'!AP24+'IS(Q)'!AP44+'IS(Q)'!AP31+'Revenue'!AP22-('Debt'!AP8)</f>
      </c>
      <c r="AQ56" s="31">
        <f>'Revenue'!AQ17-'Opex'!AQ24+'IS(Q)'!AQ44+'IS(Q)'!AQ31+'Revenue'!AQ22-('Debt'!AQ8)</f>
      </c>
      <c r="AR56" s="31">
        <f>'Revenue'!AR17-'Opex'!AR24+'IS(Q)'!AR44+'IS(Q)'!AR31+'Revenue'!AR22-('Debt'!AR8)</f>
      </c>
      <c r="AS56" s="31">
        <f>'Revenue'!AS17-'Opex'!AS24+'IS(Q)'!AS44+'IS(Q)'!AS31+'Revenue'!AS22-('Debt'!AS8)</f>
      </c>
      <c r="AT56" s="31">
        <f>'Revenue'!AT17-'Opex'!AT24+'IS(Q)'!AT44+'IS(Q)'!AT31+'Revenue'!AT22-('Debt'!AT8)</f>
      </c>
      <c r="AU56" s="31">
        <f>'Revenue'!AU17-'Opex'!AU24+'IS(Q)'!AU44+'IS(Q)'!AU31+'Revenue'!AU22-('Debt'!AU8)</f>
      </c>
      <c r="AV56" s="31">
        <f>'Revenue'!AV17-'Opex'!AV24+'IS(Q)'!AV44+'IS(Q)'!AV31+'Revenue'!AV22-('Debt'!AV8)</f>
      </c>
      <c r="AW56" s="31">
        <f>'Revenue'!AW17-'Opex'!AW24+'IS(Q)'!AW44+'IS(Q)'!AW31+'Revenue'!AW22-('Debt'!AW8)</f>
      </c>
      <c r="AX56" s="31">
        <f>'Revenue'!AX17-'Opex'!AX24+'IS(Q)'!AX44+'IS(Q)'!AX31+'Revenue'!AX22-('Debt'!AX8)</f>
      </c>
      <c r="AY56" s="31">
        <f>'Revenue'!AY17-'Opex'!AY24+'IS(Q)'!AY44+'IS(Q)'!AY31+'Revenue'!AY22-('Debt'!AY8)</f>
      </c>
      <c r="AZ56" s="31">
        <f>'Revenue'!AZ17-'Opex'!AZ24+'IS(Q)'!AZ44+'IS(Q)'!AZ31+'Revenue'!AZ22-('Debt'!AZ8)</f>
      </c>
      <c r="BA56" s="31">
        <f>'Revenue'!BA17-'Opex'!BA24+'IS(Q)'!BA44+'IS(Q)'!BA31+'Revenue'!BA22-('Debt'!BA8)</f>
      </c>
      <c r="BB56" s="31">
        <f>'Revenue'!BB17-'Opex'!BB24+'IS(Q)'!BB44+'IS(Q)'!BB31+'Revenue'!BB22-('Debt'!BB8)</f>
      </c>
      <c r="BC56" s="31">
        <f>'Revenue'!BC17-'Opex'!BC24+'IS(Q)'!BC44+'IS(Q)'!BC31+'Revenue'!BC22-('Debt'!BC8)</f>
      </c>
      <c r="BD56" s="31">
        <f>'Revenue'!BD17-'Opex'!BD24+'IS(Q)'!BD44+'IS(Q)'!BD31+'Revenue'!BD22-('Debt'!BD8)</f>
      </c>
      <c r="BE56" s="31">
        <f>'Revenue'!BE17-'Opex'!BE24+'IS(Q)'!BE44+'IS(Q)'!BE31+'Revenue'!BE22-('Debt'!BE8)</f>
      </c>
      <c r="BF56" s="31">
        <f>'Revenue'!BF17-'Opex'!BF24+'IS(Q)'!BF44+'IS(Q)'!BF31+'Revenue'!BF22-('Debt'!BF8)</f>
      </c>
      <c r="BG56" s="31">
        <f>'Revenue'!BG17-'Opex'!BG24+'IS(Q)'!BG44+'IS(Q)'!BG31+'Revenue'!BG22-('Debt'!BG8)</f>
      </c>
      <c r="BH56" s="31">
        <f>'Revenue'!BH17-'Opex'!BH24+'IS(Q)'!BH44+'IS(Q)'!BH31+'Revenue'!BH22-('Debt'!BH8)</f>
      </c>
      <c r="BI56" s="31">
        <f>'Revenue'!BI17-'Opex'!BI24+'IS(Q)'!BI44+'IS(Q)'!BI31+'Revenue'!BI22-('Debt'!BI8)</f>
      </c>
      <c r="BJ56" s="31">
        <f>'Revenue'!BJ17-'Opex'!BJ24+'IS(Q)'!BJ44+'IS(Q)'!BJ31+'Revenue'!BJ22-('Debt'!BJ8)</f>
      </c>
      <c r="BK56" s="31">
        <f>'Revenue'!BK17-'Opex'!BK24+'IS(Q)'!BK44+'IS(Q)'!BK31+'Revenue'!BK22-('Debt'!BK8)</f>
      </c>
      <c r="BL56" s="31">
        <f>'Revenue'!BL17-'Opex'!BL24+'IS(Q)'!BL44+'IS(Q)'!BL31+'Revenue'!BL22-('Debt'!BL8)</f>
      </c>
      <c r="BM56" s="31">
        <f>'Revenue'!BM17-'Opex'!BM24+'IS(Q)'!BM44+'IS(Q)'!BM31+'Revenue'!BM22-('Debt'!BM8)</f>
      </c>
      <c r="BN56" s="31">
        <f>'Revenue'!BN17-'Opex'!BN24+'IS(Q)'!BN44+'IS(Q)'!BN31+'Revenue'!BN22-('Debt'!BN8)</f>
      </c>
      <c r="BO56" s="31">
        <f>'Revenue'!BO17-'Opex'!BO24+'IS(Q)'!BO44+'IS(Q)'!BO31+'Revenue'!BO22-('Debt'!BO8)</f>
      </c>
      <c r="BP56" s="31">
        <f>'Revenue'!BP17-'Opex'!BP24+'IS(Q)'!BP44+'IS(Q)'!BP31+'Revenue'!BP22-('Debt'!BP8)</f>
      </c>
      <c r="BQ56" s="31">
        <f>'Revenue'!BQ17-'Opex'!BQ24+'IS(Q)'!BQ44+'IS(Q)'!BQ31+'Revenue'!BQ22-('Debt'!BQ8)</f>
      </c>
      <c r="BR56" s="31">
        <f>'Revenue'!BR17-'Opex'!BR24+'IS(Q)'!BR44+'IS(Q)'!BR31+'Revenue'!BR22-('Debt'!BR8)</f>
      </c>
      <c r="BS56" s="31">
        <f>'Revenue'!BS17-'Opex'!BS24+'IS(Q)'!BS44+'IS(Q)'!BS31+'Revenue'!BS22-('Debt'!BS8)</f>
      </c>
      <c r="BT56" s="31">
        <f>'Revenue'!BT17-'Opex'!BT24+'IS(Q)'!BT44+'IS(Q)'!BT31+'Revenue'!BT22-('Debt'!BT8)</f>
      </c>
      <c r="BU56" s="31">
        <f>'Revenue'!BU17-'Opex'!BU24+'IS(Q)'!BU44+'IS(Q)'!BU31+'Revenue'!BU22-('Debt'!BU8)</f>
      </c>
      <c r="BV56" s="31">
        <f>'Revenue'!BV17-'Opex'!BV24+'IS(Q)'!BV44+'IS(Q)'!BV31+'Revenue'!BV22-('Debt'!BV8)</f>
      </c>
      <c r="BW56" s="31">
        <f>'Revenue'!BW17-'Opex'!BW24+'IS(Q)'!BW44+'IS(Q)'!BW31+'Revenue'!BW22-('Debt'!BW8)</f>
      </c>
      <c r="BX56" s="31">
        <f>'Revenue'!BX17-'Opex'!BX24+'IS(Q)'!BX44+'IS(Q)'!BX31+'Revenue'!BX22-('Debt'!BX8)</f>
      </c>
      <c r="BY56" s="31">
        <f>'Revenue'!BY17-'Opex'!BY24+'IS(Q)'!BY44+'IS(Q)'!BY31+'Revenue'!BY22-('Debt'!BY8)</f>
      </c>
      <c r="BZ56" s="31">
        <f>'Revenue'!BZ17-'Opex'!BZ24+'IS(Q)'!BZ44+'IS(Q)'!BZ31+'Revenue'!BZ22-('Debt'!BZ8)</f>
      </c>
      <c r="CA56" s="31">
        <f>'Revenue'!CA17-'Opex'!CA24+'IS(Q)'!CA44+'IS(Q)'!CA31+'Revenue'!CA22-('Debt'!CA8)</f>
      </c>
      <c r="CB56" s="31">
        <f>'Revenue'!CB17-'Opex'!CB24+'IS(Q)'!CB44+'IS(Q)'!CB31+'Revenue'!CB22-('Debt'!CB8)</f>
      </c>
      <c r="CC56" s="31">
        <f>'Revenue'!CC17-'Opex'!CC24+'IS(Q)'!CC44+'IS(Q)'!CC31+'Revenue'!CC22-('Debt'!CC8)</f>
      </c>
      <c r="CD56" s="31">
        <f>'Revenue'!CD17-'Opex'!CD24+'IS(Q)'!CD44+'IS(Q)'!CD31+'Revenue'!CD22-('Debt'!CD8)</f>
      </c>
      <c r="CE56" s="31">
        <f>'Revenue'!CE17-'Opex'!CE24+'IS(Q)'!CE44+'IS(Q)'!CE31+'Revenue'!CE22-('Debt'!CE8)</f>
      </c>
      <c r="CF56" s="31">
        <f>'Revenue'!CF17-'Opex'!CF24+'IS(Q)'!CF44+'IS(Q)'!CF31+'Revenue'!CF22-('Debt'!CF8)</f>
      </c>
      <c r="CG56" s="31">
        <f>'Revenue'!CG17-'Opex'!CG24+'IS(Q)'!CG44+'IS(Q)'!CG31+'Revenue'!CG22-('Debt'!CG8)</f>
      </c>
      <c r="CH56" s="31">
        <f>'Revenue'!CH17-'Opex'!CH24+'IS(Q)'!CH44+'IS(Q)'!CH31+'Revenue'!CH22-('Debt'!CH8)</f>
      </c>
      <c r="CI56" s="31">
        <f>'Revenue'!CI17-'Opex'!CI24+'IS(Q)'!CI44+'IS(Q)'!CI31+'Revenue'!CI22-('Debt'!CI8)</f>
      </c>
      <c r="CJ56" s="31">
        <f>'Revenue'!CJ17-'Opex'!CJ24+'IS(Q)'!CJ44+'IS(Q)'!CJ31+'Revenue'!CJ22-('Debt'!CJ8)</f>
      </c>
      <c r="CK56" s="31">
        <f>'Revenue'!CK17-'Opex'!CK24+'IS(Q)'!CK44+'IS(Q)'!CK31+'Revenue'!CK22-('Debt'!CK8)</f>
      </c>
      <c r="CL56" s="31">
        <f>'Revenue'!CL17-'Opex'!CL24+'IS(Q)'!CL44-$D$73*100+'IS(Q)'!CL31+'Revenue'!CL22-('Debt'!CL8)</f>
      </c>
    </row>
    <row r="57" spans="2:90" x14ac:dyDescent="0.25">
      <c r="B57" s="33" t="s">
        <v>453</v>
      </c>
      <c r="C57" s="34" t="s">
        <v>228</v>
      </c>
      <c r="E57" s="31">
        <f>'Revenue'!E17-'Opex'!E24+'IS(Q)'!E31+'Revenue'!E22-('Debt'!E8)</f>
      </c>
      <c r="F57" s="31">
        <f>'Revenue'!F17-'Opex'!F24+'IS(Q)'!F31+'Revenue'!F22-('Debt'!F8)</f>
      </c>
      <c r="G57" s="31">
        <f>'Revenue'!G17-'Opex'!G24+'IS(Q)'!G31+'Revenue'!G22-('Debt'!G8)</f>
      </c>
      <c r="H57" s="31">
        <f>'Revenue'!H17-'Opex'!H24+'IS(Q)'!H31+'Revenue'!H22-('Debt'!H8)</f>
      </c>
      <c r="I57" s="31">
        <f>'Revenue'!I17-'Opex'!I24+'IS(Q)'!I31+'Revenue'!I22-('Debt'!I8)</f>
      </c>
      <c r="J57" s="31">
        <f>'Revenue'!J17-'Opex'!J24+'IS(Q)'!J31+'Revenue'!J22-('Debt'!J8)</f>
      </c>
      <c r="K57" s="31">
        <f>'Revenue'!K17-'Opex'!K24+'IS(Q)'!K31+'Revenue'!K22-('Debt'!K8)</f>
      </c>
      <c r="L57" s="31">
        <f>'Revenue'!L17-'Opex'!L24+'IS(Q)'!L31+'Revenue'!L22-('Debt'!L8)</f>
      </c>
      <c r="M57" s="31">
        <f>'Revenue'!M17-'Opex'!M24+'IS(Q)'!M31+'Revenue'!M22-('Debt'!M8)</f>
      </c>
      <c r="N57" s="31">
        <f>'Revenue'!N17-'Opex'!N24+'IS(Q)'!N31+'Revenue'!N22-('Debt'!N8)</f>
      </c>
      <c r="O57" s="31">
        <f>'Revenue'!O17-'Opex'!O24+'IS(Q)'!O31+'Revenue'!O22-('Debt'!O8)</f>
      </c>
      <c r="P57" s="31">
        <f>'Revenue'!P17-'Opex'!P24+'IS(Q)'!P31+'Revenue'!P22-('Debt'!P8)</f>
      </c>
      <c r="Q57" s="31">
        <f>'Revenue'!Q17-'Opex'!Q24+'IS(Q)'!Q31+'Revenue'!Q22-('Debt'!Q8)</f>
      </c>
      <c r="R57" s="31">
        <f>'Revenue'!R17-'Opex'!R24+'IS(Q)'!R31+'Revenue'!R22-('Debt'!R8)</f>
      </c>
      <c r="S57" s="31">
        <f>'Revenue'!S17-'Opex'!S24+'IS(Q)'!S31+'Revenue'!S22-('Debt'!S8)</f>
      </c>
      <c r="T57" s="31">
        <f>'Revenue'!T17-'Opex'!T24+'IS(Q)'!T31+'Revenue'!T22-('Debt'!T8)</f>
      </c>
      <c r="U57" s="31">
        <f>'Revenue'!U17-'Opex'!U24+'IS(Q)'!U31+'Revenue'!U22-('Debt'!U8)</f>
      </c>
      <c r="V57" s="31">
        <f>'Revenue'!V17-'Opex'!V24+'IS(Q)'!V31+'Revenue'!V22-('Debt'!V8)</f>
      </c>
      <c r="W57" s="31">
        <f>'Revenue'!W17-'Opex'!W24+'IS(Q)'!W31+'Revenue'!W22-('Debt'!W8)</f>
      </c>
      <c r="X57" s="31">
        <f>'Revenue'!X17-'Opex'!X24+'IS(Q)'!X31+'Revenue'!X22-('Debt'!X8)</f>
      </c>
      <c r="Y57" s="31">
        <f>'Revenue'!Y17-'Opex'!Y24+'IS(Q)'!Y31+'Revenue'!Y22-('Debt'!Y8)</f>
      </c>
      <c r="Z57" s="31">
        <f>'Revenue'!Z17-'Opex'!Z24+'IS(Q)'!Z31+'Revenue'!Z22-('Debt'!Z8)</f>
      </c>
      <c r="AA57" s="31">
        <f>'Revenue'!AA17-'Opex'!AA24+'IS(Q)'!AA31+'Revenue'!AA22-('Debt'!AA8)</f>
      </c>
      <c r="AB57" s="31">
        <f>'Revenue'!AB17-'Opex'!AB24+'IS(Q)'!AB31+'Revenue'!AB22-('Debt'!AB8)</f>
      </c>
      <c r="AC57" s="31">
        <f>'Revenue'!AC17-'Opex'!AC24+'IS(Q)'!AC31+'Revenue'!AC22-('Debt'!AC8)</f>
      </c>
      <c r="AD57" s="31">
        <f>'Revenue'!AD17-'Opex'!AD24+'IS(Q)'!AD31+'Revenue'!AD22-('Debt'!AD8)</f>
      </c>
      <c r="AE57" s="31">
        <f>'Revenue'!AE17-'Opex'!AE24+'IS(Q)'!AE31+'Revenue'!AE22-('Debt'!AE8)</f>
      </c>
      <c r="AF57" s="31">
        <f>'Revenue'!AF17-'Opex'!AF24+'IS(Q)'!AF31+'Revenue'!AF22-('Debt'!AF8)</f>
      </c>
      <c r="AG57" s="31">
        <f>'Revenue'!AG17-'Opex'!AG24+'IS(Q)'!AG31+'Revenue'!AG22-('Debt'!AG8)</f>
      </c>
      <c r="AH57" s="31">
        <f>'Revenue'!AH17-'Opex'!AH24+'IS(Q)'!AH31+'Revenue'!AH22-('Debt'!AH8)</f>
      </c>
      <c r="AI57" s="31">
        <f>'Revenue'!AI17-'Opex'!AI24+'IS(Q)'!AI31+'Revenue'!AI22-('Debt'!AI8)</f>
      </c>
      <c r="AJ57" s="31">
        <f>'Revenue'!AJ17-'Opex'!AJ24+'IS(Q)'!AJ31+'Revenue'!AJ22-('Debt'!AJ8)</f>
      </c>
      <c r="AK57" s="31">
        <f>'Revenue'!AK17-'Opex'!AK24+'IS(Q)'!AK31+'Revenue'!AK22-('Debt'!AK8)</f>
      </c>
      <c r="AL57" s="31">
        <f>'Revenue'!AL17-'Opex'!AL24+'IS(Q)'!AL31+'Revenue'!AL22-('Debt'!AL8)</f>
      </c>
      <c r="AM57" s="31">
        <f>'Revenue'!AM17-'Opex'!AM24+'IS(Q)'!AM31+'Revenue'!AM22-('Debt'!AM8)</f>
      </c>
      <c r="AN57" s="31">
        <f>'Revenue'!AN17-'Opex'!AN24+'IS(Q)'!AN31+'Revenue'!AN22-('Debt'!AN8)</f>
      </c>
      <c r="AO57" s="31">
        <f>'Revenue'!AO17-'Opex'!AO24+'IS(Q)'!AO31+'Revenue'!AO22-('Debt'!AO8)</f>
      </c>
      <c r="AP57" s="31">
        <f>'Revenue'!AP17-'Opex'!AP24+'IS(Q)'!AP31+'Revenue'!AP22-('Debt'!AP8)</f>
      </c>
      <c r="AQ57" s="31">
        <f>'Revenue'!AQ17-'Opex'!AQ24+'IS(Q)'!AQ31+'Revenue'!AQ22-('Debt'!AQ8)</f>
      </c>
      <c r="AR57" s="31">
        <f>'Revenue'!AR17-'Opex'!AR24+'IS(Q)'!AR31+'Revenue'!AR22-('Debt'!AR8)</f>
      </c>
      <c r="AS57" s="31">
        <f>'Revenue'!AS17-'Opex'!AS24+'IS(Q)'!AS31+'Revenue'!AS22-('Debt'!AS8)</f>
      </c>
      <c r="AT57" s="31">
        <f>'Revenue'!AT17-'Opex'!AT24+'IS(Q)'!AT31+'Revenue'!AT22-('Debt'!AT8)</f>
      </c>
      <c r="AU57" s="31">
        <f>'Revenue'!AU17-'Opex'!AU24+'IS(Q)'!AU31+'Revenue'!AU22-('Debt'!AU8)</f>
      </c>
      <c r="AV57" s="31">
        <f>'Revenue'!AV17-'Opex'!AV24+'IS(Q)'!AV31+'Revenue'!AV22-('Debt'!AV8)</f>
      </c>
      <c r="AW57" s="31">
        <f>'Revenue'!AW17-'Opex'!AW24+'IS(Q)'!AW31+'Revenue'!AW22-('Debt'!AW8)</f>
      </c>
      <c r="AX57" s="31">
        <f>'Revenue'!AX17-'Opex'!AX24+'IS(Q)'!AX31+'Revenue'!AX22-('Debt'!AX8)</f>
      </c>
      <c r="AY57" s="31">
        <f>'Revenue'!AY17-'Opex'!AY24+'IS(Q)'!AY31+'Revenue'!AY22-('Debt'!AY8)</f>
      </c>
      <c r="AZ57" s="31">
        <f>'Revenue'!AZ17-'Opex'!AZ24+'IS(Q)'!AZ31+'Revenue'!AZ22-('Debt'!AZ8)</f>
      </c>
      <c r="BA57" s="31">
        <f>'Revenue'!BA17-'Opex'!BA24+'IS(Q)'!BA31+'Revenue'!BA22-('Debt'!BA8)</f>
      </c>
      <c r="BB57" s="31">
        <f>'Revenue'!BB17-'Opex'!BB24+'IS(Q)'!BB31+'Revenue'!BB22-('Debt'!BB8)</f>
      </c>
      <c r="BC57" s="31">
        <f>'Revenue'!BC17-'Opex'!BC24+'IS(Q)'!BC31+'Revenue'!BC22-('Debt'!BC8)</f>
      </c>
      <c r="BD57" s="31">
        <f>'Revenue'!BD17-'Opex'!BD24+'IS(Q)'!BD31+'Revenue'!BD22-('Debt'!BD8)</f>
      </c>
      <c r="BE57" s="31">
        <f>'Revenue'!BE17-'Opex'!BE24+'IS(Q)'!BE31+'Revenue'!BE22-('Debt'!BE8)</f>
      </c>
      <c r="BF57" s="31">
        <f>'Revenue'!BF17-'Opex'!BF24+'IS(Q)'!BF31+'Revenue'!BF22-('Debt'!BF8)</f>
      </c>
      <c r="BG57" s="31">
        <f>'Revenue'!BG17-'Opex'!BG24+'IS(Q)'!BG31+'Revenue'!BG22-('Debt'!BG8)</f>
      </c>
      <c r="BH57" s="31">
        <f>'Revenue'!BH17-'Opex'!BH24+'IS(Q)'!BH31+'Revenue'!BH22-('Debt'!BH8)</f>
      </c>
      <c r="BI57" s="31">
        <f>'Revenue'!BI17-'Opex'!BI24+'IS(Q)'!BI31+'Revenue'!BI22-('Debt'!BI8)</f>
      </c>
      <c r="BJ57" s="31">
        <f>'Revenue'!BJ17-'Opex'!BJ24+'IS(Q)'!BJ31+'Revenue'!BJ22-('Debt'!BJ8)</f>
      </c>
      <c r="BK57" s="31">
        <f>'Revenue'!BK17-'Opex'!BK24+'IS(Q)'!BK31+'Revenue'!BK22-('Debt'!BK8)</f>
      </c>
      <c r="BL57" s="31">
        <f>'Revenue'!BL17-'Opex'!BL24+'IS(Q)'!BL31+'Revenue'!BL22-('Debt'!BL8)</f>
      </c>
      <c r="BM57" s="31">
        <f>'Revenue'!BM17-'Opex'!BM24+'IS(Q)'!BM31+'Revenue'!BM22-('Debt'!BM8)</f>
      </c>
      <c r="BN57" s="31">
        <f>'Revenue'!BN17-'Opex'!BN24+'IS(Q)'!BN31+'Revenue'!BN22-('Debt'!BN8)</f>
      </c>
      <c r="BO57" s="31">
        <f>'Revenue'!BO17-'Opex'!BO24+'IS(Q)'!BO31+'Revenue'!BO22-('Debt'!BO8)</f>
      </c>
      <c r="BP57" s="31">
        <f>'Revenue'!BP17-'Opex'!BP24+'IS(Q)'!BP31+'Revenue'!BP22-('Debt'!BP8)</f>
      </c>
      <c r="BQ57" s="31">
        <f>'Revenue'!BQ17-'Opex'!BQ24+'IS(Q)'!BQ31+'Revenue'!BQ22-('Debt'!BQ8)</f>
      </c>
      <c r="BR57" s="31">
        <f>'Revenue'!BR17-'Opex'!BR24+'IS(Q)'!BR31+'Revenue'!BR22-('Debt'!BR8)</f>
      </c>
      <c r="BS57" s="31">
        <f>'Revenue'!BS17-'Opex'!BS24+'IS(Q)'!BS31+'Revenue'!BS22-('Debt'!BS8)</f>
      </c>
      <c r="BT57" s="31">
        <f>'Revenue'!BT17-'Opex'!BT24+'IS(Q)'!BT31+'Revenue'!BT22-('Debt'!BT8)</f>
      </c>
      <c r="BU57" s="31">
        <f>'Revenue'!BU17-'Opex'!BU24+'IS(Q)'!BU31+'Revenue'!BU22-('Debt'!BU8)</f>
      </c>
      <c r="BV57" s="31">
        <f>'Revenue'!BV17-'Opex'!BV24+'IS(Q)'!BV31+'Revenue'!BV22-('Debt'!BV8)</f>
      </c>
      <c r="BW57" s="31">
        <f>'Revenue'!BW17-'Opex'!BW24+'IS(Q)'!BW31+'Revenue'!BW22-('Debt'!BW8)</f>
      </c>
      <c r="BX57" s="31">
        <f>'Revenue'!BX17-'Opex'!BX24+'IS(Q)'!BX31+'Revenue'!BX22-('Debt'!BX8)</f>
      </c>
      <c r="BY57" s="31">
        <f>'Revenue'!BY17-'Opex'!BY24+'IS(Q)'!BY31+'Revenue'!BY22-('Debt'!BY8)</f>
      </c>
      <c r="BZ57" s="31">
        <f>'Revenue'!BZ17-'Opex'!BZ24+'IS(Q)'!BZ31+'Revenue'!BZ22-('Debt'!BZ8)</f>
      </c>
      <c r="CA57" s="31">
        <f>'Revenue'!CA17-'Opex'!CA24+'IS(Q)'!CA31+'Revenue'!CA22-('Debt'!CA8)</f>
      </c>
      <c r="CB57" s="31">
        <f>'Revenue'!CB17-'Opex'!CB24+'IS(Q)'!CB31+'Revenue'!CB22-('Debt'!CB8)</f>
      </c>
      <c r="CC57" s="31">
        <f>'Revenue'!CC17-'Opex'!CC24+'IS(Q)'!CC31+'Revenue'!CC22-('Debt'!CC8)</f>
      </c>
      <c r="CD57" s="31">
        <f>'Revenue'!CD17-'Opex'!CD24+'IS(Q)'!CD31+'Revenue'!CD22-('Debt'!CD8)</f>
      </c>
      <c r="CE57" s="31">
        <f>'Revenue'!CE17-'Opex'!CE24+'IS(Q)'!CE31+'Revenue'!CE22-('Debt'!CE8)</f>
      </c>
      <c r="CF57" s="31">
        <f>'Revenue'!CF17-'Opex'!CF24+'IS(Q)'!CF31+'Revenue'!CF22-('Debt'!CF8)</f>
      </c>
      <c r="CG57" s="31">
        <f>'Revenue'!CG17-'Opex'!CG24+'IS(Q)'!CG31+'Revenue'!CG22-('Debt'!CG8)</f>
      </c>
      <c r="CH57" s="31">
        <f>'Revenue'!CH17-'Opex'!CH24+'IS(Q)'!CH31+'Revenue'!CH22-('Debt'!CH8)</f>
      </c>
      <c r="CI57" s="31">
        <f>'Revenue'!CI17-'Opex'!CI24+'IS(Q)'!CI31+'Revenue'!CI22-('Debt'!CI8)</f>
      </c>
      <c r="CJ57" s="31">
        <f>'Revenue'!CJ17-'Opex'!CJ24+'IS(Q)'!CJ31+'Revenue'!CJ22-('Debt'!CJ8)</f>
      </c>
      <c r="CK57" s="31">
        <f>'Revenue'!CK17-'Opex'!CK24+'IS(Q)'!CK31+'Revenue'!CK22-('Debt'!CK8)</f>
      </c>
      <c r="CL57" s="31">
        <f>'Revenue'!CL17-'Opex'!CL24-$D$73*100+'IS(Q)'!CL31+'Revenue'!CL22-('Debt'!CL8)</f>
      </c>
    </row>
    <row r="58" spans="2:90" x14ac:dyDescent="0.25">
      <c r="B58" s="33" t="s">
        <v>454</v>
      </c>
      <c r="C58" s="34" t="s">
        <v>228</v>
      </c>
      <c r="E58" s="31">
        <f>E13-E55</f>
      </c>
      <c r="F58" s="31">
        <f>F13-F55</f>
      </c>
      <c r="G58" s="31">
        <f>G13-G55</f>
      </c>
      <c r="H58" s="31">
        <f>H13-H55</f>
      </c>
      <c r="I58" s="31">
        <f>I13-I55</f>
      </c>
      <c r="J58" s="31">
        <f>J13-J55</f>
      </c>
      <c r="K58" s="31">
        <f>K13-K55</f>
      </c>
      <c r="L58" s="31">
        <f>L13-L55</f>
      </c>
      <c r="M58" s="31">
        <f>M13-M55</f>
      </c>
      <c r="N58" s="31">
        <f>N13-N55</f>
      </c>
      <c r="O58" s="31">
        <f>O13-O55</f>
      </c>
      <c r="P58" s="31">
        <f>P13-P55</f>
      </c>
      <c r="Q58" s="31">
        <f>Q13-Q55</f>
      </c>
      <c r="R58" s="31">
        <f>R13-R55</f>
      </c>
      <c r="S58" s="31">
        <f>S13-S55</f>
      </c>
      <c r="T58" s="31">
        <f>T13-T55</f>
      </c>
      <c r="U58" s="31">
        <f>U13-U55</f>
      </c>
      <c r="V58" s="31">
        <f>V13-V55</f>
      </c>
      <c r="W58" s="31">
        <f>W13-W55</f>
      </c>
      <c r="X58" s="31">
        <f>X13-X55</f>
      </c>
      <c r="Y58" s="31">
        <f>Y13-Y55</f>
      </c>
      <c r="Z58" s="31">
        <f>Z13-Z55</f>
      </c>
      <c r="AA58" s="31">
        <f>AA13-AA55</f>
      </c>
      <c r="AB58" s="31">
        <f>AB13-AB55</f>
      </c>
      <c r="AC58" s="31">
        <f>AC13-AC55</f>
      </c>
      <c r="AD58" s="31">
        <f>AD13-AD55</f>
      </c>
      <c r="AE58" s="31">
        <f>AE13-AE55</f>
      </c>
      <c r="AF58" s="31">
        <f>AF13-AF55</f>
      </c>
      <c r="AG58" s="31">
        <f>AG13-AG55</f>
      </c>
      <c r="AH58" s="31">
        <f>AH13-AH55</f>
      </c>
      <c r="AI58" s="31">
        <f>AI13-AI55</f>
      </c>
      <c r="AJ58" s="31">
        <f>AJ13-AJ55</f>
      </c>
      <c r="AK58" s="31">
        <f>AK13-AK55</f>
      </c>
      <c r="AL58" s="31">
        <f>AL13-AL55</f>
      </c>
      <c r="AM58" s="31">
        <f>AM13-AM55</f>
      </c>
      <c r="AN58" s="31">
        <f>AN13-AN55</f>
      </c>
      <c r="AO58" s="31">
        <f>AO13-AO55</f>
      </c>
      <c r="AP58" s="31">
        <f>AP13-AP55</f>
      </c>
      <c r="AQ58" s="31">
        <f>AQ13-AQ55</f>
      </c>
      <c r="AR58" s="31">
        <f>AR13-AR55</f>
      </c>
      <c r="AS58" s="31">
        <f>AS13-AS55</f>
      </c>
      <c r="AT58" s="31">
        <f>AT13-AT55</f>
      </c>
      <c r="AU58" s="31">
        <f>AU13-AU55</f>
      </c>
      <c r="AV58" s="31">
        <f>AV13-AV55</f>
      </c>
      <c r="AW58" s="31">
        <f>AW13-AW55</f>
      </c>
      <c r="AX58" s="31">
        <f>AX13-AX55</f>
      </c>
      <c r="AY58" s="31">
        <f>AY13-AY55</f>
      </c>
      <c r="AZ58" s="31">
        <f>AZ13-AZ55</f>
      </c>
      <c r="BA58" s="31">
        <f>BA13-BA55</f>
      </c>
      <c r="BB58" s="31">
        <f>BB13-BB55</f>
      </c>
      <c r="BC58" s="31">
        <f>BC13-BC55</f>
      </c>
      <c r="BD58" s="31">
        <f>BD13-BD55</f>
      </c>
      <c r="BE58" s="31">
        <f>BE13-BE55</f>
      </c>
      <c r="BF58" s="31">
        <f>BF13-BF55</f>
      </c>
      <c r="BG58" s="31">
        <f>BG13-BG55</f>
      </c>
      <c r="BH58" s="31">
        <f>BH13-BH55</f>
      </c>
      <c r="BI58" s="31">
        <f>BI13-BI55</f>
      </c>
      <c r="BJ58" s="31">
        <f>BJ13-BJ55</f>
      </c>
      <c r="BK58" s="31">
        <f>BK13-BK55</f>
      </c>
      <c r="BL58" s="31">
        <f>BL13-BL55</f>
      </c>
      <c r="BM58" s="31">
        <f>BM13-BM55</f>
      </c>
      <c r="BN58" s="31">
        <f>BN13-BN55</f>
      </c>
      <c r="BO58" s="31">
        <f>BO13-BO55</f>
      </c>
      <c r="BP58" s="31">
        <f>BP13-BP55</f>
      </c>
      <c r="BQ58" s="31">
        <f>BQ13-BQ55</f>
      </c>
      <c r="BR58" s="31">
        <f>BR13-BR55</f>
      </c>
      <c r="BS58" s="31">
        <f>BS13-BS55</f>
      </c>
      <c r="BT58" s="31">
        <f>BT13-BT55</f>
      </c>
      <c r="BU58" s="31">
        <f>BU13-BU55</f>
      </c>
      <c r="BV58" s="31">
        <f>BV13-BV55</f>
      </c>
      <c r="BW58" s="31">
        <f>BW13-BW55</f>
      </c>
      <c r="BX58" s="31">
        <f>BX13-BX55</f>
      </c>
      <c r="BY58" s="31">
        <f>BY13-BY55</f>
      </c>
      <c r="BZ58" s="31">
        <f>BZ13-BZ55</f>
      </c>
      <c r="CA58" s="31">
        <f>CA13-CA55</f>
      </c>
      <c r="CB58" s="31">
        <f>CB13-CB55</f>
      </c>
      <c r="CC58" s="31">
        <f>CC13-CC55</f>
      </c>
      <c r="CD58" s="31">
        <f>CD13-CD55</f>
      </c>
      <c r="CE58" s="31">
        <f>CE13-CE55</f>
      </c>
      <c r="CF58" s="31">
        <f>CF13-CF55</f>
      </c>
      <c r="CG58" s="31">
        <f>CG13-CG55</f>
      </c>
      <c r="CH58" s="31">
        <f>CH13-CH55</f>
      </c>
      <c r="CI58" s="31">
        <f>CI13-CI55</f>
      </c>
      <c r="CJ58" s="31">
        <f>CJ13-CJ55</f>
      </c>
      <c r="CK58" s="31">
        <f>CK13-CK55</f>
      </c>
      <c r="CL58" s="31">
        <f>CL13-CL55</f>
      </c>
    </row>
    <row r="59" spans="2:90" x14ac:dyDescent="0.25">
      <c r="B59" s="33" t="s">
        <v>455</v>
      </c>
      <c r="C59" s="34" t="s">
        <v>228</v>
      </c>
      <c r="E59" s="31">
        <f>E16-E55</f>
      </c>
      <c r="F59" s="31">
        <f>F16-F55</f>
      </c>
      <c r="G59" s="31">
        <f>G16-G55</f>
      </c>
      <c r="H59" s="31">
        <f>H16-H55</f>
      </c>
      <c r="I59" s="31">
        <f>I16-I55</f>
      </c>
      <c r="J59" s="31">
        <f>J16-J55</f>
      </c>
      <c r="K59" s="31">
        <f>K16-K55</f>
      </c>
      <c r="L59" s="31">
        <f>L16-L55</f>
      </c>
      <c r="M59" s="31">
        <f>M16-M55</f>
      </c>
      <c r="N59" s="31">
        <f>N16-N55</f>
      </c>
      <c r="O59" s="31">
        <f>O16-O55</f>
      </c>
      <c r="P59" s="31">
        <f>P16-P55</f>
      </c>
      <c r="Q59" s="31">
        <f>Q16-Q55</f>
      </c>
      <c r="R59" s="31">
        <f>R16-R55</f>
      </c>
      <c r="S59" s="31">
        <f>S16-S55</f>
      </c>
      <c r="T59" s="31">
        <f>T16-T55</f>
      </c>
      <c r="U59" s="31">
        <f>U16-U55</f>
      </c>
      <c r="V59" s="31">
        <f>V16-V55</f>
      </c>
      <c r="W59" s="31">
        <f>W16-W55</f>
      </c>
      <c r="X59" s="31">
        <f>X16-X55</f>
      </c>
      <c r="Y59" s="31">
        <f>Y16-Y55</f>
      </c>
      <c r="Z59" s="31">
        <f>Z16-Z55</f>
      </c>
      <c r="AA59" s="31">
        <f>AA16-AA55</f>
      </c>
      <c r="AB59" s="31">
        <f>AB16-AB55</f>
      </c>
      <c r="AC59" s="31">
        <f>AC16-AC55</f>
      </c>
      <c r="AD59" s="31">
        <f>AD16-AD55</f>
      </c>
      <c r="AE59" s="31">
        <f>AE16-AE55</f>
      </c>
      <c r="AF59" s="31">
        <f>AF16-AF55</f>
      </c>
      <c r="AG59" s="31">
        <f>AG16-AG55</f>
      </c>
      <c r="AH59" s="31">
        <f>AH16-AH55</f>
      </c>
      <c r="AI59" s="31">
        <f>AI16-AI55</f>
      </c>
      <c r="AJ59" s="31">
        <f>AJ16-AJ55</f>
      </c>
      <c r="AK59" s="31">
        <f>AK16-AK55</f>
      </c>
      <c r="AL59" s="31">
        <f>AL16-AL55</f>
      </c>
      <c r="AM59" s="31">
        <f>AM16-AM55</f>
      </c>
      <c r="AN59" s="31">
        <f>AN16-AN55</f>
      </c>
      <c r="AO59" s="31">
        <f>AO16-AO55</f>
      </c>
      <c r="AP59" s="31">
        <f>AP16-AP55</f>
      </c>
      <c r="AQ59" s="31">
        <f>AQ16-AQ55</f>
      </c>
      <c r="AR59" s="31">
        <f>AR16-AR55</f>
      </c>
      <c r="AS59" s="31">
        <f>AS16-AS55</f>
      </c>
      <c r="AT59" s="31">
        <f>AT16-AT55</f>
      </c>
      <c r="AU59" s="31">
        <f>AU16-AU55</f>
      </c>
      <c r="AV59" s="31">
        <f>AV16-AV55</f>
      </c>
      <c r="AW59" s="31">
        <f>AW16-AW55</f>
      </c>
      <c r="AX59" s="31">
        <f>AX16-AX55</f>
      </c>
      <c r="AY59" s="31">
        <f>AY16-AY55</f>
      </c>
      <c r="AZ59" s="31">
        <f>AZ16-AZ55</f>
      </c>
      <c r="BA59" s="31">
        <f>BA16-BA55</f>
      </c>
      <c r="BB59" s="31">
        <f>BB16-BB55</f>
      </c>
      <c r="BC59" s="31">
        <f>BC16-BC55</f>
      </c>
      <c r="BD59" s="31">
        <f>BD16-BD55</f>
      </c>
      <c r="BE59" s="31">
        <f>BE16-BE55</f>
      </c>
      <c r="BF59" s="31">
        <f>BF16-BF55</f>
      </c>
      <c r="BG59" s="31">
        <f>BG16-BG55</f>
      </c>
      <c r="BH59" s="31">
        <f>BH16-BH55</f>
      </c>
      <c r="BI59" s="31">
        <f>BI16-BI55</f>
      </c>
      <c r="BJ59" s="31">
        <f>BJ16-BJ55</f>
      </c>
      <c r="BK59" s="31">
        <f>BK16-BK55</f>
      </c>
      <c r="BL59" s="31">
        <f>BL16-BL55</f>
      </c>
      <c r="BM59" s="31">
        <f>BM16-BM55</f>
      </c>
      <c r="BN59" s="31">
        <f>BN16-BN55</f>
      </c>
      <c r="BO59" s="31">
        <f>BO16-BO55</f>
      </c>
      <c r="BP59" s="31">
        <f>BP16-BP55</f>
      </c>
      <c r="BQ59" s="31">
        <f>BQ16-BQ55</f>
      </c>
      <c r="BR59" s="31">
        <f>BR16-BR55</f>
      </c>
      <c r="BS59" s="31">
        <f>BS16-BS55</f>
      </c>
      <c r="BT59" s="31">
        <f>BT16-BT55</f>
      </c>
      <c r="BU59" s="31">
        <f>BU16-BU55</f>
      </c>
      <c r="BV59" s="31">
        <f>BV16-BV55</f>
      </c>
      <c r="BW59" s="31">
        <f>BW16-BW55</f>
      </c>
      <c r="BX59" s="31">
        <f>BX16-BX55</f>
      </c>
      <c r="BY59" s="31">
        <f>BY16-BY55</f>
      </c>
      <c r="BZ59" s="31">
        <f>BZ16-BZ55</f>
      </c>
      <c r="CA59" s="31">
        <f>CA16-CA55</f>
      </c>
      <c r="CB59" s="31">
        <f>CB16-CB55</f>
      </c>
      <c r="CC59" s="31">
        <f>CC16-CC55</f>
      </c>
      <c r="CD59" s="31">
        <f>CD16-CD55</f>
      </c>
      <c r="CE59" s="31">
        <f>CE16-CE55</f>
      </c>
      <c r="CF59" s="31">
        <f>CF16-CF55</f>
      </c>
      <c r="CG59" s="31">
        <f>CG16-CG55</f>
      </c>
      <c r="CH59" s="31">
        <f>CH16-CH55</f>
      </c>
      <c r="CI59" s="31">
        <f>CI16-CI55</f>
      </c>
      <c r="CJ59" s="31">
        <f>CJ16-CJ55</f>
      </c>
      <c r="CK59" s="31">
        <f>CK16-CK55</f>
      </c>
      <c r="CL59" s="31">
        <f>CL16-CL55</f>
      </c>
    </row>
    <row r="60" spans="2:90" x14ac:dyDescent="0.25">
      <c r="B60" s="33" t="s">
        <v>456</v>
      </c>
      <c r="C60" s="34" t="s">
        <v>228</v>
      </c>
      <c r="E60" s="31">
        <f>-E55-('Debt'!E18+'Debt'!E19+'Debt'!E20+'Debt'!E21+'Debt'!E22)+'Debt'!E77+'Debt'!E78+E16</f>
      </c>
      <c r="F60" s="31">
        <f>-F55-('Debt'!F18-'Debt'!E18+'Debt'!F19-'Debt'!E19+'Debt'!F20-'Debt'!E20+'Debt'!F21-'Debt'!E21+'Debt'!F22-'Debt'!E22)+'Debt'!F77+'Debt'!F78+F16</f>
      </c>
      <c r="G60" s="31">
        <f>-G55-('Debt'!G18-'Debt'!F18+'Debt'!G19-'Debt'!F19+'Debt'!G20-'Debt'!F20+'Debt'!G21-'Debt'!F21+'Debt'!G22-'Debt'!F22)+'Debt'!G77+'Debt'!G78+G16</f>
      </c>
      <c r="H60" s="31">
        <f>-H55-('Debt'!H18-'Debt'!G18+'Debt'!H19-'Debt'!G19+'Debt'!H20-'Debt'!G20+'Debt'!H21-'Debt'!G21+'Debt'!H22-'Debt'!G22)+'Debt'!H77+'Debt'!H78+H16</f>
      </c>
      <c r="I60" s="31">
        <f>-I55-('Debt'!I18-'Debt'!H18+'Debt'!I19-'Debt'!H19+'Debt'!I20-'Debt'!H20+'Debt'!I21-'Debt'!H21+'Debt'!I22-'Debt'!H22)+'Debt'!I77+'Debt'!I78+I16</f>
      </c>
      <c r="J60" s="31">
        <f>-J55-('Debt'!J18-'Debt'!I18+'Debt'!J19-'Debt'!I19+'Debt'!J20-'Debt'!I20+'Debt'!J21-'Debt'!I21+'Debt'!J22-'Debt'!I22)+'Debt'!J77+'Debt'!J78+J16+'Debt'!D15</f>
      </c>
      <c r="K60" s="31">
        <f>-K55-('Debt'!K18-'Debt'!J18+'Debt'!K19-'Debt'!J19+'Debt'!K20-'Debt'!J20+'Debt'!K21-'Debt'!J21+'Debt'!K22-'Debt'!J22)+'Debt'!K77+'Debt'!K78+K16</f>
      </c>
      <c r="L60" s="31">
        <f>-L55-('Debt'!L18-'Debt'!K18+'Debt'!L19-'Debt'!K19+'Debt'!L20-'Debt'!K20+'Debt'!L21-'Debt'!K21+'Debt'!L22-'Debt'!K22)+'Debt'!L77+'Debt'!L78+L16</f>
      </c>
      <c r="M60" s="31">
        <f>-M55-('Debt'!M18-'Debt'!L18+'Debt'!M19-'Debt'!L19+'Debt'!M20-'Debt'!L20+'Debt'!M21-'Debt'!L21+'Debt'!M22-'Debt'!L22)+'Debt'!M77+'Debt'!M78+M16</f>
      </c>
      <c r="N60" s="31">
        <f>-N55-('Debt'!N18-'Debt'!M18+'Debt'!N19-'Debt'!M19+'Debt'!N20-'Debt'!M20+'Debt'!N21-'Debt'!M21+'Debt'!N22-'Debt'!M22)+'Debt'!N77+'Debt'!N78+N16</f>
      </c>
      <c r="O60" s="31">
        <f>-O55-('Debt'!O18-'Debt'!N18+'Debt'!O19-'Debt'!N19+'Debt'!O20-'Debt'!N20+'Debt'!O21-'Debt'!N21+'Debt'!O22-'Debt'!N22)+'Debt'!O77+'Debt'!O78+O16</f>
      </c>
      <c r="P60" s="31">
        <f>-P55-('Debt'!P18-'Debt'!O18+'Debt'!P19-'Debt'!O19+'Debt'!P20-'Debt'!O20+'Debt'!P21-'Debt'!O21+'Debt'!P22-'Debt'!O22)+'Debt'!P77+'Debt'!P78+P16</f>
      </c>
      <c r="Q60" s="31">
        <f>-Q55-('Debt'!Q18-'Debt'!P18+'Debt'!Q19-'Debt'!P19+'Debt'!Q20-'Debt'!P20+'Debt'!Q21-'Debt'!P21+'Debt'!Q22-'Debt'!P22)+'Debt'!Q77+'Debt'!Q78+Q16</f>
      </c>
      <c r="R60" s="31">
        <f>-R55-('Debt'!R18-'Debt'!Q18+'Debt'!R19-'Debt'!Q19+'Debt'!R20-'Debt'!Q20+'Debt'!R21-'Debt'!Q21+'Debt'!R22-'Debt'!Q22)+'Debt'!R77+'Debt'!R78+R16</f>
      </c>
      <c r="S60" s="31">
        <f>-S55-('Debt'!S18-'Debt'!R18+'Debt'!S19-'Debt'!R19+'Debt'!S20-'Debt'!R20+'Debt'!S21-'Debt'!R21+'Debt'!S22-'Debt'!R22)+'Debt'!S77+'Debt'!S78+S16</f>
      </c>
      <c r="T60" s="31">
        <f>-T55-('Debt'!T18-'Debt'!S18+'Debt'!T19-'Debt'!S19+'Debt'!T20-'Debt'!S20+'Debt'!T21-'Debt'!S21+'Debt'!T22-'Debt'!S22)+'Debt'!T77+'Debt'!T78+T16</f>
      </c>
      <c r="U60" s="31">
        <f>-U55-('Debt'!U18-'Debt'!T18+'Debt'!U19-'Debt'!T19+'Debt'!U20-'Debt'!T20+'Debt'!U21-'Debt'!T21+'Debt'!U22-'Debt'!T22)+'Debt'!U77+'Debt'!U78+U16</f>
      </c>
      <c r="V60" s="31">
        <f>-V55-('Debt'!V18-'Debt'!U18+'Debt'!V19-'Debt'!U19+'Debt'!V20-'Debt'!U20+'Debt'!V21-'Debt'!U21+'Debt'!V22-'Debt'!U22)+'Debt'!V77+'Debt'!V78+V16</f>
      </c>
      <c r="W60" s="31">
        <f>-W55-('Debt'!W18-'Debt'!V18+'Debt'!W19-'Debt'!V19+'Debt'!W20-'Debt'!V20+'Debt'!W21-'Debt'!V21+'Debt'!W22-'Debt'!V22)+'Debt'!W77+'Debt'!W78+W16</f>
      </c>
      <c r="X60" s="31">
        <f>-X55-('Debt'!X18-'Debt'!W18+'Debt'!X19-'Debt'!W19+'Debt'!X20-'Debt'!W20+'Debt'!X21-'Debt'!W21+'Debt'!X22-'Debt'!W22)+'Debt'!X77+'Debt'!X78+X16</f>
      </c>
      <c r="Y60" s="31">
        <f>-Y55-('Debt'!Y18-'Debt'!X18+'Debt'!Y19-'Debt'!X19+'Debt'!Y20-'Debt'!X20+'Debt'!Y21-'Debt'!X21+'Debt'!Y22-'Debt'!X22)+'Debt'!Y77+'Debt'!Y78+Y16</f>
      </c>
      <c r="Z60" s="31">
        <f>-Z55-('Debt'!Z18-'Debt'!Y18+'Debt'!Z19-'Debt'!Y19+'Debt'!Z20-'Debt'!Y20+'Debt'!Z21-'Debt'!Y21+'Debt'!Z22-'Debt'!Y22)+'Debt'!Z77+'Debt'!Z78+Z16</f>
      </c>
      <c r="AA60" s="31">
        <f>-AA55-('Debt'!AA18-'Debt'!Z18+'Debt'!AA19-'Debt'!Z19+'Debt'!AA20-'Debt'!Z20+'Debt'!AA21-'Debt'!Z21+'Debt'!AA22-'Debt'!Z22)+'Debt'!AA77+'Debt'!AA78+AA16</f>
      </c>
      <c r="AB60" s="31">
        <f>-AB55-('Debt'!AB18-'Debt'!AA18+'Debt'!AB19-'Debt'!AA19+'Debt'!AB20-'Debt'!AA20+'Debt'!AB21-'Debt'!AA21+'Debt'!AB22-'Debt'!AA22)+'Debt'!AB77+'Debt'!AB78+AB16</f>
      </c>
      <c r="AC60" s="31">
        <f>-AC55-('Debt'!AC18-'Debt'!AB18+'Debt'!AC19-'Debt'!AB19+'Debt'!AC20-'Debt'!AB20+'Debt'!AC21-'Debt'!AB21+'Debt'!AC22-'Debt'!AB22)+'Debt'!AC77+'Debt'!AC78+AC16</f>
      </c>
      <c r="AD60" s="31">
        <f>-AD55-('Debt'!AD18-'Debt'!AC18+'Debt'!AD19-'Debt'!AC19+'Debt'!AD20-'Debt'!AC20+'Debt'!AD21-'Debt'!AC21+'Debt'!AD22-'Debt'!AC22)+'Debt'!AD77+'Debt'!AD78+AD16</f>
      </c>
      <c r="AE60" s="31">
        <f>-AE55-('Debt'!AE18-'Debt'!AD18+'Debt'!AE19-'Debt'!AD19+'Debt'!AE20-'Debt'!AD20+'Debt'!AE21-'Debt'!AD21+'Debt'!AE22-'Debt'!AD22)+'Debt'!AE77+'Debt'!AE78+AE16</f>
      </c>
      <c r="AF60" s="31">
        <f>-AF55-('Debt'!AF18-'Debt'!AE18+'Debt'!AF19-'Debt'!AE19+'Debt'!AF20-'Debt'!AE20+'Debt'!AF21-'Debt'!AE21+'Debt'!AF22-'Debt'!AE22)+'Debt'!AF77+'Debt'!AF78+AF16</f>
      </c>
      <c r="AG60" s="31">
        <f>-AG55-('Debt'!AG18-'Debt'!AF18+'Debt'!AG19-'Debt'!AF19+'Debt'!AG20-'Debt'!AF20+'Debt'!AG21-'Debt'!AF21+'Debt'!AG22-'Debt'!AF22)+'Debt'!AG77+'Debt'!AG78+AG16</f>
      </c>
      <c r="AH60" s="31">
        <f>-AH55-('Debt'!AH18-'Debt'!AG18+'Debt'!AH19-'Debt'!AG19+'Debt'!AH20-'Debt'!AG20+'Debt'!AH21-'Debt'!AG21+'Debt'!AH22-'Debt'!AG22)+'Debt'!AH77+'Debt'!AH78+AH16</f>
      </c>
      <c r="AI60" s="31">
        <f>-AI55-('Debt'!AI18-'Debt'!AH18+'Debt'!AI19-'Debt'!AH19+'Debt'!AI20-'Debt'!AH20+'Debt'!AI21-'Debt'!AH21+'Debt'!AI22-'Debt'!AH22)+'Debt'!AI77+'Debt'!AI78+AI16</f>
      </c>
      <c r="AJ60" s="31">
        <f>-AJ55-('Debt'!AJ18-'Debt'!AI18+'Debt'!AJ19-'Debt'!AI19+'Debt'!AJ20-'Debt'!AI20+'Debt'!AJ21-'Debt'!AI21+'Debt'!AJ22-'Debt'!AI22)+'Debt'!AJ77+'Debt'!AJ78+AJ16</f>
      </c>
      <c r="AK60" s="31">
        <f>-AK55-('Debt'!AK18-'Debt'!AJ18+'Debt'!AK19-'Debt'!AJ19+'Debt'!AK20-'Debt'!AJ20+'Debt'!AK21-'Debt'!AJ21+'Debt'!AK22-'Debt'!AJ22)+'Debt'!AK77+'Debt'!AK78+AK16</f>
      </c>
      <c r="AL60" s="31">
        <f>-AL55-('Debt'!AL18-'Debt'!AK18+'Debt'!AL19-'Debt'!AK19+'Debt'!AL20-'Debt'!AK20+'Debt'!AL21-'Debt'!AK21+'Debt'!AL22-'Debt'!AK22)+'Debt'!AL77+'Debt'!AL78+AL16</f>
      </c>
      <c r="AM60" s="31">
        <f>-AM55-('Debt'!AM18-'Debt'!AL18+'Debt'!AM19-'Debt'!AL19+'Debt'!AM20-'Debt'!AL20+'Debt'!AM21-'Debt'!AL21+'Debt'!AM22-'Debt'!AL22)+'Debt'!AM77+'Debt'!AM78+AM16</f>
      </c>
      <c r="AN60" s="31">
        <f>-AN55-('Debt'!AN18-'Debt'!AM18+'Debt'!AN19-'Debt'!AM19+'Debt'!AN20-'Debt'!AM20+'Debt'!AN21-'Debt'!AM21+'Debt'!AN22-'Debt'!AM22)+'Debt'!AN77+'Debt'!AN78+AN16</f>
      </c>
      <c r="AO60" s="31">
        <f>-AO55-('Debt'!AO18-'Debt'!AN18+'Debt'!AO19-'Debt'!AN19+'Debt'!AO20-'Debt'!AN20+'Debt'!AO21-'Debt'!AN21+'Debt'!AO22-'Debt'!AN22)+'Debt'!AO77+'Debt'!AO78+AO16</f>
      </c>
      <c r="AP60" s="31">
        <f>-AP55-('Debt'!AP18-'Debt'!AO18+'Debt'!AP19-'Debt'!AO19+'Debt'!AP20-'Debt'!AO20+'Debt'!AP21-'Debt'!AO21+'Debt'!AP22-'Debt'!AO22)+'Debt'!AP77+'Debt'!AP78+AP16</f>
      </c>
      <c r="AQ60" s="31">
        <f>-AQ55-('Debt'!AQ18-'Debt'!AP18+'Debt'!AQ19-'Debt'!AP19+'Debt'!AQ20-'Debt'!AP20+'Debt'!AQ21-'Debt'!AP21+'Debt'!AQ22-'Debt'!AP22)+'Debt'!AQ77+'Debt'!AQ78+AQ16</f>
      </c>
      <c r="AR60" s="31">
        <f>-AR55-('Debt'!AR18-'Debt'!AQ18+'Debt'!AR19-'Debt'!AQ19+'Debt'!AR20-'Debt'!AQ20+'Debt'!AR21-'Debt'!AQ21+'Debt'!AR22-'Debt'!AQ22)+'Debt'!AR77+'Debt'!AR78+AR16</f>
      </c>
      <c r="AS60" s="31">
        <f>-AS55-('Debt'!AS18-'Debt'!AR18+'Debt'!AS19-'Debt'!AR19+'Debt'!AS20-'Debt'!AR20+'Debt'!AS21-'Debt'!AR21+'Debt'!AS22-'Debt'!AR22)+'Debt'!AS77+'Debt'!AS78+AS16</f>
      </c>
      <c r="AT60" s="31">
        <f>-AT55-('Debt'!AT18-'Debt'!AS18+'Debt'!AT19-'Debt'!AS19+'Debt'!AT20-'Debt'!AS20+'Debt'!AT21-'Debt'!AS21+'Debt'!AT22-'Debt'!AS22)+'Debt'!AT77+'Debt'!AT78+AT16</f>
      </c>
      <c r="AU60" s="31">
        <f>-AU55-('Debt'!AU18-'Debt'!AT18+'Debt'!AU19-'Debt'!AT19+'Debt'!AU20-'Debt'!AT20+'Debt'!AU21-'Debt'!AT21+'Debt'!AU22-'Debt'!AT22)+'Debt'!AU77+'Debt'!AU78+AU16</f>
      </c>
      <c r="AV60" s="31">
        <f>-AV55-('Debt'!AV18-'Debt'!AU18+'Debt'!AV19-'Debt'!AU19+'Debt'!AV20-'Debt'!AU20+'Debt'!AV21-'Debt'!AU21+'Debt'!AV22-'Debt'!AU22)+'Debt'!AV77+'Debt'!AV78+AV16</f>
      </c>
      <c r="AW60" s="31">
        <f>-AW55-('Debt'!AW18-'Debt'!AV18+'Debt'!AW19-'Debt'!AV19+'Debt'!AW20-'Debt'!AV20+'Debt'!AW21-'Debt'!AV21+'Debt'!AW22-'Debt'!AV22)+'Debt'!AW77+'Debt'!AW78+AW16</f>
      </c>
      <c r="AX60" s="31">
        <f>-AX55-('Debt'!AX18-'Debt'!AW18+'Debt'!AX19-'Debt'!AW19+'Debt'!AX20-'Debt'!AW20+'Debt'!AX21-'Debt'!AW21+'Debt'!AX22-'Debt'!AW22)+'Debt'!AX77+'Debt'!AX78+AX16</f>
      </c>
      <c r="AY60" s="31">
        <f>-AY55-('Debt'!AY18-'Debt'!AX18+'Debt'!AY19-'Debt'!AX19+'Debt'!AY20-'Debt'!AX20+'Debt'!AY21-'Debt'!AX21+'Debt'!AY22-'Debt'!AX22)+'Debt'!AY77+'Debt'!AY78+AY16</f>
      </c>
      <c r="AZ60" s="31">
        <f>-AZ55-('Debt'!AZ18-'Debt'!AY18+'Debt'!AZ19-'Debt'!AY19+'Debt'!AZ20-'Debt'!AY20+'Debt'!AZ21-'Debt'!AY21+'Debt'!AZ22-'Debt'!AY22)+'Debt'!AZ77+'Debt'!AZ78+AZ16</f>
      </c>
      <c r="BA60" s="31">
        <f>-BA55-('Debt'!BA18-'Debt'!AZ18+'Debt'!BA19-'Debt'!AZ19+'Debt'!BA20-'Debt'!AZ20+'Debt'!BA21-'Debt'!AZ21+'Debt'!BA22-'Debt'!AZ22)+'Debt'!BA77+'Debt'!BA78+BA16</f>
      </c>
      <c r="BB60" s="31">
        <f>-BB55-('Debt'!BB18-'Debt'!BA18+'Debt'!BB19-'Debt'!BA19+'Debt'!BB20-'Debt'!BA20+'Debt'!BB21-'Debt'!BA21+'Debt'!BB22-'Debt'!BA22)+'Debt'!BB77+'Debt'!BB78+BB16</f>
      </c>
      <c r="BC60" s="31">
        <f>-BC55-('Debt'!BC18-'Debt'!BB18+'Debt'!BC19-'Debt'!BB19+'Debt'!BC20-'Debt'!BB20+'Debt'!BC21-'Debt'!BB21+'Debt'!BC22-'Debt'!BB22)+'Debt'!BC77+'Debt'!BC78+BC16</f>
      </c>
      <c r="BD60" s="31">
        <f>-BD55-('Debt'!BD18-'Debt'!BC18+'Debt'!BD19-'Debt'!BC19+'Debt'!BD20-'Debt'!BC20+'Debt'!BD21-'Debt'!BC21+'Debt'!BD22-'Debt'!BC22)+'Debt'!BD77+'Debt'!BD78+BD16</f>
      </c>
      <c r="BE60" s="31">
        <f>-BE55-('Debt'!BE18-'Debt'!BD18+'Debt'!BE19-'Debt'!BD19+'Debt'!BE20-'Debt'!BD20+'Debt'!BE21-'Debt'!BD21+'Debt'!BE22-'Debt'!BD22)+'Debt'!BE77+'Debt'!BE78+BE16</f>
      </c>
      <c r="BF60" s="31">
        <f>-BF55-('Debt'!BF18-'Debt'!BE18+'Debt'!BF19-'Debt'!BE19+'Debt'!BF20-'Debt'!BE20+'Debt'!BF21-'Debt'!BE21+'Debt'!BF22-'Debt'!BE22)+'Debt'!BF77+'Debt'!BF78+BF16</f>
      </c>
      <c r="BG60" s="31">
        <f>-BG55-('Debt'!BG18-'Debt'!BF18+'Debt'!BG19-'Debt'!BF19+'Debt'!BG20-'Debt'!BF20+'Debt'!BG21-'Debt'!BF21+'Debt'!BG22-'Debt'!BF22)+'Debt'!BG77+'Debt'!BG78+BG16</f>
      </c>
      <c r="BH60" s="31">
        <f>-BH55-('Debt'!BH18-'Debt'!BG18+'Debt'!BH19-'Debt'!BG19+'Debt'!BH20-'Debt'!BG20+'Debt'!BH21-'Debt'!BG21+'Debt'!BH22-'Debt'!BG22)+'Debt'!BH77+'Debt'!BH78+BH16</f>
      </c>
      <c r="BI60" s="31">
        <f>-BI55-('Debt'!BI18-'Debt'!BH18+'Debt'!BI19-'Debt'!BH19+'Debt'!BI20-'Debt'!BH20+'Debt'!BI21-'Debt'!BH21+'Debt'!BI22-'Debt'!BH22)+'Debt'!BI77+'Debt'!BI78+BI16</f>
      </c>
      <c r="BJ60" s="31">
        <f>-BJ55-('Debt'!BJ18-'Debt'!BI18+'Debt'!BJ19-'Debt'!BI19+'Debt'!BJ20-'Debt'!BI20+'Debt'!BJ21-'Debt'!BI21+'Debt'!BJ22-'Debt'!BI22)+'Debt'!BJ77+'Debt'!BJ78+BJ16</f>
      </c>
      <c r="BK60" s="31">
        <f>-BK55-('Debt'!BK18-'Debt'!BJ18+'Debt'!BK19-'Debt'!BJ19+'Debt'!BK20-'Debt'!BJ20+'Debt'!BK21-'Debt'!BJ21+'Debt'!BK22-'Debt'!BJ22)+'Debt'!BK77+'Debt'!BK78+BK16</f>
      </c>
      <c r="BL60" s="31">
        <f>-BL55-('Debt'!BL18-'Debt'!BK18+'Debt'!BL19-'Debt'!BK19+'Debt'!BL20-'Debt'!BK20+'Debt'!BL21-'Debt'!BK21+'Debt'!BL22-'Debt'!BK22)+'Debt'!BL77+'Debt'!BL78+BL16</f>
      </c>
      <c r="BM60" s="31">
        <f>-BM55-('Debt'!BM18-'Debt'!BL18+'Debt'!BM19-'Debt'!BL19+'Debt'!BM20-'Debt'!BL20+'Debt'!BM21-'Debt'!BL21+'Debt'!BM22-'Debt'!BL22)+'Debt'!BM77+'Debt'!BM78+BM16</f>
      </c>
      <c r="BN60" s="31">
        <f>-BN55-('Debt'!BN18-'Debt'!BM18+'Debt'!BN19-'Debt'!BM19+'Debt'!BN20-'Debt'!BM20+'Debt'!BN21-'Debt'!BM21+'Debt'!BN22-'Debt'!BM22)+'Debt'!BN77+'Debt'!BN78+BN16</f>
      </c>
      <c r="BO60" s="31">
        <f>-BO55-('Debt'!BO18-'Debt'!BN18+'Debt'!BO19-'Debt'!BN19+'Debt'!BO20-'Debt'!BN20+'Debt'!BO21-'Debt'!BN21+'Debt'!BO22-'Debt'!BN22)+'Debt'!BO77+'Debt'!BO78+BO16</f>
      </c>
      <c r="BP60" s="31">
        <f>-BP55-('Debt'!BP18-'Debt'!BO18+'Debt'!BP19-'Debt'!BO19+'Debt'!BP20-'Debt'!BO20+'Debt'!BP21-'Debt'!BO21+'Debt'!BP22-'Debt'!BO22)+'Debt'!BP77+'Debt'!BP78+BP16</f>
      </c>
      <c r="BQ60" s="31">
        <f>-BQ55-('Debt'!BQ18-'Debt'!BP18+'Debt'!BQ19-'Debt'!BP19+'Debt'!BQ20-'Debt'!BP20+'Debt'!BQ21-'Debt'!BP21+'Debt'!BQ22-'Debt'!BP22)+'Debt'!BQ77+'Debt'!BQ78+BQ16</f>
      </c>
      <c r="BR60" s="31">
        <f>-BR55-('Debt'!BR18-'Debt'!BQ18+'Debt'!BR19-'Debt'!BQ19+'Debt'!BR20-'Debt'!BQ20+'Debt'!BR21-'Debt'!BQ21+'Debt'!BR22-'Debt'!BQ22)+'Debt'!BR77+'Debt'!BR78+BR16</f>
      </c>
      <c r="BS60" s="31">
        <f>-BS55-('Debt'!BS18-'Debt'!BR18+'Debt'!BS19-'Debt'!BR19+'Debt'!BS20-'Debt'!BR20+'Debt'!BS21-'Debt'!BR21+'Debt'!BS22-'Debt'!BR22)+'Debt'!BS77+'Debt'!BS78+BS16</f>
      </c>
      <c r="BT60" s="31">
        <f>-BT55-('Debt'!BT18-'Debt'!BS18+'Debt'!BT19-'Debt'!BS19+'Debt'!BT20-'Debt'!BS20+'Debt'!BT21-'Debt'!BS21+'Debt'!BT22-'Debt'!BS22)+'Debt'!BT77+'Debt'!BT78+BT16</f>
      </c>
      <c r="BU60" s="31">
        <f>-BU55-('Debt'!BU18-'Debt'!BT18+'Debt'!BU19-'Debt'!BT19+'Debt'!BU20-'Debt'!BT20+'Debt'!BU21-'Debt'!BT21+'Debt'!BU22-'Debt'!BT22)+'Debt'!BU77+'Debt'!BU78+BU16</f>
      </c>
      <c r="BV60" s="31">
        <f>-BV55-('Debt'!BV18-'Debt'!BU18+'Debt'!BV19-'Debt'!BU19+'Debt'!BV20-'Debt'!BU20+'Debt'!BV21-'Debt'!BU21+'Debt'!BV22-'Debt'!BU22)+'Debt'!BV77+'Debt'!BV78+BV16</f>
      </c>
      <c r="BW60" s="31">
        <f>-BW55-('Debt'!BW18-'Debt'!BV18+'Debt'!BW19-'Debt'!BV19+'Debt'!BW20-'Debt'!BV20+'Debt'!BW21-'Debt'!BV21+'Debt'!BW22-'Debt'!BV22)+'Debt'!BW77+'Debt'!BW78+BW16</f>
      </c>
      <c r="BX60" s="31">
        <f>-BX55-('Debt'!BX18-'Debt'!BW18+'Debt'!BX19-'Debt'!BW19+'Debt'!BX20-'Debt'!BW20+'Debt'!BX21-'Debt'!BW21+'Debt'!BX22-'Debt'!BW22)+'Debt'!BX77+'Debt'!BX78+BX16</f>
      </c>
      <c r="BY60" s="31">
        <f>-BY55-('Debt'!BY18-'Debt'!BX18+'Debt'!BY19-'Debt'!BX19+'Debt'!BY20-'Debt'!BX20+'Debt'!BY21-'Debt'!BX21+'Debt'!BY22-'Debt'!BX22)+'Debt'!BY77+'Debt'!BY78+BY16</f>
      </c>
      <c r="BZ60" s="31">
        <f>-BZ55-('Debt'!BZ18-'Debt'!BY18+'Debt'!BZ19-'Debt'!BY19+'Debt'!BZ20-'Debt'!BY20+'Debt'!BZ21-'Debt'!BY21+'Debt'!BZ22-'Debt'!BY22)+'Debt'!BZ77+'Debt'!BZ78+BZ16</f>
      </c>
      <c r="CA60" s="31">
        <f>-CA55-('Debt'!CA18-'Debt'!BZ18+'Debt'!CA19-'Debt'!BZ19+'Debt'!CA20-'Debt'!BZ20+'Debt'!CA21-'Debt'!BZ21+'Debt'!CA22-'Debt'!BZ22)+'Debt'!CA77+'Debt'!CA78+CA16</f>
      </c>
      <c r="CB60" s="31">
        <f>-CB55-('Debt'!CB18-'Debt'!CA18+'Debt'!CB19-'Debt'!CA19+'Debt'!CB20-'Debt'!CA20+'Debt'!CB21-'Debt'!CA21+'Debt'!CB22-'Debt'!CA22)+'Debt'!CB77+'Debt'!CB78+CB16</f>
      </c>
      <c r="CC60" s="31">
        <f>-CC55-('Debt'!CC18-'Debt'!CB18+'Debt'!CC19-'Debt'!CB19+'Debt'!CC20-'Debt'!CB20+'Debt'!CC21-'Debt'!CB21+'Debt'!CC22-'Debt'!CB22)+'Debt'!CC77+'Debt'!CC78+CC16</f>
      </c>
      <c r="CD60" s="31">
        <f>-CD55-('Debt'!CD18-'Debt'!CC18+'Debt'!CD19-'Debt'!CC19+'Debt'!CD20-'Debt'!CC20+'Debt'!CD21-'Debt'!CC21+'Debt'!CD22-'Debt'!CC22)+'Debt'!CD77+'Debt'!CD78+CD16</f>
      </c>
      <c r="CE60" s="31">
        <f>-CE55-('Debt'!CE18-'Debt'!CD18+'Debt'!CE19-'Debt'!CD19+'Debt'!CE20-'Debt'!CD20+'Debt'!CE21-'Debt'!CD21+'Debt'!CE22-'Debt'!CD22)+'Debt'!CE77+'Debt'!CE78+CE16</f>
      </c>
      <c r="CF60" s="31">
        <f>-CF55-('Debt'!CF18-'Debt'!CE18+'Debt'!CF19-'Debt'!CE19+'Debt'!CF20-'Debt'!CE20+'Debt'!CF21-'Debt'!CE21+'Debt'!CF22-'Debt'!CE22)+'Debt'!CF77+'Debt'!CF78+CF16</f>
      </c>
      <c r="CG60" s="31">
        <f>-CG55-('Debt'!CG18-'Debt'!CF18+'Debt'!CG19-'Debt'!CF19+'Debt'!CG20-'Debt'!CF20+'Debt'!CG21-'Debt'!CF21+'Debt'!CG22-'Debt'!CF22)+'Debt'!CG77+'Debt'!CG78+CG16</f>
      </c>
      <c r="CH60" s="31">
        <f>-CH55-('Debt'!CH18-'Debt'!CG18+'Debt'!CH19-'Debt'!CG19+'Debt'!CH20-'Debt'!CG20+'Debt'!CH21-'Debt'!CG21+'Debt'!CH22-'Debt'!CG22)+'Debt'!CH77+'Debt'!CH78+CH16</f>
      </c>
      <c r="CI60" s="31">
        <f>-CI55-('Debt'!CI18-'Debt'!CH18+'Debt'!CI19-'Debt'!CH19+'Debt'!CI20-'Debt'!CH20+'Debt'!CI21-'Debt'!CH21+'Debt'!CI22-'Debt'!CH22)+'Debt'!CI77+'Debt'!CI78+CI16</f>
      </c>
      <c r="CJ60" s="31">
        <f>-CJ55-('Debt'!CJ18-'Debt'!CI18+'Debt'!CJ19-'Debt'!CI19+'Debt'!CJ20-'Debt'!CI20+'Debt'!CJ21-'Debt'!CI21+'Debt'!CJ22-'Debt'!CI22)+'Debt'!CJ77+'Debt'!CJ78+CJ16</f>
      </c>
      <c r="CK60" s="31">
        <f>-CK55-('Debt'!CK18-'Debt'!CJ18+'Debt'!CK19-'Debt'!CJ19+'Debt'!CK20-'Debt'!CJ20+'Debt'!CK21-'Debt'!CJ21+'Debt'!CK22-'Debt'!CJ22)+'Debt'!CK77+'Debt'!CK78+CK16</f>
      </c>
      <c r="CL60" s="31">
        <f>-CL55-('Debt'!CL18-'Debt'!CK18+'Debt'!CL19-'Debt'!CK19+'Debt'!CL20-'Debt'!CK20+'Debt'!CL21-'Debt'!CK21+'Debt'!CL22-'Debt'!CK22)+'Debt'!CL77+'Debt'!CL78+CL16</f>
      </c>
    </row>
    <row r="62" spans="2:4" x14ac:dyDescent="0.25">
      <c r="B62" s="46" t="s">
        <v>457</v>
      </c>
      <c r="C62" s="34" t="s">
        <v>354</v>
      </c>
      <c r="D62" s="15">
        <f>(1+IRR(E57:CL57,0.020476572460195186))^4-1</f>
      </c>
    </row>
    <row r="63" spans="2:4" x14ac:dyDescent="0.25">
      <c r="B63" s="46" t="s">
        <v>458</v>
      </c>
      <c r="C63" s="34" t="s">
        <v>354</v>
      </c>
      <c r="D63" s="15">
        <f>(1+IRR(E56:CL56,0.01873021186520507))^4-1</f>
      </c>
    </row>
    <row r="64" spans="2:4" x14ac:dyDescent="0.25">
      <c r="B64" s="46" t="s">
        <v>459</v>
      </c>
      <c r="C64" s="34" t="s">
        <v>354</v>
      </c>
      <c r="D64" s="15">
        <f>(1+IRR(E58:CL58,0.029916661783614185))^4-1</f>
      </c>
    </row>
    <row r="65" spans="2:4" x14ac:dyDescent="0.25">
      <c r="B65" s="46" t="s">
        <v>460</v>
      </c>
      <c r="C65" s="34" t="s">
        <v>354</v>
      </c>
      <c r="D65" s="15">
        <f>(1+IRR(E59:CL59,0.024356261515786404))^4-1</f>
      </c>
    </row>
    <row r="66" spans="2:4" x14ac:dyDescent="0.25">
      <c r="B66" s="46" t="s">
        <v>461</v>
      </c>
      <c r="C66" s="34" t="s">
        <v>354</v>
      </c>
      <c r="D66" s="15">
        <f>(1+IRR(E60:CL60,0.01683102724296992))^4-1</f>
      </c>
    </row>
    <row r="68" spans="2:2" x14ac:dyDescent="0.25">
      <c r="B68" s="37" t="s">
        <v>462</v>
      </c>
    </row>
    <row r="71" spans="2:91" x14ac:dyDescent="0.25">
      <c r="B71" s="9" t="s">
        <v>220</v>
      </c>
      <c r="C71" s="10"/>
      <c r="D71" s="43" t="s">
        <v>221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</row>
    <row r="72" spans="2:2" x14ac:dyDescent="0.25">
      <c r="B72" s="37" t="s">
        <v>222</v>
      </c>
    </row>
    <row r="73" spans="2:4" x14ac:dyDescent="0.25">
      <c r="B73" s="33" t="s">
        <v>394</v>
      </c>
      <c r="C73" s="44" t="s">
        <v>395</v>
      </c>
      <c r="D73" s="45">
        <f>'입력값'!C17</f>
      </c>
    </row>
    <row r="74" spans="2:4" x14ac:dyDescent="0.25">
      <c r="B74" s="33" t="s">
        <v>463</v>
      </c>
      <c r="C74" s="44" t="s">
        <v>464</v>
      </c>
      <c r="D74" s="45">
        <f>'입력값'!C25</f>
      </c>
    </row>
    <row r="75" spans="2:4" x14ac:dyDescent="0.25">
      <c r="B75" s="33" t="s">
        <v>465</v>
      </c>
      <c r="C75" s="44" t="s">
        <v>466</v>
      </c>
      <c r="D75" s="66">
        <f>'입력값'!C26</f>
      </c>
    </row>
    <row r="76" spans="2:4" x14ac:dyDescent="0.25">
      <c r="B76" s="33" t="s">
        <v>467</v>
      </c>
      <c r="C76" s="44" t="s">
        <v>468</v>
      </c>
      <c r="D76" s="66">
        <f>'입력값'!C27</f>
      </c>
    </row>
    <row r="77" spans="2:4" x14ac:dyDescent="0.25">
      <c r="B77" s="33" t="s">
        <v>469</v>
      </c>
      <c r="C77" s="44" t="s">
        <v>470</v>
      </c>
      <c r="D77" s="67">
        <f>'입력값'!C28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f>'CF(Q)'!D62</f>
      </c>
    </row>
    <row r="21" spans="2:4" x14ac:dyDescent="0.25">
      <c r="B21" s="5" t="s">
        <v>35</v>
      </c>
      <c r="D21" s="15">
        <f>'CF(Q)'!D63</f>
      </c>
    </row>
    <row r="22" spans="2:4" x14ac:dyDescent="0.25">
      <c r="B22" s="5" t="s">
        <v>36</v>
      </c>
      <c r="D22" s="15">
        <f>'CF(Q)'!D64</f>
      </c>
    </row>
    <row r="23" spans="2:4" x14ac:dyDescent="0.25">
      <c r="B23" s="5" t="s">
        <v>37</v>
      </c>
      <c r="D23" s="15">
        <f>'CF(Q)'!D65</f>
      </c>
    </row>
    <row r="24" spans="2:4" x14ac:dyDescent="0.25">
      <c r="B24" s="5" t="s">
        <v>38</v>
      </c>
      <c r="D24" s="15">
        <f>'CF(Q)'!D66</f>
      </c>
    </row>
    <row r="25" spans="2:4" x14ac:dyDescent="0.25">
      <c r="B25" s="5" t="s">
        <v>39</v>
      </c>
      <c r="D25" s="16">
        <f>'CF(Q)'!D47</f>
      </c>
    </row>
    <row r="26" spans="2:4" x14ac:dyDescent="0.25">
      <c r="B26" s="5" t="s">
        <v>40</v>
      </c>
      <c r="D26" s="16">
        <f>'CF(Q)'!D48</f>
      </c>
    </row>
    <row r="27" spans="2:4" x14ac:dyDescent="0.25">
      <c r="B27" s="5" t="s">
        <v>41</v>
      </c>
      <c r="D27" s="14">
        <f>'Revenue'!D17</f>
      </c>
    </row>
    <row r="28" spans="2:4" x14ac:dyDescent="0.25">
      <c r="B28" s="5" t="s">
        <v>42</v>
      </c>
      <c r="D28" s="14">
        <f>'Opex'!D24</f>
      </c>
    </row>
    <row r="29" spans="2:4" x14ac:dyDescent="0.25">
      <c r="B29" s="5" t="s">
        <v>43</v>
      </c>
      <c r="D29" s="14">
        <f>'Debt'!D77</f>
      </c>
    </row>
    <row r="30" spans="2:4" x14ac:dyDescent="0.25">
      <c r="B30" s="5" t="s">
        <v>44</v>
      </c>
      <c r="D30" s="14">
        <f>-'IS(Q)'!D44</f>
      </c>
    </row>
    <row r="31" spans="2:4" x14ac:dyDescent="0.25">
      <c r="B31" s="5" t="s">
        <v>45</v>
      </c>
      <c r="D31" s="14">
        <f>'CF(Q)'!D16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2026-09-22T10:16:44Z</dcterms:created>
  <dcterms:modified xsi:type="dcterms:W3CDTF">2026-09-22T10:16:44Z</dcterms:modified>
</cp:coreProperties>
</file>