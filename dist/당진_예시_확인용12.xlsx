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9" name="목차" state="visible" r:id="rId4"/>
    <sheet sheetId="8" name="Report" state="visible" r:id="rId5"/>
    <sheet sheetId="1" name="입력값" state="visible" r:id="rId6"/>
    <sheet sheetId="2" name="Funding" state="visible" r:id="rId7"/>
    <sheet sheetId="3" name="Debt" state="visible" r:id="rId8"/>
    <sheet sheetId="4" name="Revenue" state="visible" r:id="rId9"/>
    <sheet sheetId="5" name="Opex" state="visible" r:id="rId10"/>
    <sheet sheetId="6" name="IS(Q)" state="visible" r:id="rId11"/>
    <sheet sheetId="7" name="CF(Q)" state="visible" r:id="rId12"/>
  </sheets>
  <calcPr calcId="171027"/>
</workbook>
</file>

<file path=xl/sharedStrings.xml><?xml version="1.0" encoding="utf-8"?>
<sst xmlns="http://schemas.openxmlformats.org/spreadsheetml/2006/main" count="1471" uniqueCount="400">
  <si>
    <t>당진 태양광발전</t>
  </si>
  <si>
    <t>재무모델 v2 (분기·5트랜치) — 재생E AI Agent 자동생성 · 2026-08-27</t>
  </si>
  <si>
    <t>시트</t>
  </si>
  <si>
    <t>내용</t>
  </si>
  <si>
    <t>Report</t>
  </si>
  <si>
    <t>Executive Summary — 핵심 KPI</t>
  </si>
  <si>
    <t>입력값</t>
  </si>
  <si>
    <t>화면에서 입력한 원본 값 — Funding 등이 이 시트를 참조</t>
  </si>
  <si>
    <t>Funding</t>
  </si>
  <si>
    <t>자금조달 — 자본금 + 5트랜치 조건</t>
  </si>
  <si>
    <t>Debt</t>
  </si>
  <si>
    <t>트랜치별 상환 스케줄 (A/B/C/D/후순위) + 합계</t>
  </si>
  <si>
    <t>Revenue</t>
  </si>
  <si>
    <t>발전량 · 매출</t>
  </si>
  <si>
    <t>Opex</t>
  </si>
  <si>
    <t>운영비 (선순위/후순위)</t>
  </si>
  <si>
    <t>IS(Q)</t>
  </si>
  <si>
    <t>분기 손익계산서</t>
  </si>
  <si>
    <t>CF(Q)</t>
  </si>
  <si>
    <t>분기 현금흐름 · DSCR · 배당</t>
  </si>
  <si>
    <t>※ Funding 시트의 트랜치 조건·총사업비 항목·사업자 지분은 "입력값" 시트를 참조하는 수식입니다(입력값 시트를 고치면 같이 바뀝니다). 그 외 계산 결과(세금·DSCR·배당 등)는 값(baked) 기준이라 가정을 바꾸려면 생성기에서 다시 뽑아야 합니다.</t>
  </si>
  <si>
    <t>Executive Summary (v2 · 분기 · 5트랜치)</t>
  </si>
  <si>
    <t>사업 개요</t>
  </si>
  <si>
    <t>사업명</t>
  </si>
  <si>
    <t>설비용량 [MW]</t>
  </si>
  <si>
    <t>총 기간 수(분기)</t>
  </si>
  <si>
    <t>건설 개시</t>
  </si>
  <si>
    <t>2024-06</t>
  </si>
  <si>
    <t>재원조달</t>
  </si>
  <si>
    <t>총투자비(TIC) [KRWm]</t>
  </si>
  <si>
    <t xml:space="preserve">  건설이자(IDC) [KRWm]</t>
  </si>
  <si>
    <t>자기자본 [KRWm]</t>
  </si>
  <si>
    <t>차입금 합계 [KRWm]</t>
  </si>
  <si>
    <t>수익성 지표</t>
  </si>
  <si>
    <t>Project IRR 세전 [%]</t>
  </si>
  <si>
    <t>Project IRR 세후 [%]</t>
  </si>
  <si>
    <t>Equity IRR (FCFE) [%]</t>
  </si>
  <si>
    <t>Equity IRR (배당) [%]</t>
  </si>
  <si>
    <t>Investor IRR [%]</t>
  </si>
  <si>
    <t>최소 단순DSCR(연 합산) [x]</t>
  </si>
  <si>
    <t>최소 누적DSCR [x]</t>
  </si>
  <si>
    <t>총영업수익(전체기간) [KRWm]</t>
  </si>
  <si>
    <t>총영업비용(전체기간) [KRWm]</t>
  </si>
  <si>
    <t>총선순위이자 [KRWm]</t>
  </si>
  <si>
    <t>총법인세 [KRWm]</t>
  </si>
  <si>
    <t>총배당(연차+청산) [KRWm]</t>
  </si>
  <si>
    <t>입력값 — 화면에서 입력한 값 (다른 시트가 이 시트를 참조)</t>
  </si>
  <si>
    <t>사업 기본 가정</t>
  </si>
  <si>
    <t>설비용량[MW]</t>
  </si>
  <si>
    <t>총사업비[억원]</t>
  </si>
  <si>
    <t>자기자본[억원]</t>
  </si>
  <si>
    <t>판매단가[원/kWh]</t>
  </si>
  <si>
    <t>판매단가 에스컬레이션[%/yr]</t>
  </si>
  <si>
    <t>발전량 열화율[%/yr]</t>
  </si>
  <si>
    <t>소내소비율[%]</t>
  </si>
  <si>
    <t>일조시간[h/day]</t>
  </si>
  <si>
    <t>상각대상액(직접입력)[KRWm]</t>
  </si>
  <si>
    <t>감가상각 내용연수[yr]</t>
  </si>
  <si>
    <t>철거비(복구충당부채)[억원]</t>
  </si>
  <si>
    <t>대리은행수수료(총액)[KRWm]</t>
  </si>
  <si>
    <t>기타 비현금 세무손금(총액)[KRWm]</t>
  </si>
  <si>
    <t>DSRA 최초 적립액[억원]</t>
  </si>
  <si>
    <t>DSRA 적립기준(차기 X개월분)</t>
  </si>
  <si>
    <t>최소 보유현금[억원]</t>
  </si>
  <si>
    <t>배당 게이트 — 단순DSCR 최소치[x]</t>
  </si>
  <si>
    <t>배당 게이트 — 누적DSCR 최소치[x]</t>
  </si>
  <si>
    <t>배당 지급월</t>
  </si>
  <si>
    <t>최초 배당 가능 연도</t>
  </si>
  <si>
    <t>법인세 가정</t>
  </si>
  <si>
    <t>이월결손금 공제한도[%]</t>
  </si>
  <si>
    <t>최저한세율[%]</t>
  </si>
  <si>
    <t>통합투자세액공제율[%]</t>
  </si>
  <si>
    <t>지방소득세율(법인세 대비)[%]</t>
  </si>
  <si>
    <t>세액공제 농특세율[%]</t>
  </si>
  <si>
    <t>건설기간 손실(연도별)</t>
  </si>
  <si>
    <t>연도</t>
  </si>
  <si>
    <t>금액[KRWm]</t>
  </si>
  <si>
    <t>통합투자세액공제 기준액(연도별)</t>
  </si>
  <si>
    <t>판매단가 트랙 (PPA/SMP+REC 등)</t>
  </si>
  <si>
    <t>트랙</t>
  </si>
  <si>
    <t>비중[%]</t>
  </si>
  <si>
    <t>단가[원/kWh]</t>
  </si>
  <si>
    <t>에스컬레이션[%/yr]</t>
  </si>
  <si>
    <t>트랙1</t>
  </si>
  <si>
    <t>트랙2</t>
  </si>
  <si>
    <t>트랙3</t>
  </si>
  <si>
    <t>트랜치 조건</t>
  </si>
  <si>
    <t>트랜치</t>
  </si>
  <si>
    <t>금액[억원]</t>
  </si>
  <si>
    <t>건설금리[%]</t>
  </si>
  <si>
    <t>운영금리[%]</t>
  </si>
  <si>
    <t>거치(yr)</t>
  </si>
  <si>
    <t>상환(yr)</t>
  </si>
  <si>
    <t>방식</t>
  </si>
  <si>
    <t>투입순서</t>
  </si>
  <si>
    <t>선순위A</t>
  </si>
  <si>
    <t>선순위B</t>
  </si>
  <si>
    <t>선순위C</t>
  </si>
  <si>
    <t>선순위D</t>
  </si>
  <si>
    <t>후순위</t>
  </si>
  <si>
    <t>자본금</t>
  </si>
  <si>
    <t>총사업비 지출 스케줄 (건설 분기별 비중)</t>
  </si>
  <si>
    <t>구  분</t>
  </si>
  <si>
    <t>unit</t>
  </si>
  <si>
    <t>합 계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</si>
  <si>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</si>
  <si>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</si>
  <si>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</si>
  <si>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</si>
  <si>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</si>
  <si>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</si>
  <si>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</si>
  <si>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</si>
  <si>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</si>
  <si>
    <t>2026-09-30</t>
  </si>
  <si>
    <t>2026-12-31</t>
  </si>
  <si>
    <t>2027-03-31</t>
  </si>
  <si>
    <t>2027-06-30</t>
  </si>
  <si>
    <t>2027-09-30</t>
  </si>
  <si>
    <t>2027-12-31</t>
  </si>
  <si>
    <t>2028-03-31</t>
  </si>
  <si>
    <t>2028-06-30</t>
  </si>
  <si>
    <t>2028-09-30</t>
  </si>
  <si>
    <t>2028-12-31</t>
  </si>
  <si>
    <t>2029-03-31</t>
  </si>
  <si>
    <t>2029-06-30</t>
  </si>
  <si>
    <t>2029-09-30</t>
  </si>
  <si>
    <t>2029-12-31</t>
  </si>
  <si>
    <t>2030-03-31</t>
  </si>
  <si>
    <t>2030-06-30</t>
  </si>
  <si>
    <t>2030-09-30</t>
  </si>
  <si>
    <t>2030-12-31</t>
  </si>
  <si>
    <t>2031-03-31</t>
  </si>
  <si>
    <t>2031-06-30</t>
  </si>
  <si>
    <t>2031-09-30</t>
  </si>
  <si>
    <t>2031-12-31</t>
  </si>
  <si>
    <t>2032-03-31</t>
  </si>
  <si>
    <t>2032-06-30</t>
  </si>
  <si>
    <t>2032-09-30</t>
  </si>
  <si>
    <t>2032-12-31</t>
  </si>
  <si>
    <t>2033-03-31</t>
  </si>
  <si>
    <t>2033-06-30</t>
  </si>
  <si>
    <t>2033-09-30</t>
  </si>
  <si>
    <t>2033-12-31</t>
  </si>
  <si>
    <t>2034-03-31</t>
  </si>
  <si>
    <t>2034-06-30</t>
  </si>
  <si>
    <t>2034-09-30</t>
  </si>
  <si>
    <t>2034-12-31</t>
  </si>
  <si>
    <t>2035-03-31</t>
  </si>
  <si>
    <t>2035-06-30</t>
  </si>
  <si>
    <t>2035-09-30</t>
  </si>
  <si>
    <t>2035-12-31</t>
  </si>
  <si>
    <t>2036-03-31</t>
  </si>
  <si>
    <t>2036-06-30</t>
  </si>
  <si>
    <t>2036-09-30</t>
  </si>
  <si>
    <t>2036-12-31</t>
  </si>
  <si>
    <t>2037-03-31</t>
  </si>
  <si>
    <t>2037-06-30</t>
  </si>
  <si>
    <t>2037-09-30</t>
  </si>
  <si>
    <t>2037-12-31</t>
  </si>
  <si>
    <t>2038-03-31</t>
  </si>
  <si>
    <t>2038-06-30</t>
  </si>
  <si>
    <t>2038-09-30</t>
  </si>
  <si>
    <t>2038-12-31</t>
  </si>
  <si>
    <t>2039-03-31</t>
  </si>
  <si>
    <t>2039-06-30</t>
  </si>
  <si>
    <t>2039-09-30</t>
  </si>
  <si>
    <t>2039-12-31</t>
  </si>
  <si>
    <t>2040-03-31</t>
  </si>
  <si>
    <t>2040-06-30</t>
  </si>
  <si>
    <t>2040-09-30</t>
  </si>
  <si>
    <t>2040-12-31</t>
  </si>
  <si>
    <t>2041-03-31</t>
  </si>
  <si>
    <t>2041-06-30</t>
  </si>
  <si>
    <t>2041-09-30</t>
  </si>
  <si>
    <t>2041-12-31</t>
  </si>
  <si>
    <t>2042-03-31</t>
  </si>
  <si>
    <t>2042-06-30</t>
  </si>
  <si>
    <t>2042-09-30</t>
  </si>
  <si>
    <t>2042-12-31</t>
  </si>
  <si>
    <t>2043-03-31</t>
  </si>
  <si>
    <t>2043-06-30</t>
  </si>
  <si>
    <t>2043-09-30</t>
  </si>
  <si>
    <t>2043-12-31</t>
  </si>
  <si>
    <t>2044-03-31</t>
  </si>
  <si>
    <t>2044-06-30</t>
  </si>
  <si>
    <t>2044-09-30</t>
  </si>
  <si>
    <t>2044-12-31</t>
  </si>
  <si>
    <t>2045-03-31</t>
  </si>
  <si>
    <t>2045-06-30</t>
  </si>
  <si>
    <t>2045-09-30</t>
  </si>
  <si>
    <t>지출 비중</t>
  </si>
  <si>
    <t>[비율]</t>
  </si>
  <si>
    <t>방식3 상환비율 ("예시 불러오기" 전용 — 원본 상환 스케줄)</t>
  </si>
  <si>
    <t>선순위A 상환비율</t>
  </si>
  <si>
    <t>선순위B 상환비율</t>
  </si>
  <si>
    <t>선순위C 상환비율</t>
  </si>
  <si>
    <t>총사업비 항목</t>
  </si>
  <si>
    <t>항목</t>
  </si>
  <si>
    <t>EPC</t>
  </si>
  <si>
    <t>감리비</t>
  </si>
  <si>
    <t>공사보험료</t>
  </si>
  <si>
    <t>토지임대료(선납)</t>
  </si>
  <si>
    <t>토지임대료(분납)</t>
  </si>
  <si>
    <t>사업개발비</t>
  </si>
  <si>
    <t>민원처리비</t>
  </si>
  <si>
    <t>사업성자문비</t>
  </si>
  <si>
    <t>법인운영비</t>
  </si>
  <si>
    <t>기타예비비</t>
  </si>
  <si>
    <t>신주발행비용</t>
  </si>
  <si>
    <t>금융부대비용</t>
  </si>
  <si>
    <t>운영비 항목</t>
  </si>
  <si>
    <t>연간금액[억원/yr]</t>
  </si>
  <si>
    <t>부지임대료</t>
  </si>
  <si>
    <t>O&amp;M</t>
  </si>
  <si>
    <t>보험료</t>
  </si>
  <si>
    <t>환경모니터링비용</t>
  </si>
  <si>
    <t>소내전력비</t>
  </si>
  <si>
    <t>인건비</t>
  </si>
  <si>
    <t>주민보상비</t>
  </si>
  <si>
    <t>도로점용료</t>
  </si>
  <si>
    <t>예비비</t>
  </si>
  <si>
    <t>전력거래수수료</t>
  </si>
  <si>
    <t>관리운영비 성과보수</t>
  </si>
  <si>
    <t>실측 오버라이드 ("예시 불러오기" 전용 — 공식이 아니라 원본 FS의 분기별 실제값)</t>
  </si>
  <si>
    <t>판매단가(실측)</t>
  </si>
  <si>
    <t>[원/kWh]</t>
  </si>
  <si>
    <t>선순위운영비(실측)</t>
  </si>
  <si>
    <t>[KRWm]</t>
  </si>
  <si>
    <t>후순위운영비(실측)</t>
  </si>
  <si>
    <t>복구충당부채 전입액(실측)</t>
  </si>
  <si>
    <t>대리은행수수료(실측)</t>
  </si>
  <si>
    <t>기타 비현금 세무손금(실측)</t>
  </si>
  <si>
    <t>현금기준 법인세(실측)</t>
  </si>
  <si>
    <t>DSRA FCFE 조정(실측)</t>
  </si>
  <si>
    <t>운전자본 증감(실측)</t>
  </si>
  <si>
    <t>※ 노란색 셀 = 화면에서 직접 key-in했거나("예시 불러오기"의 실측치 포함) 그에 준하는 입력값(재무모델링 관례). 세금·최저한세·배당가능이익 캡 등 IS(Q)/CF(Q)의 계산 결과는 반복계산·조건부 누적 로직이 얽혀 있어 여기 대상이 아니며 값(baked) 기준입니다.</t>
  </si>
  <si>
    <t>자금조달 — 자본금 + 5개 트랜치</t>
  </si>
  <si>
    <t>건설금리</t>
  </si>
  <si>
    <t>운영금리</t>
  </si>
  <si>
    <t>상환개시</t>
  </si>
  <si>
    <t/>
  </si>
  <si>
    <t>-</t>
  </si>
  <si>
    <t>차입금 합계</t>
  </si>
  <si>
    <t>건설이자(IDC)</t>
  </si>
  <si>
    <t>IDC 합계[KRWm]</t>
  </si>
  <si>
    <t>총투자비(TIC)[KRWm]</t>
  </si>
  <si>
    <t>총사업비(건설이자 제외)[KRWm]</t>
  </si>
  <si>
    <t>총사업비 세부내역</t>
  </si>
  <si>
    <t>합계</t>
  </si>
  <si>
    <t>차입금 상환 스케줄 — 건설기간 인출 + 트랜치별 상환</t>
  </si>
  <si>
    <t>건설기간 자금조달 (인출·건설이자)</t>
  </si>
  <si>
    <t>공사비 지출</t>
  </si>
  <si>
    <t>DSRA 적립</t>
  </si>
  <si>
    <t xml:space="preserve">  선순위A 건설이자</t>
  </si>
  <si>
    <t xml:space="preserve">  선순위B 건설이자</t>
  </si>
  <si>
    <t xml:space="preserve">  선순위C 건설이자</t>
  </si>
  <si>
    <t xml:space="preserve">  선순위D 건설이자</t>
  </si>
  <si>
    <t xml:space="preserve">  후순위 건설이자</t>
  </si>
  <si>
    <t>건설이자 합계(당기)</t>
  </si>
  <si>
    <t>누적 소요액</t>
  </si>
  <si>
    <t xml:space="preserve">  자본금 누적인출</t>
  </si>
  <si>
    <t xml:space="preserve">  선순위A 누적인출</t>
  </si>
  <si>
    <t xml:space="preserve">  선순위B 누적인출</t>
  </si>
  <si>
    <t xml:space="preserve">  선순위C 누적인출</t>
  </si>
  <si>
    <t xml:space="preserve">  선순위D 누적인출</t>
  </si>
  <si>
    <t xml:space="preserve">  후순위 누적인출</t>
  </si>
  <si>
    <t>트랜치별 인출/상환 + 전체 합계</t>
  </si>
  <si>
    <t>기초잔액</t>
  </si>
  <si>
    <t>인출</t>
  </si>
  <si>
    <t>이자(운영)</t>
  </si>
  <si>
    <t>원금상환</t>
  </si>
  <si>
    <t>기말잔액</t>
  </si>
  <si>
    <t>미상환 잔액(검증용)</t>
  </si>
  <si>
    <t>※ 방식 3(직접 키인) — 원금상환은 "입력값" 시트의 상환비율 표를 참조하는 수식</t>
  </si>
  <si>
    <t>※ 미사용 트랜치 — 값(baked) 기준</t>
  </si>
  <si>
    <t>전체 합계</t>
  </si>
  <si>
    <t>이자</t>
  </si>
  <si>
    <t>원리금(DS)</t>
  </si>
  <si>
    <t>DSRA 기초잔액</t>
  </si>
  <si>
    <t>DSRA 기말잔액</t>
  </si>
  <si>
    <t>영업수익 추정</t>
  </si>
  <si>
    <t>발전량 및 매출</t>
  </si>
  <si>
    <t>발전량</t>
  </si>
  <si>
    <t>[MWh]</t>
  </si>
  <si>
    <t>판매단가</t>
  </si>
  <si>
    <t>영업수익</t>
  </si>
  <si>
    <t>※ 실측 오버라이드가 적용된 분기는 "판매단가"가 그 분기의 실제 정산단가(실측 사실, baked)이고, "영업수익"은 다른 분기와 동일하게 발전량×판매단가/1000 수식으로 계산됩니다(값은 원본과 그대로 일치).</t>
  </si>
  <si>
    <t>영업비용 추정</t>
  </si>
  <si>
    <t>운영비용 (선순위/후순위 지급순위 반영)</t>
  </si>
  <si>
    <t>항목별 세부내역</t>
  </si>
  <si>
    <t xml:space="preserve">  부지임대료</t>
  </si>
  <si>
    <t xml:space="preserve">  O&amp;M</t>
  </si>
  <si>
    <t xml:space="preserve">  보험료</t>
  </si>
  <si>
    <t xml:space="preserve">  환경모니터링비용</t>
  </si>
  <si>
    <t xml:space="preserve">  소내전력비</t>
  </si>
  <si>
    <t xml:space="preserve">  인건비</t>
  </si>
  <si>
    <t xml:space="preserve">  법인운영비</t>
  </si>
  <si>
    <t xml:space="preserve">  주민보상비</t>
  </si>
  <si>
    <t xml:space="preserve">  도로점용료</t>
  </si>
  <si>
    <t xml:space="preserve">  예비비</t>
  </si>
  <si>
    <t xml:space="preserve">  전력거래수수료</t>
  </si>
  <si>
    <t xml:space="preserve">  관리운영비 성과보수</t>
  </si>
  <si>
    <t>선순위운영비</t>
  </si>
  <si>
    <t>후순위운영비</t>
  </si>
  <si>
    <t>영업비용 합계</t>
  </si>
  <si>
    <t>※ 항목별 실제값이 없는 분기(오버라이드 포함)는 실제 합계("입력값" 시트 참조)를 공식 기준 비중으로 비례 배분한 수식입니다 — 합계 자체는 항상 실제값과 정확히 일치하고, 항목 간 배분만 근사치입니다.</t>
  </si>
  <si>
    <t>추정 손익계산서 (분기)</t>
  </si>
  <si>
    <t>손익계산서</t>
  </si>
  <si>
    <t>영업비용 세부내역</t>
  </si>
  <si>
    <t>EBITDA</t>
  </si>
  <si>
    <t>EBITDA 마진</t>
  </si>
  <si>
    <t>[%]</t>
  </si>
  <si>
    <t>감가상각비</t>
  </si>
  <si>
    <t>복구충당부채 전입액</t>
  </si>
  <si>
    <t>기타 비현금 세무손금</t>
  </si>
  <si>
    <t>대리은행수수료</t>
  </si>
  <si>
    <t>영업이익(EBIT)</t>
  </si>
  <si>
    <t>영업이익률</t>
  </si>
  <si>
    <t>이자비용 세부내역</t>
  </si>
  <si>
    <t xml:space="preserve">  선순위A 이자</t>
  </si>
  <si>
    <t xml:space="preserve">  선순위B 이자</t>
  </si>
  <si>
    <t xml:space="preserve">  선순위C 이자</t>
  </si>
  <si>
    <t xml:space="preserve">  선순위D 이자</t>
  </si>
  <si>
    <t xml:space="preserve">  후순위 이자</t>
  </si>
  <si>
    <t>이자비용 합계</t>
  </si>
  <si>
    <t>법인세차감전순이익</t>
  </si>
  <si>
    <t>법인세비용</t>
  </si>
  <si>
    <t>당기순이익</t>
  </si>
  <si>
    <t>연도별 법인세 산출</t>
  </si>
  <si>
    <t>세무상 과세표준(분기, 연간집계용)</t>
  </si>
  <si>
    <t>과세표준(연간, 손실이월 전)</t>
  </si>
  <si>
    <t>직전 이월결손금(기초)</t>
  </si>
  <si>
    <t>당해 결손금 공제액</t>
  </si>
  <si>
    <t>이월결손금(기말)</t>
  </si>
  <si>
    <t>과세표준(공제후)</t>
  </si>
  <si>
    <t>산출세액</t>
  </si>
  <si>
    <t>최저한세</t>
  </si>
  <si>
    <t>직전 세액공제 잔액(기초)</t>
  </si>
  <si>
    <t>당해 신규 세액공제</t>
  </si>
  <si>
    <t>공제후 세액</t>
  </si>
  <si>
    <t>최종 산출세액(MAX)</t>
  </si>
  <si>
    <t>세액공제 사용액</t>
  </si>
  <si>
    <t>세액공제 잔액(기말)</t>
  </si>
  <si>
    <t>법인세비용(연간)</t>
  </si>
  <si>
    <t>양수 EBT 합(연간, 분기배분용)</t>
  </si>
  <si>
    <t>※ 이월결손금(공제한도 이내)·세액공제(10년 이월, 통합투자세액공제)·최저한세(MAX)를 원본과 같은 순서로 연도 단위 수식 체인으로 계산합니다(반복계산 아님 — Debt 시트의 "기초잔액=직전 기말잔액"과 같은 방식). 분기별 법인세비용은 이 표의 연간 법인세를 그 분기 양수EBT 비중으로 비례배분합니다.</t>
  </si>
  <si>
    <t>※ 영업비용 세부내역은 Opex 시트를 그대로 참조합니다 — 항목별 실제값이 없는 분기(오버라이드 포함)는 실제 합계를 공식 기준 비중으로 비례 배분한 수식이고, 합계 자체는 검증된 실제값과 정확히 일치합니다.</t>
  </si>
  <si>
    <t>추정 현금흐름표 (분기) · DSCR · 배당</t>
  </si>
  <si>
    <t>영업/재무 현금흐름</t>
  </si>
  <si>
    <t>CFADS (원리금상환재원)</t>
  </si>
  <si>
    <t>단순 DSCR</t>
  </si>
  <si>
    <t>[x]</t>
  </si>
  <si>
    <t>FCFE</t>
  </si>
  <si>
    <t>DSRA 증감</t>
  </si>
  <si>
    <t>기초현금</t>
  </si>
  <si>
    <t>배당(연차+청산)</t>
  </si>
  <si>
    <t>기말현금</t>
  </si>
  <si>
    <t>(가용현금=기초현금+FCFE, 내부용)</t>
  </si>
  <si>
    <t>(세금 현금조정, 내부용)</t>
  </si>
  <si>
    <t>(DSRA 기초잔액, 내부용)</t>
  </si>
  <si>
    <t>(DSRA 기말잔액, 내부용)</t>
  </si>
  <si>
    <t>(배당가능이익 누적, 내부용)</t>
  </si>
  <si>
    <t>(이익준비금 누적, 내부용)</t>
  </si>
  <si>
    <t>연도별 DSCR · 배당 게이트</t>
  </si>
  <si>
    <t>원리금 합(연간)</t>
  </si>
  <si>
    <t>CFADS 합(연간)</t>
  </si>
  <si>
    <t>단순 DSCR(연 합산)</t>
  </si>
  <si>
    <t>누적 DSCR(연간)</t>
  </si>
  <si>
    <t>CFADS 합(현금기준, 연간)</t>
  </si>
  <si>
    <t>그 해 첫 운영분기 기초현금+DSRA</t>
  </si>
  <si>
    <t>그 해 첫 운영분기 기초현금</t>
  </si>
  <si>
    <t>그 해 지급월 기초현금-배당</t>
  </si>
  <si>
    <t>단순DSCR 게이트 통과</t>
  </si>
  <si>
    <t>[bool]</t>
  </si>
  <si>
    <t>누적DSCR 게이트 통과</t>
  </si>
  <si>
    <t>배당 결의 가능</t>
  </si>
  <si>
    <t>배당가능이익 한도</t>
  </si>
  <si>
    <t>현금 한도</t>
  </si>
  <si>
    <t>원리금상환재원 기준선</t>
  </si>
  <si>
    <t>원리금상환재원 한도</t>
  </si>
  <si>
    <t>결정 배당액</t>
  </si>
  <si>
    <t>이익준비금 적립액</t>
  </si>
  <si>
    <t>검증</t>
  </si>
  <si>
    <t>최소 단순DSCR(연 합산)</t>
  </si>
  <si>
    <t>최소 누적DSCR</t>
  </si>
  <si>
    <t>최종 기말현금(음수면 오류)</t>
  </si>
  <si>
    <t>IRR용 현금흐름 (참고)</t>
  </si>
  <si>
    <t>자본금 인출</t>
  </si>
  <si>
    <t>Project 현금흐름</t>
  </si>
  <si>
    <t>Project 현금흐름(세전)</t>
  </si>
  <si>
    <t>Equity 현금흐름(FCFE 기준)</t>
  </si>
  <si>
    <t>Equity 현금흐름(배당 기준)</t>
  </si>
  <si>
    <t>Investor 현금흐름</t>
  </si>
  <si>
    <t>Project IRR(세전)</t>
  </si>
  <si>
    <t>Project IRR(세후)</t>
  </si>
  <si>
    <t>Equity IRR(FCFE)</t>
  </si>
  <si>
    <t>Equity IRR(배당)</t>
  </si>
  <si>
    <t>Investor IRR</t>
  </si>
  <si>
    <t>※ IRR()의 두 번째 인자(초기 추정치)에 현재 계산된 값을 넣어 엉뚱한 근으로 수렴하는 걸 방지했습니다. 입력값을 크게 바꿔서 결과가 비정상적으로 크게(수백% 이상) 나오면, 그 근처의 추정치로 다시 만들어야 정확합니다 — 화면(HTML) 값과 대조해서 확인하세요.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</si>
</sst>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.000"/>
    <numFmt numFmtId="165" formatCode="#,##0;(#,##0);&quot;-&quot;"/>
    <numFmt numFmtId="166" formatCode="0.0000&quot;x&quot;"/>
    <numFmt numFmtId="167" formatCode="#,##0.0"/>
    <numFmt numFmtId="168" formatCode="0.000"/>
    <numFmt numFmtId="169" formatCode="0.0"/>
    <numFmt numFmtId="170" formatCode="0.0000"/>
    <numFmt numFmtId="171" formatCode="0.000000"/>
  </numFmts>
  <fonts count="16" x14ac:knownFonts="1">
    <font>
      <color theme="1"/>
      <family val="2"/>
      <scheme val="minor"/>
      <sz val="11"/>
      <name val="Calibri"/>
    </font>
    <font>
      <b/>
      <color rgb="FF14483A"/>
      <sz val="16"/>
      <name val="맑은 고딕"/>
    </font>
    <font>
      <color rgb="FF6B7B76"/>
      <sz val="10"/>
      <name val="맑은 고딕"/>
    </font>
    <font>
      <b/>
      <color rgb="FFFFFFFF"/>
      <sz val="10"/>
      <name val="맑은 고딕"/>
    </font>
    <font>
      <b/>
      <color rgb="FF14483A"/>
      <sz val="10"/>
      <name val="맑은 고딕"/>
    </font>
    <font>
      <sz val="10"/>
      <name val="맑은 고딕"/>
    </font>
    <font>
      <i/>
      <color rgb="FFB4573C"/>
      <sz val="9"/>
      <name val="맑은 고딕"/>
    </font>
    <font>
      <b/>
      <color rgb="FF14483A"/>
      <sz val="13"/>
      <name val="맑은 고딕"/>
    </font>
    <font>
      <b/>
      <color rgb="FF6B7B76"/>
      <sz val="10"/>
      <name val="맑은 고딕"/>
    </font>
    <font>
      <b/>
      <color rgb="FFFFFFFF"/>
      <sz val="11"/>
      <name val="맑은 고딕"/>
    </font>
    <font>
      <b/>
      <color rgb="FF000000"/>
      <sz val="10"/>
      <name val="맑은 고딕"/>
    </font>
    <font>
      <color rgb="FF000000"/>
      <sz val="10"/>
      <name val="맑은 고딕"/>
    </font>
    <font>
      <b/>
      <color rgb="FFFFFFFF"/>
      <sz val="9"/>
      <name val="맑은 고딕"/>
    </font>
    <font>
      <b/>
      <color rgb="FFFFFFFF"/>
      <sz val="8"/>
      <name val="맑은 고딕"/>
    </font>
    <font>
      <color rgb="FF9AA6A1"/>
      <sz val="9"/>
      <name val="맑은 고딕"/>
    </font>
    <font>
      <i/>
      <color rgb="FF9AA6A1"/>
      <sz val="8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14483A"/>
      </patternFill>
    </fill>
    <fill>
      <patternFill patternType="solid">
        <fgColor rgb="FFFFF200"/>
      </patternFill>
    </fill>
    <fill>
      <patternFill patternType="solid">
        <fgColor rgb="FF2E7D62"/>
      </patternFill>
    </fill>
    <fill>
      <patternFill patternType="solid">
        <fgColor rgb="FFE8F1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0" fillId="2" borderId="0" xfId="0" applyFill="1"/>
    <xf numFmtId="49" fontId="10" fillId="0" borderId="0" xfId="0" applyNumberFormat="1" applyFont="1"/>
    <xf numFmtId="164" fontId="10" fillId="0" borderId="0" xfId="0" applyNumberFormat="1" applyFont="1"/>
    <xf numFmtId="1" fontId="10" fillId="0" borderId="0" xfId="0" applyNumberFormat="1" applyFont="1"/>
    <xf numFmtId="165" fontId="10" fillId="0" borderId="0" xfId="0" applyNumberFormat="1" applyFont="1"/>
    <xf numFmtId="10" fontId="10" fillId="0" borderId="0" xfId="0" applyNumberFormat="1" applyFont="1"/>
    <xf numFmtId="166" fontId="10" fillId="0" borderId="0" xfId="0" applyNumberFormat="1" applyFont="1"/>
    <xf numFmtId="49" fontId="11" fillId="3" borderId="0" xfId="0" applyNumberFormat="1" applyFont="1" applyFill="1"/>
    <xf numFmtId="164" fontId="11" fillId="3" borderId="0" xfId="0" applyNumberFormat="1" applyFont="1" applyFill="1"/>
    <xf numFmtId="165" fontId="11" fillId="3" borderId="0" xfId="0" applyNumberFormat="1" applyFont="1" applyFill="1"/>
    <xf numFmtId="167" fontId="11" fillId="3" borderId="0" xfId="0" applyNumberFormat="1" applyFont="1" applyFill="1"/>
    <xf numFmtId="2" fontId="11" fillId="3" borderId="0" xfId="0" applyNumberFormat="1" applyFont="1" applyFill="1"/>
    <xf numFmtId="168" fontId="11" fillId="3" borderId="0" xfId="0" applyNumberFormat="1" applyFont="1" applyFill="1"/>
    <xf numFmtId="169" fontId="11" fillId="3" borderId="0" xfId="0" applyNumberFormat="1" applyFont="1" applyFill="1"/>
    <xf numFmtId="1" fontId="11" fillId="3" borderId="0" xfId="0" applyNumberFormat="1" applyFont="1" applyFill="1"/>
    <xf numFmtId="170" fontId="11" fillId="3" borderId="0" xfId="0" applyNumberFormat="1" applyFont="1" applyFill="1"/>
    <xf numFmtId="0" fontId="12" fillId="4" borderId="0" xfId="0" applyFont="1" applyFill="1" applyAlignment="1">
      <alignment horizontal="center"/>
    </xf>
    <xf numFmtId="10" fontId="11" fillId="3" borderId="0" xfId="0" applyNumberFormat="1" applyFont="1" applyFill="1"/>
    <xf numFmtId="49" fontId="11" fillId="0" borderId="0" xfId="0" applyNumberFormat="1" applyFont="1"/>
    <xf numFmtId="165" fontId="11" fillId="0" borderId="0" xfId="0" applyNumberFormat="1" applyFont="1"/>
    <xf numFmtId="49" fontId="13" fillId="4" borderId="0" xfId="0" applyNumberFormat="1" applyFont="1" applyFill="1" applyAlignment="1">
      <alignment horizontal="center"/>
    </xf>
    <xf numFmtId="0" fontId="11" fillId="0" borderId="0" xfId="0" applyFont="1"/>
    <xf numFmtId="0" fontId="14" fillId="0" borderId="0" xfId="0" applyFont="1" applyAlignment="1">
      <alignment horizontal="center"/>
    </xf>
    <xf numFmtId="171" fontId="11" fillId="0" borderId="0" xfId="0" applyNumberFormat="1" applyFont="1"/>
    <xf numFmtId="171" fontId="11" fillId="3" borderId="0" xfId="0" applyNumberFormat="1" applyFont="1" applyFill="1"/>
    <xf numFmtId="167" fontId="11" fillId="0" borderId="0" xfId="0" applyNumberFormat="1" applyFont="1"/>
    <xf numFmtId="0" fontId="15" fillId="0" borderId="0" xfId="0" applyFont="1"/>
    <xf numFmtId="1" fontId="11" fillId="0" borderId="0" xfId="0" applyNumberFormat="1" applyFont="1"/>
    <xf numFmtId="10" fontId="11" fillId="0" borderId="0" xfId="0" applyNumberFormat="1" applyFont="1"/>
    <xf numFmtId="2" fontId="11" fillId="0" borderId="0" xfId="0" applyNumberFormat="1" applyFont="1"/>
    <xf numFmtId="49" fontId="10" fillId="5" borderId="0" xfId="0" applyNumberFormat="1" applyFont="1" applyFill="1"/>
    <xf numFmtId="165" fontId="10" fillId="5" borderId="0" xfId="0" applyNumberFormat="1" applyFont="1" applyFill="1"/>
    <xf numFmtId="0" fontId="10" fillId="0" borderId="0" xfId="0" applyFont="1"/>
    <xf numFmtId="0" fontId="10" fillId="5" borderId="0" xfId="0" applyFont="1" applyFill="1"/>
    <xf numFmtId="0" fontId="0" fillId="5" borderId="0" xfId="0" applyFill="1"/>
    <xf numFmtId="165" fontId="15" fillId="0" borderId="0" xfId="0" applyNumberFormat="1" applyFont="1"/>
    <xf numFmtId="0" fontId="14" fillId="5" borderId="0" xfId="0" applyFont="1" applyFill="1" applyAlignment="1">
      <alignment horizontal="center"/>
    </xf>
    <xf numFmtId="3" fontId="10" fillId="0" borderId="0" xfId="0" applyNumberFormat="1" applyFont="1"/>
    <xf numFmtId="3" fontId="11" fillId="0" borderId="0" xfId="0" applyNumberFormat="1" applyFont="1"/>
    <xf numFmtId="0" fontId="14" fillId="2" borderId="0" xfId="0" applyFont="1" applyFill="1" applyAlignment="1">
      <alignment horizontal="center"/>
    </xf>
    <xf numFmtId="165" fontId="11" fillId="2" borderId="0" xfId="0" applyNumberFormat="1" applyFont="1" applyFill="1"/>
    <xf numFmtId="166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200"/>
  </sheetPr>
  <dimension ref="A1:CM126"/>
  <sheetFormatPr defaultRowHeight="15" outlineLevelRow="0" outlineLevelCol="0" x14ac:dyDescent="55"/>
  <cols>
    <col min="1" max="1" width="2.5" customWidth="1"/>
    <col min="2" max="2" width="22" customWidth="1"/>
    <col min="3" max="3" width="14" customWidth="1"/>
    <col min="4" max="4" width="12" customWidth="1"/>
    <col min="5" max="90" width="11" customWidth="1"/>
  </cols>
  <sheetData>
    <row r="1" spans="1:1" x14ac:dyDescent="0.25">
      <c r="A1" s="7" t="s">
        <v>0</v>
      </c>
    </row>
    <row r="2" spans="1:1" x14ac:dyDescent="0.25">
      <c r="A2" s="8" t="s">
        <v>46</v>
      </c>
    </row>
    <row r="4" spans="2:91" x14ac:dyDescent="0.25">
      <c r="B4" s="9" t="s">
        <v>47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3" x14ac:dyDescent="0.25">
      <c r="B6" s="5" t="s">
        <v>23</v>
      </c>
      <c r="C6" s="17" t="s">
        <v>0</v>
      </c>
    </row>
    <row r="7" spans="2:3" x14ac:dyDescent="0.25">
      <c r="B7" s="5" t="s">
        <v>48</v>
      </c>
      <c r="C7" s="18">
        <v>99.998</v>
      </c>
    </row>
    <row r="8" spans="2:3" x14ac:dyDescent="0.25">
      <c r="B8" s="5" t="s">
        <v>49</v>
      </c>
      <c r="C8" s="19">
        <v>1410.68821</v>
      </c>
    </row>
    <row r="9" spans="2:3" x14ac:dyDescent="0.25">
      <c r="B9" s="5" t="s">
        <v>50</v>
      </c>
      <c r="C9" s="19">
        <v>150</v>
      </c>
    </row>
    <row r="10" spans="2:3" x14ac:dyDescent="0.25">
      <c r="B10" s="5" t="s">
        <v>51</v>
      </c>
      <c r="C10" s="20"/>
    </row>
    <row r="11" spans="2:3" x14ac:dyDescent="0.25">
      <c r="B11" s="5" t="s">
        <v>52</v>
      </c>
      <c r="C11" s="21"/>
    </row>
    <row r="12" spans="2:3" x14ac:dyDescent="0.25">
      <c r="B12" s="5" t="s">
        <v>53</v>
      </c>
      <c r="C12" s="21">
        <v>0.5</v>
      </c>
    </row>
    <row r="13" spans="2:3" x14ac:dyDescent="0.25">
      <c r="B13" s="5" t="s">
        <v>54</v>
      </c>
      <c r="C13" s="21">
        <v>0</v>
      </c>
    </row>
    <row r="14" spans="2:3" x14ac:dyDescent="0.25">
      <c r="B14" s="5" t="s">
        <v>55</v>
      </c>
      <c r="C14" s="22">
        <v>3.77</v>
      </c>
    </row>
    <row r="15" spans="2:3" x14ac:dyDescent="0.25">
      <c r="B15" s="5" t="s">
        <v>56</v>
      </c>
      <c r="C15" s="19">
        <v>137976.3532745826</v>
      </c>
    </row>
    <row r="16" spans="2:3" x14ac:dyDescent="0.25">
      <c r="B16" s="5" t="s">
        <v>57</v>
      </c>
      <c r="C16" s="23">
        <v>20</v>
      </c>
    </row>
    <row r="17" spans="2:3" x14ac:dyDescent="0.25">
      <c r="B17" s="5" t="s">
        <v>58</v>
      </c>
      <c r="C17" s="19">
        <v>20</v>
      </c>
    </row>
    <row r="18" spans="2:3" x14ac:dyDescent="0.25">
      <c r="B18" s="5" t="s">
        <v>59</v>
      </c>
      <c r="C18" s="19">
        <v>320</v>
      </c>
    </row>
    <row r="19" spans="2:3" x14ac:dyDescent="0.25">
      <c r="B19" s="5" t="s">
        <v>60</v>
      </c>
      <c r="C19" s="19">
        <v>6743.65</v>
      </c>
    </row>
    <row r="20" spans="2:3" x14ac:dyDescent="0.25">
      <c r="B20" s="5" t="s">
        <v>61</v>
      </c>
      <c r="C20" s="19">
        <v>50</v>
      </c>
    </row>
    <row r="21" spans="2:3" x14ac:dyDescent="0.25">
      <c r="B21" s="5" t="s">
        <v>62</v>
      </c>
      <c r="C21" s="24">
        <v>6</v>
      </c>
    </row>
    <row r="22" spans="2:3" x14ac:dyDescent="0.25">
      <c r="B22" s="5" t="s">
        <v>63</v>
      </c>
      <c r="C22" s="19">
        <v>10</v>
      </c>
    </row>
    <row r="23" spans="2:3" x14ac:dyDescent="0.25">
      <c r="B23" s="5" t="s">
        <v>64</v>
      </c>
      <c r="C23" s="25">
        <v>1.1</v>
      </c>
    </row>
    <row r="24" spans="2:3" x14ac:dyDescent="0.25">
      <c r="B24" s="5" t="s">
        <v>65</v>
      </c>
      <c r="C24" s="25">
        <v>1.15</v>
      </c>
    </row>
    <row r="25" spans="2:3" x14ac:dyDescent="0.25">
      <c r="B25" s="5" t="s">
        <v>66</v>
      </c>
      <c r="C25" s="24">
        <v>3</v>
      </c>
    </row>
    <row r="26" spans="2:3" x14ac:dyDescent="0.25">
      <c r="B26" s="5" t="s">
        <v>67</v>
      </c>
      <c r="C26" s="24">
        <v>2028</v>
      </c>
    </row>
    <row r="28" spans="2:91" x14ac:dyDescent="0.25">
      <c r="B28" s="9" t="s">
        <v>68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</row>
    <row r="30" spans="2:3" x14ac:dyDescent="0.25">
      <c r="B30" s="5" t="s">
        <v>69</v>
      </c>
      <c r="C30" s="21">
        <v>80</v>
      </c>
    </row>
    <row r="31" spans="2:3" x14ac:dyDescent="0.25">
      <c r="B31" s="5" t="s">
        <v>70</v>
      </c>
      <c r="C31" s="21">
        <v>10</v>
      </c>
    </row>
    <row r="32" spans="2:3" x14ac:dyDescent="0.25">
      <c r="B32" s="5" t="s">
        <v>71</v>
      </c>
      <c r="C32" s="21">
        <v>1</v>
      </c>
    </row>
    <row r="33" spans="2:3" x14ac:dyDescent="0.25">
      <c r="B33" s="5" t="s">
        <v>72</v>
      </c>
      <c r="C33" s="21">
        <v>10</v>
      </c>
    </row>
    <row r="34" spans="2:3" x14ac:dyDescent="0.25">
      <c r="B34" s="5" t="s">
        <v>73</v>
      </c>
      <c r="C34" s="21">
        <v>20</v>
      </c>
    </row>
    <row r="36" spans="2:91" x14ac:dyDescent="0.25">
      <c r="B36" s="9" t="s">
        <v>74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</row>
    <row r="38" spans="2:3" x14ac:dyDescent="0.25">
      <c r="B38" s="26" t="s">
        <v>75</v>
      </c>
      <c r="C38" s="26" t="s">
        <v>76</v>
      </c>
    </row>
    <row r="39" spans="2:3" x14ac:dyDescent="0.25">
      <c r="B39" s="24">
        <v>2024</v>
      </c>
      <c r="C39" s="19">
        <v>140</v>
      </c>
    </row>
    <row r="40" spans="2:3" x14ac:dyDescent="0.25">
      <c r="B40" s="24">
        <v>2025</v>
      </c>
      <c r="C40" s="19">
        <v>140</v>
      </c>
    </row>
    <row r="42" spans="2:91" x14ac:dyDescent="0.25">
      <c r="B42" s="9" t="s">
        <v>77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</row>
    <row r="44" spans="2:3" x14ac:dyDescent="0.25">
      <c r="B44" s="26" t="s">
        <v>75</v>
      </c>
      <c r="C44" s="26" t="s">
        <v>76</v>
      </c>
    </row>
    <row r="45" spans="2:3" x14ac:dyDescent="0.25">
      <c r="B45" s="24">
        <v>2024</v>
      </c>
      <c r="C45" s="19">
        <v>43600</v>
      </c>
    </row>
    <row r="46" spans="2:3" x14ac:dyDescent="0.25">
      <c r="B46" s="24">
        <v>2025</v>
      </c>
      <c r="C46" s="19">
        <v>65400</v>
      </c>
    </row>
    <row r="48" spans="2:91" x14ac:dyDescent="0.25">
      <c r="B48" s="9" t="s">
        <v>78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</row>
    <row r="50" spans="2:5" x14ac:dyDescent="0.25">
      <c r="B50" s="26" t="s">
        <v>79</v>
      </c>
      <c r="C50" s="26" t="s">
        <v>80</v>
      </c>
      <c r="D50" s="26" t="s">
        <v>81</v>
      </c>
      <c r="E50" s="26" t="s">
        <v>82</v>
      </c>
    </row>
    <row r="51" spans="2:5" x14ac:dyDescent="0.25">
      <c r="B51" s="17" t="s">
        <v>83</v>
      </c>
      <c r="C51" s="21">
        <v>0</v>
      </c>
      <c r="D51" s="20">
        <v>0</v>
      </c>
      <c r="E51" s="21">
        <v>0</v>
      </c>
    </row>
    <row r="52" spans="2:5" x14ac:dyDescent="0.25">
      <c r="B52" s="17" t="s">
        <v>84</v>
      </c>
      <c r="C52" s="21">
        <v>60.001200024000475</v>
      </c>
      <c r="D52" s="20">
        <v>160</v>
      </c>
      <c r="E52" s="21">
        <v>0</v>
      </c>
    </row>
    <row r="53" spans="2:5" x14ac:dyDescent="0.25">
      <c r="B53" s="17" t="s">
        <v>85</v>
      </c>
      <c r="C53" s="21">
        <v>39.998799975999525</v>
      </c>
      <c r="D53" s="20">
        <v>147</v>
      </c>
      <c r="E53" s="21">
        <v>0</v>
      </c>
    </row>
    <row r="55" spans="2:91" x14ac:dyDescent="0.25">
      <c r="B55" s="9" t="s">
        <v>86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</row>
    <row r="57" spans="2:9" x14ac:dyDescent="0.25">
      <c r="B57" s="26" t="s">
        <v>87</v>
      </c>
      <c r="C57" s="26" t="s">
        <v>88</v>
      </c>
      <c r="D57" s="26" t="s">
        <v>89</v>
      </c>
      <c r="E57" s="26" t="s">
        <v>90</v>
      </c>
      <c r="F57" s="26" t="s">
        <v>91</v>
      </c>
      <c r="G57" s="26" t="s">
        <v>92</v>
      </c>
      <c r="H57" s="26" t="s">
        <v>93</v>
      </c>
      <c r="I57" s="26" t="s">
        <v>94</v>
      </c>
    </row>
    <row r="58" spans="2:9" x14ac:dyDescent="0.25">
      <c r="B58" s="17" t="s">
        <v>95</v>
      </c>
      <c r="C58" s="19">
        <v>500</v>
      </c>
      <c r="D58" s="27">
        <v>0.05600000000000001</v>
      </c>
      <c r="E58" s="27">
        <v>0.05600000000000001</v>
      </c>
      <c r="F58" s="21">
        <v>2</v>
      </c>
      <c r="G58" s="21">
        <v>16</v>
      </c>
      <c r="H58" s="24">
        <v>3</v>
      </c>
      <c r="I58" s="24">
        <v>2</v>
      </c>
    </row>
    <row r="59" spans="2:9" x14ac:dyDescent="0.25">
      <c r="B59" s="17" t="s">
        <v>96</v>
      </c>
      <c r="C59" s="19">
        <v>500</v>
      </c>
      <c r="D59" s="27">
        <v>0.055</v>
      </c>
      <c r="E59" s="27">
        <v>0.055</v>
      </c>
      <c r="F59" s="21">
        <v>2</v>
      </c>
      <c r="G59" s="21">
        <v>16</v>
      </c>
      <c r="H59" s="24">
        <v>3</v>
      </c>
      <c r="I59" s="24">
        <v>2</v>
      </c>
    </row>
    <row r="60" spans="2:9" x14ac:dyDescent="0.25">
      <c r="B60" s="17" t="s">
        <v>97</v>
      </c>
      <c r="C60" s="19">
        <v>349.9999950416849</v>
      </c>
      <c r="D60" s="27">
        <v>0.055</v>
      </c>
      <c r="E60" s="27">
        <v>0.055</v>
      </c>
      <c r="F60" s="21">
        <v>1.25</v>
      </c>
      <c r="G60" s="21">
        <v>16</v>
      </c>
      <c r="H60" s="24">
        <v>3</v>
      </c>
      <c r="I60" s="24">
        <v>4</v>
      </c>
    </row>
    <row r="61" spans="2:9" x14ac:dyDescent="0.25">
      <c r="B61" s="17" t="s">
        <v>98</v>
      </c>
      <c r="C61" s="19">
        <v>0</v>
      </c>
      <c r="D61" s="27">
        <v>0.0225</v>
      </c>
      <c r="E61" s="27">
        <v>0.0225</v>
      </c>
      <c r="F61" s="21">
        <v>5</v>
      </c>
      <c r="G61" s="21">
        <v>10</v>
      </c>
      <c r="H61" s="24">
        <v>3</v>
      </c>
      <c r="I61" s="24">
        <v>3</v>
      </c>
    </row>
    <row r="62" spans="2:9" x14ac:dyDescent="0.25">
      <c r="B62" s="17" t="s">
        <v>99</v>
      </c>
      <c r="C62" s="19">
        <v>0</v>
      </c>
      <c r="D62" s="27">
        <v>0.0565</v>
      </c>
      <c r="E62" s="27">
        <v>0.0565</v>
      </c>
      <c r="F62" s="21">
        <v>15</v>
      </c>
      <c r="G62" s="21">
        <v>2.75</v>
      </c>
      <c r="H62" s="24">
        <v>3</v>
      </c>
      <c r="I62" s="24">
        <v>1</v>
      </c>
    </row>
    <row r="63" spans="2:9" x14ac:dyDescent="0.25">
      <c r="B63" s="28" t="s">
        <v>100</v>
      </c>
      <c r="C63" s="29">
        <f>C9</f>
      </c>
      <c r="I63" s="24">
        <v>1</v>
      </c>
    </row>
    <row r="65" spans="2:91" x14ac:dyDescent="0.25">
      <c r="B65" s="9" t="s">
        <v>101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</row>
    <row r="67" spans="2:90" x14ac:dyDescent="0.25">
      <c r="B67" s="26" t="s">
        <v>102</v>
      </c>
      <c r="C67" s="26" t="s">
        <v>103</v>
      </c>
      <c r="D67" s="26" t="s">
        <v>104</v>
      </c>
      <c r="E67" s="30" t="s">
        <v>105</v>
      </c>
      <c r="F67" s="30" t="s">
        <v>106</v>
      </c>
      <c r="G67" s="30" t="s">
        <v>107</v>
      </c>
      <c r="H67" s="30" t="s">
        <v>108</v>
      </c>
      <c r="I67" s="30" t="s">
        <v>109</v>
      </c>
      <c r="J67" s="30" t="s">
        <v>110</v>
      </c>
      <c r="K67" s="30" t="s">
        <v>111</v>
      </c>
      <c r="L67" s="30" t="s">
        <v>112</v>
      </c>
      <c r="M67" s="30" t="s">
        <v>113</v>
      </c>
      <c r="N67" s="30" t="s">
        <v>114</v>
      </c>
      <c r="O67" s="30" t="s">
        <v>115</v>
      </c>
      <c r="P67" s="30" t="s">
        <v>116</v>
      </c>
      <c r="Q67" s="30" t="s">
        <v>117</v>
      </c>
      <c r="R67" s="30" t="s">
        <v>118</v>
      </c>
      <c r="S67" s="30" t="s">
        <v>119</v>
      </c>
      <c r="T67" s="30" t="s">
        <v>120</v>
      </c>
      <c r="U67" s="30" t="s">
        <v>121</v>
      </c>
      <c r="V67" s="30" t="s">
        <v>122</v>
      </c>
      <c r="W67" s="30" t="s">
        <v>123</v>
      </c>
      <c r="X67" s="30" t="s">
        <v>124</v>
      </c>
      <c r="Y67" s="30" t="s">
        <v>125</v>
      </c>
      <c r="Z67" s="30" t="s">
        <v>126</v>
      </c>
      <c r="AA67" s="30" t="s">
        <v>127</v>
      </c>
      <c r="AB67" s="30" t="s">
        <v>128</v>
      </c>
      <c r="AC67" s="30" t="s">
        <v>129</v>
      </c>
      <c r="AD67" s="30" t="s">
        <v>130</v>
      </c>
      <c r="AE67" s="30" t="s">
        <v>131</v>
      </c>
      <c r="AF67" s="30" t="s">
        <v>132</v>
      </c>
      <c r="AG67" s="30" t="s">
        <v>133</v>
      </c>
      <c r="AH67" s="30" t="s">
        <v>134</v>
      </c>
      <c r="AI67" s="30" t="s">
        <v>135</v>
      </c>
      <c r="AJ67" s="30" t="s">
        <v>136</v>
      </c>
      <c r="AK67" s="30" t="s">
        <v>137</v>
      </c>
      <c r="AL67" s="30" t="s">
        <v>138</v>
      </c>
      <c r="AM67" s="30" t="s">
        <v>139</v>
      </c>
      <c r="AN67" s="30" t="s">
        <v>140</v>
      </c>
      <c r="AO67" s="30" t="s">
        <v>141</v>
      </c>
      <c r="AP67" s="30" t="s">
        <v>142</v>
      </c>
      <c r="AQ67" s="30" t="s">
        <v>143</v>
      </c>
      <c r="AR67" s="30" t="s">
        <v>144</v>
      </c>
      <c r="AS67" s="30" t="s">
        <v>145</v>
      </c>
      <c r="AT67" s="30" t="s">
        <v>146</v>
      </c>
      <c r="AU67" s="30" t="s">
        <v>147</v>
      </c>
      <c r="AV67" s="30" t="s">
        <v>148</v>
      </c>
      <c r="AW67" s="30" t="s">
        <v>149</v>
      </c>
      <c r="AX67" s="30" t="s">
        <v>150</v>
      </c>
      <c r="AY67" s="30" t="s">
        <v>151</v>
      </c>
      <c r="AZ67" s="30" t="s">
        <v>152</v>
      </c>
      <c r="BA67" s="30" t="s">
        <v>153</v>
      </c>
      <c r="BB67" s="30" t="s">
        <v>154</v>
      </c>
      <c r="BC67" s="30" t="s">
        <v>155</v>
      </c>
      <c r="BD67" s="30" t="s">
        <v>156</v>
      </c>
      <c r="BE67" s="30" t="s">
        <v>157</v>
      </c>
      <c r="BF67" s="30" t="s">
        <v>158</v>
      </c>
      <c r="BG67" s="30" t="s">
        <v>159</v>
      </c>
      <c r="BH67" s="30" t="s">
        <v>160</v>
      </c>
      <c r="BI67" s="30" t="s">
        <v>161</v>
      </c>
      <c r="BJ67" s="30" t="s">
        <v>162</v>
      </c>
      <c r="BK67" s="30" t="s">
        <v>163</v>
      </c>
      <c r="BL67" s="30" t="s">
        <v>164</v>
      </c>
      <c r="BM67" s="30" t="s">
        <v>165</v>
      </c>
      <c r="BN67" s="30" t="s">
        <v>166</v>
      </c>
      <c r="BO67" s="30" t="s">
        <v>167</v>
      </c>
      <c r="BP67" s="30" t="s">
        <v>168</v>
      </c>
      <c r="BQ67" s="30" t="s">
        <v>169</v>
      </c>
      <c r="BR67" s="30" t="s">
        <v>170</v>
      </c>
      <c r="BS67" s="30" t="s">
        <v>171</v>
      </c>
      <c r="BT67" s="30" t="s">
        <v>172</v>
      </c>
      <c r="BU67" s="30" t="s">
        <v>173</v>
      </c>
      <c r="BV67" s="30" t="s">
        <v>174</v>
      </c>
      <c r="BW67" s="30" t="s">
        <v>175</v>
      </c>
      <c r="BX67" s="30" t="s">
        <v>176</v>
      </c>
      <c r="BY67" s="30" t="s">
        <v>177</v>
      </c>
      <c r="BZ67" s="30" t="s">
        <v>178</v>
      </c>
      <c r="CA67" s="30" t="s">
        <v>179</v>
      </c>
      <c r="CB67" s="30" t="s">
        <v>180</v>
      </c>
      <c r="CC67" s="30" t="s">
        <v>181</v>
      </c>
      <c r="CD67" s="30" t="s">
        <v>182</v>
      </c>
      <c r="CE67" s="30" t="s">
        <v>183</v>
      </c>
      <c r="CF67" s="30" t="s">
        <v>184</v>
      </c>
      <c r="CG67" s="30" t="s">
        <v>185</v>
      </c>
      <c r="CH67" s="30" t="s">
        <v>186</v>
      </c>
      <c r="CI67" s="30" t="s">
        <v>187</v>
      </c>
      <c r="CJ67" s="30" t="s">
        <v>188</v>
      </c>
      <c r="CK67" s="30" t="s">
        <v>189</v>
      </c>
      <c r="CL67" s="30" t="s">
        <v>190</v>
      </c>
    </row>
    <row r="69" spans="2:10" x14ac:dyDescent="0.25">
      <c r="B69" s="31" t="s">
        <v>191</v>
      </c>
      <c r="C69" s="32" t="s">
        <v>192</v>
      </c>
      <c r="D69" s="33">
        <f>SUM(E69:CL69)</f>
      </c>
      <c r="E69" s="34">
        <v>0.24718660347386498</v>
      </c>
      <c r="F69" s="34">
        <v>0.07906099158276023</v>
      </c>
      <c r="G69" s="34">
        <v>0.15756374495538739</v>
      </c>
      <c r="H69" s="34">
        <v>0.15764661231635824</v>
      </c>
      <c r="I69" s="34">
        <v>0.16477795481510052</v>
      </c>
      <c r="J69" s="34">
        <v>0.19376409285652868</v>
      </c>
    </row>
    <row r="71" spans="2:91" x14ac:dyDescent="0.25">
      <c r="B71" s="9" t="s">
        <v>193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</row>
    <row r="73" spans="2:90" x14ac:dyDescent="0.25">
      <c r="B73" s="26" t="s">
        <v>102</v>
      </c>
      <c r="C73" s="26" t="s">
        <v>103</v>
      </c>
      <c r="D73" s="26" t="s">
        <v>104</v>
      </c>
      <c r="E73" s="30" t="s">
        <v>105</v>
      </c>
      <c r="F73" s="30" t="s">
        <v>106</v>
      </c>
      <c r="G73" s="30" t="s">
        <v>107</v>
      </c>
      <c r="H73" s="30" t="s">
        <v>108</v>
      </c>
      <c r="I73" s="30" t="s">
        <v>109</v>
      </c>
      <c r="J73" s="30" t="s">
        <v>110</v>
      </c>
      <c r="K73" s="30" t="s">
        <v>111</v>
      </c>
      <c r="L73" s="30" t="s">
        <v>112</v>
      </c>
      <c r="M73" s="30" t="s">
        <v>113</v>
      </c>
      <c r="N73" s="30" t="s">
        <v>114</v>
      </c>
      <c r="O73" s="30" t="s">
        <v>115</v>
      </c>
      <c r="P73" s="30" t="s">
        <v>116</v>
      </c>
      <c r="Q73" s="30" t="s">
        <v>117</v>
      </c>
      <c r="R73" s="30" t="s">
        <v>118</v>
      </c>
      <c r="S73" s="30" t="s">
        <v>119</v>
      </c>
      <c r="T73" s="30" t="s">
        <v>120</v>
      </c>
      <c r="U73" s="30" t="s">
        <v>121</v>
      </c>
      <c r="V73" s="30" t="s">
        <v>122</v>
      </c>
      <c r="W73" s="30" t="s">
        <v>123</v>
      </c>
      <c r="X73" s="30" t="s">
        <v>124</v>
      </c>
      <c r="Y73" s="30" t="s">
        <v>125</v>
      </c>
      <c r="Z73" s="30" t="s">
        <v>126</v>
      </c>
      <c r="AA73" s="30" t="s">
        <v>127</v>
      </c>
      <c r="AB73" s="30" t="s">
        <v>128</v>
      </c>
      <c r="AC73" s="30" t="s">
        <v>129</v>
      </c>
      <c r="AD73" s="30" t="s">
        <v>130</v>
      </c>
      <c r="AE73" s="30" t="s">
        <v>131</v>
      </c>
      <c r="AF73" s="30" t="s">
        <v>132</v>
      </c>
      <c r="AG73" s="30" t="s">
        <v>133</v>
      </c>
      <c r="AH73" s="30" t="s">
        <v>134</v>
      </c>
      <c r="AI73" s="30" t="s">
        <v>135</v>
      </c>
      <c r="AJ73" s="30" t="s">
        <v>136</v>
      </c>
      <c r="AK73" s="30" t="s">
        <v>137</v>
      </c>
      <c r="AL73" s="30" t="s">
        <v>138</v>
      </c>
      <c r="AM73" s="30" t="s">
        <v>139</v>
      </c>
      <c r="AN73" s="30" t="s">
        <v>140</v>
      </c>
      <c r="AO73" s="30" t="s">
        <v>141</v>
      </c>
      <c r="AP73" s="30" t="s">
        <v>142</v>
      </c>
      <c r="AQ73" s="30" t="s">
        <v>143</v>
      </c>
      <c r="AR73" s="30" t="s">
        <v>144</v>
      </c>
      <c r="AS73" s="30" t="s">
        <v>145</v>
      </c>
      <c r="AT73" s="30" t="s">
        <v>146</v>
      </c>
      <c r="AU73" s="30" t="s">
        <v>147</v>
      </c>
      <c r="AV73" s="30" t="s">
        <v>148</v>
      </c>
      <c r="AW73" s="30" t="s">
        <v>149</v>
      </c>
      <c r="AX73" s="30" t="s">
        <v>150</v>
      </c>
      <c r="AY73" s="30" t="s">
        <v>151</v>
      </c>
      <c r="AZ73" s="30" t="s">
        <v>152</v>
      </c>
      <c r="BA73" s="30" t="s">
        <v>153</v>
      </c>
      <c r="BB73" s="30" t="s">
        <v>154</v>
      </c>
      <c r="BC73" s="30" t="s">
        <v>155</v>
      </c>
      <c r="BD73" s="30" t="s">
        <v>156</v>
      </c>
      <c r="BE73" s="30" t="s">
        <v>157</v>
      </c>
      <c r="BF73" s="30" t="s">
        <v>158</v>
      </c>
      <c r="BG73" s="30" t="s">
        <v>159</v>
      </c>
      <c r="BH73" s="30" t="s">
        <v>160</v>
      </c>
      <c r="BI73" s="30" t="s">
        <v>161</v>
      </c>
      <c r="BJ73" s="30" t="s">
        <v>162</v>
      </c>
      <c r="BK73" s="30" t="s">
        <v>163</v>
      </c>
      <c r="BL73" s="30" t="s">
        <v>164</v>
      </c>
      <c r="BM73" s="30" t="s">
        <v>165</v>
      </c>
      <c r="BN73" s="30" t="s">
        <v>166</v>
      </c>
      <c r="BO73" s="30" t="s">
        <v>167</v>
      </c>
      <c r="BP73" s="30" t="s">
        <v>168</v>
      </c>
      <c r="BQ73" s="30" t="s">
        <v>169</v>
      </c>
      <c r="BR73" s="30" t="s">
        <v>170</v>
      </c>
      <c r="BS73" s="30" t="s">
        <v>171</v>
      </c>
      <c r="BT73" s="30" t="s">
        <v>172</v>
      </c>
      <c r="BU73" s="30" t="s">
        <v>173</v>
      </c>
      <c r="BV73" s="30" t="s">
        <v>174</v>
      </c>
      <c r="BW73" s="30" t="s">
        <v>175</v>
      </c>
      <c r="BX73" s="30" t="s">
        <v>176</v>
      </c>
      <c r="BY73" s="30" t="s">
        <v>177</v>
      </c>
      <c r="BZ73" s="30" t="s">
        <v>178</v>
      </c>
      <c r="CA73" s="30" t="s">
        <v>179</v>
      </c>
      <c r="CB73" s="30" t="s">
        <v>180</v>
      </c>
      <c r="CC73" s="30" t="s">
        <v>181</v>
      </c>
      <c r="CD73" s="30" t="s">
        <v>182</v>
      </c>
      <c r="CE73" s="30" t="s">
        <v>183</v>
      </c>
      <c r="CF73" s="30" t="s">
        <v>184</v>
      </c>
      <c r="CG73" s="30" t="s">
        <v>185</v>
      </c>
      <c r="CH73" s="30" t="s">
        <v>186</v>
      </c>
      <c r="CI73" s="30" t="s">
        <v>187</v>
      </c>
      <c r="CJ73" s="30" t="s">
        <v>188</v>
      </c>
      <c r="CK73" s="30" t="s">
        <v>189</v>
      </c>
      <c r="CL73" s="30" t="s">
        <v>190</v>
      </c>
    </row>
    <row r="75" spans="2:77" x14ac:dyDescent="0.25">
      <c r="B75" s="31" t="s">
        <v>194</v>
      </c>
      <c r="C75" s="32" t="s">
        <v>192</v>
      </c>
      <c r="N75" s="34">
        <v>0.030625</v>
      </c>
      <c r="O75" s="34">
        <v>0.021</v>
      </c>
      <c r="P75" s="34">
        <v>0.013</v>
      </c>
      <c r="Q75" s="34">
        <v>0.013</v>
      </c>
      <c r="R75" s="34">
        <v>0.014</v>
      </c>
      <c r="S75" s="34">
        <v>0.014</v>
      </c>
      <c r="T75" s="34">
        <v>0.014</v>
      </c>
      <c r="U75" s="34">
        <v>0.014</v>
      </c>
      <c r="V75" s="34">
        <v>0.014</v>
      </c>
      <c r="W75" s="34">
        <v>0.014</v>
      </c>
      <c r="X75" s="34">
        <v>0.014</v>
      </c>
      <c r="Y75" s="34">
        <v>0.015</v>
      </c>
      <c r="Z75" s="34">
        <v>0.015</v>
      </c>
      <c r="AA75" s="34">
        <v>0.015</v>
      </c>
      <c r="AB75" s="34">
        <v>0.015</v>
      </c>
      <c r="AC75" s="34">
        <v>0.015</v>
      </c>
      <c r="AD75" s="34">
        <v>0.015</v>
      </c>
      <c r="AE75" s="34">
        <v>0.015625</v>
      </c>
      <c r="AF75" s="34">
        <v>0.015625</v>
      </c>
      <c r="AG75" s="34">
        <v>0.015625</v>
      </c>
      <c r="AH75" s="34">
        <v>0.015625</v>
      </c>
      <c r="AI75" s="34">
        <v>0.015625</v>
      </c>
      <c r="AJ75" s="34">
        <v>0.015625</v>
      </c>
      <c r="AK75" s="34">
        <v>0.015625</v>
      </c>
      <c r="AL75" s="34">
        <v>0.015625</v>
      </c>
      <c r="AM75" s="34">
        <v>0.015625</v>
      </c>
      <c r="AN75" s="34">
        <v>0.015625</v>
      </c>
      <c r="AO75" s="34">
        <v>0.015625</v>
      </c>
      <c r="AP75" s="34">
        <v>0.015625</v>
      </c>
      <c r="AQ75" s="34">
        <v>0.015625</v>
      </c>
      <c r="AR75" s="34">
        <v>0.015625</v>
      </c>
      <c r="AS75" s="34">
        <v>0.015625</v>
      </c>
      <c r="AT75" s="34">
        <v>0.015625</v>
      </c>
      <c r="AU75" s="34">
        <v>0.015625</v>
      </c>
      <c r="AV75" s="34">
        <v>0.015625</v>
      </c>
      <c r="AW75" s="34">
        <v>0.015625</v>
      </c>
      <c r="AX75" s="34">
        <v>0.015625</v>
      </c>
      <c r="AY75" s="34">
        <v>0.015625</v>
      </c>
      <c r="AZ75" s="34">
        <v>0.015625</v>
      </c>
      <c r="BA75" s="34">
        <v>0.015625</v>
      </c>
      <c r="BB75" s="34">
        <v>0.015625</v>
      </c>
      <c r="BC75" s="34">
        <v>0.015625</v>
      </c>
      <c r="BD75" s="34">
        <v>0.015625</v>
      </c>
      <c r="BE75" s="34">
        <v>0.015625</v>
      </c>
      <c r="BF75" s="34">
        <v>0.015625</v>
      </c>
      <c r="BG75" s="34">
        <v>0.015625</v>
      </c>
      <c r="BH75" s="34">
        <v>0.015625</v>
      </c>
      <c r="BI75" s="34">
        <v>0.015625</v>
      </c>
      <c r="BJ75" s="34">
        <v>0.015625</v>
      </c>
      <c r="BK75" s="34">
        <v>0.015625</v>
      </c>
      <c r="BL75" s="34">
        <v>0.015625</v>
      </c>
      <c r="BM75" s="34">
        <v>0.015625</v>
      </c>
      <c r="BN75" s="34">
        <v>0.015625</v>
      </c>
      <c r="BO75" s="34">
        <v>0.015625</v>
      </c>
      <c r="BP75" s="34">
        <v>0.015625</v>
      </c>
      <c r="BQ75" s="34">
        <v>0.015625</v>
      </c>
      <c r="BR75" s="34">
        <v>0.015625</v>
      </c>
      <c r="BS75" s="34">
        <v>0.015625</v>
      </c>
      <c r="BT75" s="34">
        <v>0.015625</v>
      </c>
      <c r="BU75" s="34">
        <v>0.015625</v>
      </c>
      <c r="BV75" s="34">
        <v>0.015625</v>
      </c>
      <c r="BW75" s="34">
        <v>0.015625</v>
      </c>
      <c r="BX75" s="34">
        <v>0.015625</v>
      </c>
      <c r="BY75" s="34">
        <v>0.015625</v>
      </c>
    </row>
    <row r="76" spans="2:77" x14ac:dyDescent="0.25">
      <c r="B76" s="31" t="s">
        <v>195</v>
      </c>
      <c r="C76" s="32" t="s">
        <v>192</v>
      </c>
      <c r="N76" s="34">
        <v>0.030625</v>
      </c>
      <c r="O76" s="34">
        <v>0.021</v>
      </c>
      <c r="P76" s="34">
        <v>0.013</v>
      </c>
      <c r="Q76" s="34">
        <v>0.013</v>
      </c>
      <c r="R76" s="34">
        <v>0.014</v>
      </c>
      <c r="S76" s="34">
        <v>0.014</v>
      </c>
      <c r="T76" s="34">
        <v>0.014</v>
      </c>
      <c r="U76" s="34">
        <v>0.014</v>
      </c>
      <c r="V76" s="34">
        <v>0.014</v>
      </c>
      <c r="W76" s="34">
        <v>0.014</v>
      </c>
      <c r="X76" s="34">
        <v>0.014</v>
      </c>
      <c r="Y76" s="34">
        <v>0.015</v>
      </c>
      <c r="Z76" s="34">
        <v>0.015</v>
      </c>
      <c r="AA76" s="34">
        <v>0.015</v>
      </c>
      <c r="AB76" s="34">
        <v>0.015</v>
      </c>
      <c r="AC76" s="34">
        <v>0.015</v>
      </c>
      <c r="AD76" s="34">
        <v>0.015</v>
      </c>
      <c r="AE76" s="34">
        <v>0.015625</v>
      </c>
      <c r="AF76" s="34">
        <v>0.015625</v>
      </c>
      <c r="AG76" s="34">
        <v>0.015625</v>
      </c>
      <c r="AH76" s="34">
        <v>0.015625</v>
      </c>
      <c r="AI76" s="34">
        <v>0.015625</v>
      </c>
      <c r="AJ76" s="34">
        <v>0.015625</v>
      </c>
      <c r="AK76" s="34">
        <v>0.015625</v>
      </c>
      <c r="AL76" s="34">
        <v>0.015625</v>
      </c>
      <c r="AM76" s="34">
        <v>0.015625</v>
      </c>
      <c r="AN76" s="34">
        <v>0.015625</v>
      </c>
      <c r="AO76" s="34">
        <v>0.015625</v>
      </c>
      <c r="AP76" s="34">
        <v>0.015625</v>
      </c>
      <c r="AQ76" s="34">
        <v>0.015625</v>
      </c>
      <c r="AR76" s="34">
        <v>0.015625</v>
      </c>
      <c r="AS76" s="34">
        <v>0.015625</v>
      </c>
      <c r="AT76" s="34">
        <v>0.015625</v>
      </c>
      <c r="AU76" s="34">
        <v>0.015625</v>
      </c>
      <c r="AV76" s="34">
        <v>0.015625</v>
      </c>
      <c r="AW76" s="34">
        <v>0.015625</v>
      </c>
      <c r="AX76" s="34">
        <v>0.015625</v>
      </c>
      <c r="AY76" s="34">
        <v>0.015625</v>
      </c>
      <c r="AZ76" s="34">
        <v>0.015625</v>
      </c>
      <c r="BA76" s="34">
        <v>0.015625</v>
      </c>
      <c r="BB76" s="34">
        <v>0.015625</v>
      </c>
      <c r="BC76" s="34">
        <v>0.015625</v>
      </c>
      <c r="BD76" s="34">
        <v>0.015625</v>
      </c>
      <c r="BE76" s="34">
        <v>0.015625</v>
      </c>
      <c r="BF76" s="34">
        <v>0.015625</v>
      </c>
      <c r="BG76" s="34">
        <v>0.015625</v>
      </c>
      <c r="BH76" s="34">
        <v>0.015625</v>
      </c>
      <c r="BI76" s="34">
        <v>0.015625</v>
      </c>
      <c r="BJ76" s="34">
        <v>0.015625</v>
      </c>
      <c r="BK76" s="34">
        <v>0.015625</v>
      </c>
      <c r="BL76" s="34">
        <v>0.015625</v>
      </c>
      <c r="BM76" s="34">
        <v>0.015625</v>
      </c>
      <c r="BN76" s="34">
        <v>0.015625</v>
      </c>
      <c r="BO76" s="34">
        <v>0.015625</v>
      </c>
      <c r="BP76" s="34">
        <v>0.015625</v>
      </c>
      <c r="BQ76" s="34">
        <v>0.015625</v>
      </c>
      <c r="BR76" s="34">
        <v>0.015625</v>
      </c>
      <c r="BS76" s="34">
        <v>0.015625</v>
      </c>
      <c r="BT76" s="34">
        <v>0.015625</v>
      </c>
      <c r="BU76" s="34">
        <v>0.015625</v>
      </c>
      <c r="BV76" s="34">
        <v>0.015625</v>
      </c>
      <c r="BW76" s="34">
        <v>0.015625</v>
      </c>
      <c r="BX76" s="34">
        <v>0.015625</v>
      </c>
      <c r="BY76" s="34">
        <v>0.015625</v>
      </c>
    </row>
    <row r="77" spans="2:77" x14ac:dyDescent="0.25">
      <c r="B77" s="31" t="s">
        <v>196</v>
      </c>
      <c r="C77" s="32" t="s">
        <v>192</v>
      </c>
      <c r="N77" s="34">
        <v>0.030625</v>
      </c>
      <c r="O77" s="34">
        <v>0.021</v>
      </c>
      <c r="P77" s="34">
        <v>0.013</v>
      </c>
      <c r="Q77" s="34">
        <v>0.013</v>
      </c>
      <c r="R77" s="34">
        <v>0.014</v>
      </c>
      <c r="S77" s="34">
        <v>0.014</v>
      </c>
      <c r="T77" s="34">
        <v>0.014</v>
      </c>
      <c r="U77" s="34">
        <v>0.014</v>
      </c>
      <c r="V77" s="34">
        <v>0.014</v>
      </c>
      <c r="W77" s="34">
        <v>0.014</v>
      </c>
      <c r="X77" s="34">
        <v>0.014</v>
      </c>
      <c r="Y77" s="34">
        <v>0.015</v>
      </c>
      <c r="Z77" s="34">
        <v>0.015</v>
      </c>
      <c r="AA77" s="34">
        <v>0.015</v>
      </c>
      <c r="AB77" s="34">
        <v>0.015</v>
      </c>
      <c r="AC77" s="34">
        <v>0.015</v>
      </c>
      <c r="AD77" s="34">
        <v>0.015</v>
      </c>
      <c r="AE77" s="34">
        <v>0.015625</v>
      </c>
      <c r="AF77" s="34">
        <v>0.015625</v>
      </c>
      <c r="AG77" s="34">
        <v>0.015625</v>
      </c>
      <c r="AH77" s="34">
        <v>0.015625</v>
      </c>
      <c r="AI77" s="34">
        <v>0.015625</v>
      </c>
      <c r="AJ77" s="34">
        <v>0.015625</v>
      </c>
      <c r="AK77" s="34">
        <v>0.015625</v>
      </c>
      <c r="AL77" s="34">
        <v>0.015625</v>
      </c>
      <c r="AM77" s="34">
        <v>0.015625</v>
      </c>
      <c r="AN77" s="34">
        <v>0.015625</v>
      </c>
      <c r="AO77" s="34">
        <v>0.015625</v>
      </c>
      <c r="AP77" s="34">
        <v>0.015625</v>
      </c>
      <c r="AQ77" s="34">
        <v>0.015625</v>
      </c>
      <c r="AR77" s="34">
        <v>0.015625</v>
      </c>
      <c r="AS77" s="34">
        <v>0.015625</v>
      </c>
      <c r="AT77" s="34">
        <v>0.015625</v>
      </c>
      <c r="AU77" s="34">
        <v>0.015625</v>
      </c>
      <c r="AV77" s="34">
        <v>0.015625</v>
      </c>
      <c r="AW77" s="34">
        <v>0.015625</v>
      </c>
      <c r="AX77" s="34">
        <v>0.015625</v>
      </c>
      <c r="AY77" s="34">
        <v>0.015625</v>
      </c>
      <c r="AZ77" s="34">
        <v>0.015625</v>
      </c>
      <c r="BA77" s="34">
        <v>0.015625</v>
      </c>
      <c r="BB77" s="34">
        <v>0.015625</v>
      </c>
      <c r="BC77" s="34">
        <v>0.015625</v>
      </c>
      <c r="BD77" s="34">
        <v>0.015625</v>
      </c>
      <c r="BE77" s="34">
        <v>0.015625</v>
      </c>
      <c r="BF77" s="34">
        <v>0.015625</v>
      </c>
      <c r="BG77" s="34">
        <v>0.015625</v>
      </c>
      <c r="BH77" s="34">
        <v>0.015625</v>
      </c>
      <c r="BI77" s="34">
        <v>0.015625</v>
      </c>
      <c r="BJ77" s="34">
        <v>0.015625</v>
      </c>
      <c r="BK77" s="34">
        <v>0.015625</v>
      </c>
      <c r="BL77" s="34">
        <v>0.015625</v>
      </c>
      <c r="BM77" s="34">
        <v>0.015625</v>
      </c>
      <c r="BN77" s="34">
        <v>0.015625</v>
      </c>
      <c r="BO77" s="34">
        <v>0.015625</v>
      </c>
      <c r="BP77" s="34">
        <v>0.015625</v>
      </c>
      <c r="BQ77" s="34">
        <v>0.015625</v>
      </c>
      <c r="BR77" s="34">
        <v>0.015625</v>
      </c>
      <c r="BS77" s="34">
        <v>0.015625</v>
      </c>
      <c r="BT77" s="34">
        <v>0.015625</v>
      </c>
      <c r="BU77" s="34">
        <v>0.015625</v>
      </c>
      <c r="BV77" s="34">
        <v>0.015625</v>
      </c>
      <c r="BW77" s="34">
        <v>0.015625</v>
      </c>
      <c r="BX77" s="34">
        <v>0.015625</v>
      </c>
      <c r="BY77" s="34">
        <v>0.015625</v>
      </c>
    </row>
    <row r="79" spans="2:91" x14ac:dyDescent="0.25">
      <c r="B79" s="9" t="s">
        <v>197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</row>
    <row r="81" spans="2:3" x14ac:dyDescent="0.25">
      <c r="B81" s="26" t="s">
        <v>198</v>
      </c>
      <c r="C81" s="26" t="s">
        <v>88</v>
      </c>
    </row>
    <row r="82" spans="2:3" x14ac:dyDescent="0.25">
      <c r="B82" s="17" t="s">
        <v>199</v>
      </c>
      <c r="C82" s="19"/>
    </row>
    <row r="83" spans="2:3" x14ac:dyDescent="0.25">
      <c r="B83" s="17" t="s">
        <v>200</v>
      </c>
      <c r="C83" s="19"/>
    </row>
    <row r="84" spans="2:3" x14ac:dyDescent="0.25">
      <c r="B84" s="17" t="s">
        <v>201</v>
      </c>
      <c r="C84" s="19"/>
    </row>
    <row r="85" spans="2:3" x14ac:dyDescent="0.25">
      <c r="B85" s="17" t="s">
        <v>202</v>
      </c>
      <c r="C85" s="19"/>
    </row>
    <row r="86" spans="2:3" x14ac:dyDescent="0.25">
      <c r="B86" s="17" t="s">
        <v>203</v>
      </c>
      <c r="C86" s="19"/>
    </row>
    <row r="87" spans="2:3" x14ac:dyDescent="0.25">
      <c r="B87" s="17" t="s">
        <v>204</v>
      </c>
      <c r="C87" s="19"/>
    </row>
    <row r="88" spans="2:3" x14ac:dyDescent="0.25">
      <c r="B88" s="17" t="s">
        <v>205</v>
      </c>
      <c r="C88" s="19"/>
    </row>
    <row r="89" spans="2:3" x14ac:dyDescent="0.25">
      <c r="B89" s="17" t="s">
        <v>206</v>
      </c>
      <c r="C89" s="19"/>
    </row>
    <row r="90" spans="2:3" x14ac:dyDescent="0.25">
      <c r="B90" s="17" t="s">
        <v>207</v>
      </c>
      <c r="C90" s="19"/>
    </row>
    <row r="91" spans="2:3" x14ac:dyDescent="0.25">
      <c r="B91" s="17" t="s">
        <v>208</v>
      </c>
      <c r="C91" s="19"/>
    </row>
    <row r="92" spans="2:3" x14ac:dyDescent="0.25">
      <c r="B92" s="17" t="s">
        <v>209</v>
      </c>
      <c r="C92" s="19"/>
    </row>
    <row r="93" spans="2:3" x14ac:dyDescent="0.25">
      <c r="B93" s="17" t="s">
        <v>210</v>
      </c>
      <c r="C93" s="19"/>
    </row>
    <row r="95" spans="2:91" x14ac:dyDescent="0.25">
      <c r="B95" s="9" t="s">
        <v>211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</row>
    <row r="97" spans="2:4" x14ac:dyDescent="0.25">
      <c r="B97" s="26" t="s">
        <v>198</v>
      </c>
      <c r="C97" s="26" t="s">
        <v>212</v>
      </c>
      <c r="D97" s="26" t="s">
        <v>82</v>
      </c>
    </row>
    <row r="98" spans="2:4" x14ac:dyDescent="0.25">
      <c r="B98" s="17" t="s">
        <v>213</v>
      </c>
      <c r="C98" s="19">
        <v>9.555</v>
      </c>
      <c r="D98" s="21">
        <v>0</v>
      </c>
    </row>
    <row r="99" spans="2:4" x14ac:dyDescent="0.25">
      <c r="B99" s="17" t="s">
        <v>214</v>
      </c>
      <c r="C99" s="19">
        <v>15</v>
      </c>
      <c r="D99" s="21">
        <v>1.5</v>
      </c>
    </row>
    <row r="100" spans="2:4" x14ac:dyDescent="0.25">
      <c r="B100" s="17" t="s">
        <v>215</v>
      </c>
      <c r="C100" s="19">
        <v>6.5</v>
      </c>
      <c r="D100" s="21">
        <v>0</v>
      </c>
    </row>
    <row r="101" spans="2:4" x14ac:dyDescent="0.25">
      <c r="B101" s="17" t="s">
        <v>216</v>
      </c>
      <c r="C101" s="19">
        <v>1.095</v>
      </c>
      <c r="D101" s="21">
        <v>0</v>
      </c>
    </row>
    <row r="102" spans="2:4" x14ac:dyDescent="0.25">
      <c r="B102" s="17" t="s">
        <v>217</v>
      </c>
      <c r="C102" s="19">
        <v>2</v>
      </c>
      <c r="D102" s="21">
        <v>2</v>
      </c>
    </row>
    <row r="103" spans="2:4" x14ac:dyDescent="0.25">
      <c r="B103" s="17" t="s">
        <v>218</v>
      </c>
      <c r="C103" s="19">
        <v>2</v>
      </c>
      <c r="D103" s="21">
        <v>2</v>
      </c>
    </row>
    <row r="104" spans="2:4" x14ac:dyDescent="0.25">
      <c r="B104" s="17" t="s">
        <v>207</v>
      </c>
      <c r="C104" s="19">
        <v>1.5</v>
      </c>
      <c r="D104" s="21">
        <v>2</v>
      </c>
    </row>
    <row r="105" spans="2:4" x14ac:dyDescent="0.25">
      <c r="B105" s="17" t="s">
        <v>219</v>
      </c>
      <c r="C105" s="19">
        <v>8</v>
      </c>
      <c r="D105" s="21">
        <v>0</v>
      </c>
    </row>
    <row r="106" spans="2:4" x14ac:dyDescent="0.25">
      <c r="B106" s="17" t="s">
        <v>220</v>
      </c>
      <c r="C106" s="19">
        <v>0.3</v>
      </c>
      <c r="D106" s="21">
        <v>0</v>
      </c>
    </row>
    <row r="107" spans="2:4" x14ac:dyDescent="0.25">
      <c r="B107" s="17" t="s">
        <v>221</v>
      </c>
      <c r="C107" s="19">
        <v>3</v>
      </c>
      <c r="D107" s="21">
        <v>0</v>
      </c>
    </row>
    <row r="108" spans="2:4" x14ac:dyDescent="0.25">
      <c r="B108" s="17" t="s">
        <v>222</v>
      </c>
      <c r="C108" s="19">
        <v>0.21416000000000002</v>
      </c>
      <c r="D108" s="21">
        <v>0</v>
      </c>
    </row>
    <row r="109" spans="2:4" x14ac:dyDescent="0.25">
      <c r="B109" s="17" t="s">
        <v>223</v>
      </c>
      <c r="C109" s="19">
        <v>0</v>
      </c>
      <c r="D109" s="21">
        <v>0</v>
      </c>
    </row>
    <row r="112" spans="2:91" x14ac:dyDescent="0.25">
      <c r="B112" s="9" t="s">
        <v>224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</row>
    <row r="114" spans="2:90" x14ac:dyDescent="0.25">
      <c r="B114" s="26" t="s">
        <v>102</v>
      </c>
      <c r="C114" s="26" t="s">
        <v>103</v>
      </c>
      <c r="D114" s="26" t="s">
        <v>104</v>
      </c>
      <c r="E114" s="30" t="s">
        <v>105</v>
      </c>
      <c r="F114" s="30" t="s">
        <v>106</v>
      </c>
      <c r="G114" s="30" t="s">
        <v>107</v>
      </c>
      <c r="H114" s="30" t="s">
        <v>108</v>
      </c>
      <c r="I114" s="30" t="s">
        <v>109</v>
      </c>
      <c r="J114" s="30" t="s">
        <v>110</v>
      </c>
      <c r="K114" s="30" t="s">
        <v>111</v>
      </c>
      <c r="L114" s="30" t="s">
        <v>112</v>
      </c>
      <c r="M114" s="30" t="s">
        <v>113</v>
      </c>
      <c r="N114" s="30" t="s">
        <v>114</v>
      </c>
      <c r="O114" s="30" t="s">
        <v>115</v>
      </c>
      <c r="P114" s="30" t="s">
        <v>116</v>
      </c>
      <c r="Q114" s="30" t="s">
        <v>117</v>
      </c>
      <c r="R114" s="30" t="s">
        <v>118</v>
      </c>
      <c r="S114" s="30" t="s">
        <v>119</v>
      </c>
      <c r="T114" s="30" t="s">
        <v>120</v>
      </c>
      <c r="U114" s="30" t="s">
        <v>121</v>
      </c>
      <c r="V114" s="30" t="s">
        <v>122</v>
      </c>
      <c r="W114" s="30" t="s">
        <v>123</v>
      </c>
      <c r="X114" s="30" t="s">
        <v>124</v>
      </c>
      <c r="Y114" s="30" t="s">
        <v>125</v>
      </c>
      <c r="Z114" s="30" t="s">
        <v>126</v>
      </c>
      <c r="AA114" s="30" t="s">
        <v>127</v>
      </c>
      <c r="AB114" s="30" t="s">
        <v>128</v>
      </c>
      <c r="AC114" s="30" t="s">
        <v>129</v>
      </c>
      <c r="AD114" s="30" t="s">
        <v>130</v>
      </c>
      <c r="AE114" s="30" t="s">
        <v>131</v>
      </c>
      <c r="AF114" s="30" t="s">
        <v>132</v>
      </c>
      <c r="AG114" s="30" t="s">
        <v>133</v>
      </c>
      <c r="AH114" s="30" t="s">
        <v>134</v>
      </c>
      <c r="AI114" s="30" t="s">
        <v>135</v>
      </c>
      <c r="AJ114" s="30" t="s">
        <v>136</v>
      </c>
      <c r="AK114" s="30" t="s">
        <v>137</v>
      </c>
      <c r="AL114" s="30" t="s">
        <v>138</v>
      </c>
      <c r="AM114" s="30" t="s">
        <v>139</v>
      </c>
      <c r="AN114" s="30" t="s">
        <v>140</v>
      </c>
      <c r="AO114" s="30" t="s">
        <v>141</v>
      </c>
      <c r="AP114" s="30" t="s">
        <v>142</v>
      </c>
      <c r="AQ114" s="30" t="s">
        <v>143</v>
      </c>
      <c r="AR114" s="30" t="s">
        <v>144</v>
      </c>
      <c r="AS114" s="30" t="s">
        <v>145</v>
      </c>
      <c r="AT114" s="30" t="s">
        <v>146</v>
      </c>
      <c r="AU114" s="30" t="s">
        <v>147</v>
      </c>
      <c r="AV114" s="30" t="s">
        <v>148</v>
      </c>
      <c r="AW114" s="30" t="s">
        <v>149</v>
      </c>
      <c r="AX114" s="30" t="s">
        <v>150</v>
      </c>
      <c r="AY114" s="30" t="s">
        <v>151</v>
      </c>
      <c r="AZ114" s="30" t="s">
        <v>152</v>
      </c>
      <c r="BA114" s="30" t="s">
        <v>153</v>
      </c>
      <c r="BB114" s="30" t="s">
        <v>154</v>
      </c>
      <c r="BC114" s="30" t="s">
        <v>155</v>
      </c>
      <c r="BD114" s="30" t="s">
        <v>156</v>
      </c>
      <c r="BE114" s="30" t="s">
        <v>157</v>
      </c>
      <c r="BF114" s="30" t="s">
        <v>158</v>
      </c>
      <c r="BG114" s="30" t="s">
        <v>159</v>
      </c>
      <c r="BH114" s="30" t="s">
        <v>160</v>
      </c>
      <c r="BI114" s="30" t="s">
        <v>161</v>
      </c>
      <c r="BJ114" s="30" t="s">
        <v>162</v>
      </c>
      <c r="BK114" s="30" t="s">
        <v>163</v>
      </c>
      <c r="BL114" s="30" t="s">
        <v>164</v>
      </c>
      <c r="BM114" s="30" t="s">
        <v>165</v>
      </c>
      <c r="BN114" s="30" t="s">
        <v>166</v>
      </c>
      <c r="BO114" s="30" t="s">
        <v>167</v>
      </c>
      <c r="BP114" s="30" t="s">
        <v>168</v>
      </c>
      <c r="BQ114" s="30" t="s">
        <v>169</v>
      </c>
      <c r="BR114" s="30" t="s">
        <v>170</v>
      </c>
      <c r="BS114" s="30" t="s">
        <v>171</v>
      </c>
      <c r="BT114" s="30" t="s">
        <v>172</v>
      </c>
      <c r="BU114" s="30" t="s">
        <v>173</v>
      </c>
      <c r="BV114" s="30" t="s">
        <v>174</v>
      </c>
      <c r="BW114" s="30" t="s">
        <v>175</v>
      </c>
      <c r="BX114" s="30" t="s">
        <v>176</v>
      </c>
      <c r="BY114" s="30" t="s">
        <v>177</v>
      </c>
      <c r="BZ114" s="30" t="s">
        <v>178</v>
      </c>
      <c r="CA114" s="30" t="s">
        <v>179</v>
      </c>
      <c r="CB114" s="30" t="s">
        <v>180</v>
      </c>
      <c r="CC114" s="30" t="s">
        <v>181</v>
      </c>
      <c r="CD114" s="30" t="s">
        <v>182</v>
      </c>
      <c r="CE114" s="30" t="s">
        <v>183</v>
      </c>
      <c r="CF114" s="30" t="s">
        <v>184</v>
      </c>
      <c r="CG114" s="30" t="s">
        <v>185</v>
      </c>
      <c r="CH114" s="30" t="s">
        <v>186</v>
      </c>
      <c r="CI114" s="30" t="s">
        <v>187</v>
      </c>
      <c r="CJ114" s="30" t="s">
        <v>188</v>
      </c>
      <c r="CK114" s="30" t="s">
        <v>189</v>
      </c>
      <c r="CL114" s="30" t="s">
        <v>190</v>
      </c>
    </row>
    <row r="116" spans="2:90" x14ac:dyDescent="0.25">
      <c r="B116" s="31" t="s">
        <v>225</v>
      </c>
      <c r="C116" s="32" t="s">
        <v>226</v>
      </c>
      <c r="E116" s="35"/>
      <c r="F116" s="35"/>
      <c r="G116" s="35"/>
      <c r="H116" s="35"/>
      <c r="I116" s="35"/>
      <c r="J116" s="35"/>
      <c r="K116" s="20">
        <v>154.8001560031201</v>
      </c>
      <c r="L116" s="20">
        <v>154.8001560031201</v>
      </c>
      <c r="M116" s="20">
        <v>154.80015600312007</v>
      </c>
      <c r="N116" s="20">
        <v>154.80015600312007</v>
      </c>
      <c r="O116" s="20">
        <v>154.80015600312007</v>
      </c>
      <c r="P116" s="20">
        <v>154.80015600312007</v>
      </c>
      <c r="Q116" s="20">
        <v>154.80015600312007</v>
      </c>
      <c r="R116" s="20">
        <v>154.8001560031201</v>
      </c>
      <c r="S116" s="20">
        <v>154.80015600312007</v>
      </c>
      <c r="T116" s="20">
        <v>154.80015600312007</v>
      </c>
      <c r="U116" s="20">
        <v>154.80015600312007</v>
      </c>
      <c r="V116" s="20">
        <v>154.8001560031201</v>
      </c>
      <c r="W116" s="20">
        <v>154.80015600312007</v>
      </c>
      <c r="X116" s="20">
        <v>154.80015600312007</v>
      </c>
      <c r="Y116" s="20">
        <v>154.80015600312007</v>
      </c>
      <c r="Z116" s="20">
        <v>154.80015600312007</v>
      </c>
      <c r="AA116" s="20">
        <v>154.80015600312015</v>
      </c>
      <c r="AB116" s="20">
        <v>154.8001560031201</v>
      </c>
      <c r="AC116" s="20">
        <v>154.8001560031201</v>
      </c>
      <c r="AD116" s="20">
        <v>154.80015600312012</v>
      </c>
      <c r="AE116" s="20">
        <v>154.80015600312012</v>
      </c>
      <c r="AF116" s="20">
        <v>154.8001560031201</v>
      </c>
      <c r="AG116" s="20">
        <v>154.8001560031201</v>
      </c>
      <c r="AH116" s="20">
        <v>154.80015600312012</v>
      </c>
      <c r="AI116" s="20">
        <v>154.8001560031201</v>
      </c>
      <c r="AJ116" s="20">
        <v>154.80015600312007</v>
      </c>
      <c r="AK116" s="20">
        <v>154.80015600312007</v>
      </c>
      <c r="AL116" s="20">
        <v>154.8001560031201</v>
      </c>
      <c r="AM116" s="20">
        <v>154.80015600312007</v>
      </c>
      <c r="AN116" s="20">
        <v>154.80015600312012</v>
      </c>
      <c r="AO116" s="20">
        <v>154.80015600312012</v>
      </c>
      <c r="AP116" s="20">
        <v>154.80015600312012</v>
      </c>
      <c r="AQ116" s="20">
        <v>154.80015600312007</v>
      </c>
      <c r="AR116" s="20">
        <v>154.80015600312007</v>
      </c>
      <c r="AS116" s="20">
        <v>154.80015600312007</v>
      </c>
      <c r="AT116" s="20">
        <v>154.80015600312004</v>
      </c>
      <c r="AU116" s="20">
        <v>154.80015600312012</v>
      </c>
      <c r="AV116" s="20">
        <v>154.80015600312012</v>
      </c>
      <c r="AW116" s="20">
        <v>154.8001560031201</v>
      </c>
      <c r="AX116" s="20">
        <v>154.80015600312012</v>
      </c>
      <c r="AY116" s="20">
        <v>154.8001560031201</v>
      </c>
      <c r="AZ116" s="20">
        <v>154.80015600312007</v>
      </c>
      <c r="BA116" s="20">
        <v>154.8001560031201</v>
      </c>
      <c r="BB116" s="20">
        <v>154.8001560031201</v>
      </c>
      <c r="BC116" s="20">
        <v>154.8001560031201</v>
      </c>
      <c r="BD116" s="20">
        <v>154.80015600312007</v>
      </c>
      <c r="BE116" s="20">
        <v>154.8001560031201</v>
      </c>
      <c r="BF116" s="20">
        <v>154.8001560031201</v>
      </c>
      <c r="BG116" s="20">
        <v>154.80015600312012</v>
      </c>
      <c r="BH116" s="20">
        <v>154.80015600312012</v>
      </c>
      <c r="BI116" s="20">
        <v>154.8001560031201</v>
      </c>
      <c r="BJ116" s="20">
        <v>154.8001560031201</v>
      </c>
      <c r="BK116" s="20">
        <v>154.80015600312012</v>
      </c>
      <c r="BL116" s="20">
        <v>154.8001560031201</v>
      </c>
      <c r="BM116" s="20">
        <v>154.80015600312012</v>
      </c>
      <c r="BN116" s="20">
        <v>154.8001560031201</v>
      </c>
      <c r="BO116" s="20">
        <v>154.80015600312007</v>
      </c>
      <c r="BP116" s="20">
        <v>154.8001560031201</v>
      </c>
      <c r="BQ116" s="20">
        <v>154.8001560031201</v>
      </c>
      <c r="BR116" s="20">
        <v>154.8001560031201</v>
      </c>
      <c r="BS116" s="20">
        <v>154.80015600312007</v>
      </c>
      <c r="BT116" s="20">
        <v>154.8001560031201</v>
      </c>
      <c r="BU116" s="20">
        <v>154.80015600312007</v>
      </c>
      <c r="BV116" s="20">
        <v>154.80015600312007</v>
      </c>
      <c r="BW116" s="20">
        <v>154.80015600312007</v>
      </c>
      <c r="BX116" s="20">
        <v>154.80015600312007</v>
      </c>
      <c r="BY116" s="20">
        <v>154.80015600312007</v>
      </c>
      <c r="BZ116" s="20">
        <v>154.8001560031201</v>
      </c>
      <c r="CA116" s="20">
        <v>154.80015600312007</v>
      </c>
      <c r="CB116" s="20">
        <v>154.8001560031201</v>
      </c>
      <c r="CC116" s="20">
        <v>154.80015600312007</v>
      </c>
      <c r="CD116" s="20">
        <v>154.80015600312007</v>
      </c>
      <c r="CE116" s="20">
        <v>154.8001560031201</v>
      </c>
      <c r="CF116" s="20">
        <v>154.80015600312007</v>
      </c>
      <c r="CG116" s="20">
        <v>154.8001560031201</v>
      </c>
      <c r="CH116" s="20">
        <v>154.80015600312007</v>
      </c>
      <c r="CI116" s="20">
        <v>154.80015600312012</v>
      </c>
      <c r="CJ116" s="20">
        <v>154.80015600312007</v>
      </c>
      <c r="CK116" s="20">
        <v>154.80015600312007</v>
      </c>
      <c r="CL116" s="20">
        <v>154.8001560031201</v>
      </c>
    </row>
    <row r="117" spans="2:90" x14ac:dyDescent="0.25">
      <c r="B117" s="31" t="s">
        <v>227</v>
      </c>
      <c r="C117" s="32" t="s">
        <v>228</v>
      </c>
      <c r="E117" s="29"/>
      <c r="F117" s="29"/>
      <c r="G117" s="29"/>
      <c r="H117" s="29"/>
      <c r="I117" s="29"/>
      <c r="J117" s="29"/>
      <c r="K117" s="19">
        <v>625.2770822099923</v>
      </c>
      <c r="L117" s="19">
        <v>625.3895040721566</v>
      </c>
      <c r="M117" s="19">
        <v>1606.8734726527252</v>
      </c>
      <c r="N117" s="19">
        <v>624.944313497986</v>
      </c>
      <c r="O117" s="19">
        <v>628.0006967989423</v>
      </c>
      <c r="P117" s="19">
        <v>628.1125565517957</v>
      </c>
      <c r="Q117" s="19">
        <v>1609.5891052894617</v>
      </c>
      <c r="R117" s="19">
        <v>627.669591930496</v>
      </c>
      <c r="S117" s="19">
        <v>630.7793113878922</v>
      </c>
      <c r="T117" s="19">
        <v>630.8906090314349</v>
      </c>
      <c r="U117" s="19">
        <v>1612.359737926198</v>
      </c>
      <c r="V117" s="19">
        <v>630.449870363006</v>
      </c>
      <c r="W117" s="19">
        <v>626.1140259768423</v>
      </c>
      <c r="X117" s="19">
        <v>626.2247615110741</v>
      </c>
      <c r="Y117" s="19">
        <v>1607.6864705629346</v>
      </c>
      <c r="Z117" s="19">
        <v>625.786248795516</v>
      </c>
      <c r="AA117" s="19">
        <v>629.0059625657924</v>
      </c>
      <c r="AB117" s="19">
        <v>629.1161359907135</v>
      </c>
      <c r="AC117" s="19">
        <v>1610.5704251996708</v>
      </c>
      <c r="AD117" s="19">
        <v>628.6798492280262</v>
      </c>
      <c r="AE117" s="19">
        <v>626.9562655947424</v>
      </c>
      <c r="AF117" s="19">
        <v>627.0658769103526</v>
      </c>
      <c r="AG117" s="19">
        <v>1608.5127462764071</v>
      </c>
      <c r="AH117" s="19">
        <v>626.6318161005363</v>
      </c>
      <c r="AI117" s="19">
        <v>629.9661023924924</v>
      </c>
      <c r="AJ117" s="19">
        <v>630.0751515987918</v>
      </c>
      <c r="AK117" s="19">
        <v>1611.5146011219438</v>
      </c>
      <c r="AL117" s="19">
        <v>629.6433167418462</v>
      </c>
      <c r="AM117" s="19">
        <v>633.0366636344186</v>
      </c>
      <c r="AN117" s="19">
        <v>633.1451507314072</v>
      </c>
      <c r="AO117" s="19">
        <v>1614.5771804116557</v>
      </c>
      <c r="AP117" s="19">
        <v>632.7155418273325</v>
      </c>
      <c r="AQ117" s="19">
        <v>636.1691638094042</v>
      </c>
      <c r="AR117" s="19">
        <v>636.2770887970818</v>
      </c>
      <c r="AS117" s="19">
        <v>1617.7016986344277</v>
      </c>
      <c r="AT117" s="19">
        <v>635.849705845878</v>
      </c>
      <c r="AU117" s="19">
        <v>639.3648416961104</v>
      </c>
      <c r="AV117" s="19">
        <v>639.4722045744772</v>
      </c>
      <c r="AW117" s="19">
        <v>1620.8893945689206</v>
      </c>
      <c r="AX117" s="19">
        <v>639.0470475761443</v>
      </c>
      <c r="AY117" s="19">
        <v>642.6249608487717</v>
      </c>
      <c r="AZ117" s="19">
        <v>642.7317616178278</v>
      </c>
      <c r="BA117" s="19">
        <v>1624.141531769368</v>
      </c>
      <c r="BB117" s="19">
        <v>642.3088305723658</v>
      </c>
      <c r="BC117" s="19">
        <v>645.9508100927075</v>
      </c>
      <c r="BD117" s="19">
        <v>646.0570487524527</v>
      </c>
      <c r="BE117" s="19">
        <v>1627.4593990610897</v>
      </c>
      <c r="BF117" s="19">
        <v>645.6363436598614</v>
      </c>
      <c r="BG117" s="19">
        <v>649.3437040297428</v>
      </c>
      <c r="BH117" s="19">
        <v>649.4493805801771</v>
      </c>
      <c r="BI117" s="19">
        <v>1630.8443110459118</v>
      </c>
      <c r="BJ117" s="19">
        <v>649.0309014404568</v>
      </c>
      <c r="BK117" s="19">
        <v>652.8049835537397</v>
      </c>
      <c r="BL117" s="19">
        <v>652.9100979948633</v>
      </c>
      <c r="BM117" s="19">
        <v>1634.2976086176952</v>
      </c>
      <c r="BN117" s="19">
        <v>652.4938448080138</v>
      </c>
      <c r="BO117" s="19">
        <v>656.3360163764378</v>
      </c>
      <c r="BP117" s="19">
        <v>656.4405687082506</v>
      </c>
      <c r="BQ117" s="19">
        <v>1637.8206594881792</v>
      </c>
      <c r="BR117" s="19">
        <v>656.0265414742719</v>
      </c>
      <c r="BS117" s="19">
        <v>659.9381975638107</v>
      </c>
      <c r="BT117" s="19">
        <v>660.0421877863126</v>
      </c>
      <c r="BU117" s="19">
        <v>1641.414858723339</v>
      </c>
      <c r="BV117" s="19">
        <v>659.6303865052049</v>
      </c>
      <c r="BW117" s="19">
        <v>663.612950083152</v>
      </c>
      <c r="BX117" s="19">
        <v>663.7163781963432</v>
      </c>
      <c r="BY117" s="19">
        <v>1645.0816292904665</v>
      </c>
      <c r="BZ117" s="19">
        <v>663.3068028681062</v>
      </c>
      <c r="CA117" s="19">
        <v>667.3617253611014</v>
      </c>
      <c r="CB117" s="19">
        <v>667.4645913649817</v>
      </c>
      <c r="CC117" s="19">
        <v>1648.8224226162022</v>
      </c>
      <c r="CD117" s="19">
        <v>667.0572419896156</v>
      </c>
      <c r="CE117" s="19">
        <v>671.1860038528306</v>
      </c>
      <c r="CF117" s="19">
        <v>671.2883077474002</v>
      </c>
      <c r="CG117" s="19">
        <v>1652.6387191557174</v>
      </c>
      <c r="CH117" s="19">
        <v>670.8831843249048</v>
      </c>
      <c r="CI117" s="19">
        <v>675.0872956226152</v>
      </c>
      <c r="CJ117" s="19">
        <v>675.1890374078739</v>
      </c>
      <c r="CK117" s="19">
        <v>1166.5320289732886</v>
      </c>
      <c r="CL117" s="19">
        <v>674.7861399382496</v>
      </c>
    </row>
    <row r="118" spans="2:90" x14ac:dyDescent="0.25">
      <c r="B118" s="31" t="s">
        <v>229</v>
      </c>
      <c r="C118" s="32" t="s">
        <v>228</v>
      </c>
      <c r="E118" s="29"/>
      <c r="F118" s="29"/>
      <c r="G118" s="29"/>
      <c r="H118" s="29"/>
      <c r="I118" s="29"/>
      <c r="J118" s="29"/>
      <c r="K118" s="19">
        <v>375</v>
      </c>
      <c r="L118" s="19">
        <v>375</v>
      </c>
      <c r="M118" s="19">
        <v>375</v>
      </c>
      <c r="N118" s="19">
        <v>375</v>
      </c>
      <c r="O118" s="19">
        <v>380.625</v>
      </c>
      <c r="P118" s="19">
        <v>380.625</v>
      </c>
      <c r="Q118" s="19">
        <v>380.625</v>
      </c>
      <c r="R118" s="19">
        <v>380.625</v>
      </c>
      <c r="S118" s="19">
        <v>386.3343749999999</v>
      </c>
      <c r="T118" s="19">
        <v>386.3343749999999</v>
      </c>
      <c r="U118" s="19">
        <v>386.3343749999999</v>
      </c>
      <c r="V118" s="19">
        <v>386.3343749999999</v>
      </c>
      <c r="W118" s="19">
        <v>392.1293906249998</v>
      </c>
      <c r="X118" s="19">
        <v>392.1293906249998</v>
      </c>
      <c r="Y118" s="19">
        <v>392.1293906249998</v>
      </c>
      <c r="Z118" s="19">
        <v>392.1293906249998</v>
      </c>
      <c r="AA118" s="19">
        <v>398.01133148437486</v>
      </c>
      <c r="AB118" s="19">
        <v>398.01133148437475</v>
      </c>
      <c r="AC118" s="19">
        <v>398.01133148437475</v>
      </c>
      <c r="AD118" s="19">
        <v>398.01133148437486</v>
      </c>
      <c r="AE118" s="19">
        <v>403.98150145664033</v>
      </c>
      <c r="AF118" s="19">
        <v>403.98150145664033</v>
      </c>
      <c r="AG118" s="19">
        <v>403.9815014566402</v>
      </c>
      <c r="AH118" s="19">
        <v>403.9815014566402</v>
      </c>
      <c r="AI118" s="19">
        <v>410.04122397848994</v>
      </c>
      <c r="AJ118" s="19">
        <v>410.04122397849005</v>
      </c>
      <c r="AK118" s="19">
        <v>410.0412239784898</v>
      </c>
      <c r="AL118" s="19">
        <v>410.04122397849017</v>
      </c>
      <c r="AM118" s="19">
        <v>416.1918423381669</v>
      </c>
      <c r="AN118" s="19">
        <v>416.1918423381668</v>
      </c>
      <c r="AO118" s="19">
        <v>416.19184233816713</v>
      </c>
      <c r="AP118" s="19">
        <v>416.191842338167</v>
      </c>
      <c r="AQ118" s="19">
        <v>422.4347199732397</v>
      </c>
      <c r="AR118" s="19">
        <v>422.4347199732398</v>
      </c>
      <c r="AS118" s="19">
        <v>422.4347199732397</v>
      </c>
      <c r="AT118" s="19">
        <v>422.4347199732398</v>
      </c>
      <c r="AU118" s="19">
        <v>428.7712407728378</v>
      </c>
      <c r="AV118" s="19">
        <v>428.7712407728379</v>
      </c>
      <c r="AW118" s="19">
        <v>428.77124077283815</v>
      </c>
      <c r="AX118" s="19">
        <v>428.7712407728378</v>
      </c>
      <c r="AY118" s="19">
        <v>435.2028093844308</v>
      </c>
      <c r="AZ118" s="19">
        <v>435.2028093844307</v>
      </c>
      <c r="BA118" s="19">
        <v>435.20280938443034</v>
      </c>
      <c r="BB118" s="19">
        <v>435.2028093844307</v>
      </c>
      <c r="BC118" s="19">
        <v>441.73085152519695</v>
      </c>
      <c r="BD118" s="19">
        <v>441.73085152519695</v>
      </c>
      <c r="BE118" s="19">
        <v>441.7308515251975</v>
      </c>
      <c r="BF118" s="19">
        <v>441.73085152519695</v>
      </c>
      <c r="BG118" s="19">
        <v>448.35681429807494</v>
      </c>
      <c r="BH118" s="19">
        <v>448.35681429807505</v>
      </c>
      <c r="BI118" s="19">
        <v>448.35681429807505</v>
      </c>
      <c r="BJ118" s="19">
        <v>448.35681429807505</v>
      </c>
      <c r="BK118" s="19">
        <v>455.0821665125461</v>
      </c>
      <c r="BL118" s="19">
        <v>455.0821665125462</v>
      </c>
      <c r="BM118" s="19">
        <v>455.08216651254565</v>
      </c>
      <c r="BN118" s="19">
        <v>455.0821665125461</v>
      </c>
      <c r="BO118" s="19">
        <v>461.90839901023423</v>
      </c>
      <c r="BP118" s="19">
        <v>461.90839901023423</v>
      </c>
      <c r="BQ118" s="19">
        <v>461.9083990102347</v>
      </c>
      <c r="BR118" s="19">
        <v>461.90839901023423</v>
      </c>
      <c r="BS118" s="19">
        <v>468.83702499538776</v>
      </c>
      <c r="BT118" s="19">
        <v>468.8370249953879</v>
      </c>
      <c r="BU118" s="19">
        <v>468.83702499538776</v>
      </c>
      <c r="BV118" s="19">
        <v>468.8370249953879</v>
      </c>
      <c r="BW118" s="19">
        <v>475.86958037031866</v>
      </c>
      <c r="BX118" s="19">
        <v>475.8695803703188</v>
      </c>
      <c r="BY118" s="19">
        <v>475.86958037031854</v>
      </c>
      <c r="BZ118" s="19">
        <v>475.8695803703188</v>
      </c>
      <c r="CA118" s="19">
        <v>483.0076240758731</v>
      </c>
      <c r="CB118" s="19">
        <v>483.0076240758731</v>
      </c>
      <c r="CC118" s="19">
        <v>483.00762407587285</v>
      </c>
      <c r="CD118" s="19">
        <v>483.0076240758732</v>
      </c>
      <c r="CE118" s="19">
        <v>490.2527384370111</v>
      </c>
      <c r="CF118" s="19">
        <v>490.2527384370111</v>
      </c>
      <c r="CG118" s="19">
        <v>490.25273843701143</v>
      </c>
      <c r="CH118" s="19">
        <v>490.2527384370111</v>
      </c>
      <c r="CI118" s="19">
        <v>497.6065295135662</v>
      </c>
      <c r="CJ118" s="19">
        <v>497.60652951356633</v>
      </c>
      <c r="CK118" s="19">
        <v>497.60652951356656</v>
      </c>
      <c r="CL118" s="19">
        <v>497.6065295135661</v>
      </c>
    </row>
    <row r="119" spans="2:90" x14ac:dyDescent="0.25">
      <c r="B119" s="31" t="s">
        <v>230</v>
      </c>
      <c r="C119" s="32" t="s">
        <v>228</v>
      </c>
      <c r="E119" s="29"/>
      <c r="F119" s="29"/>
      <c r="G119" s="29"/>
      <c r="H119" s="29"/>
      <c r="I119" s="29"/>
      <c r="J119" s="29"/>
      <c r="K119" s="19">
        <v>25</v>
      </c>
      <c r="L119" s="19">
        <v>25</v>
      </c>
      <c r="M119" s="19">
        <v>25</v>
      </c>
      <c r="N119" s="19">
        <v>25</v>
      </c>
      <c r="O119" s="19">
        <v>25</v>
      </c>
      <c r="P119" s="19">
        <v>25</v>
      </c>
      <c r="Q119" s="19">
        <v>25</v>
      </c>
      <c r="R119" s="19">
        <v>25</v>
      </c>
      <c r="S119" s="19">
        <v>25</v>
      </c>
      <c r="T119" s="19">
        <v>25</v>
      </c>
      <c r="U119" s="19">
        <v>25</v>
      </c>
      <c r="V119" s="19">
        <v>25</v>
      </c>
      <c r="W119" s="19">
        <v>25</v>
      </c>
      <c r="X119" s="19">
        <v>25</v>
      </c>
      <c r="Y119" s="19">
        <v>25</v>
      </c>
      <c r="Z119" s="19">
        <v>25</v>
      </c>
      <c r="AA119" s="19">
        <v>25</v>
      </c>
      <c r="AB119" s="19">
        <v>25</v>
      </c>
      <c r="AC119" s="19">
        <v>25</v>
      </c>
      <c r="AD119" s="19">
        <v>25</v>
      </c>
      <c r="AE119" s="19">
        <v>25</v>
      </c>
      <c r="AF119" s="19">
        <v>25</v>
      </c>
      <c r="AG119" s="19">
        <v>25</v>
      </c>
      <c r="AH119" s="19">
        <v>25</v>
      </c>
      <c r="AI119" s="19">
        <v>25</v>
      </c>
      <c r="AJ119" s="19">
        <v>25</v>
      </c>
      <c r="AK119" s="19">
        <v>25</v>
      </c>
      <c r="AL119" s="19">
        <v>25</v>
      </c>
      <c r="AM119" s="19">
        <v>25</v>
      </c>
      <c r="AN119" s="19">
        <v>25</v>
      </c>
      <c r="AO119" s="19">
        <v>25</v>
      </c>
      <c r="AP119" s="19">
        <v>25</v>
      </c>
      <c r="AQ119" s="19">
        <v>25</v>
      </c>
      <c r="AR119" s="19">
        <v>25</v>
      </c>
      <c r="AS119" s="19">
        <v>25</v>
      </c>
      <c r="AT119" s="19">
        <v>25</v>
      </c>
      <c r="AU119" s="19">
        <v>25</v>
      </c>
      <c r="AV119" s="19">
        <v>25</v>
      </c>
      <c r="AW119" s="19">
        <v>25</v>
      </c>
      <c r="AX119" s="19">
        <v>25</v>
      </c>
      <c r="AY119" s="19">
        <v>25</v>
      </c>
      <c r="AZ119" s="19">
        <v>25</v>
      </c>
      <c r="BA119" s="19">
        <v>25</v>
      </c>
      <c r="BB119" s="19">
        <v>25</v>
      </c>
      <c r="BC119" s="19">
        <v>25</v>
      </c>
      <c r="BD119" s="19">
        <v>25</v>
      </c>
      <c r="BE119" s="19">
        <v>25</v>
      </c>
      <c r="BF119" s="19">
        <v>25</v>
      </c>
      <c r="BG119" s="19">
        <v>25</v>
      </c>
      <c r="BH119" s="19">
        <v>25</v>
      </c>
      <c r="BI119" s="19">
        <v>25</v>
      </c>
      <c r="BJ119" s="19">
        <v>25</v>
      </c>
      <c r="BK119" s="19">
        <v>25</v>
      </c>
      <c r="BL119" s="19">
        <v>25</v>
      </c>
      <c r="BM119" s="19">
        <v>25</v>
      </c>
      <c r="BN119" s="19">
        <v>25</v>
      </c>
      <c r="BO119" s="19">
        <v>25</v>
      </c>
      <c r="BP119" s="19">
        <v>25</v>
      </c>
      <c r="BQ119" s="19">
        <v>25</v>
      </c>
      <c r="BR119" s="19">
        <v>25</v>
      </c>
      <c r="BS119" s="19">
        <v>25</v>
      </c>
      <c r="BT119" s="19">
        <v>25</v>
      </c>
      <c r="BU119" s="19">
        <v>25</v>
      </c>
      <c r="BV119" s="19">
        <v>25</v>
      </c>
      <c r="BW119" s="19">
        <v>25</v>
      </c>
      <c r="BX119" s="19">
        <v>25</v>
      </c>
      <c r="BY119" s="19">
        <v>25</v>
      </c>
      <c r="BZ119" s="19">
        <v>25</v>
      </c>
      <c r="CA119" s="19">
        <v>25</v>
      </c>
      <c r="CB119" s="19">
        <v>25</v>
      </c>
      <c r="CC119" s="19">
        <v>25</v>
      </c>
      <c r="CD119" s="19">
        <v>25</v>
      </c>
      <c r="CE119" s="19">
        <v>25</v>
      </c>
      <c r="CF119" s="19">
        <v>25</v>
      </c>
      <c r="CG119" s="19">
        <v>25</v>
      </c>
      <c r="CH119" s="19">
        <v>25</v>
      </c>
      <c r="CI119" s="19">
        <v>25</v>
      </c>
      <c r="CJ119" s="19">
        <v>25</v>
      </c>
      <c r="CK119" s="19">
        <v>25</v>
      </c>
      <c r="CL119" s="19">
        <v>25</v>
      </c>
    </row>
    <row r="120" spans="2:90" x14ac:dyDescent="0.25">
      <c r="B120" s="31" t="s">
        <v>231</v>
      </c>
      <c r="C120" s="32" t="s">
        <v>228</v>
      </c>
      <c r="E120" s="29"/>
      <c r="F120" s="29"/>
      <c r="G120" s="29"/>
      <c r="H120" s="29"/>
      <c r="I120" s="29"/>
      <c r="J120" s="29"/>
      <c r="K120" s="19">
        <v>0</v>
      </c>
      <c r="L120" s="19">
        <v>0</v>
      </c>
      <c r="M120" s="19">
        <v>20</v>
      </c>
      <c r="N120" s="19">
        <v>0</v>
      </c>
      <c r="O120" s="19">
        <v>0</v>
      </c>
      <c r="P120" s="19">
        <v>0</v>
      </c>
      <c r="Q120" s="19">
        <v>20</v>
      </c>
      <c r="R120" s="19">
        <v>0</v>
      </c>
      <c r="S120" s="19">
        <v>0</v>
      </c>
      <c r="T120" s="19">
        <v>0</v>
      </c>
      <c r="U120" s="19">
        <v>20</v>
      </c>
      <c r="V120" s="19">
        <v>0</v>
      </c>
      <c r="W120" s="19">
        <v>0</v>
      </c>
      <c r="X120" s="19">
        <v>0</v>
      </c>
      <c r="Y120" s="19">
        <v>20</v>
      </c>
      <c r="Z120" s="19">
        <v>0</v>
      </c>
      <c r="AA120" s="19">
        <v>0</v>
      </c>
      <c r="AB120" s="19">
        <v>0</v>
      </c>
      <c r="AC120" s="19">
        <v>20</v>
      </c>
      <c r="AD120" s="19">
        <v>0</v>
      </c>
      <c r="AE120" s="19">
        <v>0</v>
      </c>
      <c r="AF120" s="19">
        <v>0</v>
      </c>
      <c r="AG120" s="19">
        <v>20</v>
      </c>
      <c r="AH120" s="19">
        <v>0</v>
      </c>
      <c r="AI120" s="19">
        <v>0</v>
      </c>
      <c r="AJ120" s="19">
        <v>0</v>
      </c>
      <c r="AK120" s="19">
        <v>20</v>
      </c>
      <c r="AL120" s="19">
        <v>0</v>
      </c>
      <c r="AM120" s="19">
        <v>0</v>
      </c>
      <c r="AN120" s="19">
        <v>0</v>
      </c>
      <c r="AO120" s="19">
        <v>20</v>
      </c>
      <c r="AP120" s="19">
        <v>0</v>
      </c>
      <c r="AQ120" s="19">
        <v>0</v>
      </c>
      <c r="AR120" s="19">
        <v>0</v>
      </c>
      <c r="AS120" s="19">
        <v>20</v>
      </c>
      <c r="AT120" s="19">
        <v>0</v>
      </c>
      <c r="AU120" s="19">
        <v>0</v>
      </c>
      <c r="AV120" s="19">
        <v>0</v>
      </c>
      <c r="AW120" s="19">
        <v>20</v>
      </c>
      <c r="AX120" s="19">
        <v>0</v>
      </c>
      <c r="AY120" s="19">
        <v>0</v>
      </c>
      <c r="AZ120" s="19">
        <v>0</v>
      </c>
      <c r="BA120" s="19">
        <v>20</v>
      </c>
      <c r="BB120" s="19">
        <v>0</v>
      </c>
      <c r="BC120" s="19">
        <v>0</v>
      </c>
      <c r="BD120" s="19">
        <v>0</v>
      </c>
      <c r="BE120" s="19">
        <v>20</v>
      </c>
      <c r="BF120" s="19">
        <v>0</v>
      </c>
      <c r="BG120" s="19">
        <v>0</v>
      </c>
      <c r="BH120" s="19">
        <v>0</v>
      </c>
      <c r="BI120" s="19">
        <v>20</v>
      </c>
      <c r="BJ120" s="19">
        <v>0</v>
      </c>
      <c r="BK120" s="19">
        <v>0</v>
      </c>
      <c r="BL120" s="19">
        <v>0</v>
      </c>
      <c r="BM120" s="19">
        <v>20</v>
      </c>
      <c r="BN120" s="19">
        <v>0</v>
      </c>
      <c r="BO120" s="19">
        <v>0</v>
      </c>
      <c r="BP120" s="19">
        <v>0</v>
      </c>
      <c r="BQ120" s="19">
        <v>20</v>
      </c>
      <c r="BR120" s="19">
        <v>0</v>
      </c>
      <c r="BS120" s="19">
        <v>0</v>
      </c>
      <c r="BT120" s="19">
        <v>0</v>
      </c>
      <c r="BU120" s="19">
        <v>20</v>
      </c>
      <c r="BV120" s="19">
        <v>0</v>
      </c>
      <c r="BW120" s="19">
        <v>0</v>
      </c>
      <c r="BX120" s="19">
        <v>0</v>
      </c>
      <c r="BY120" s="19">
        <v>0</v>
      </c>
      <c r="BZ120" s="19">
        <v>0</v>
      </c>
      <c r="CA120" s="19">
        <v>0</v>
      </c>
      <c r="CB120" s="19">
        <v>0</v>
      </c>
      <c r="CC120" s="19">
        <v>0</v>
      </c>
      <c r="CD120" s="19">
        <v>0</v>
      </c>
      <c r="CE120" s="19">
        <v>0</v>
      </c>
      <c r="CF120" s="19">
        <v>0</v>
      </c>
      <c r="CG120" s="19">
        <v>0</v>
      </c>
      <c r="CH120" s="19">
        <v>0</v>
      </c>
      <c r="CI120" s="19">
        <v>0</v>
      </c>
      <c r="CJ120" s="19">
        <v>0</v>
      </c>
      <c r="CK120" s="19">
        <v>0</v>
      </c>
      <c r="CL120" s="19">
        <v>0</v>
      </c>
    </row>
    <row r="121" spans="2:90" x14ac:dyDescent="0.25">
      <c r="B121" s="31" t="s">
        <v>232</v>
      </c>
      <c r="C121" s="32" t="s">
        <v>228</v>
      </c>
      <c r="E121" s="29"/>
      <c r="F121" s="29"/>
      <c r="G121" s="29"/>
      <c r="H121" s="29"/>
      <c r="I121" s="29"/>
      <c r="J121" s="29"/>
      <c r="K121" s="19">
        <v>328.7541972154121</v>
      </c>
      <c r="L121" s="19">
        <v>328.7541972154122</v>
      </c>
      <c r="M121" s="19">
        <v>-651.2458027845878</v>
      </c>
      <c r="N121" s="19">
        <v>328.7541972154121</v>
      </c>
      <c r="O121" s="19">
        <v>328.754197215412</v>
      </c>
      <c r="P121" s="19">
        <v>328.754197215412</v>
      </c>
      <c r="Q121" s="19">
        <v>-651.245802784588</v>
      </c>
      <c r="R121" s="19">
        <v>328.75419721541186</v>
      </c>
      <c r="S121" s="19">
        <v>328.7541972154122</v>
      </c>
      <c r="T121" s="19">
        <v>328.7541972154122</v>
      </c>
      <c r="U121" s="19">
        <v>-651.245802784588</v>
      </c>
      <c r="V121" s="19">
        <v>328.7541972154121</v>
      </c>
      <c r="W121" s="19">
        <v>328.7541972154121</v>
      </c>
      <c r="X121" s="19">
        <v>328.7541972154122</v>
      </c>
      <c r="Y121" s="19">
        <v>-651.245802784588</v>
      </c>
      <c r="Z121" s="19">
        <v>328.7541972154122</v>
      </c>
      <c r="AA121" s="19">
        <v>328.7541972154122</v>
      </c>
      <c r="AB121" s="19">
        <v>328.7541972154122</v>
      </c>
      <c r="AC121" s="19">
        <v>-651.2458027845876</v>
      </c>
      <c r="AD121" s="19">
        <v>328.7541972154122</v>
      </c>
      <c r="AE121" s="19">
        <v>328.7541972154122</v>
      </c>
      <c r="AF121" s="19">
        <v>328.7541972154122</v>
      </c>
      <c r="AG121" s="19">
        <v>-651.2458027845878</v>
      </c>
      <c r="AH121" s="19">
        <v>328.7541972154122</v>
      </c>
      <c r="AI121" s="19">
        <v>328.7541972154122</v>
      </c>
      <c r="AJ121" s="19">
        <v>328.7541972154122</v>
      </c>
      <c r="AK121" s="19">
        <v>-651.2458027845878</v>
      </c>
      <c r="AL121" s="19">
        <v>328.7541972154122</v>
      </c>
      <c r="AM121" s="19">
        <v>328.7541972154122</v>
      </c>
      <c r="AN121" s="19">
        <v>328.7541972154122</v>
      </c>
      <c r="AO121" s="19">
        <v>-651.2458027845878</v>
      </c>
      <c r="AP121" s="19">
        <v>328.7541972154122</v>
      </c>
      <c r="AQ121" s="19">
        <v>328.754197215412</v>
      </c>
      <c r="AR121" s="19">
        <v>328.754197215412</v>
      </c>
      <c r="AS121" s="19">
        <v>-651.2458027845878</v>
      </c>
      <c r="AT121" s="19">
        <v>328.754197215412</v>
      </c>
      <c r="AU121" s="19">
        <v>328.75419721541243</v>
      </c>
      <c r="AV121" s="19">
        <v>328.75419721541243</v>
      </c>
      <c r="AW121" s="19">
        <v>-651.245802784588</v>
      </c>
      <c r="AX121" s="19">
        <v>328.75419721541243</v>
      </c>
      <c r="AY121" s="19">
        <v>328.7541972154122</v>
      </c>
      <c r="AZ121" s="19">
        <v>328.7541972154122</v>
      </c>
      <c r="BA121" s="19">
        <v>-651.2458027845871</v>
      </c>
      <c r="BB121" s="19">
        <v>328.7541972154122</v>
      </c>
      <c r="BC121" s="19">
        <v>328.7541972154122</v>
      </c>
      <c r="BD121" s="19">
        <v>328.7541972154122</v>
      </c>
      <c r="BE121" s="19">
        <v>-651.245802784588</v>
      </c>
      <c r="BF121" s="19">
        <v>328.7541972154122</v>
      </c>
      <c r="BG121" s="19">
        <v>328.754197215412</v>
      </c>
      <c r="BH121" s="19">
        <v>328.754197215412</v>
      </c>
      <c r="BI121" s="19">
        <v>-651.245802784588</v>
      </c>
      <c r="BJ121" s="19">
        <v>328.754197215412</v>
      </c>
      <c r="BK121" s="19">
        <v>328.7541972154122</v>
      </c>
      <c r="BL121" s="19">
        <v>328.7541972154122</v>
      </c>
      <c r="BM121" s="19">
        <v>-651.2458027845873</v>
      </c>
      <c r="BN121" s="19">
        <v>328.7541972154122</v>
      </c>
      <c r="BO121" s="19">
        <v>328.754197215412</v>
      </c>
      <c r="BP121" s="19">
        <v>328.754197215412</v>
      </c>
      <c r="BQ121" s="19">
        <v>-651.2458027845882</v>
      </c>
      <c r="BR121" s="19">
        <v>328.754197215412</v>
      </c>
      <c r="BS121" s="19">
        <v>328.754197215412</v>
      </c>
      <c r="BT121" s="19">
        <v>328.754197215412</v>
      </c>
      <c r="BU121" s="19">
        <v>-651.245802784588</v>
      </c>
      <c r="BV121" s="19">
        <v>328.754197215412</v>
      </c>
      <c r="BW121" s="19">
        <v>328.754197215412</v>
      </c>
      <c r="BX121" s="19">
        <v>328.754197215412</v>
      </c>
      <c r="BY121" s="19">
        <v>-651.245802784588</v>
      </c>
      <c r="BZ121" s="19">
        <v>328.754197215412</v>
      </c>
      <c r="CA121" s="19">
        <v>328.7541972154122</v>
      </c>
      <c r="CB121" s="19">
        <v>328.7541972154122</v>
      </c>
      <c r="CC121" s="19">
        <v>-651.2458027845876</v>
      </c>
      <c r="CD121" s="19">
        <v>328.7541972154122</v>
      </c>
      <c r="CE121" s="19">
        <v>328.754197215412</v>
      </c>
      <c r="CF121" s="19">
        <v>328.754197215412</v>
      </c>
      <c r="CG121" s="19">
        <v>-679.1638685230587</v>
      </c>
      <c r="CH121" s="19">
        <v>245</v>
      </c>
      <c r="CI121" s="19">
        <v>245</v>
      </c>
      <c r="CJ121" s="19">
        <v>245</v>
      </c>
      <c r="CK121" s="19">
        <v>-245.00000000000023</v>
      </c>
      <c r="CL121" s="19">
        <v>245</v>
      </c>
    </row>
    <row r="122" spans="2:90" x14ac:dyDescent="0.25">
      <c r="B122" s="31" t="s">
        <v>233</v>
      </c>
      <c r="C122" s="32" t="s">
        <v>228</v>
      </c>
      <c r="E122" s="29"/>
      <c r="F122" s="29"/>
      <c r="G122" s="29"/>
      <c r="H122" s="29"/>
      <c r="I122" s="29"/>
      <c r="J122" s="29"/>
      <c r="K122" s="19">
        <v>0</v>
      </c>
      <c r="L122" s="19">
        <v>0</v>
      </c>
      <c r="M122" s="19">
        <v>0</v>
      </c>
      <c r="N122" s="19">
        <v>0</v>
      </c>
      <c r="O122" s="19">
        <v>0</v>
      </c>
      <c r="P122" s="19">
        <v>176.51066779308354</v>
      </c>
      <c r="Q122" s="19">
        <v>0</v>
      </c>
      <c r="R122" s="19">
        <v>0</v>
      </c>
      <c r="S122" s="19">
        <v>0</v>
      </c>
      <c r="T122" s="19">
        <v>245.55934457903476</v>
      </c>
      <c r="U122" s="19">
        <v>0</v>
      </c>
      <c r="V122" s="19">
        <v>0</v>
      </c>
      <c r="W122" s="19">
        <v>0</v>
      </c>
      <c r="X122" s="19">
        <v>281.38688813495975</v>
      </c>
      <c r="Y122" s="19">
        <v>0</v>
      </c>
      <c r="Z122" s="19">
        <v>0</v>
      </c>
      <c r="AA122" s="19">
        <v>0</v>
      </c>
      <c r="AB122" s="19">
        <v>320.49675244488486</v>
      </c>
      <c r="AC122" s="19">
        <v>0</v>
      </c>
      <c r="AD122" s="19">
        <v>0</v>
      </c>
      <c r="AE122" s="19">
        <v>0</v>
      </c>
      <c r="AF122" s="19">
        <v>360.1628999860402</v>
      </c>
      <c r="AG122" s="19">
        <v>0</v>
      </c>
      <c r="AH122" s="19">
        <v>0</v>
      </c>
      <c r="AI122" s="19">
        <v>0</v>
      </c>
      <c r="AJ122" s="19">
        <v>459.71817180687407</v>
      </c>
      <c r="AK122" s="19">
        <v>0</v>
      </c>
      <c r="AL122" s="19">
        <v>0</v>
      </c>
      <c r="AM122" s="19">
        <v>0</v>
      </c>
      <c r="AN122" s="19">
        <v>709.9460632200652</v>
      </c>
      <c r="AO122" s="19">
        <v>0</v>
      </c>
      <c r="AP122" s="19">
        <v>0</v>
      </c>
      <c r="AQ122" s="19">
        <v>0</v>
      </c>
      <c r="AR122" s="19">
        <v>777.5891674469545</v>
      </c>
      <c r="AS122" s="19">
        <v>0</v>
      </c>
      <c r="AT122" s="19">
        <v>0</v>
      </c>
      <c r="AU122" s="19">
        <v>0</v>
      </c>
      <c r="AV122" s="19">
        <v>845.1028138340063</v>
      </c>
      <c r="AW122" s="19">
        <v>0</v>
      </c>
      <c r="AX122" s="19">
        <v>0</v>
      </c>
      <c r="AY122" s="19">
        <v>0</v>
      </c>
      <c r="AZ122" s="19">
        <v>912.484800314361</v>
      </c>
      <c r="BA122" s="19">
        <v>0</v>
      </c>
      <c r="BB122" s="19">
        <v>0</v>
      </c>
      <c r="BC122" s="19">
        <v>0</v>
      </c>
      <c r="BD122" s="19">
        <v>979.7328865861662</v>
      </c>
      <c r="BE122" s="19">
        <v>0</v>
      </c>
      <c r="BF122" s="19">
        <v>0</v>
      </c>
      <c r="BG122" s="19">
        <v>0</v>
      </c>
      <c r="BH122" s="19">
        <v>1046.844793434982</v>
      </c>
      <c r="BI122" s="19">
        <v>0</v>
      </c>
      <c r="BJ122" s="19">
        <v>0</v>
      </c>
      <c r="BK122" s="19">
        <v>0</v>
      </c>
      <c r="BL122" s="19">
        <v>1113.818202043923</v>
      </c>
      <c r="BM122" s="19">
        <v>0</v>
      </c>
      <c r="BN122" s="19">
        <v>0</v>
      </c>
      <c r="BO122" s="19">
        <v>0</v>
      </c>
      <c r="BP122" s="19">
        <v>1180.65075329134</v>
      </c>
      <c r="BQ122" s="19">
        <v>0</v>
      </c>
      <c r="BR122" s="19">
        <v>0</v>
      </c>
      <c r="BS122" s="19">
        <v>0</v>
      </c>
      <c r="BT122" s="19">
        <v>1247.3400470357947</v>
      </c>
      <c r="BU122" s="19">
        <v>0</v>
      </c>
      <c r="BV122" s="19">
        <v>0</v>
      </c>
      <c r="BW122" s="19">
        <v>0</v>
      </c>
      <c r="BX122" s="19">
        <v>1313.8836413881143</v>
      </c>
      <c r="BY122" s="19">
        <v>0</v>
      </c>
      <c r="BZ122" s="19">
        <v>0</v>
      </c>
      <c r="CA122" s="19">
        <v>0</v>
      </c>
      <c r="CB122" s="19">
        <v>1378.3564152514994</v>
      </c>
      <c r="CC122" s="19">
        <v>0</v>
      </c>
      <c r="CD122" s="19">
        <v>0</v>
      </c>
      <c r="CE122" s="19">
        <v>0</v>
      </c>
      <c r="CF122" s="19">
        <v>1365.2668370982385</v>
      </c>
      <c r="CG122" s="19">
        <v>0</v>
      </c>
      <c r="CH122" s="19">
        <v>0</v>
      </c>
      <c r="CI122" s="19">
        <v>0</v>
      </c>
      <c r="CJ122" s="19">
        <v>1374.5601959393853</v>
      </c>
      <c r="CK122" s="19">
        <v>0</v>
      </c>
      <c r="CL122" s="19">
        <v>672.8108290296017</v>
      </c>
    </row>
    <row r="123" spans="2:90" x14ac:dyDescent="0.25">
      <c r="B123" s="31" t="s">
        <v>234</v>
      </c>
      <c r="C123" s="32" t="s">
        <v>228</v>
      </c>
      <c r="E123" s="29"/>
      <c r="F123" s="29"/>
      <c r="G123" s="29"/>
      <c r="H123" s="29"/>
      <c r="I123" s="29"/>
      <c r="J123" s="29"/>
      <c r="K123" s="19">
        <v>-2.546585164964199e-11</v>
      </c>
      <c r="L123" s="19">
        <v>-2000</v>
      </c>
      <c r="M123" s="19">
        <v>0</v>
      </c>
      <c r="N123" s="19">
        <v>0</v>
      </c>
      <c r="O123" s="19">
        <v>0</v>
      </c>
      <c r="P123" s="19">
        <v>-116.67031250000036</v>
      </c>
      <c r="Q123" s="19">
        <v>-84.54375000000073</v>
      </c>
      <c r="R123" s="19">
        <v>52.32500000000073</v>
      </c>
      <c r="S123" s="19">
        <v>52.32499999999982</v>
      </c>
      <c r="T123" s="19">
        <v>52.32499999999891</v>
      </c>
      <c r="U123" s="19">
        <v>52.32500000000073</v>
      </c>
      <c r="V123" s="19">
        <v>52.32499999999891</v>
      </c>
      <c r="W123" s="19">
        <v>-82.67499999999927</v>
      </c>
      <c r="X123" s="19">
        <v>-80.80624999999964</v>
      </c>
      <c r="Y123" s="19">
        <v>56.0625</v>
      </c>
      <c r="Z123" s="19">
        <v>56.0625</v>
      </c>
      <c r="AA123" s="19">
        <v>56.0625</v>
      </c>
      <c r="AB123" s="19">
        <v>56.0625</v>
      </c>
      <c r="AC123" s="19">
        <v>-28.3125</v>
      </c>
      <c r="AD123" s="19">
        <v>-27.14453125</v>
      </c>
      <c r="AE123" s="19">
        <v>58.39843749999909</v>
      </c>
      <c r="AF123" s="19">
        <v>58.39843749999909</v>
      </c>
      <c r="AG123" s="19">
        <v>58.39843749999909</v>
      </c>
      <c r="AH123" s="19">
        <v>58.39843749999909</v>
      </c>
      <c r="AI123" s="19">
        <v>58.39843749999909</v>
      </c>
      <c r="AJ123" s="19">
        <v>58.39843749999909</v>
      </c>
      <c r="AK123" s="19">
        <v>58.39843749999909</v>
      </c>
      <c r="AL123" s="19">
        <v>58.39843749999909</v>
      </c>
      <c r="AM123" s="19">
        <v>58.39843749999909</v>
      </c>
      <c r="AN123" s="19">
        <v>58.39843749999909</v>
      </c>
      <c r="AO123" s="19">
        <v>58.39843749999909</v>
      </c>
      <c r="AP123" s="19">
        <v>58.39843749999909</v>
      </c>
      <c r="AQ123" s="19">
        <v>58.39843749999909</v>
      </c>
      <c r="AR123" s="19">
        <v>58.39843749999909</v>
      </c>
      <c r="AS123" s="19">
        <v>58.3984375</v>
      </c>
      <c r="AT123" s="19">
        <v>58.3984375</v>
      </c>
      <c r="AU123" s="19">
        <v>58.3984375</v>
      </c>
      <c r="AV123" s="19">
        <v>58.3984375</v>
      </c>
      <c r="AW123" s="19">
        <v>58.3984375</v>
      </c>
      <c r="AX123" s="19">
        <v>58.3984375</v>
      </c>
      <c r="AY123" s="19">
        <v>58.3984375</v>
      </c>
      <c r="AZ123" s="19">
        <v>58.3984375</v>
      </c>
      <c r="BA123" s="19">
        <v>58.3984375</v>
      </c>
      <c r="BB123" s="19">
        <v>58.3984375</v>
      </c>
      <c r="BC123" s="19">
        <v>58.3984375</v>
      </c>
      <c r="BD123" s="19">
        <v>58.3984375</v>
      </c>
      <c r="BE123" s="19">
        <v>58.3984375</v>
      </c>
      <c r="BF123" s="19">
        <v>58.3984375</v>
      </c>
      <c r="BG123" s="19">
        <v>58.3984375</v>
      </c>
      <c r="BH123" s="19">
        <v>58.3984375</v>
      </c>
      <c r="BI123" s="19">
        <v>58.3984375</v>
      </c>
      <c r="BJ123" s="19">
        <v>58.3984375</v>
      </c>
      <c r="BK123" s="19">
        <v>58.3984375</v>
      </c>
      <c r="BL123" s="19">
        <v>58.3984375</v>
      </c>
      <c r="BM123" s="19">
        <v>58.3984375</v>
      </c>
      <c r="BN123" s="19">
        <v>58.3984375</v>
      </c>
      <c r="BO123" s="19">
        <v>58.3984375</v>
      </c>
      <c r="BP123" s="19">
        <v>58.3984375</v>
      </c>
      <c r="BQ123" s="19">
        <v>58.3984375</v>
      </c>
      <c r="BR123" s="19">
        <v>58.3984375</v>
      </c>
      <c r="BS123" s="19">
        <v>58.3984375</v>
      </c>
      <c r="BT123" s="19">
        <v>58.3984375</v>
      </c>
      <c r="BU123" s="19">
        <v>58.3984375</v>
      </c>
      <c r="BV123" s="19">
        <v>58.3984375</v>
      </c>
      <c r="BW123" s="19">
        <v>58.3984375</v>
      </c>
      <c r="BX123" s="19">
        <v>2167.7734375</v>
      </c>
      <c r="BY123" s="19">
        <v>2138.57421875</v>
      </c>
      <c r="BZ123" s="19">
        <v>0</v>
      </c>
      <c r="CA123" s="19">
        <v>0</v>
      </c>
      <c r="CB123" s="19">
        <v>0</v>
      </c>
      <c r="CC123" s="19">
        <v>0</v>
      </c>
      <c r="CD123" s="19">
        <v>0</v>
      </c>
      <c r="CE123" s="19">
        <v>0</v>
      </c>
      <c r="CF123" s="19">
        <v>0</v>
      </c>
      <c r="CG123" s="19">
        <v>0</v>
      </c>
      <c r="CH123" s="19">
        <v>0</v>
      </c>
      <c r="CI123" s="19">
        <v>0</v>
      </c>
      <c r="CJ123" s="19">
        <v>0</v>
      </c>
      <c r="CK123" s="19">
        <v>0</v>
      </c>
      <c r="CL123" s="19">
        <v>0</v>
      </c>
    </row>
    <row r="124" spans="2:90" x14ac:dyDescent="0.25">
      <c r="B124" s="31" t="s">
        <v>235</v>
      </c>
      <c r="C124" s="32" t="s">
        <v>228</v>
      </c>
      <c r="E124" s="29"/>
      <c r="F124" s="29"/>
      <c r="G124" s="29"/>
      <c r="H124" s="29"/>
      <c r="I124" s="29"/>
      <c r="J124" s="29"/>
      <c r="K124" s="19">
        <v>-1666.4364546243696</v>
      </c>
      <c r="L124" s="19">
        <v>-35.501415735500814</v>
      </c>
      <c r="M124" s="19">
        <v>-468.6186877086002</v>
      </c>
      <c r="N124" s="19">
        <v>609.2042940211804</v>
      </c>
      <c r="O124" s="19">
        <v>-96.75200830395806</v>
      </c>
      <c r="P124" s="19">
        <v>-35.323908656821914</v>
      </c>
      <c r="Q124" s="19">
        <v>-466.2755942700569</v>
      </c>
      <c r="R124" s="19">
        <v>606.1582725510734</v>
      </c>
      <c r="S124" s="19">
        <v>-96.22658735107234</v>
      </c>
      <c r="T124" s="19">
        <v>-35.14640157814483</v>
      </c>
      <c r="U124" s="19">
        <v>-463.9325008315145</v>
      </c>
      <c r="V124" s="19">
        <v>603.1122510809682</v>
      </c>
      <c r="W124" s="19">
        <v>-95.70116639818752</v>
      </c>
      <c r="X124" s="19">
        <v>-34.96889449946684</v>
      </c>
      <c r="Y124" s="19">
        <v>-461.58940739297213</v>
      </c>
      <c r="Z124" s="19">
        <v>600.0662296108621</v>
      </c>
      <c r="AA124" s="19">
        <v>-95.17574544530271</v>
      </c>
      <c r="AB124" s="19">
        <v>-34.79138742078885</v>
      </c>
      <c r="AC124" s="19">
        <v>-459.24631395442884</v>
      </c>
      <c r="AD124" s="19">
        <v>597.020208140756</v>
      </c>
      <c r="AE124" s="19">
        <v>-94.65032449241608</v>
      </c>
      <c r="AF124" s="19">
        <v>-34.61388034211268</v>
      </c>
      <c r="AG124" s="19">
        <v>-456.90322051588464</v>
      </c>
      <c r="AH124" s="19">
        <v>593.9741866706509</v>
      </c>
      <c r="AI124" s="19">
        <v>-94.12490353953035</v>
      </c>
      <c r="AJ124" s="19">
        <v>-34.43637326343469</v>
      </c>
      <c r="AK124" s="19">
        <v>-454.56012707734226</v>
      </c>
      <c r="AL124" s="19">
        <v>590.9281652005438</v>
      </c>
      <c r="AM124" s="19">
        <v>-93.59948258664463</v>
      </c>
      <c r="AN124" s="19">
        <v>-34.25886618475852</v>
      </c>
      <c r="AO124" s="19">
        <v>-452.21703363879897</v>
      </c>
      <c r="AP124" s="19">
        <v>587.8821437304387</v>
      </c>
      <c r="AQ124" s="19">
        <v>-93.07406163375981</v>
      </c>
      <c r="AR124" s="19">
        <v>-34.08135910607962</v>
      </c>
      <c r="AS124" s="19">
        <v>-449.8739402002566</v>
      </c>
      <c r="AT124" s="19">
        <v>584.8361222603335</v>
      </c>
      <c r="AU124" s="19">
        <v>-92.5486406808759</v>
      </c>
      <c r="AV124" s="19">
        <v>-33.903852027402536</v>
      </c>
      <c r="AW124" s="19">
        <v>-447.5308467617124</v>
      </c>
      <c r="AX124" s="19">
        <v>581.7901007902274</v>
      </c>
      <c r="AY124" s="19">
        <v>-92.02321972798927</v>
      </c>
      <c r="AZ124" s="19">
        <v>-33.726344948724545</v>
      </c>
      <c r="BA124" s="19">
        <v>-445.1877533231709</v>
      </c>
      <c r="BB124" s="19">
        <v>578.7440793201204</v>
      </c>
      <c r="BC124" s="19">
        <v>-91.49779877510355</v>
      </c>
      <c r="BD124" s="19">
        <v>-33.548837870047464</v>
      </c>
      <c r="BE124" s="19">
        <v>-442.8446598846276</v>
      </c>
      <c r="BF124" s="19">
        <v>575.6980578500152</v>
      </c>
      <c r="BG124" s="19">
        <v>-90.97237782221873</v>
      </c>
      <c r="BH124" s="19">
        <v>-33.37133079137038</v>
      </c>
      <c r="BI124" s="19">
        <v>-440.5015664460834</v>
      </c>
      <c r="BJ124" s="19">
        <v>572.6520363799091</v>
      </c>
      <c r="BK124" s="19">
        <v>-90.44695686933392</v>
      </c>
      <c r="BL124" s="19">
        <v>-33.19382371269239</v>
      </c>
      <c r="BM124" s="19">
        <v>-438.15847300754103</v>
      </c>
      <c r="BN124" s="19">
        <v>569.6060149098039</v>
      </c>
      <c r="BO124" s="19">
        <v>-89.92153591644819</v>
      </c>
      <c r="BP124" s="19">
        <v>-33.01631663401531</v>
      </c>
      <c r="BQ124" s="19">
        <v>-435.81537956899774</v>
      </c>
      <c r="BR124" s="19">
        <v>566.5599934396978</v>
      </c>
      <c r="BS124" s="19">
        <v>-89.39611496356247</v>
      </c>
      <c r="BT124" s="19">
        <v>-32.83880955533823</v>
      </c>
      <c r="BU124" s="19">
        <v>-433.47228613045445</v>
      </c>
      <c r="BV124" s="19">
        <v>563.5139719695917</v>
      </c>
      <c r="BW124" s="19">
        <v>-88.87069401067765</v>
      </c>
      <c r="BX124" s="19">
        <v>-32.66130247665933</v>
      </c>
      <c r="BY124" s="19">
        <v>-431.129192691913</v>
      </c>
      <c r="BZ124" s="19">
        <v>560.4679504994856</v>
      </c>
      <c r="CA124" s="19">
        <v>-88.34527305779102</v>
      </c>
      <c r="CB124" s="19">
        <v>-32.48379539798316</v>
      </c>
      <c r="CC124" s="19">
        <v>-428.7860992533688</v>
      </c>
      <c r="CD124" s="19">
        <v>557.4219290293804</v>
      </c>
      <c r="CE124" s="19">
        <v>-87.81985210490711</v>
      </c>
      <c r="CF124" s="19">
        <v>-32.30628831930426</v>
      </c>
      <c r="CG124" s="19">
        <v>-426.4430058148264</v>
      </c>
      <c r="CH124" s="19">
        <v>554.3759075592734</v>
      </c>
      <c r="CI124" s="19">
        <v>-87.29443115202139</v>
      </c>
      <c r="CJ124" s="19">
        <v>-32.12878124062718</v>
      </c>
      <c r="CK124" s="19">
        <v>-424.0999123762831</v>
      </c>
      <c r="CL124" s="19">
        <v>1964.3536850519658</v>
      </c>
    </row>
    <row r="126" spans="2:2" x14ac:dyDescent="0.25">
      <c r="B126" s="36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6"/>
  <sheetFormatPr defaultRowHeight="15" outlineLevelRow="0" outlineLevelCol="0" x14ac:dyDescent="55"/>
  <cols>
    <col min="1" max="1" width="2.5" customWidth="1"/>
    <col min="2" max="2" width="14" customWidth="1"/>
    <col min="3" max="10" width="12" customWidth="1"/>
  </cols>
  <sheetData>
    <row r="1" spans="1:1" x14ac:dyDescent="0.25">
      <c r="A1" s="7" t="s">
        <v>0</v>
      </c>
    </row>
    <row r="2" spans="1:1" x14ac:dyDescent="0.25">
      <c r="A2" s="8" t="s">
        <v>237</v>
      </c>
    </row>
    <row r="4" spans="2:91" x14ac:dyDescent="0.25">
      <c r="B4" s="9" t="s">
        <v>86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10" x14ac:dyDescent="0.25">
      <c r="B6" s="26" t="s">
        <v>87</v>
      </c>
      <c r="C6" s="26" t="s">
        <v>76</v>
      </c>
      <c r="D6" s="26" t="s">
        <v>94</v>
      </c>
      <c r="E6" s="26" t="s">
        <v>238</v>
      </c>
      <c r="F6" s="26" t="s">
        <v>239</v>
      </c>
      <c r="G6" s="26" t="s">
        <v>91</v>
      </c>
      <c r="H6" s="26" t="s">
        <v>92</v>
      </c>
      <c r="I6" s="26" t="s">
        <v>93</v>
      </c>
      <c r="J6" s="26" t="s">
        <v>240</v>
      </c>
    </row>
    <row r="7" spans="2:3" x14ac:dyDescent="0.25">
      <c r="B7" s="29" t="s">
        <v>100</v>
      </c>
      <c r="C7" s="29">
        <f>'입력값'!C9*100</f>
      </c>
    </row>
    <row r="8" spans="2:10" x14ac:dyDescent="0.25">
      <c r="B8" s="29" t="s">
        <v>95</v>
      </c>
      <c r="C8" s="29">
        <f>'입력값'!C58*100</f>
      </c>
      <c r="D8" s="37" t="s">
        <v>241</v>
      </c>
      <c r="E8" s="38">
        <f>'입력값'!D58</f>
      </c>
      <c r="F8" s="38">
        <f>'입력값'!E58</f>
      </c>
      <c r="G8" s="39">
        <f>'입력값'!F58</f>
      </c>
      <c r="H8" s="39">
        <f>'입력값'!G58</f>
      </c>
      <c r="I8" s="37">
        <f>'입력값'!H58</f>
      </c>
      <c r="J8" s="28" t="s">
        <v>114</v>
      </c>
    </row>
    <row r="9" spans="2:10" x14ac:dyDescent="0.25">
      <c r="B9" s="29" t="s">
        <v>96</v>
      </c>
      <c r="C9" s="29">
        <f>'입력값'!C59*100</f>
      </c>
      <c r="D9" s="37" t="s">
        <v>241</v>
      </c>
      <c r="E9" s="38">
        <f>'입력값'!D59</f>
      </c>
      <c r="F9" s="38">
        <f>'입력값'!E59</f>
      </c>
      <c r="G9" s="39">
        <f>'입력값'!F59</f>
      </c>
      <c r="H9" s="39">
        <f>'입력값'!G59</f>
      </c>
      <c r="I9" s="37">
        <f>'입력값'!H59</f>
      </c>
      <c r="J9" s="28" t="s">
        <v>114</v>
      </c>
    </row>
    <row r="10" spans="2:10" x14ac:dyDescent="0.25">
      <c r="B10" s="29" t="s">
        <v>97</v>
      </c>
      <c r="C10" s="29">
        <f>'입력값'!C60*100</f>
      </c>
      <c r="D10" s="37" t="s">
        <v>241</v>
      </c>
      <c r="E10" s="38">
        <f>'입력값'!D60</f>
      </c>
      <c r="F10" s="38">
        <f>'입력값'!E60</f>
      </c>
      <c r="G10" s="39">
        <f>'입력값'!F60</f>
      </c>
      <c r="H10" s="39">
        <f>'입력값'!G60</f>
      </c>
      <c r="I10" s="37">
        <f>'입력값'!H60</f>
      </c>
      <c r="J10" s="28" t="s">
        <v>114</v>
      </c>
    </row>
    <row r="11" spans="2:10" x14ac:dyDescent="0.25">
      <c r="B11" s="29" t="s">
        <v>98</v>
      </c>
      <c r="C11" s="29">
        <f>'입력값'!C61*100</f>
      </c>
      <c r="D11" s="37" t="s">
        <v>241</v>
      </c>
      <c r="E11" s="38">
        <f>'입력값'!D61</f>
      </c>
      <c r="F11" s="38">
        <f>'입력값'!E61</f>
      </c>
      <c r="G11" s="39">
        <f>'입력값'!F61</f>
      </c>
      <c r="H11" s="39">
        <f>'입력값'!G61</f>
      </c>
      <c r="I11" s="37">
        <f>'입력값'!H61</f>
      </c>
      <c r="J11" s="28" t="s">
        <v>242</v>
      </c>
    </row>
    <row r="12" spans="2:10" x14ac:dyDescent="0.25">
      <c r="B12" s="29" t="s">
        <v>99</v>
      </c>
      <c r="C12" s="29">
        <f>'입력값'!C62*100</f>
      </c>
      <c r="D12" s="37" t="s">
        <v>241</v>
      </c>
      <c r="E12" s="38">
        <f>'입력값'!D62</f>
      </c>
      <c r="F12" s="38">
        <f>'입력값'!E62</f>
      </c>
      <c r="G12" s="39">
        <f>'입력값'!F62</f>
      </c>
      <c r="H12" s="39">
        <f>'입력값'!G62</f>
      </c>
      <c r="I12" s="37">
        <f>'입력값'!H62</f>
      </c>
      <c r="J12" s="28" t="s">
        <v>242</v>
      </c>
    </row>
    <row r="13" spans="2:3" x14ac:dyDescent="0.25">
      <c r="B13" s="40" t="s">
        <v>243</v>
      </c>
      <c r="C13" s="41">
        <f>C8+C9+C10+C11+C12</f>
      </c>
    </row>
    <row r="15" spans="2:91" x14ac:dyDescent="0.25">
      <c r="B15" s="9" t="s">
        <v>244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</row>
    <row r="17" spans="2:3" x14ac:dyDescent="0.25">
      <c r="B17" s="29" t="s">
        <v>245</v>
      </c>
      <c r="C17" s="29">
        <f>'Debt'!D15</f>
      </c>
    </row>
    <row r="18" spans="2:3" x14ac:dyDescent="0.25">
      <c r="B18" s="29" t="s">
        <v>246</v>
      </c>
      <c r="C18" s="29">
        <f>'입력값'!C8*100+'Debt'!D15</f>
      </c>
    </row>
    <row r="19" spans="2:3" x14ac:dyDescent="0.25">
      <c r="B19" s="29" t="s">
        <v>247</v>
      </c>
      <c r="C19" s="29">
        <f>'입력값'!C8*100</f>
      </c>
    </row>
    <row r="21" spans="2:91" x14ac:dyDescent="0.25">
      <c r="B21" s="9" t="s">
        <v>248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</row>
    <row r="23" spans="2:3" x14ac:dyDescent="0.25">
      <c r="B23" s="26" t="s">
        <v>198</v>
      </c>
      <c r="C23" s="26" t="s">
        <v>76</v>
      </c>
    </row>
    <row r="24" spans="2:2" x14ac:dyDescent="0.25">
      <c r="B24" s="28">
        <f>'입력값'!B82</f>
      </c>
    </row>
    <row r="25" spans="2:2" x14ac:dyDescent="0.25">
      <c r="B25" s="28">
        <f>'입력값'!B83</f>
      </c>
    </row>
    <row r="26" spans="2:2" x14ac:dyDescent="0.25">
      <c r="B26" s="28">
        <f>'입력값'!B84</f>
      </c>
    </row>
    <row r="27" spans="2:2" x14ac:dyDescent="0.25">
      <c r="B27" s="28">
        <f>'입력값'!B85</f>
      </c>
    </row>
    <row r="28" spans="2:2" x14ac:dyDescent="0.25">
      <c r="B28" s="28">
        <f>'입력값'!B86</f>
      </c>
    </row>
    <row r="29" spans="2:2" x14ac:dyDescent="0.25">
      <c r="B29" s="28">
        <f>'입력값'!B87</f>
      </c>
    </row>
    <row r="30" spans="2:2" x14ac:dyDescent="0.25">
      <c r="B30" s="28">
        <f>'입력값'!B88</f>
      </c>
    </row>
    <row r="31" spans="2:2" x14ac:dyDescent="0.25">
      <c r="B31" s="28">
        <f>'입력값'!B89</f>
      </c>
    </row>
    <row r="32" spans="2:2" x14ac:dyDescent="0.25">
      <c r="B32" s="28">
        <f>'입력값'!B90</f>
      </c>
    </row>
    <row r="33" spans="2:2" x14ac:dyDescent="0.25">
      <c r="B33" s="28">
        <f>'입력값'!B91</f>
      </c>
    </row>
    <row r="34" spans="2:2" x14ac:dyDescent="0.25">
      <c r="B34" s="28">
        <f>'입력값'!B92</f>
      </c>
    </row>
    <row r="35" spans="2:2" x14ac:dyDescent="0.25">
      <c r="B35" s="28">
        <f>'입력값'!B93</f>
      </c>
    </row>
    <row r="36" spans="2:3" x14ac:dyDescent="0.25">
      <c r="B36" s="40" t="s">
        <v>249</v>
      </c>
      <c r="C36" s="41">
        <f>'입력값'!C8*100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82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250</v>
      </c>
    </row>
    <row r="4" spans="2:91" x14ac:dyDescent="0.25">
      <c r="B4" s="9" t="s">
        <v>251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102</v>
      </c>
      <c r="C6" s="26" t="s">
        <v>103</v>
      </c>
      <c r="D6" s="26" t="s">
        <v>104</v>
      </c>
      <c r="E6" s="30" t="s">
        <v>105</v>
      </c>
      <c r="F6" s="30" t="s">
        <v>106</v>
      </c>
      <c r="G6" s="30" t="s">
        <v>107</v>
      </c>
      <c r="H6" s="30" t="s">
        <v>108</v>
      </c>
      <c r="I6" s="30" t="s">
        <v>109</v>
      </c>
      <c r="J6" s="30" t="s">
        <v>110</v>
      </c>
      <c r="K6" s="30" t="s">
        <v>111</v>
      </c>
      <c r="L6" s="30" t="s">
        <v>112</v>
      </c>
      <c r="M6" s="30" t="s">
        <v>113</v>
      </c>
      <c r="N6" s="30" t="s">
        <v>114</v>
      </c>
      <c r="O6" s="30" t="s">
        <v>115</v>
      </c>
      <c r="P6" s="30" t="s">
        <v>116</v>
      </c>
      <c r="Q6" s="30" t="s">
        <v>117</v>
      </c>
      <c r="R6" s="30" t="s">
        <v>118</v>
      </c>
      <c r="S6" s="30" t="s">
        <v>119</v>
      </c>
      <c r="T6" s="30" t="s">
        <v>120</v>
      </c>
      <c r="U6" s="30" t="s">
        <v>121</v>
      </c>
      <c r="V6" s="30" t="s">
        <v>122</v>
      </c>
      <c r="W6" s="30" t="s">
        <v>123</v>
      </c>
      <c r="X6" s="30" t="s">
        <v>124</v>
      </c>
      <c r="Y6" s="30" t="s">
        <v>125</v>
      </c>
      <c r="Z6" s="30" t="s">
        <v>126</v>
      </c>
      <c r="AA6" s="30" t="s">
        <v>127</v>
      </c>
      <c r="AB6" s="30" t="s">
        <v>128</v>
      </c>
      <c r="AC6" s="30" t="s">
        <v>129</v>
      </c>
      <c r="AD6" s="30" t="s">
        <v>130</v>
      </c>
      <c r="AE6" s="30" t="s">
        <v>131</v>
      </c>
      <c r="AF6" s="30" t="s">
        <v>132</v>
      </c>
      <c r="AG6" s="30" t="s">
        <v>133</v>
      </c>
      <c r="AH6" s="30" t="s">
        <v>134</v>
      </c>
      <c r="AI6" s="30" t="s">
        <v>135</v>
      </c>
      <c r="AJ6" s="30" t="s">
        <v>136</v>
      </c>
      <c r="AK6" s="30" t="s">
        <v>137</v>
      </c>
      <c r="AL6" s="30" t="s">
        <v>138</v>
      </c>
      <c r="AM6" s="30" t="s">
        <v>139</v>
      </c>
      <c r="AN6" s="30" t="s">
        <v>140</v>
      </c>
      <c r="AO6" s="30" t="s">
        <v>141</v>
      </c>
      <c r="AP6" s="30" t="s">
        <v>142</v>
      </c>
      <c r="AQ6" s="30" t="s">
        <v>143</v>
      </c>
      <c r="AR6" s="30" t="s">
        <v>144</v>
      </c>
      <c r="AS6" s="30" t="s">
        <v>145</v>
      </c>
      <c r="AT6" s="30" t="s">
        <v>146</v>
      </c>
      <c r="AU6" s="30" t="s">
        <v>147</v>
      </c>
      <c r="AV6" s="30" t="s">
        <v>148</v>
      </c>
      <c r="AW6" s="30" t="s">
        <v>149</v>
      </c>
      <c r="AX6" s="30" t="s">
        <v>150</v>
      </c>
      <c r="AY6" s="30" t="s">
        <v>151</v>
      </c>
      <c r="AZ6" s="30" t="s">
        <v>152</v>
      </c>
      <c r="BA6" s="30" t="s">
        <v>153</v>
      </c>
      <c r="BB6" s="30" t="s">
        <v>154</v>
      </c>
      <c r="BC6" s="30" t="s">
        <v>155</v>
      </c>
      <c r="BD6" s="30" t="s">
        <v>156</v>
      </c>
      <c r="BE6" s="30" t="s">
        <v>157</v>
      </c>
      <c r="BF6" s="30" t="s">
        <v>158</v>
      </c>
      <c r="BG6" s="30" t="s">
        <v>159</v>
      </c>
      <c r="BH6" s="30" t="s">
        <v>160</v>
      </c>
      <c r="BI6" s="30" t="s">
        <v>161</v>
      </c>
      <c r="BJ6" s="30" t="s">
        <v>162</v>
      </c>
      <c r="BK6" s="30" t="s">
        <v>163</v>
      </c>
      <c r="BL6" s="30" t="s">
        <v>164</v>
      </c>
      <c r="BM6" s="30" t="s">
        <v>165</v>
      </c>
      <c r="BN6" s="30" t="s">
        <v>166</v>
      </c>
      <c r="BO6" s="30" t="s">
        <v>167</v>
      </c>
      <c r="BP6" s="30" t="s">
        <v>168</v>
      </c>
      <c r="BQ6" s="30" t="s">
        <v>169</v>
      </c>
      <c r="BR6" s="30" t="s">
        <v>170</v>
      </c>
      <c r="BS6" s="30" t="s">
        <v>171</v>
      </c>
      <c r="BT6" s="30" t="s">
        <v>172</v>
      </c>
      <c r="BU6" s="30" t="s">
        <v>173</v>
      </c>
      <c r="BV6" s="30" t="s">
        <v>174</v>
      </c>
      <c r="BW6" s="30" t="s">
        <v>175</v>
      </c>
      <c r="BX6" s="30" t="s">
        <v>176</v>
      </c>
      <c r="BY6" s="30" t="s">
        <v>177</v>
      </c>
      <c r="BZ6" s="30" t="s">
        <v>178</v>
      </c>
      <c r="CA6" s="30" t="s">
        <v>179</v>
      </c>
      <c r="CB6" s="30" t="s">
        <v>180</v>
      </c>
      <c r="CC6" s="30" t="s">
        <v>181</v>
      </c>
      <c r="CD6" s="30" t="s">
        <v>182</v>
      </c>
      <c r="CE6" s="30" t="s">
        <v>183</v>
      </c>
      <c r="CF6" s="30" t="s">
        <v>184</v>
      </c>
      <c r="CG6" s="30" t="s">
        <v>185</v>
      </c>
      <c r="CH6" s="30" t="s">
        <v>186</v>
      </c>
      <c r="CI6" s="30" t="s">
        <v>187</v>
      </c>
      <c r="CJ6" s="30" t="s">
        <v>188</v>
      </c>
      <c r="CK6" s="30" t="s">
        <v>189</v>
      </c>
      <c r="CL6" s="30" t="s">
        <v>190</v>
      </c>
    </row>
    <row r="8" spans="2:90" x14ac:dyDescent="0.25">
      <c r="B8" s="31" t="s">
        <v>252</v>
      </c>
      <c r="C8" s="32" t="s">
        <v>228</v>
      </c>
      <c r="D8" s="29">
        <f>SUM(E8:CL8)</f>
      </c>
      <c r="E8" s="29">
        <f>'입력값'!E69*'입력값'!C8*100</f>
      </c>
      <c r="F8" s="29">
        <f>'입력값'!F69*'입력값'!C8*100</f>
      </c>
      <c r="G8" s="29">
        <f>'입력값'!G69*'입력값'!C8*100</f>
      </c>
      <c r="H8" s="29">
        <f>'입력값'!H69*'입력값'!C8*100</f>
      </c>
      <c r="I8" s="29">
        <f>'입력값'!I69*'입력값'!C8*100</f>
      </c>
      <c r="J8" s="29">
        <f>'입력값'!J69*'입력값'!C8*100</f>
      </c>
      <c r="K8" s="29">
        <f>'입력값'!K69*'입력값'!C8*100</f>
      </c>
      <c r="L8" s="29">
        <f>'입력값'!L69*'입력값'!C8*100</f>
      </c>
      <c r="M8" s="29">
        <f>'입력값'!M69*'입력값'!C8*100</f>
      </c>
      <c r="N8" s="29">
        <f>'입력값'!N69*'입력값'!C8*100</f>
      </c>
      <c r="O8" s="29">
        <f>'입력값'!O69*'입력값'!C8*100</f>
      </c>
      <c r="P8" s="29">
        <f>'입력값'!P69*'입력값'!C8*100</f>
      </c>
      <c r="Q8" s="29">
        <f>'입력값'!Q69*'입력값'!C8*100</f>
      </c>
      <c r="R8" s="29">
        <f>'입력값'!R69*'입력값'!C8*100</f>
      </c>
      <c r="S8" s="29">
        <f>'입력값'!S69*'입력값'!C8*100</f>
      </c>
      <c r="T8" s="29">
        <f>'입력값'!T69*'입력값'!C8*100</f>
      </c>
      <c r="U8" s="29">
        <f>'입력값'!U69*'입력값'!C8*100</f>
      </c>
      <c r="V8" s="29">
        <f>'입력값'!V69*'입력값'!C8*100</f>
      </c>
      <c r="W8" s="29">
        <f>'입력값'!W69*'입력값'!C8*100</f>
      </c>
      <c r="X8" s="29">
        <f>'입력값'!X69*'입력값'!C8*100</f>
      </c>
      <c r="Y8" s="29">
        <f>'입력값'!Y69*'입력값'!C8*100</f>
      </c>
      <c r="Z8" s="29">
        <f>'입력값'!Z69*'입력값'!C8*100</f>
      </c>
      <c r="AA8" s="29">
        <f>'입력값'!AA69*'입력값'!C8*100</f>
      </c>
      <c r="AB8" s="29">
        <f>'입력값'!AB69*'입력값'!C8*100</f>
      </c>
      <c r="AC8" s="29">
        <f>'입력값'!AC69*'입력값'!C8*100</f>
      </c>
      <c r="AD8" s="29">
        <f>'입력값'!AD69*'입력값'!C8*100</f>
      </c>
      <c r="AE8" s="29">
        <f>'입력값'!AE69*'입력값'!C8*100</f>
      </c>
      <c r="AF8" s="29">
        <f>'입력값'!AF69*'입력값'!C8*100</f>
      </c>
      <c r="AG8" s="29">
        <f>'입력값'!AG69*'입력값'!C8*100</f>
      </c>
      <c r="AH8" s="29">
        <f>'입력값'!AH69*'입력값'!C8*100</f>
      </c>
      <c r="AI8" s="29">
        <f>'입력값'!AI69*'입력값'!C8*100</f>
      </c>
      <c r="AJ8" s="29">
        <f>'입력값'!AJ69*'입력값'!C8*100</f>
      </c>
      <c r="AK8" s="29">
        <f>'입력값'!AK69*'입력값'!C8*100</f>
      </c>
      <c r="AL8" s="29">
        <f>'입력값'!AL69*'입력값'!C8*100</f>
      </c>
      <c r="AM8" s="29">
        <f>'입력값'!AM69*'입력값'!C8*100</f>
      </c>
      <c r="AN8" s="29">
        <f>'입력값'!AN69*'입력값'!C8*100</f>
      </c>
      <c r="AO8" s="29">
        <f>'입력값'!AO69*'입력값'!C8*100</f>
      </c>
      <c r="AP8" s="29">
        <f>'입력값'!AP69*'입력값'!C8*100</f>
      </c>
      <c r="AQ8" s="29">
        <f>'입력값'!AQ69*'입력값'!C8*100</f>
      </c>
      <c r="AR8" s="29">
        <f>'입력값'!AR69*'입력값'!C8*100</f>
      </c>
      <c r="AS8" s="29">
        <f>'입력값'!AS69*'입력값'!C8*100</f>
      </c>
      <c r="AT8" s="29">
        <f>'입력값'!AT69*'입력값'!C8*100</f>
      </c>
      <c r="AU8" s="29">
        <f>'입력값'!AU69*'입력값'!C8*100</f>
      </c>
      <c r="AV8" s="29">
        <f>'입력값'!AV69*'입력값'!C8*100</f>
      </c>
      <c r="AW8" s="29">
        <f>'입력값'!AW69*'입력값'!C8*100</f>
      </c>
      <c r="AX8" s="29">
        <f>'입력값'!AX69*'입력값'!C8*100</f>
      </c>
      <c r="AY8" s="29">
        <f>'입력값'!AY69*'입력값'!C8*100</f>
      </c>
      <c r="AZ8" s="29">
        <f>'입력값'!AZ69*'입력값'!C8*100</f>
      </c>
      <c r="BA8" s="29">
        <f>'입력값'!BA69*'입력값'!C8*100</f>
      </c>
      <c r="BB8" s="29">
        <f>'입력값'!BB69*'입력값'!C8*100</f>
      </c>
      <c r="BC8" s="29">
        <f>'입력값'!BC69*'입력값'!C8*100</f>
      </c>
      <c r="BD8" s="29">
        <f>'입력값'!BD69*'입력값'!C8*100</f>
      </c>
      <c r="BE8" s="29">
        <f>'입력값'!BE69*'입력값'!C8*100</f>
      </c>
      <c r="BF8" s="29">
        <f>'입력값'!BF69*'입력값'!C8*100</f>
      </c>
      <c r="BG8" s="29">
        <f>'입력값'!BG69*'입력값'!C8*100</f>
      </c>
      <c r="BH8" s="29">
        <f>'입력값'!BH69*'입력값'!C8*100</f>
      </c>
      <c r="BI8" s="29">
        <f>'입력값'!BI69*'입력값'!C8*100</f>
      </c>
      <c r="BJ8" s="29">
        <f>'입력값'!BJ69*'입력값'!C8*100</f>
      </c>
      <c r="BK8" s="29">
        <f>'입력값'!BK69*'입력값'!C8*100</f>
      </c>
      <c r="BL8" s="29">
        <f>'입력값'!BL69*'입력값'!C8*100</f>
      </c>
      <c r="BM8" s="29">
        <f>'입력값'!BM69*'입력값'!C8*100</f>
      </c>
      <c r="BN8" s="29">
        <f>'입력값'!BN69*'입력값'!C8*100</f>
      </c>
      <c r="BO8" s="29">
        <f>'입력값'!BO69*'입력값'!C8*100</f>
      </c>
      <c r="BP8" s="29">
        <f>'입력값'!BP69*'입력값'!C8*100</f>
      </c>
      <c r="BQ8" s="29">
        <f>'입력값'!BQ69*'입력값'!C8*100</f>
      </c>
      <c r="BR8" s="29">
        <f>'입력값'!BR69*'입력값'!C8*100</f>
      </c>
      <c r="BS8" s="29">
        <f>'입력값'!BS69*'입력값'!C8*100</f>
      </c>
      <c r="BT8" s="29">
        <f>'입력값'!BT69*'입력값'!C8*100</f>
      </c>
      <c r="BU8" s="29">
        <f>'입력값'!BU69*'입력값'!C8*100</f>
      </c>
      <c r="BV8" s="29">
        <f>'입력값'!BV69*'입력값'!C8*100</f>
      </c>
      <c r="BW8" s="29">
        <f>'입력값'!BW69*'입력값'!C8*100</f>
      </c>
      <c r="BX8" s="29">
        <f>'입력값'!BX69*'입력값'!C8*100</f>
      </c>
      <c r="BY8" s="29">
        <f>'입력값'!BY69*'입력값'!C8*100</f>
      </c>
      <c r="BZ8" s="29">
        <f>'입력값'!BZ69*'입력값'!C8*100</f>
      </c>
      <c r="CA8" s="29">
        <f>'입력값'!CA69*'입력값'!C8*100</f>
      </c>
      <c r="CB8" s="29">
        <f>'입력값'!CB69*'입력값'!C8*100</f>
      </c>
      <c r="CC8" s="29">
        <f>'입력값'!CC69*'입력값'!C8*100</f>
      </c>
      <c r="CD8" s="29">
        <f>'입력값'!CD69*'입력값'!C8*100</f>
      </c>
      <c r="CE8" s="29">
        <f>'입력값'!CE69*'입력값'!C8*100</f>
      </c>
      <c r="CF8" s="29">
        <f>'입력값'!CF69*'입력값'!C8*100</f>
      </c>
      <c r="CG8" s="29">
        <f>'입력값'!CG69*'입력값'!C8*100</f>
      </c>
      <c r="CH8" s="29">
        <f>'입력값'!CH69*'입력값'!C8*100</f>
      </c>
      <c r="CI8" s="29">
        <f>'입력값'!CI69*'입력값'!C8*100</f>
      </c>
      <c r="CJ8" s="29">
        <f>'입력값'!CJ69*'입력값'!C8*100</f>
      </c>
      <c r="CK8" s="29">
        <f>'입력값'!CK69*'입력값'!C8*100</f>
      </c>
      <c r="CL8" s="29">
        <f>'입력값'!CL69*'입력값'!C8*100</f>
      </c>
    </row>
    <row r="9" spans="2:90" x14ac:dyDescent="0.25">
      <c r="B9" s="31" t="s">
        <v>253</v>
      </c>
      <c r="C9" s="32" t="s">
        <v>228</v>
      </c>
      <c r="D9" s="29">
        <f>SUM(E9:CL9)</f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f>'입력값'!C20*100</f>
      </c>
      <c r="K9" s="29">
        <v>0</v>
      </c>
      <c r="L9" s="29">
        <v>0</v>
      </c>
      <c r="M9" s="29">
        <v>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>
        <v>0</v>
      </c>
      <c r="AC9" s="29">
        <v>0</v>
      </c>
      <c r="AD9" s="29">
        <v>0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R9" s="29">
        <v>0</v>
      </c>
      <c r="AS9" s="29">
        <v>0</v>
      </c>
      <c r="AT9" s="29">
        <v>0</v>
      </c>
      <c r="AU9" s="29">
        <v>0</v>
      </c>
      <c r="AV9" s="29">
        <v>0</v>
      </c>
      <c r="AW9" s="29">
        <v>0</v>
      </c>
      <c r="AX9" s="29">
        <v>0</v>
      </c>
      <c r="AY9" s="29">
        <v>0</v>
      </c>
      <c r="AZ9" s="29">
        <v>0</v>
      </c>
      <c r="BA9" s="29">
        <v>0</v>
      </c>
      <c r="BB9" s="29">
        <v>0</v>
      </c>
      <c r="BC9" s="29">
        <v>0</v>
      </c>
      <c r="BD9" s="29">
        <v>0</v>
      </c>
      <c r="BE9" s="29">
        <v>0</v>
      </c>
      <c r="BF9" s="29">
        <v>0</v>
      </c>
      <c r="BG9" s="29">
        <v>0</v>
      </c>
      <c r="BH9" s="29">
        <v>0</v>
      </c>
      <c r="BI9" s="29">
        <v>0</v>
      </c>
      <c r="BJ9" s="29">
        <v>0</v>
      </c>
      <c r="BK9" s="29">
        <v>0</v>
      </c>
      <c r="BL9" s="29">
        <v>0</v>
      </c>
      <c r="BM9" s="29">
        <v>0</v>
      </c>
      <c r="BN9" s="29">
        <v>0</v>
      </c>
      <c r="BO9" s="29">
        <v>0</v>
      </c>
      <c r="BP9" s="29">
        <v>0</v>
      </c>
      <c r="BQ9" s="29">
        <v>0</v>
      </c>
      <c r="BR9" s="29">
        <v>0</v>
      </c>
      <c r="BS9" s="29">
        <v>0</v>
      </c>
      <c r="BT9" s="29">
        <v>0</v>
      </c>
      <c r="BU9" s="29">
        <v>0</v>
      </c>
      <c r="BV9" s="29">
        <v>0</v>
      </c>
      <c r="BW9" s="29">
        <v>0</v>
      </c>
      <c r="BX9" s="29">
        <v>0</v>
      </c>
      <c r="BY9" s="29">
        <v>0</v>
      </c>
      <c r="BZ9" s="29">
        <v>0</v>
      </c>
      <c r="CA9" s="29">
        <v>0</v>
      </c>
      <c r="CB9" s="29">
        <v>0</v>
      </c>
      <c r="CC9" s="29">
        <v>0</v>
      </c>
      <c r="CD9" s="29">
        <v>0</v>
      </c>
      <c r="CE9" s="29">
        <v>0</v>
      </c>
      <c r="CF9" s="29">
        <v>0</v>
      </c>
      <c r="CG9" s="29">
        <v>0</v>
      </c>
      <c r="CH9" s="29">
        <v>0</v>
      </c>
      <c r="CI9" s="29">
        <v>0</v>
      </c>
      <c r="CJ9" s="29">
        <v>0</v>
      </c>
      <c r="CK9" s="29">
        <v>0</v>
      </c>
      <c r="CL9" s="29">
        <v>0</v>
      </c>
    </row>
    <row r="10" spans="2:90" x14ac:dyDescent="0.25">
      <c r="B10" s="31" t="s">
        <v>254</v>
      </c>
      <c r="C10" s="32" t="s">
        <v>228</v>
      </c>
      <c r="D10" s="29">
        <f>SUM(E10:CL10)</f>
      </c>
      <c r="E10" s="29">
        <v>0</v>
      </c>
      <c r="F10" s="29">
        <f>E18*'입력값'!D58/4</f>
      </c>
      <c r="G10" s="29">
        <f>F18*'입력값'!D58/4</f>
      </c>
      <c r="H10" s="29">
        <f>G18*'입력값'!D58/4</f>
      </c>
      <c r="I10" s="29">
        <f>H18*'입력값'!D58/4</f>
      </c>
      <c r="J10" s="29">
        <f>I18*'입력값'!D58/4</f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  <c r="AW10" s="29">
        <v>0</v>
      </c>
      <c r="AX10" s="29">
        <v>0</v>
      </c>
      <c r="AY10" s="29">
        <v>0</v>
      </c>
      <c r="AZ10" s="29">
        <v>0</v>
      </c>
      <c r="BA10" s="29">
        <v>0</v>
      </c>
      <c r="BB10" s="29">
        <v>0</v>
      </c>
      <c r="BC10" s="29">
        <v>0</v>
      </c>
      <c r="BD10" s="29">
        <v>0</v>
      </c>
      <c r="BE10" s="29">
        <v>0</v>
      </c>
      <c r="BF10" s="29">
        <v>0</v>
      </c>
      <c r="BG10" s="29">
        <v>0</v>
      </c>
      <c r="BH10" s="29">
        <v>0</v>
      </c>
      <c r="BI10" s="29">
        <v>0</v>
      </c>
      <c r="BJ10" s="29">
        <v>0</v>
      </c>
      <c r="BK10" s="29">
        <v>0</v>
      </c>
      <c r="BL10" s="29">
        <v>0</v>
      </c>
      <c r="BM10" s="29">
        <v>0</v>
      </c>
      <c r="BN10" s="29">
        <v>0</v>
      </c>
      <c r="BO10" s="29">
        <v>0</v>
      </c>
      <c r="BP10" s="29">
        <v>0</v>
      </c>
      <c r="BQ10" s="29">
        <v>0</v>
      </c>
      <c r="BR10" s="29">
        <v>0</v>
      </c>
      <c r="BS10" s="29">
        <v>0</v>
      </c>
      <c r="BT10" s="29">
        <v>0</v>
      </c>
      <c r="BU10" s="29">
        <v>0</v>
      </c>
      <c r="BV10" s="29">
        <v>0</v>
      </c>
      <c r="BW10" s="29">
        <v>0</v>
      </c>
      <c r="BX10" s="29">
        <v>0</v>
      </c>
      <c r="BY10" s="29">
        <v>0</v>
      </c>
      <c r="BZ10" s="29">
        <v>0</v>
      </c>
      <c r="CA10" s="29">
        <v>0</v>
      </c>
      <c r="CB10" s="29">
        <v>0</v>
      </c>
      <c r="CC10" s="29">
        <v>0</v>
      </c>
      <c r="CD10" s="29">
        <v>0</v>
      </c>
      <c r="CE10" s="29">
        <v>0</v>
      </c>
      <c r="CF10" s="29">
        <v>0</v>
      </c>
      <c r="CG10" s="29">
        <v>0</v>
      </c>
      <c r="CH10" s="29">
        <v>0</v>
      </c>
      <c r="CI10" s="29">
        <v>0</v>
      </c>
      <c r="CJ10" s="29">
        <v>0</v>
      </c>
      <c r="CK10" s="29">
        <v>0</v>
      </c>
      <c r="CL10" s="29">
        <v>0</v>
      </c>
    </row>
    <row r="11" spans="2:90" x14ac:dyDescent="0.25">
      <c r="B11" s="31" t="s">
        <v>255</v>
      </c>
      <c r="C11" s="32" t="s">
        <v>228</v>
      </c>
      <c r="D11" s="29">
        <f>SUM(E11:CL11)</f>
      </c>
      <c r="E11" s="29">
        <v>0</v>
      </c>
      <c r="F11" s="29">
        <f>E19*'입력값'!D59/4</f>
      </c>
      <c r="G11" s="29">
        <f>F19*'입력값'!D59/4</f>
      </c>
      <c r="H11" s="29">
        <f>G19*'입력값'!D59/4</f>
      </c>
      <c r="I11" s="29">
        <f>H19*'입력값'!D59/4</f>
      </c>
      <c r="J11" s="29">
        <f>I19*'입력값'!D59/4</f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>
        <v>0</v>
      </c>
      <c r="AY11" s="29">
        <v>0</v>
      </c>
      <c r="AZ11" s="29">
        <v>0</v>
      </c>
      <c r="BA11" s="29">
        <v>0</v>
      </c>
      <c r="BB11" s="29">
        <v>0</v>
      </c>
      <c r="BC11" s="29">
        <v>0</v>
      </c>
      <c r="BD11" s="29">
        <v>0</v>
      </c>
      <c r="BE11" s="29">
        <v>0</v>
      </c>
      <c r="BF11" s="29">
        <v>0</v>
      </c>
      <c r="BG11" s="29">
        <v>0</v>
      </c>
      <c r="BH11" s="29">
        <v>0</v>
      </c>
      <c r="BI11" s="29">
        <v>0</v>
      </c>
      <c r="BJ11" s="29">
        <v>0</v>
      </c>
      <c r="BK11" s="29">
        <v>0</v>
      </c>
      <c r="BL11" s="29">
        <v>0</v>
      </c>
      <c r="BM11" s="29">
        <v>0</v>
      </c>
      <c r="BN11" s="29">
        <v>0</v>
      </c>
      <c r="BO11" s="29">
        <v>0</v>
      </c>
      <c r="BP11" s="29">
        <v>0</v>
      </c>
      <c r="BQ11" s="29">
        <v>0</v>
      </c>
      <c r="BR11" s="29">
        <v>0</v>
      </c>
      <c r="BS11" s="29">
        <v>0</v>
      </c>
      <c r="BT11" s="29">
        <v>0</v>
      </c>
      <c r="BU11" s="29">
        <v>0</v>
      </c>
      <c r="BV11" s="29">
        <v>0</v>
      </c>
      <c r="BW11" s="29">
        <v>0</v>
      </c>
      <c r="BX11" s="29">
        <v>0</v>
      </c>
      <c r="BY11" s="29">
        <v>0</v>
      </c>
      <c r="BZ11" s="29">
        <v>0</v>
      </c>
      <c r="CA11" s="29">
        <v>0</v>
      </c>
      <c r="CB11" s="29">
        <v>0</v>
      </c>
      <c r="CC11" s="29">
        <v>0</v>
      </c>
      <c r="CD11" s="29">
        <v>0</v>
      </c>
      <c r="CE11" s="29">
        <v>0</v>
      </c>
      <c r="CF11" s="29">
        <v>0</v>
      </c>
      <c r="CG11" s="29">
        <v>0</v>
      </c>
      <c r="CH11" s="29">
        <v>0</v>
      </c>
      <c r="CI11" s="29">
        <v>0</v>
      </c>
      <c r="CJ11" s="29">
        <v>0</v>
      </c>
      <c r="CK11" s="29">
        <v>0</v>
      </c>
      <c r="CL11" s="29">
        <v>0</v>
      </c>
    </row>
    <row r="12" spans="2:90" x14ac:dyDescent="0.25">
      <c r="B12" s="31" t="s">
        <v>256</v>
      </c>
      <c r="C12" s="32" t="s">
        <v>228</v>
      </c>
      <c r="D12" s="29">
        <f>SUM(E12:CL12)</f>
      </c>
      <c r="E12" s="29">
        <v>0</v>
      </c>
      <c r="F12" s="29">
        <f>E20*'입력값'!D60/4</f>
      </c>
      <c r="G12" s="29">
        <f>F20*'입력값'!D60/4</f>
      </c>
      <c r="H12" s="29">
        <f>G20*'입력값'!D60/4</f>
      </c>
      <c r="I12" s="29">
        <f>H20*'입력값'!D60/4</f>
      </c>
      <c r="J12" s="29">
        <f>I20*'입력값'!D60/4</f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0</v>
      </c>
      <c r="AS12" s="29">
        <v>0</v>
      </c>
      <c r="AT12" s="29">
        <v>0</v>
      </c>
      <c r="AU12" s="29">
        <v>0</v>
      </c>
      <c r="AV12" s="29">
        <v>0</v>
      </c>
      <c r="AW12" s="29">
        <v>0</v>
      </c>
      <c r="AX12" s="29">
        <v>0</v>
      </c>
      <c r="AY12" s="29">
        <v>0</v>
      </c>
      <c r="AZ12" s="29">
        <v>0</v>
      </c>
      <c r="BA12" s="29">
        <v>0</v>
      </c>
      <c r="BB12" s="29">
        <v>0</v>
      </c>
      <c r="BC12" s="29">
        <v>0</v>
      </c>
      <c r="BD12" s="29">
        <v>0</v>
      </c>
      <c r="BE12" s="29">
        <v>0</v>
      </c>
      <c r="BF12" s="29">
        <v>0</v>
      </c>
      <c r="BG12" s="29">
        <v>0</v>
      </c>
      <c r="BH12" s="29">
        <v>0</v>
      </c>
      <c r="BI12" s="29">
        <v>0</v>
      </c>
      <c r="BJ12" s="29">
        <v>0</v>
      </c>
      <c r="BK12" s="29">
        <v>0</v>
      </c>
      <c r="BL12" s="29">
        <v>0</v>
      </c>
      <c r="BM12" s="29">
        <v>0</v>
      </c>
      <c r="BN12" s="29">
        <v>0</v>
      </c>
      <c r="BO12" s="29">
        <v>0</v>
      </c>
      <c r="BP12" s="29">
        <v>0</v>
      </c>
      <c r="BQ12" s="29">
        <v>0</v>
      </c>
      <c r="BR12" s="29">
        <v>0</v>
      </c>
      <c r="BS12" s="29">
        <v>0</v>
      </c>
      <c r="BT12" s="29">
        <v>0</v>
      </c>
      <c r="BU12" s="29">
        <v>0</v>
      </c>
      <c r="BV12" s="29">
        <v>0</v>
      </c>
      <c r="BW12" s="29">
        <v>0</v>
      </c>
      <c r="BX12" s="29">
        <v>0</v>
      </c>
      <c r="BY12" s="29">
        <v>0</v>
      </c>
      <c r="BZ12" s="29">
        <v>0</v>
      </c>
      <c r="CA12" s="29">
        <v>0</v>
      </c>
      <c r="CB12" s="29">
        <v>0</v>
      </c>
      <c r="CC12" s="29">
        <v>0</v>
      </c>
      <c r="CD12" s="29">
        <v>0</v>
      </c>
      <c r="CE12" s="29">
        <v>0</v>
      </c>
      <c r="CF12" s="29">
        <v>0</v>
      </c>
      <c r="CG12" s="29">
        <v>0</v>
      </c>
      <c r="CH12" s="29">
        <v>0</v>
      </c>
      <c r="CI12" s="29">
        <v>0</v>
      </c>
      <c r="CJ12" s="29">
        <v>0</v>
      </c>
      <c r="CK12" s="29">
        <v>0</v>
      </c>
      <c r="CL12" s="29">
        <v>0</v>
      </c>
    </row>
    <row r="13" spans="2:90" x14ac:dyDescent="0.25">
      <c r="B13" s="31" t="s">
        <v>257</v>
      </c>
      <c r="C13" s="32" t="s">
        <v>228</v>
      </c>
      <c r="D13" s="29">
        <f>SUM(E13:CL13)</f>
      </c>
      <c r="E13" s="29">
        <v>0</v>
      </c>
      <c r="F13" s="29">
        <f>E21*'입력값'!D61/4</f>
      </c>
      <c r="G13" s="29">
        <f>F21*'입력값'!D61/4</f>
      </c>
      <c r="H13" s="29">
        <f>G21*'입력값'!D61/4</f>
      </c>
      <c r="I13" s="29">
        <f>H21*'입력값'!D61/4</f>
      </c>
      <c r="J13" s="29">
        <f>I21*'입력값'!D61/4</f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R13" s="29">
        <v>0</v>
      </c>
      <c r="AS13" s="29">
        <v>0</v>
      </c>
      <c r="AT13" s="29">
        <v>0</v>
      </c>
      <c r="AU13" s="29">
        <v>0</v>
      </c>
      <c r="AV13" s="29">
        <v>0</v>
      </c>
      <c r="AW13" s="29">
        <v>0</v>
      </c>
      <c r="AX13" s="29">
        <v>0</v>
      </c>
      <c r="AY13" s="29">
        <v>0</v>
      </c>
      <c r="AZ13" s="29">
        <v>0</v>
      </c>
      <c r="BA13" s="29">
        <v>0</v>
      </c>
      <c r="BB13" s="29">
        <v>0</v>
      </c>
      <c r="BC13" s="29">
        <v>0</v>
      </c>
      <c r="BD13" s="29">
        <v>0</v>
      </c>
      <c r="BE13" s="29">
        <v>0</v>
      </c>
      <c r="BF13" s="29">
        <v>0</v>
      </c>
      <c r="BG13" s="29">
        <v>0</v>
      </c>
      <c r="BH13" s="29">
        <v>0</v>
      </c>
      <c r="BI13" s="29">
        <v>0</v>
      </c>
      <c r="BJ13" s="29">
        <v>0</v>
      </c>
      <c r="BK13" s="29">
        <v>0</v>
      </c>
      <c r="BL13" s="29">
        <v>0</v>
      </c>
      <c r="BM13" s="29">
        <v>0</v>
      </c>
      <c r="BN13" s="29">
        <v>0</v>
      </c>
      <c r="BO13" s="29">
        <v>0</v>
      </c>
      <c r="BP13" s="29">
        <v>0</v>
      </c>
      <c r="BQ13" s="29">
        <v>0</v>
      </c>
      <c r="BR13" s="29">
        <v>0</v>
      </c>
      <c r="BS13" s="29">
        <v>0</v>
      </c>
      <c r="BT13" s="29">
        <v>0</v>
      </c>
      <c r="BU13" s="29">
        <v>0</v>
      </c>
      <c r="BV13" s="29">
        <v>0</v>
      </c>
      <c r="BW13" s="29">
        <v>0</v>
      </c>
      <c r="BX13" s="29">
        <v>0</v>
      </c>
      <c r="BY13" s="29">
        <v>0</v>
      </c>
      <c r="BZ13" s="29">
        <v>0</v>
      </c>
      <c r="CA13" s="29">
        <v>0</v>
      </c>
      <c r="CB13" s="29">
        <v>0</v>
      </c>
      <c r="CC13" s="29">
        <v>0</v>
      </c>
      <c r="CD13" s="29">
        <v>0</v>
      </c>
      <c r="CE13" s="29">
        <v>0</v>
      </c>
      <c r="CF13" s="29">
        <v>0</v>
      </c>
      <c r="CG13" s="29">
        <v>0</v>
      </c>
      <c r="CH13" s="29">
        <v>0</v>
      </c>
      <c r="CI13" s="29">
        <v>0</v>
      </c>
      <c r="CJ13" s="29">
        <v>0</v>
      </c>
      <c r="CK13" s="29">
        <v>0</v>
      </c>
      <c r="CL13" s="29">
        <v>0</v>
      </c>
    </row>
    <row r="14" spans="2:90" x14ac:dyDescent="0.25">
      <c r="B14" s="31" t="s">
        <v>258</v>
      </c>
      <c r="C14" s="32" t="s">
        <v>228</v>
      </c>
      <c r="D14" s="29">
        <f>SUM(E14:CL14)</f>
      </c>
      <c r="E14" s="29">
        <v>0</v>
      </c>
      <c r="F14" s="29">
        <f>E22*'입력값'!D62/4</f>
      </c>
      <c r="G14" s="29">
        <f>F22*'입력값'!D62/4</f>
      </c>
      <c r="H14" s="29">
        <f>G22*'입력값'!D62/4</f>
      </c>
      <c r="I14" s="29">
        <f>H22*'입력값'!D62/4</f>
      </c>
      <c r="J14" s="29">
        <f>I22*'입력값'!D62/4</f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R14" s="29">
        <v>0</v>
      </c>
      <c r="AS14" s="29">
        <v>0</v>
      </c>
      <c r="AT14" s="29">
        <v>0</v>
      </c>
      <c r="AU14" s="29">
        <v>0</v>
      </c>
      <c r="AV14" s="29">
        <v>0</v>
      </c>
      <c r="AW14" s="29">
        <v>0</v>
      </c>
      <c r="AX14" s="29">
        <v>0</v>
      </c>
      <c r="AY14" s="29">
        <v>0</v>
      </c>
      <c r="AZ14" s="29">
        <v>0</v>
      </c>
      <c r="BA14" s="29">
        <v>0</v>
      </c>
      <c r="BB14" s="29">
        <v>0</v>
      </c>
      <c r="BC14" s="29">
        <v>0</v>
      </c>
      <c r="BD14" s="29">
        <v>0</v>
      </c>
      <c r="BE14" s="29">
        <v>0</v>
      </c>
      <c r="BF14" s="29">
        <v>0</v>
      </c>
      <c r="BG14" s="29">
        <v>0</v>
      </c>
      <c r="BH14" s="29">
        <v>0</v>
      </c>
      <c r="BI14" s="29">
        <v>0</v>
      </c>
      <c r="BJ14" s="29">
        <v>0</v>
      </c>
      <c r="BK14" s="29">
        <v>0</v>
      </c>
      <c r="BL14" s="29">
        <v>0</v>
      </c>
      <c r="BM14" s="29">
        <v>0</v>
      </c>
      <c r="BN14" s="29">
        <v>0</v>
      </c>
      <c r="BO14" s="29">
        <v>0</v>
      </c>
      <c r="BP14" s="29">
        <v>0</v>
      </c>
      <c r="BQ14" s="29">
        <v>0</v>
      </c>
      <c r="BR14" s="29">
        <v>0</v>
      </c>
      <c r="BS14" s="29">
        <v>0</v>
      </c>
      <c r="BT14" s="29">
        <v>0</v>
      </c>
      <c r="BU14" s="29">
        <v>0</v>
      </c>
      <c r="BV14" s="29">
        <v>0</v>
      </c>
      <c r="BW14" s="29">
        <v>0</v>
      </c>
      <c r="BX14" s="29">
        <v>0</v>
      </c>
      <c r="BY14" s="29">
        <v>0</v>
      </c>
      <c r="BZ14" s="29">
        <v>0</v>
      </c>
      <c r="CA14" s="29">
        <v>0</v>
      </c>
      <c r="CB14" s="29">
        <v>0</v>
      </c>
      <c r="CC14" s="29">
        <v>0</v>
      </c>
      <c r="CD14" s="29">
        <v>0</v>
      </c>
      <c r="CE14" s="29">
        <v>0</v>
      </c>
      <c r="CF14" s="29">
        <v>0</v>
      </c>
      <c r="CG14" s="29">
        <v>0</v>
      </c>
      <c r="CH14" s="29">
        <v>0</v>
      </c>
      <c r="CI14" s="29">
        <v>0</v>
      </c>
      <c r="CJ14" s="29">
        <v>0</v>
      </c>
      <c r="CK14" s="29">
        <v>0</v>
      </c>
      <c r="CL14" s="29">
        <v>0</v>
      </c>
    </row>
    <row r="15" spans="2:90" x14ac:dyDescent="0.25">
      <c r="B15" s="42" t="s">
        <v>259</v>
      </c>
      <c r="C15" s="32" t="s">
        <v>228</v>
      </c>
      <c r="D15" s="14">
        <f>SUM(E15:CL15)</f>
      </c>
      <c r="E15" s="14">
        <f>E10+E11+E12+E13+E14</f>
      </c>
      <c r="F15" s="14">
        <f>F10+F11+F12+F13+F14</f>
      </c>
      <c r="G15" s="14">
        <f>G10+G11+G12+G13+G14</f>
      </c>
      <c r="H15" s="14">
        <f>H10+H11+H12+H13+H14</f>
      </c>
      <c r="I15" s="14">
        <f>I10+I11+I12+I13+I14</f>
      </c>
      <c r="J15" s="14">
        <f>J10+J11+J12+J13+J14</f>
      </c>
      <c r="K15" s="14">
        <f>K10+K11+K12+K13+K14</f>
      </c>
      <c r="L15" s="14">
        <f>L10+L11+L12+L13+L14</f>
      </c>
      <c r="M15" s="14">
        <f>M10+M11+M12+M13+M14</f>
      </c>
      <c r="N15" s="14">
        <f>N10+N11+N12+N13+N14</f>
      </c>
      <c r="O15" s="14">
        <f>O10+O11+O12+O13+O14</f>
      </c>
      <c r="P15" s="14">
        <f>P10+P11+P12+P13+P14</f>
      </c>
      <c r="Q15" s="14">
        <f>Q10+Q11+Q12+Q13+Q14</f>
      </c>
      <c r="R15" s="14">
        <f>R10+R11+R12+R13+R14</f>
      </c>
      <c r="S15" s="14">
        <f>S10+S11+S12+S13+S14</f>
      </c>
      <c r="T15" s="14">
        <f>T10+T11+T12+T13+T14</f>
      </c>
      <c r="U15" s="14">
        <f>U10+U11+U12+U13+U14</f>
      </c>
      <c r="V15" s="14">
        <f>V10+V11+V12+V13+V14</f>
      </c>
      <c r="W15" s="14">
        <f>W10+W11+W12+W13+W14</f>
      </c>
      <c r="X15" s="14">
        <f>X10+X11+X12+X13+X14</f>
      </c>
      <c r="Y15" s="14">
        <f>Y10+Y11+Y12+Y13+Y14</f>
      </c>
      <c r="Z15" s="14">
        <f>Z10+Z11+Z12+Z13+Z14</f>
      </c>
      <c r="AA15" s="14">
        <f>AA10+AA11+AA12+AA13+AA14</f>
      </c>
      <c r="AB15" s="14">
        <f>AB10+AB11+AB12+AB13+AB14</f>
      </c>
      <c r="AC15" s="14">
        <f>AC10+AC11+AC12+AC13+AC14</f>
      </c>
      <c r="AD15" s="14">
        <f>AD10+AD11+AD12+AD13+AD14</f>
      </c>
      <c r="AE15" s="14">
        <f>AE10+AE11+AE12+AE13+AE14</f>
      </c>
      <c r="AF15" s="14">
        <f>AF10+AF11+AF12+AF13+AF14</f>
      </c>
      <c r="AG15" s="14">
        <f>AG10+AG11+AG12+AG13+AG14</f>
      </c>
      <c r="AH15" s="14">
        <f>AH10+AH11+AH12+AH13+AH14</f>
      </c>
      <c r="AI15" s="14">
        <f>AI10+AI11+AI12+AI13+AI14</f>
      </c>
      <c r="AJ15" s="14">
        <f>AJ10+AJ11+AJ12+AJ13+AJ14</f>
      </c>
      <c r="AK15" s="14">
        <f>AK10+AK11+AK12+AK13+AK14</f>
      </c>
      <c r="AL15" s="14">
        <f>AL10+AL11+AL12+AL13+AL14</f>
      </c>
      <c r="AM15" s="14">
        <f>AM10+AM11+AM12+AM13+AM14</f>
      </c>
      <c r="AN15" s="14">
        <f>AN10+AN11+AN12+AN13+AN14</f>
      </c>
      <c r="AO15" s="14">
        <f>AO10+AO11+AO12+AO13+AO14</f>
      </c>
      <c r="AP15" s="14">
        <f>AP10+AP11+AP12+AP13+AP14</f>
      </c>
      <c r="AQ15" s="14">
        <f>AQ10+AQ11+AQ12+AQ13+AQ14</f>
      </c>
      <c r="AR15" s="14">
        <f>AR10+AR11+AR12+AR13+AR14</f>
      </c>
      <c r="AS15" s="14">
        <f>AS10+AS11+AS12+AS13+AS14</f>
      </c>
      <c r="AT15" s="14">
        <f>AT10+AT11+AT12+AT13+AT14</f>
      </c>
      <c r="AU15" s="14">
        <f>AU10+AU11+AU12+AU13+AU14</f>
      </c>
      <c r="AV15" s="14">
        <f>AV10+AV11+AV12+AV13+AV14</f>
      </c>
      <c r="AW15" s="14">
        <f>AW10+AW11+AW12+AW13+AW14</f>
      </c>
      <c r="AX15" s="14">
        <f>AX10+AX11+AX12+AX13+AX14</f>
      </c>
      <c r="AY15" s="14">
        <f>AY10+AY11+AY12+AY13+AY14</f>
      </c>
      <c r="AZ15" s="14">
        <f>AZ10+AZ11+AZ12+AZ13+AZ14</f>
      </c>
      <c r="BA15" s="14">
        <f>BA10+BA11+BA12+BA13+BA14</f>
      </c>
      <c r="BB15" s="14">
        <f>BB10+BB11+BB12+BB13+BB14</f>
      </c>
      <c r="BC15" s="14">
        <f>BC10+BC11+BC12+BC13+BC14</f>
      </c>
      <c r="BD15" s="14">
        <f>BD10+BD11+BD12+BD13+BD14</f>
      </c>
      <c r="BE15" s="14">
        <f>BE10+BE11+BE12+BE13+BE14</f>
      </c>
      <c r="BF15" s="14">
        <f>BF10+BF11+BF12+BF13+BF14</f>
      </c>
      <c r="BG15" s="14">
        <f>BG10+BG11+BG12+BG13+BG14</f>
      </c>
      <c r="BH15" s="14">
        <f>BH10+BH11+BH12+BH13+BH14</f>
      </c>
      <c r="BI15" s="14">
        <f>BI10+BI11+BI12+BI13+BI14</f>
      </c>
      <c r="BJ15" s="14">
        <f>BJ10+BJ11+BJ12+BJ13+BJ14</f>
      </c>
      <c r="BK15" s="14">
        <f>BK10+BK11+BK12+BK13+BK14</f>
      </c>
      <c r="BL15" s="14">
        <f>BL10+BL11+BL12+BL13+BL14</f>
      </c>
      <c r="BM15" s="14">
        <f>BM10+BM11+BM12+BM13+BM14</f>
      </c>
      <c r="BN15" s="14">
        <f>BN10+BN11+BN12+BN13+BN14</f>
      </c>
      <c r="BO15" s="14">
        <f>BO10+BO11+BO12+BO13+BO14</f>
      </c>
      <c r="BP15" s="14">
        <f>BP10+BP11+BP12+BP13+BP14</f>
      </c>
      <c r="BQ15" s="14">
        <f>BQ10+BQ11+BQ12+BQ13+BQ14</f>
      </c>
      <c r="BR15" s="14">
        <f>BR10+BR11+BR12+BR13+BR14</f>
      </c>
      <c r="BS15" s="14">
        <f>BS10+BS11+BS12+BS13+BS14</f>
      </c>
      <c r="BT15" s="14">
        <f>BT10+BT11+BT12+BT13+BT14</f>
      </c>
      <c r="BU15" s="14">
        <f>BU10+BU11+BU12+BU13+BU14</f>
      </c>
      <c r="BV15" s="14">
        <f>BV10+BV11+BV12+BV13+BV14</f>
      </c>
      <c r="BW15" s="14">
        <f>BW10+BW11+BW12+BW13+BW14</f>
      </c>
      <c r="BX15" s="14">
        <f>BX10+BX11+BX12+BX13+BX14</f>
      </c>
      <c r="BY15" s="14">
        <f>BY10+BY11+BY12+BY13+BY14</f>
      </c>
      <c r="BZ15" s="14">
        <f>BZ10+BZ11+BZ12+BZ13+BZ14</f>
      </c>
      <c r="CA15" s="14">
        <f>CA10+CA11+CA12+CA13+CA14</f>
      </c>
      <c r="CB15" s="14">
        <f>CB10+CB11+CB12+CB13+CB14</f>
      </c>
      <c r="CC15" s="14">
        <f>CC10+CC11+CC12+CC13+CC14</f>
      </c>
      <c r="CD15" s="14">
        <f>CD10+CD11+CD12+CD13+CD14</f>
      </c>
      <c r="CE15" s="14">
        <f>CE10+CE11+CE12+CE13+CE14</f>
      </c>
      <c r="CF15" s="14">
        <f>CF10+CF11+CF12+CF13+CF14</f>
      </c>
      <c r="CG15" s="14">
        <f>CG10+CG11+CG12+CG13+CG14</f>
      </c>
      <c r="CH15" s="14">
        <f>CH10+CH11+CH12+CH13+CH14</f>
      </c>
      <c r="CI15" s="14">
        <f>CI10+CI11+CI12+CI13+CI14</f>
      </c>
      <c r="CJ15" s="14">
        <f>CJ10+CJ11+CJ12+CJ13+CJ14</f>
      </c>
      <c r="CK15" s="14">
        <f>CK10+CK11+CK12+CK13+CK14</f>
      </c>
      <c r="CL15" s="14">
        <f>CL10+CL11+CL12+CL13+CL14</f>
      </c>
    </row>
    <row r="16" spans="2:90" x14ac:dyDescent="0.25">
      <c r="B16" s="31" t="s">
        <v>260</v>
      </c>
      <c r="C16" s="32" t="s">
        <v>228</v>
      </c>
      <c r="E16" s="29">
        <f>E8+E9+E15</f>
      </c>
      <c r="F16" s="29">
        <f>E16+F8+F9+F15</f>
      </c>
      <c r="G16" s="29">
        <f>F16+G8+G9+G15</f>
      </c>
      <c r="H16" s="29">
        <f>G16+H8+H9+H15</f>
      </c>
      <c r="I16" s="29">
        <f>H16+I8+I9+I15</f>
      </c>
      <c r="J16" s="29">
        <f>I16+J8+J9+J15</f>
      </c>
      <c r="K16" s="29">
        <f>J16+K8+K9+K15</f>
      </c>
      <c r="L16" s="29">
        <f>K16+L8+L9+L15</f>
      </c>
      <c r="M16" s="29">
        <f>L16+M8+M9+M15</f>
      </c>
      <c r="N16" s="29">
        <f>M16+N8+N9+N15</f>
      </c>
      <c r="O16" s="29">
        <f>N16+O8+O9+O15</f>
      </c>
      <c r="P16" s="29">
        <f>O16+P8+P9+P15</f>
      </c>
      <c r="Q16" s="29">
        <f>P16+Q8+Q9+Q15</f>
      </c>
      <c r="R16" s="29">
        <f>Q16+R8+R9+R15</f>
      </c>
      <c r="S16" s="29">
        <f>R16+S8+S9+S15</f>
      </c>
      <c r="T16" s="29">
        <f>S16+T8+T9+T15</f>
      </c>
      <c r="U16" s="29">
        <f>T16+U8+U9+U15</f>
      </c>
      <c r="V16" s="29">
        <f>U16+V8+V9+V15</f>
      </c>
      <c r="W16" s="29">
        <f>V16+W8+W9+W15</f>
      </c>
      <c r="X16" s="29">
        <f>W16+X8+X9+X15</f>
      </c>
      <c r="Y16" s="29">
        <f>X16+Y8+Y9+Y15</f>
      </c>
      <c r="Z16" s="29">
        <f>Y16+Z8+Z9+Z15</f>
      </c>
      <c r="AA16" s="29">
        <f>Z16+AA8+AA9+AA15</f>
      </c>
      <c r="AB16" s="29">
        <f>AA16+AB8+AB9+AB15</f>
      </c>
      <c r="AC16" s="29">
        <f>AB16+AC8+AC9+AC15</f>
      </c>
      <c r="AD16" s="29">
        <f>AC16+AD8+AD9+AD15</f>
      </c>
      <c r="AE16" s="29">
        <f>AD16+AE8+AE9+AE15</f>
      </c>
      <c r="AF16" s="29">
        <f>AE16+AF8+AF9+AF15</f>
      </c>
      <c r="AG16" s="29">
        <f>AF16+AG8+AG9+AG15</f>
      </c>
      <c r="AH16" s="29">
        <f>AG16+AH8+AH9+AH15</f>
      </c>
      <c r="AI16" s="29">
        <f>AH16+AI8+AI9+AI15</f>
      </c>
      <c r="AJ16" s="29">
        <f>AI16+AJ8+AJ9+AJ15</f>
      </c>
      <c r="AK16" s="29">
        <f>AJ16+AK8+AK9+AK15</f>
      </c>
      <c r="AL16" s="29">
        <f>AK16+AL8+AL9+AL15</f>
      </c>
      <c r="AM16" s="29">
        <f>AL16+AM8+AM9+AM15</f>
      </c>
      <c r="AN16" s="29">
        <f>AM16+AN8+AN9+AN15</f>
      </c>
      <c r="AO16" s="29">
        <f>AN16+AO8+AO9+AO15</f>
      </c>
      <c r="AP16" s="29">
        <f>AO16+AP8+AP9+AP15</f>
      </c>
      <c r="AQ16" s="29">
        <f>AP16+AQ8+AQ9+AQ15</f>
      </c>
      <c r="AR16" s="29">
        <f>AQ16+AR8+AR9+AR15</f>
      </c>
      <c r="AS16" s="29">
        <f>AR16+AS8+AS9+AS15</f>
      </c>
      <c r="AT16" s="29">
        <f>AS16+AT8+AT9+AT15</f>
      </c>
      <c r="AU16" s="29">
        <f>AT16+AU8+AU9+AU15</f>
      </c>
      <c r="AV16" s="29">
        <f>AU16+AV8+AV9+AV15</f>
      </c>
      <c r="AW16" s="29">
        <f>AV16+AW8+AW9+AW15</f>
      </c>
      <c r="AX16" s="29">
        <f>AW16+AX8+AX9+AX15</f>
      </c>
      <c r="AY16" s="29">
        <f>AX16+AY8+AY9+AY15</f>
      </c>
      <c r="AZ16" s="29">
        <f>AY16+AZ8+AZ9+AZ15</f>
      </c>
      <c r="BA16" s="29">
        <f>AZ16+BA8+BA9+BA15</f>
      </c>
      <c r="BB16" s="29">
        <f>BA16+BB8+BB9+BB15</f>
      </c>
      <c r="BC16" s="29">
        <f>BB16+BC8+BC9+BC15</f>
      </c>
      <c r="BD16" s="29">
        <f>BC16+BD8+BD9+BD15</f>
      </c>
      <c r="BE16" s="29">
        <f>BD16+BE8+BE9+BE15</f>
      </c>
      <c r="BF16" s="29">
        <f>BE16+BF8+BF9+BF15</f>
      </c>
      <c r="BG16" s="29">
        <f>BF16+BG8+BG9+BG15</f>
      </c>
      <c r="BH16" s="29">
        <f>BG16+BH8+BH9+BH15</f>
      </c>
      <c r="BI16" s="29">
        <f>BH16+BI8+BI9+BI15</f>
      </c>
      <c r="BJ16" s="29">
        <f>BI16+BJ8+BJ9+BJ15</f>
      </c>
      <c r="BK16" s="29">
        <f>BJ16+BK8+BK9+BK15</f>
      </c>
      <c r="BL16" s="29">
        <f>BK16+BL8+BL9+BL15</f>
      </c>
      <c r="BM16" s="29">
        <f>BL16+BM8+BM9+BM15</f>
      </c>
      <c r="BN16" s="29">
        <f>BM16+BN8+BN9+BN15</f>
      </c>
      <c r="BO16" s="29">
        <f>BN16+BO8+BO9+BO15</f>
      </c>
      <c r="BP16" s="29">
        <f>BO16+BP8+BP9+BP15</f>
      </c>
      <c r="BQ16" s="29">
        <f>BP16+BQ8+BQ9+BQ15</f>
      </c>
      <c r="BR16" s="29">
        <f>BQ16+BR8+BR9+BR15</f>
      </c>
      <c r="BS16" s="29">
        <f>BR16+BS8+BS9+BS15</f>
      </c>
      <c r="BT16" s="29">
        <f>BS16+BT8+BT9+BT15</f>
      </c>
      <c r="BU16" s="29">
        <f>BT16+BU8+BU9+BU15</f>
      </c>
      <c r="BV16" s="29">
        <f>BU16+BV8+BV9+BV15</f>
      </c>
      <c r="BW16" s="29">
        <f>BV16+BW8+BW9+BW15</f>
      </c>
      <c r="BX16" s="29">
        <f>BW16+BX8+BX9+BX15</f>
      </c>
      <c r="BY16" s="29">
        <f>BX16+BY8+BY9+BY15</f>
      </c>
      <c r="BZ16" s="29">
        <f>BY16+BZ8+BZ9+BZ15</f>
      </c>
      <c r="CA16" s="29">
        <f>BZ16+CA8+CA9+CA15</f>
      </c>
      <c r="CB16" s="29">
        <f>CA16+CB8+CB9+CB15</f>
      </c>
      <c r="CC16" s="29">
        <f>CB16+CC8+CC9+CC15</f>
      </c>
      <c r="CD16" s="29">
        <f>CC16+CD8+CD9+CD15</f>
      </c>
      <c r="CE16" s="29">
        <f>CD16+CE8+CE9+CE15</f>
      </c>
      <c r="CF16" s="29">
        <f>CE16+CF8+CF9+CF15</f>
      </c>
      <c r="CG16" s="29">
        <f>CF16+CG8+CG9+CG15</f>
      </c>
      <c r="CH16" s="29">
        <f>CG16+CH8+CH9+CH15</f>
      </c>
      <c r="CI16" s="29">
        <f>CH16+CI8+CI9+CI15</f>
      </c>
      <c r="CJ16" s="29">
        <f>CI16+CJ8+CJ9+CJ15</f>
      </c>
      <c r="CK16" s="29">
        <f>CJ16+CK8+CK9+CK15</f>
      </c>
      <c r="CL16" s="29">
        <f>CK16+CL8+CL9+CL15</f>
      </c>
    </row>
    <row r="17" spans="2:90" x14ac:dyDescent="0.25">
      <c r="B17" s="31" t="s">
        <v>261</v>
      </c>
      <c r="C17" s="32" t="s">
        <v>228</v>
      </c>
      <c r="E17" s="29">
        <f>MIN(MAX(E16-(0),0),'입력값'!C9*100+'입력값'!C62*100)*('입력값'!C9*100)/IF(('입력값'!C9*100+'입력값'!C62*100)=0,1,'입력값'!C9*100+'입력값'!C62*100)</f>
      </c>
      <c r="F17" s="29">
        <f>MIN(MAX(F16-(0),0),'입력값'!C9*100+'입력값'!C62*100)*('입력값'!C9*100)/IF(('입력값'!C9*100+'입력값'!C62*100)=0,1,'입력값'!C9*100+'입력값'!C62*100)</f>
      </c>
      <c r="G17" s="29">
        <f>MIN(MAX(G16-(0),0),'입력값'!C9*100+'입력값'!C62*100)*('입력값'!C9*100)/IF(('입력값'!C9*100+'입력값'!C62*100)=0,1,'입력값'!C9*100+'입력값'!C62*100)</f>
      </c>
      <c r="H17" s="29">
        <f>MIN(MAX(H16-(0),0),'입력값'!C9*100+'입력값'!C62*100)*('입력값'!C9*100)/IF(('입력값'!C9*100+'입력값'!C62*100)=0,1,'입력값'!C9*100+'입력값'!C62*100)</f>
      </c>
      <c r="I17" s="29">
        <f>MIN(MAX(I16-(0),0),'입력값'!C9*100+'입력값'!C62*100)*('입력값'!C9*100)/IF(('입력값'!C9*100+'입력값'!C62*100)=0,1,'입력값'!C9*100+'입력값'!C62*100)</f>
      </c>
      <c r="J17" s="29">
        <f>MIN(MAX(J16-(0),0),'입력값'!C9*100+'입력값'!C62*100)*('입력값'!C9*100)/IF(('입력값'!C9*100+'입력값'!C62*100)=0,1,'입력값'!C9*100+'입력값'!C62*100)</f>
      </c>
      <c r="K17" s="29">
        <f>MIN(MAX(K16-(0),0),'입력값'!C9*100+'입력값'!C62*100)*('입력값'!C9*100)/IF(('입력값'!C9*100+'입력값'!C62*100)=0,1,'입력값'!C9*100+'입력값'!C62*100)</f>
      </c>
      <c r="L17" s="29">
        <f>MIN(MAX(L16-(0),0),'입력값'!C9*100+'입력값'!C62*100)*('입력값'!C9*100)/IF(('입력값'!C9*100+'입력값'!C62*100)=0,1,'입력값'!C9*100+'입력값'!C62*100)</f>
      </c>
      <c r="M17" s="29">
        <f>MIN(MAX(M16-(0),0),'입력값'!C9*100+'입력값'!C62*100)*('입력값'!C9*100)/IF(('입력값'!C9*100+'입력값'!C62*100)=0,1,'입력값'!C9*100+'입력값'!C62*100)</f>
      </c>
      <c r="N17" s="29">
        <f>MIN(MAX(N16-(0),0),'입력값'!C9*100+'입력값'!C62*100)*('입력값'!C9*100)/IF(('입력값'!C9*100+'입력값'!C62*100)=0,1,'입력값'!C9*100+'입력값'!C62*100)</f>
      </c>
      <c r="O17" s="29">
        <f>MIN(MAX(O16-(0),0),'입력값'!C9*100+'입력값'!C62*100)*('입력값'!C9*100)/IF(('입력값'!C9*100+'입력값'!C62*100)=0,1,'입력값'!C9*100+'입력값'!C62*100)</f>
      </c>
      <c r="P17" s="29">
        <f>MIN(MAX(P16-(0),0),'입력값'!C9*100+'입력값'!C62*100)*('입력값'!C9*100)/IF(('입력값'!C9*100+'입력값'!C62*100)=0,1,'입력값'!C9*100+'입력값'!C62*100)</f>
      </c>
      <c r="Q17" s="29">
        <f>MIN(MAX(Q16-(0),0),'입력값'!C9*100+'입력값'!C62*100)*('입력값'!C9*100)/IF(('입력값'!C9*100+'입력값'!C62*100)=0,1,'입력값'!C9*100+'입력값'!C62*100)</f>
      </c>
      <c r="R17" s="29">
        <f>MIN(MAX(R16-(0),0),'입력값'!C9*100+'입력값'!C62*100)*('입력값'!C9*100)/IF(('입력값'!C9*100+'입력값'!C62*100)=0,1,'입력값'!C9*100+'입력값'!C62*100)</f>
      </c>
      <c r="S17" s="29">
        <f>MIN(MAX(S16-(0),0),'입력값'!C9*100+'입력값'!C62*100)*('입력값'!C9*100)/IF(('입력값'!C9*100+'입력값'!C62*100)=0,1,'입력값'!C9*100+'입력값'!C62*100)</f>
      </c>
      <c r="T17" s="29">
        <f>MIN(MAX(T16-(0),0),'입력값'!C9*100+'입력값'!C62*100)*('입력값'!C9*100)/IF(('입력값'!C9*100+'입력값'!C62*100)=0,1,'입력값'!C9*100+'입력값'!C62*100)</f>
      </c>
      <c r="U17" s="29">
        <f>MIN(MAX(U16-(0),0),'입력값'!C9*100+'입력값'!C62*100)*('입력값'!C9*100)/IF(('입력값'!C9*100+'입력값'!C62*100)=0,1,'입력값'!C9*100+'입력값'!C62*100)</f>
      </c>
      <c r="V17" s="29">
        <f>MIN(MAX(V16-(0),0),'입력값'!C9*100+'입력값'!C62*100)*('입력값'!C9*100)/IF(('입력값'!C9*100+'입력값'!C62*100)=0,1,'입력값'!C9*100+'입력값'!C62*100)</f>
      </c>
      <c r="W17" s="29">
        <f>MIN(MAX(W16-(0),0),'입력값'!C9*100+'입력값'!C62*100)*('입력값'!C9*100)/IF(('입력값'!C9*100+'입력값'!C62*100)=0,1,'입력값'!C9*100+'입력값'!C62*100)</f>
      </c>
      <c r="X17" s="29">
        <f>MIN(MAX(X16-(0),0),'입력값'!C9*100+'입력값'!C62*100)*('입력값'!C9*100)/IF(('입력값'!C9*100+'입력값'!C62*100)=0,1,'입력값'!C9*100+'입력값'!C62*100)</f>
      </c>
      <c r="Y17" s="29">
        <f>MIN(MAX(Y16-(0),0),'입력값'!C9*100+'입력값'!C62*100)*('입력값'!C9*100)/IF(('입력값'!C9*100+'입력값'!C62*100)=0,1,'입력값'!C9*100+'입력값'!C62*100)</f>
      </c>
      <c r="Z17" s="29">
        <f>MIN(MAX(Z16-(0),0),'입력값'!C9*100+'입력값'!C62*100)*('입력값'!C9*100)/IF(('입력값'!C9*100+'입력값'!C62*100)=0,1,'입력값'!C9*100+'입력값'!C62*100)</f>
      </c>
      <c r="AA17" s="29">
        <f>MIN(MAX(AA16-(0),0),'입력값'!C9*100+'입력값'!C62*100)*('입력값'!C9*100)/IF(('입력값'!C9*100+'입력값'!C62*100)=0,1,'입력값'!C9*100+'입력값'!C62*100)</f>
      </c>
      <c r="AB17" s="29">
        <f>MIN(MAX(AB16-(0),0),'입력값'!C9*100+'입력값'!C62*100)*('입력값'!C9*100)/IF(('입력값'!C9*100+'입력값'!C62*100)=0,1,'입력값'!C9*100+'입력값'!C62*100)</f>
      </c>
      <c r="AC17" s="29">
        <f>MIN(MAX(AC16-(0),0),'입력값'!C9*100+'입력값'!C62*100)*('입력값'!C9*100)/IF(('입력값'!C9*100+'입력값'!C62*100)=0,1,'입력값'!C9*100+'입력값'!C62*100)</f>
      </c>
      <c r="AD17" s="29">
        <f>MIN(MAX(AD16-(0),0),'입력값'!C9*100+'입력값'!C62*100)*('입력값'!C9*100)/IF(('입력값'!C9*100+'입력값'!C62*100)=0,1,'입력값'!C9*100+'입력값'!C62*100)</f>
      </c>
      <c r="AE17" s="29">
        <f>MIN(MAX(AE16-(0),0),'입력값'!C9*100+'입력값'!C62*100)*('입력값'!C9*100)/IF(('입력값'!C9*100+'입력값'!C62*100)=0,1,'입력값'!C9*100+'입력값'!C62*100)</f>
      </c>
      <c r="AF17" s="29">
        <f>MIN(MAX(AF16-(0),0),'입력값'!C9*100+'입력값'!C62*100)*('입력값'!C9*100)/IF(('입력값'!C9*100+'입력값'!C62*100)=0,1,'입력값'!C9*100+'입력값'!C62*100)</f>
      </c>
      <c r="AG17" s="29">
        <f>MIN(MAX(AG16-(0),0),'입력값'!C9*100+'입력값'!C62*100)*('입력값'!C9*100)/IF(('입력값'!C9*100+'입력값'!C62*100)=0,1,'입력값'!C9*100+'입력값'!C62*100)</f>
      </c>
      <c r="AH17" s="29">
        <f>MIN(MAX(AH16-(0),0),'입력값'!C9*100+'입력값'!C62*100)*('입력값'!C9*100)/IF(('입력값'!C9*100+'입력값'!C62*100)=0,1,'입력값'!C9*100+'입력값'!C62*100)</f>
      </c>
      <c r="AI17" s="29">
        <f>MIN(MAX(AI16-(0),0),'입력값'!C9*100+'입력값'!C62*100)*('입력값'!C9*100)/IF(('입력값'!C9*100+'입력값'!C62*100)=0,1,'입력값'!C9*100+'입력값'!C62*100)</f>
      </c>
      <c r="AJ17" s="29">
        <f>MIN(MAX(AJ16-(0),0),'입력값'!C9*100+'입력값'!C62*100)*('입력값'!C9*100)/IF(('입력값'!C9*100+'입력값'!C62*100)=0,1,'입력값'!C9*100+'입력값'!C62*100)</f>
      </c>
      <c r="AK17" s="29">
        <f>MIN(MAX(AK16-(0),0),'입력값'!C9*100+'입력값'!C62*100)*('입력값'!C9*100)/IF(('입력값'!C9*100+'입력값'!C62*100)=0,1,'입력값'!C9*100+'입력값'!C62*100)</f>
      </c>
      <c r="AL17" s="29">
        <f>MIN(MAX(AL16-(0),0),'입력값'!C9*100+'입력값'!C62*100)*('입력값'!C9*100)/IF(('입력값'!C9*100+'입력값'!C62*100)=0,1,'입력값'!C9*100+'입력값'!C62*100)</f>
      </c>
      <c r="AM17" s="29">
        <f>MIN(MAX(AM16-(0),0),'입력값'!C9*100+'입력값'!C62*100)*('입력값'!C9*100)/IF(('입력값'!C9*100+'입력값'!C62*100)=0,1,'입력값'!C9*100+'입력값'!C62*100)</f>
      </c>
      <c r="AN17" s="29">
        <f>MIN(MAX(AN16-(0),0),'입력값'!C9*100+'입력값'!C62*100)*('입력값'!C9*100)/IF(('입력값'!C9*100+'입력값'!C62*100)=0,1,'입력값'!C9*100+'입력값'!C62*100)</f>
      </c>
      <c r="AO17" s="29">
        <f>MIN(MAX(AO16-(0),0),'입력값'!C9*100+'입력값'!C62*100)*('입력값'!C9*100)/IF(('입력값'!C9*100+'입력값'!C62*100)=0,1,'입력값'!C9*100+'입력값'!C62*100)</f>
      </c>
      <c r="AP17" s="29">
        <f>MIN(MAX(AP16-(0),0),'입력값'!C9*100+'입력값'!C62*100)*('입력값'!C9*100)/IF(('입력값'!C9*100+'입력값'!C62*100)=0,1,'입력값'!C9*100+'입력값'!C62*100)</f>
      </c>
      <c r="AQ17" s="29">
        <f>MIN(MAX(AQ16-(0),0),'입력값'!C9*100+'입력값'!C62*100)*('입력값'!C9*100)/IF(('입력값'!C9*100+'입력값'!C62*100)=0,1,'입력값'!C9*100+'입력값'!C62*100)</f>
      </c>
      <c r="AR17" s="29">
        <f>MIN(MAX(AR16-(0),0),'입력값'!C9*100+'입력값'!C62*100)*('입력값'!C9*100)/IF(('입력값'!C9*100+'입력값'!C62*100)=0,1,'입력값'!C9*100+'입력값'!C62*100)</f>
      </c>
      <c r="AS17" s="29">
        <f>MIN(MAX(AS16-(0),0),'입력값'!C9*100+'입력값'!C62*100)*('입력값'!C9*100)/IF(('입력값'!C9*100+'입력값'!C62*100)=0,1,'입력값'!C9*100+'입력값'!C62*100)</f>
      </c>
      <c r="AT17" s="29">
        <f>MIN(MAX(AT16-(0),0),'입력값'!C9*100+'입력값'!C62*100)*('입력값'!C9*100)/IF(('입력값'!C9*100+'입력값'!C62*100)=0,1,'입력값'!C9*100+'입력값'!C62*100)</f>
      </c>
      <c r="AU17" s="29">
        <f>MIN(MAX(AU16-(0),0),'입력값'!C9*100+'입력값'!C62*100)*('입력값'!C9*100)/IF(('입력값'!C9*100+'입력값'!C62*100)=0,1,'입력값'!C9*100+'입력값'!C62*100)</f>
      </c>
      <c r="AV17" s="29">
        <f>MIN(MAX(AV16-(0),0),'입력값'!C9*100+'입력값'!C62*100)*('입력값'!C9*100)/IF(('입력값'!C9*100+'입력값'!C62*100)=0,1,'입력값'!C9*100+'입력값'!C62*100)</f>
      </c>
      <c r="AW17" s="29">
        <f>MIN(MAX(AW16-(0),0),'입력값'!C9*100+'입력값'!C62*100)*('입력값'!C9*100)/IF(('입력값'!C9*100+'입력값'!C62*100)=0,1,'입력값'!C9*100+'입력값'!C62*100)</f>
      </c>
      <c r="AX17" s="29">
        <f>MIN(MAX(AX16-(0),0),'입력값'!C9*100+'입력값'!C62*100)*('입력값'!C9*100)/IF(('입력값'!C9*100+'입력값'!C62*100)=0,1,'입력값'!C9*100+'입력값'!C62*100)</f>
      </c>
      <c r="AY17" s="29">
        <f>MIN(MAX(AY16-(0),0),'입력값'!C9*100+'입력값'!C62*100)*('입력값'!C9*100)/IF(('입력값'!C9*100+'입력값'!C62*100)=0,1,'입력값'!C9*100+'입력값'!C62*100)</f>
      </c>
      <c r="AZ17" s="29">
        <f>MIN(MAX(AZ16-(0),0),'입력값'!C9*100+'입력값'!C62*100)*('입력값'!C9*100)/IF(('입력값'!C9*100+'입력값'!C62*100)=0,1,'입력값'!C9*100+'입력값'!C62*100)</f>
      </c>
      <c r="BA17" s="29">
        <f>MIN(MAX(BA16-(0),0),'입력값'!C9*100+'입력값'!C62*100)*('입력값'!C9*100)/IF(('입력값'!C9*100+'입력값'!C62*100)=0,1,'입력값'!C9*100+'입력값'!C62*100)</f>
      </c>
      <c r="BB17" s="29">
        <f>MIN(MAX(BB16-(0),0),'입력값'!C9*100+'입력값'!C62*100)*('입력값'!C9*100)/IF(('입력값'!C9*100+'입력값'!C62*100)=0,1,'입력값'!C9*100+'입력값'!C62*100)</f>
      </c>
      <c r="BC17" s="29">
        <f>MIN(MAX(BC16-(0),0),'입력값'!C9*100+'입력값'!C62*100)*('입력값'!C9*100)/IF(('입력값'!C9*100+'입력값'!C62*100)=0,1,'입력값'!C9*100+'입력값'!C62*100)</f>
      </c>
      <c r="BD17" s="29">
        <f>MIN(MAX(BD16-(0),0),'입력값'!C9*100+'입력값'!C62*100)*('입력값'!C9*100)/IF(('입력값'!C9*100+'입력값'!C62*100)=0,1,'입력값'!C9*100+'입력값'!C62*100)</f>
      </c>
      <c r="BE17" s="29">
        <f>MIN(MAX(BE16-(0),0),'입력값'!C9*100+'입력값'!C62*100)*('입력값'!C9*100)/IF(('입력값'!C9*100+'입력값'!C62*100)=0,1,'입력값'!C9*100+'입력값'!C62*100)</f>
      </c>
      <c r="BF17" s="29">
        <f>MIN(MAX(BF16-(0),0),'입력값'!C9*100+'입력값'!C62*100)*('입력값'!C9*100)/IF(('입력값'!C9*100+'입력값'!C62*100)=0,1,'입력값'!C9*100+'입력값'!C62*100)</f>
      </c>
      <c r="BG17" s="29">
        <f>MIN(MAX(BG16-(0),0),'입력값'!C9*100+'입력값'!C62*100)*('입력값'!C9*100)/IF(('입력값'!C9*100+'입력값'!C62*100)=0,1,'입력값'!C9*100+'입력값'!C62*100)</f>
      </c>
      <c r="BH17" s="29">
        <f>MIN(MAX(BH16-(0),0),'입력값'!C9*100+'입력값'!C62*100)*('입력값'!C9*100)/IF(('입력값'!C9*100+'입력값'!C62*100)=0,1,'입력값'!C9*100+'입력값'!C62*100)</f>
      </c>
      <c r="BI17" s="29">
        <f>MIN(MAX(BI16-(0),0),'입력값'!C9*100+'입력값'!C62*100)*('입력값'!C9*100)/IF(('입력값'!C9*100+'입력값'!C62*100)=0,1,'입력값'!C9*100+'입력값'!C62*100)</f>
      </c>
      <c r="BJ17" s="29">
        <f>MIN(MAX(BJ16-(0),0),'입력값'!C9*100+'입력값'!C62*100)*('입력값'!C9*100)/IF(('입력값'!C9*100+'입력값'!C62*100)=0,1,'입력값'!C9*100+'입력값'!C62*100)</f>
      </c>
      <c r="BK17" s="29">
        <f>MIN(MAX(BK16-(0),0),'입력값'!C9*100+'입력값'!C62*100)*('입력값'!C9*100)/IF(('입력값'!C9*100+'입력값'!C62*100)=0,1,'입력값'!C9*100+'입력값'!C62*100)</f>
      </c>
      <c r="BL17" s="29">
        <f>MIN(MAX(BL16-(0),0),'입력값'!C9*100+'입력값'!C62*100)*('입력값'!C9*100)/IF(('입력값'!C9*100+'입력값'!C62*100)=0,1,'입력값'!C9*100+'입력값'!C62*100)</f>
      </c>
      <c r="BM17" s="29">
        <f>MIN(MAX(BM16-(0),0),'입력값'!C9*100+'입력값'!C62*100)*('입력값'!C9*100)/IF(('입력값'!C9*100+'입력값'!C62*100)=0,1,'입력값'!C9*100+'입력값'!C62*100)</f>
      </c>
      <c r="BN17" s="29">
        <f>MIN(MAX(BN16-(0),0),'입력값'!C9*100+'입력값'!C62*100)*('입력값'!C9*100)/IF(('입력값'!C9*100+'입력값'!C62*100)=0,1,'입력값'!C9*100+'입력값'!C62*100)</f>
      </c>
      <c r="BO17" s="29">
        <f>MIN(MAX(BO16-(0),0),'입력값'!C9*100+'입력값'!C62*100)*('입력값'!C9*100)/IF(('입력값'!C9*100+'입력값'!C62*100)=0,1,'입력값'!C9*100+'입력값'!C62*100)</f>
      </c>
      <c r="BP17" s="29">
        <f>MIN(MAX(BP16-(0),0),'입력값'!C9*100+'입력값'!C62*100)*('입력값'!C9*100)/IF(('입력값'!C9*100+'입력값'!C62*100)=0,1,'입력값'!C9*100+'입력값'!C62*100)</f>
      </c>
      <c r="BQ17" s="29">
        <f>MIN(MAX(BQ16-(0),0),'입력값'!C9*100+'입력값'!C62*100)*('입력값'!C9*100)/IF(('입력값'!C9*100+'입력값'!C62*100)=0,1,'입력값'!C9*100+'입력값'!C62*100)</f>
      </c>
      <c r="BR17" s="29">
        <f>MIN(MAX(BR16-(0),0),'입력값'!C9*100+'입력값'!C62*100)*('입력값'!C9*100)/IF(('입력값'!C9*100+'입력값'!C62*100)=0,1,'입력값'!C9*100+'입력값'!C62*100)</f>
      </c>
      <c r="BS17" s="29">
        <f>MIN(MAX(BS16-(0),0),'입력값'!C9*100+'입력값'!C62*100)*('입력값'!C9*100)/IF(('입력값'!C9*100+'입력값'!C62*100)=0,1,'입력값'!C9*100+'입력값'!C62*100)</f>
      </c>
      <c r="BT17" s="29">
        <f>MIN(MAX(BT16-(0),0),'입력값'!C9*100+'입력값'!C62*100)*('입력값'!C9*100)/IF(('입력값'!C9*100+'입력값'!C62*100)=0,1,'입력값'!C9*100+'입력값'!C62*100)</f>
      </c>
      <c r="BU17" s="29">
        <f>MIN(MAX(BU16-(0),0),'입력값'!C9*100+'입력값'!C62*100)*('입력값'!C9*100)/IF(('입력값'!C9*100+'입력값'!C62*100)=0,1,'입력값'!C9*100+'입력값'!C62*100)</f>
      </c>
      <c r="BV17" s="29">
        <f>MIN(MAX(BV16-(0),0),'입력값'!C9*100+'입력값'!C62*100)*('입력값'!C9*100)/IF(('입력값'!C9*100+'입력값'!C62*100)=0,1,'입력값'!C9*100+'입력값'!C62*100)</f>
      </c>
      <c r="BW17" s="29">
        <f>MIN(MAX(BW16-(0),0),'입력값'!C9*100+'입력값'!C62*100)*('입력값'!C9*100)/IF(('입력값'!C9*100+'입력값'!C62*100)=0,1,'입력값'!C9*100+'입력값'!C62*100)</f>
      </c>
      <c r="BX17" s="29">
        <f>MIN(MAX(BX16-(0),0),'입력값'!C9*100+'입력값'!C62*100)*('입력값'!C9*100)/IF(('입력값'!C9*100+'입력값'!C62*100)=0,1,'입력값'!C9*100+'입력값'!C62*100)</f>
      </c>
      <c r="BY17" s="29">
        <f>MIN(MAX(BY16-(0),0),'입력값'!C9*100+'입력값'!C62*100)*('입력값'!C9*100)/IF(('입력값'!C9*100+'입력값'!C62*100)=0,1,'입력값'!C9*100+'입력값'!C62*100)</f>
      </c>
      <c r="BZ17" s="29">
        <f>MIN(MAX(BZ16-(0),0),'입력값'!C9*100+'입력값'!C62*100)*('입력값'!C9*100)/IF(('입력값'!C9*100+'입력값'!C62*100)=0,1,'입력값'!C9*100+'입력값'!C62*100)</f>
      </c>
      <c r="CA17" s="29">
        <f>MIN(MAX(CA16-(0),0),'입력값'!C9*100+'입력값'!C62*100)*('입력값'!C9*100)/IF(('입력값'!C9*100+'입력값'!C62*100)=0,1,'입력값'!C9*100+'입력값'!C62*100)</f>
      </c>
      <c r="CB17" s="29">
        <f>MIN(MAX(CB16-(0),0),'입력값'!C9*100+'입력값'!C62*100)*('입력값'!C9*100)/IF(('입력값'!C9*100+'입력값'!C62*100)=0,1,'입력값'!C9*100+'입력값'!C62*100)</f>
      </c>
      <c r="CC17" s="29">
        <f>MIN(MAX(CC16-(0),0),'입력값'!C9*100+'입력값'!C62*100)*('입력값'!C9*100)/IF(('입력값'!C9*100+'입력값'!C62*100)=0,1,'입력값'!C9*100+'입력값'!C62*100)</f>
      </c>
      <c r="CD17" s="29">
        <f>MIN(MAX(CD16-(0),0),'입력값'!C9*100+'입력값'!C62*100)*('입력값'!C9*100)/IF(('입력값'!C9*100+'입력값'!C62*100)=0,1,'입력값'!C9*100+'입력값'!C62*100)</f>
      </c>
      <c r="CE17" s="29">
        <f>MIN(MAX(CE16-(0),0),'입력값'!C9*100+'입력값'!C62*100)*('입력값'!C9*100)/IF(('입력값'!C9*100+'입력값'!C62*100)=0,1,'입력값'!C9*100+'입력값'!C62*100)</f>
      </c>
      <c r="CF17" s="29">
        <f>MIN(MAX(CF16-(0),0),'입력값'!C9*100+'입력값'!C62*100)*('입력값'!C9*100)/IF(('입력값'!C9*100+'입력값'!C62*100)=0,1,'입력값'!C9*100+'입력값'!C62*100)</f>
      </c>
      <c r="CG17" s="29">
        <f>MIN(MAX(CG16-(0),0),'입력값'!C9*100+'입력값'!C62*100)*('입력값'!C9*100)/IF(('입력값'!C9*100+'입력값'!C62*100)=0,1,'입력값'!C9*100+'입력값'!C62*100)</f>
      </c>
      <c r="CH17" s="29">
        <f>MIN(MAX(CH16-(0),0),'입력값'!C9*100+'입력값'!C62*100)*('입력값'!C9*100)/IF(('입력값'!C9*100+'입력값'!C62*100)=0,1,'입력값'!C9*100+'입력값'!C62*100)</f>
      </c>
      <c r="CI17" s="29">
        <f>MIN(MAX(CI16-(0),0),'입력값'!C9*100+'입력값'!C62*100)*('입력값'!C9*100)/IF(('입력값'!C9*100+'입력값'!C62*100)=0,1,'입력값'!C9*100+'입력값'!C62*100)</f>
      </c>
      <c r="CJ17" s="29">
        <f>MIN(MAX(CJ16-(0),0),'입력값'!C9*100+'입력값'!C62*100)*('입력값'!C9*100)/IF(('입력값'!C9*100+'입력값'!C62*100)=0,1,'입력값'!C9*100+'입력값'!C62*100)</f>
      </c>
      <c r="CK17" s="29">
        <f>MIN(MAX(CK16-(0),0),'입력값'!C9*100+'입력값'!C62*100)*('입력값'!C9*100)/IF(('입력값'!C9*100+'입력값'!C62*100)=0,1,'입력값'!C9*100+'입력값'!C62*100)</f>
      </c>
      <c r="CL17" s="29">
        <f>MIN(MAX(CL16-(0),0),'입력값'!C9*100+'입력값'!C62*100)*('입력값'!C9*100)/IF(('입력값'!C9*100+'입력값'!C62*100)=0,1,'입력값'!C9*100+'입력값'!C62*100)</f>
      </c>
    </row>
    <row r="18" spans="2:90" x14ac:dyDescent="0.25">
      <c r="B18" s="31" t="s">
        <v>262</v>
      </c>
      <c r="C18" s="32" t="s">
        <v>228</v>
      </c>
      <c r="E18" s="29">
        <f>MIN(MAX(E16-('입력값'!C9*100+'입력값'!C62*100),0),'입력값'!C58*100+'입력값'!C59*100)*('입력값'!C58*100)/IF(('입력값'!C58*100+'입력값'!C59*100)=0,1,'입력값'!C58*100+'입력값'!C59*100)</f>
      </c>
      <c r="F18" s="29">
        <f>MIN(MAX(F16-('입력값'!C9*100+'입력값'!C62*100),0),'입력값'!C58*100+'입력값'!C59*100)*('입력값'!C58*100)/IF(('입력값'!C58*100+'입력값'!C59*100)=0,1,'입력값'!C58*100+'입력값'!C59*100)</f>
      </c>
      <c r="G18" s="29">
        <f>MIN(MAX(G16-('입력값'!C9*100+'입력값'!C62*100),0),'입력값'!C58*100+'입력값'!C59*100)*('입력값'!C58*100)/IF(('입력값'!C58*100+'입력값'!C59*100)=0,1,'입력값'!C58*100+'입력값'!C59*100)</f>
      </c>
      <c r="H18" s="29">
        <f>MIN(MAX(H16-('입력값'!C9*100+'입력값'!C62*100),0),'입력값'!C58*100+'입력값'!C59*100)*('입력값'!C58*100)/IF(('입력값'!C58*100+'입력값'!C59*100)=0,1,'입력값'!C58*100+'입력값'!C59*100)</f>
      </c>
      <c r="I18" s="29">
        <f>MIN(MAX(I16-('입력값'!C9*100+'입력값'!C62*100),0),'입력값'!C58*100+'입력값'!C59*100)*('입력값'!C58*100)/IF(('입력값'!C58*100+'입력값'!C59*100)=0,1,'입력값'!C58*100+'입력값'!C59*100)</f>
      </c>
      <c r="J18" s="29">
        <f>MIN(MAX(J16-('입력값'!C9*100+'입력값'!C62*100),0),'입력값'!C58*100+'입력값'!C59*100)*('입력값'!C58*100)/IF(('입력값'!C58*100+'입력값'!C59*100)=0,1,'입력값'!C58*100+'입력값'!C59*100)</f>
      </c>
      <c r="K18" s="29">
        <f>MIN(MAX(K16-('입력값'!C9*100+'입력값'!C62*100),0),'입력값'!C58*100+'입력값'!C59*100)*('입력값'!C58*100)/IF(('입력값'!C58*100+'입력값'!C59*100)=0,1,'입력값'!C58*100+'입력값'!C59*100)</f>
      </c>
      <c r="L18" s="29">
        <f>MIN(MAX(L16-('입력값'!C9*100+'입력값'!C62*100),0),'입력값'!C58*100+'입력값'!C59*100)*('입력값'!C58*100)/IF(('입력값'!C58*100+'입력값'!C59*100)=0,1,'입력값'!C58*100+'입력값'!C59*100)</f>
      </c>
      <c r="M18" s="29">
        <f>MIN(MAX(M16-('입력값'!C9*100+'입력값'!C62*100),0),'입력값'!C58*100+'입력값'!C59*100)*('입력값'!C58*100)/IF(('입력값'!C58*100+'입력값'!C59*100)=0,1,'입력값'!C58*100+'입력값'!C59*100)</f>
      </c>
      <c r="N18" s="29">
        <f>MIN(MAX(N16-('입력값'!C9*100+'입력값'!C62*100),0),'입력값'!C58*100+'입력값'!C59*100)*('입력값'!C58*100)/IF(('입력값'!C58*100+'입력값'!C59*100)=0,1,'입력값'!C58*100+'입력값'!C59*100)</f>
      </c>
      <c r="O18" s="29">
        <f>MIN(MAX(O16-('입력값'!C9*100+'입력값'!C62*100),0),'입력값'!C58*100+'입력값'!C59*100)*('입력값'!C58*100)/IF(('입력값'!C58*100+'입력값'!C59*100)=0,1,'입력값'!C58*100+'입력값'!C59*100)</f>
      </c>
      <c r="P18" s="29">
        <f>MIN(MAX(P16-('입력값'!C9*100+'입력값'!C62*100),0),'입력값'!C58*100+'입력값'!C59*100)*('입력값'!C58*100)/IF(('입력값'!C58*100+'입력값'!C59*100)=0,1,'입력값'!C58*100+'입력값'!C59*100)</f>
      </c>
      <c r="Q18" s="29">
        <f>MIN(MAX(Q16-('입력값'!C9*100+'입력값'!C62*100),0),'입력값'!C58*100+'입력값'!C59*100)*('입력값'!C58*100)/IF(('입력값'!C58*100+'입력값'!C59*100)=0,1,'입력값'!C58*100+'입력값'!C59*100)</f>
      </c>
      <c r="R18" s="29">
        <f>MIN(MAX(R16-('입력값'!C9*100+'입력값'!C62*100),0),'입력값'!C58*100+'입력값'!C59*100)*('입력값'!C58*100)/IF(('입력값'!C58*100+'입력값'!C59*100)=0,1,'입력값'!C58*100+'입력값'!C59*100)</f>
      </c>
      <c r="S18" s="29">
        <f>MIN(MAX(S16-('입력값'!C9*100+'입력값'!C62*100),0),'입력값'!C58*100+'입력값'!C59*100)*('입력값'!C58*100)/IF(('입력값'!C58*100+'입력값'!C59*100)=0,1,'입력값'!C58*100+'입력값'!C59*100)</f>
      </c>
      <c r="T18" s="29">
        <f>MIN(MAX(T16-('입력값'!C9*100+'입력값'!C62*100),0),'입력값'!C58*100+'입력값'!C59*100)*('입력값'!C58*100)/IF(('입력값'!C58*100+'입력값'!C59*100)=0,1,'입력값'!C58*100+'입력값'!C59*100)</f>
      </c>
      <c r="U18" s="29">
        <f>MIN(MAX(U16-('입력값'!C9*100+'입력값'!C62*100),0),'입력값'!C58*100+'입력값'!C59*100)*('입력값'!C58*100)/IF(('입력값'!C58*100+'입력값'!C59*100)=0,1,'입력값'!C58*100+'입력값'!C59*100)</f>
      </c>
      <c r="V18" s="29">
        <f>MIN(MAX(V16-('입력값'!C9*100+'입력값'!C62*100),0),'입력값'!C58*100+'입력값'!C59*100)*('입력값'!C58*100)/IF(('입력값'!C58*100+'입력값'!C59*100)=0,1,'입력값'!C58*100+'입력값'!C59*100)</f>
      </c>
      <c r="W18" s="29">
        <f>MIN(MAX(W16-('입력값'!C9*100+'입력값'!C62*100),0),'입력값'!C58*100+'입력값'!C59*100)*('입력값'!C58*100)/IF(('입력값'!C58*100+'입력값'!C59*100)=0,1,'입력값'!C58*100+'입력값'!C59*100)</f>
      </c>
      <c r="X18" s="29">
        <f>MIN(MAX(X16-('입력값'!C9*100+'입력값'!C62*100),0),'입력값'!C58*100+'입력값'!C59*100)*('입력값'!C58*100)/IF(('입력값'!C58*100+'입력값'!C59*100)=0,1,'입력값'!C58*100+'입력값'!C59*100)</f>
      </c>
      <c r="Y18" s="29">
        <f>MIN(MAX(Y16-('입력값'!C9*100+'입력값'!C62*100),0),'입력값'!C58*100+'입력값'!C59*100)*('입력값'!C58*100)/IF(('입력값'!C58*100+'입력값'!C59*100)=0,1,'입력값'!C58*100+'입력값'!C59*100)</f>
      </c>
      <c r="Z18" s="29">
        <f>MIN(MAX(Z16-('입력값'!C9*100+'입력값'!C62*100),0),'입력값'!C58*100+'입력값'!C59*100)*('입력값'!C58*100)/IF(('입력값'!C58*100+'입력값'!C59*100)=0,1,'입력값'!C58*100+'입력값'!C59*100)</f>
      </c>
      <c r="AA18" s="29">
        <f>MIN(MAX(AA16-('입력값'!C9*100+'입력값'!C62*100),0),'입력값'!C58*100+'입력값'!C59*100)*('입력값'!C58*100)/IF(('입력값'!C58*100+'입력값'!C59*100)=0,1,'입력값'!C58*100+'입력값'!C59*100)</f>
      </c>
      <c r="AB18" s="29">
        <f>MIN(MAX(AB16-('입력값'!C9*100+'입력값'!C62*100),0),'입력값'!C58*100+'입력값'!C59*100)*('입력값'!C58*100)/IF(('입력값'!C58*100+'입력값'!C59*100)=0,1,'입력값'!C58*100+'입력값'!C59*100)</f>
      </c>
      <c r="AC18" s="29">
        <f>MIN(MAX(AC16-('입력값'!C9*100+'입력값'!C62*100),0),'입력값'!C58*100+'입력값'!C59*100)*('입력값'!C58*100)/IF(('입력값'!C58*100+'입력값'!C59*100)=0,1,'입력값'!C58*100+'입력값'!C59*100)</f>
      </c>
      <c r="AD18" s="29">
        <f>MIN(MAX(AD16-('입력값'!C9*100+'입력값'!C62*100),0),'입력값'!C58*100+'입력값'!C59*100)*('입력값'!C58*100)/IF(('입력값'!C58*100+'입력값'!C59*100)=0,1,'입력값'!C58*100+'입력값'!C59*100)</f>
      </c>
      <c r="AE18" s="29">
        <f>MIN(MAX(AE16-('입력값'!C9*100+'입력값'!C62*100),0),'입력값'!C58*100+'입력값'!C59*100)*('입력값'!C58*100)/IF(('입력값'!C58*100+'입력값'!C59*100)=0,1,'입력값'!C58*100+'입력값'!C59*100)</f>
      </c>
      <c r="AF18" s="29">
        <f>MIN(MAX(AF16-('입력값'!C9*100+'입력값'!C62*100),0),'입력값'!C58*100+'입력값'!C59*100)*('입력값'!C58*100)/IF(('입력값'!C58*100+'입력값'!C59*100)=0,1,'입력값'!C58*100+'입력값'!C59*100)</f>
      </c>
      <c r="AG18" s="29">
        <f>MIN(MAX(AG16-('입력값'!C9*100+'입력값'!C62*100),0),'입력값'!C58*100+'입력값'!C59*100)*('입력값'!C58*100)/IF(('입력값'!C58*100+'입력값'!C59*100)=0,1,'입력값'!C58*100+'입력값'!C59*100)</f>
      </c>
      <c r="AH18" s="29">
        <f>MIN(MAX(AH16-('입력값'!C9*100+'입력값'!C62*100),0),'입력값'!C58*100+'입력값'!C59*100)*('입력값'!C58*100)/IF(('입력값'!C58*100+'입력값'!C59*100)=0,1,'입력값'!C58*100+'입력값'!C59*100)</f>
      </c>
      <c r="AI18" s="29">
        <f>MIN(MAX(AI16-('입력값'!C9*100+'입력값'!C62*100),0),'입력값'!C58*100+'입력값'!C59*100)*('입력값'!C58*100)/IF(('입력값'!C58*100+'입력값'!C59*100)=0,1,'입력값'!C58*100+'입력값'!C59*100)</f>
      </c>
      <c r="AJ18" s="29">
        <f>MIN(MAX(AJ16-('입력값'!C9*100+'입력값'!C62*100),0),'입력값'!C58*100+'입력값'!C59*100)*('입력값'!C58*100)/IF(('입력값'!C58*100+'입력값'!C59*100)=0,1,'입력값'!C58*100+'입력값'!C59*100)</f>
      </c>
      <c r="AK18" s="29">
        <f>MIN(MAX(AK16-('입력값'!C9*100+'입력값'!C62*100),0),'입력값'!C58*100+'입력값'!C59*100)*('입력값'!C58*100)/IF(('입력값'!C58*100+'입력값'!C59*100)=0,1,'입력값'!C58*100+'입력값'!C59*100)</f>
      </c>
      <c r="AL18" s="29">
        <f>MIN(MAX(AL16-('입력값'!C9*100+'입력값'!C62*100),0),'입력값'!C58*100+'입력값'!C59*100)*('입력값'!C58*100)/IF(('입력값'!C58*100+'입력값'!C59*100)=0,1,'입력값'!C58*100+'입력값'!C59*100)</f>
      </c>
      <c r="AM18" s="29">
        <f>MIN(MAX(AM16-('입력값'!C9*100+'입력값'!C62*100),0),'입력값'!C58*100+'입력값'!C59*100)*('입력값'!C58*100)/IF(('입력값'!C58*100+'입력값'!C59*100)=0,1,'입력값'!C58*100+'입력값'!C59*100)</f>
      </c>
      <c r="AN18" s="29">
        <f>MIN(MAX(AN16-('입력값'!C9*100+'입력값'!C62*100),0),'입력값'!C58*100+'입력값'!C59*100)*('입력값'!C58*100)/IF(('입력값'!C58*100+'입력값'!C59*100)=0,1,'입력값'!C58*100+'입력값'!C59*100)</f>
      </c>
      <c r="AO18" s="29">
        <f>MIN(MAX(AO16-('입력값'!C9*100+'입력값'!C62*100),0),'입력값'!C58*100+'입력값'!C59*100)*('입력값'!C58*100)/IF(('입력값'!C58*100+'입력값'!C59*100)=0,1,'입력값'!C58*100+'입력값'!C59*100)</f>
      </c>
      <c r="AP18" s="29">
        <f>MIN(MAX(AP16-('입력값'!C9*100+'입력값'!C62*100),0),'입력값'!C58*100+'입력값'!C59*100)*('입력값'!C58*100)/IF(('입력값'!C58*100+'입력값'!C59*100)=0,1,'입력값'!C58*100+'입력값'!C59*100)</f>
      </c>
      <c r="AQ18" s="29">
        <f>MIN(MAX(AQ16-('입력값'!C9*100+'입력값'!C62*100),0),'입력값'!C58*100+'입력값'!C59*100)*('입력값'!C58*100)/IF(('입력값'!C58*100+'입력값'!C59*100)=0,1,'입력값'!C58*100+'입력값'!C59*100)</f>
      </c>
      <c r="AR18" s="29">
        <f>MIN(MAX(AR16-('입력값'!C9*100+'입력값'!C62*100),0),'입력값'!C58*100+'입력값'!C59*100)*('입력값'!C58*100)/IF(('입력값'!C58*100+'입력값'!C59*100)=0,1,'입력값'!C58*100+'입력값'!C59*100)</f>
      </c>
      <c r="AS18" s="29">
        <f>MIN(MAX(AS16-('입력값'!C9*100+'입력값'!C62*100),0),'입력값'!C58*100+'입력값'!C59*100)*('입력값'!C58*100)/IF(('입력값'!C58*100+'입력값'!C59*100)=0,1,'입력값'!C58*100+'입력값'!C59*100)</f>
      </c>
      <c r="AT18" s="29">
        <f>MIN(MAX(AT16-('입력값'!C9*100+'입력값'!C62*100),0),'입력값'!C58*100+'입력값'!C59*100)*('입력값'!C58*100)/IF(('입력값'!C58*100+'입력값'!C59*100)=0,1,'입력값'!C58*100+'입력값'!C59*100)</f>
      </c>
      <c r="AU18" s="29">
        <f>MIN(MAX(AU16-('입력값'!C9*100+'입력값'!C62*100),0),'입력값'!C58*100+'입력값'!C59*100)*('입력값'!C58*100)/IF(('입력값'!C58*100+'입력값'!C59*100)=0,1,'입력값'!C58*100+'입력값'!C59*100)</f>
      </c>
      <c r="AV18" s="29">
        <f>MIN(MAX(AV16-('입력값'!C9*100+'입력값'!C62*100),0),'입력값'!C58*100+'입력값'!C59*100)*('입력값'!C58*100)/IF(('입력값'!C58*100+'입력값'!C59*100)=0,1,'입력값'!C58*100+'입력값'!C59*100)</f>
      </c>
      <c r="AW18" s="29">
        <f>MIN(MAX(AW16-('입력값'!C9*100+'입력값'!C62*100),0),'입력값'!C58*100+'입력값'!C59*100)*('입력값'!C58*100)/IF(('입력값'!C58*100+'입력값'!C59*100)=0,1,'입력값'!C58*100+'입력값'!C59*100)</f>
      </c>
      <c r="AX18" s="29">
        <f>MIN(MAX(AX16-('입력값'!C9*100+'입력값'!C62*100),0),'입력값'!C58*100+'입력값'!C59*100)*('입력값'!C58*100)/IF(('입력값'!C58*100+'입력값'!C59*100)=0,1,'입력값'!C58*100+'입력값'!C59*100)</f>
      </c>
      <c r="AY18" s="29">
        <f>MIN(MAX(AY16-('입력값'!C9*100+'입력값'!C62*100),0),'입력값'!C58*100+'입력값'!C59*100)*('입력값'!C58*100)/IF(('입력값'!C58*100+'입력값'!C59*100)=0,1,'입력값'!C58*100+'입력값'!C59*100)</f>
      </c>
      <c r="AZ18" s="29">
        <f>MIN(MAX(AZ16-('입력값'!C9*100+'입력값'!C62*100),0),'입력값'!C58*100+'입력값'!C59*100)*('입력값'!C58*100)/IF(('입력값'!C58*100+'입력값'!C59*100)=0,1,'입력값'!C58*100+'입력값'!C59*100)</f>
      </c>
      <c r="BA18" s="29">
        <f>MIN(MAX(BA16-('입력값'!C9*100+'입력값'!C62*100),0),'입력값'!C58*100+'입력값'!C59*100)*('입력값'!C58*100)/IF(('입력값'!C58*100+'입력값'!C59*100)=0,1,'입력값'!C58*100+'입력값'!C59*100)</f>
      </c>
      <c r="BB18" s="29">
        <f>MIN(MAX(BB16-('입력값'!C9*100+'입력값'!C62*100),0),'입력값'!C58*100+'입력값'!C59*100)*('입력값'!C58*100)/IF(('입력값'!C58*100+'입력값'!C59*100)=0,1,'입력값'!C58*100+'입력값'!C59*100)</f>
      </c>
      <c r="BC18" s="29">
        <f>MIN(MAX(BC16-('입력값'!C9*100+'입력값'!C62*100),0),'입력값'!C58*100+'입력값'!C59*100)*('입력값'!C58*100)/IF(('입력값'!C58*100+'입력값'!C59*100)=0,1,'입력값'!C58*100+'입력값'!C59*100)</f>
      </c>
      <c r="BD18" s="29">
        <f>MIN(MAX(BD16-('입력값'!C9*100+'입력값'!C62*100),0),'입력값'!C58*100+'입력값'!C59*100)*('입력값'!C58*100)/IF(('입력값'!C58*100+'입력값'!C59*100)=0,1,'입력값'!C58*100+'입력값'!C59*100)</f>
      </c>
      <c r="BE18" s="29">
        <f>MIN(MAX(BE16-('입력값'!C9*100+'입력값'!C62*100),0),'입력값'!C58*100+'입력값'!C59*100)*('입력값'!C58*100)/IF(('입력값'!C58*100+'입력값'!C59*100)=0,1,'입력값'!C58*100+'입력값'!C59*100)</f>
      </c>
      <c r="BF18" s="29">
        <f>MIN(MAX(BF16-('입력값'!C9*100+'입력값'!C62*100),0),'입력값'!C58*100+'입력값'!C59*100)*('입력값'!C58*100)/IF(('입력값'!C58*100+'입력값'!C59*100)=0,1,'입력값'!C58*100+'입력값'!C59*100)</f>
      </c>
      <c r="BG18" s="29">
        <f>MIN(MAX(BG16-('입력값'!C9*100+'입력값'!C62*100),0),'입력값'!C58*100+'입력값'!C59*100)*('입력값'!C58*100)/IF(('입력값'!C58*100+'입력값'!C59*100)=0,1,'입력값'!C58*100+'입력값'!C59*100)</f>
      </c>
      <c r="BH18" s="29">
        <f>MIN(MAX(BH16-('입력값'!C9*100+'입력값'!C62*100),0),'입력값'!C58*100+'입력값'!C59*100)*('입력값'!C58*100)/IF(('입력값'!C58*100+'입력값'!C59*100)=0,1,'입력값'!C58*100+'입력값'!C59*100)</f>
      </c>
      <c r="BI18" s="29">
        <f>MIN(MAX(BI16-('입력값'!C9*100+'입력값'!C62*100),0),'입력값'!C58*100+'입력값'!C59*100)*('입력값'!C58*100)/IF(('입력값'!C58*100+'입력값'!C59*100)=0,1,'입력값'!C58*100+'입력값'!C59*100)</f>
      </c>
      <c r="BJ18" s="29">
        <f>MIN(MAX(BJ16-('입력값'!C9*100+'입력값'!C62*100),0),'입력값'!C58*100+'입력값'!C59*100)*('입력값'!C58*100)/IF(('입력값'!C58*100+'입력값'!C59*100)=0,1,'입력값'!C58*100+'입력값'!C59*100)</f>
      </c>
      <c r="BK18" s="29">
        <f>MIN(MAX(BK16-('입력값'!C9*100+'입력값'!C62*100),0),'입력값'!C58*100+'입력값'!C59*100)*('입력값'!C58*100)/IF(('입력값'!C58*100+'입력값'!C59*100)=0,1,'입력값'!C58*100+'입력값'!C59*100)</f>
      </c>
      <c r="BL18" s="29">
        <f>MIN(MAX(BL16-('입력값'!C9*100+'입력값'!C62*100),0),'입력값'!C58*100+'입력값'!C59*100)*('입력값'!C58*100)/IF(('입력값'!C58*100+'입력값'!C59*100)=0,1,'입력값'!C58*100+'입력값'!C59*100)</f>
      </c>
      <c r="BM18" s="29">
        <f>MIN(MAX(BM16-('입력값'!C9*100+'입력값'!C62*100),0),'입력값'!C58*100+'입력값'!C59*100)*('입력값'!C58*100)/IF(('입력값'!C58*100+'입력값'!C59*100)=0,1,'입력값'!C58*100+'입력값'!C59*100)</f>
      </c>
      <c r="BN18" s="29">
        <f>MIN(MAX(BN16-('입력값'!C9*100+'입력값'!C62*100),0),'입력값'!C58*100+'입력값'!C59*100)*('입력값'!C58*100)/IF(('입력값'!C58*100+'입력값'!C59*100)=0,1,'입력값'!C58*100+'입력값'!C59*100)</f>
      </c>
      <c r="BO18" s="29">
        <f>MIN(MAX(BO16-('입력값'!C9*100+'입력값'!C62*100),0),'입력값'!C58*100+'입력값'!C59*100)*('입력값'!C58*100)/IF(('입력값'!C58*100+'입력값'!C59*100)=0,1,'입력값'!C58*100+'입력값'!C59*100)</f>
      </c>
      <c r="BP18" s="29">
        <f>MIN(MAX(BP16-('입력값'!C9*100+'입력값'!C62*100),0),'입력값'!C58*100+'입력값'!C59*100)*('입력값'!C58*100)/IF(('입력값'!C58*100+'입력값'!C59*100)=0,1,'입력값'!C58*100+'입력값'!C59*100)</f>
      </c>
      <c r="BQ18" s="29">
        <f>MIN(MAX(BQ16-('입력값'!C9*100+'입력값'!C62*100),0),'입력값'!C58*100+'입력값'!C59*100)*('입력값'!C58*100)/IF(('입력값'!C58*100+'입력값'!C59*100)=0,1,'입력값'!C58*100+'입력값'!C59*100)</f>
      </c>
      <c r="BR18" s="29">
        <f>MIN(MAX(BR16-('입력값'!C9*100+'입력값'!C62*100),0),'입력값'!C58*100+'입력값'!C59*100)*('입력값'!C58*100)/IF(('입력값'!C58*100+'입력값'!C59*100)=0,1,'입력값'!C58*100+'입력값'!C59*100)</f>
      </c>
      <c r="BS18" s="29">
        <f>MIN(MAX(BS16-('입력값'!C9*100+'입력값'!C62*100),0),'입력값'!C58*100+'입력값'!C59*100)*('입력값'!C58*100)/IF(('입력값'!C58*100+'입력값'!C59*100)=0,1,'입력값'!C58*100+'입력값'!C59*100)</f>
      </c>
      <c r="BT18" s="29">
        <f>MIN(MAX(BT16-('입력값'!C9*100+'입력값'!C62*100),0),'입력값'!C58*100+'입력값'!C59*100)*('입력값'!C58*100)/IF(('입력값'!C58*100+'입력값'!C59*100)=0,1,'입력값'!C58*100+'입력값'!C59*100)</f>
      </c>
      <c r="BU18" s="29">
        <f>MIN(MAX(BU16-('입력값'!C9*100+'입력값'!C62*100),0),'입력값'!C58*100+'입력값'!C59*100)*('입력값'!C58*100)/IF(('입력값'!C58*100+'입력값'!C59*100)=0,1,'입력값'!C58*100+'입력값'!C59*100)</f>
      </c>
      <c r="BV18" s="29">
        <f>MIN(MAX(BV16-('입력값'!C9*100+'입력값'!C62*100),0),'입력값'!C58*100+'입력값'!C59*100)*('입력값'!C58*100)/IF(('입력값'!C58*100+'입력값'!C59*100)=0,1,'입력값'!C58*100+'입력값'!C59*100)</f>
      </c>
      <c r="BW18" s="29">
        <f>MIN(MAX(BW16-('입력값'!C9*100+'입력값'!C62*100),0),'입력값'!C58*100+'입력값'!C59*100)*('입력값'!C58*100)/IF(('입력값'!C58*100+'입력값'!C59*100)=0,1,'입력값'!C58*100+'입력값'!C59*100)</f>
      </c>
      <c r="BX18" s="29">
        <f>MIN(MAX(BX16-('입력값'!C9*100+'입력값'!C62*100),0),'입력값'!C58*100+'입력값'!C59*100)*('입력값'!C58*100)/IF(('입력값'!C58*100+'입력값'!C59*100)=0,1,'입력값'!C58*100+'입력값'!C59*100)</f>
      </c>
      <c r="BY18" s="29">
        <f>MIN(MAX(BY16-('입력값'!C9*100+'입력값'!C62*100),0),'입력값'!C58*100+'입력값'!C59*100)*('입력값'!C58*100)/IF(('입력값'!C58*100+'입력값'!C59*100)=0,1,'입력값'!C58*100+'입력값'!C59*100)</f>
      </c>
      <c r="BZ18" s="29">
        <f>MIN(MAX(BZ16-('입력값'!C9*100+'입력값'!C62*100),0),'입력값'!C58*100+'입력값'!C59*100)*('입력값'!C58*100)/IF(('입력값'!C58*100+'입력값'!C59*100)=0,1,'입력값'!C58*100+'입력값'!C59*100)</f>
      </c>
      <c r="CA18" s="29">
        <f>MIN(MAX(CA16-('입력값'!C9*100+'입력값'!C62*100),0),'입력값'!C58*100+'입력값'!C59*100)*('입력값'!C58*100)/IF(('입력값'!C58*100+'입력값'!C59*100)=0,1,'입력값'!C58*100+'입력값'!C59*100)</f>
      </c>
      <c r="CB18" s="29">
        <f>MIN(MAX(CB16-('입력값'!C9*100+'입력값'!C62*100),0),'입력값'!C58*100+'입력값'!C59*100)*('입력값'!C58*100)/IF(('입력값'!C58*100+'입력값'!C59*100)=0,1,'입력값'!C58*100+'입력값'!C59*100)</f>
      </c>
      <c r="CC18" s="29">
        <f>MIN(MAX(CC16-('입력값'!C9*100+'입력값'!C62*100),0),'입력값'!C58*100+'입력값'!C59*100)*('입력값'!C58*100)/IF(('입력값'!C58*100+'입력값'!C59*100)=0,1,'입력값'!C58*100+'입력값'!C59*100)</f>
      </c>
      <c r="CD18" s="29">
        <f>MIN(MAX(CD16-('입력값'!C9*100+'입력값'!C62*100),0),'입력값'!C58*100+'입력값'!C59*100)*('입력값'!C58*100)/IF(('입력값'!C58*100+'입력값'!C59*100)=0,1,'입력값'!C58*100+'입력값'!C59*100)</f>
      </c>
      <c r="CE18" s="29">
        <f>MIN(MAX(CE16-('입력값'!C9*100+'입력값'!C62*100),0),'입력값'!C58*100+'입력값'!C59*100)*('입력값'!C58*100)/IF(('입력값'!C58*100+'입력값'!C59*100)=0,1,'입력값'!C58*100+'입력값'!C59*100)</f>
      </c>
      <c r="CF18" s="29">
        <f>MIN(MAX(CF16-('입력값'!C9*100+'입력값'!C62*100),0),'입력값'!C58*100+'입력값'!C59*100)*('입력값'!C58*100)/IF(('입력값'!C58*100+'입력값'!C59*100)=0,1,'입력값'!C58*100+'입력값'!C59*100)</f>
      </c>
      <c r="CG18" s="29">
        <f>MIN(MAX(CG16-('입력값'!C9*100+'입력값'!C62*100),0),'입력값'!C58*100+'입력값'!C59*100)*('입력값'!C58*100)/IF(('입력값'!C58*100+'입력값'!C59*100)=0,1,'입력값'!C58*100+'입력값'!C59*100)</f>
      </c>
      <c r="CH18" s="29">
        <f>MIN(MAX(CH16-('입력값'!C9*100+'입력값'!C62*100),0),'입력값'!C58*100+'입력값'!C59*100)*('입력값'!C58*100)/IF(('입력값'!C58*100+'입력값'!C59*100)=0,1,'입력값'!C58*100+'입력값'!C59*100)</f>
      </c>
      <c r="CI18" s="29">
        <f>MIN(MAX(CI16-('입력값'!C9*100+'입력값'!C62*100),0),'입력값'!C58*100+'입력값'!C59*100)*('입력값'!C58*100)/IF(('입력값'!C58*100+'입력값'!C59*100)=0,1,'입력값'!C58*100+'입력값'!C59*100)</f>
      </c>
      <c r="CJ18" s="29">
        <f>MIN(MAX(CJ16-('입력값'!C9*100+'입력값'!C62*100),0),'입력값'!C58*100+'입력값'!C59*100)*('입력값'!C58*100)/IF(('입력값'!C58*100+'입력값'!C59*100)=0,1,'입력값'!C58*100+'입력값'!C59*100)</f>
      </c>
      <c r="CK18" s="29">
        <f>MIN(MAX(CK16-('입력값'!C9*100+'입력값'!C62*100),0),'입력값'!C58*100+'입력값'!C59*100)*('입력값'!C58*100)/IF(('입력값'!C58*100+'입력값'!C59*100)=0,1,'입력값'!C58*100+'입력값'!C59*100)</f>
      </c>
      <c r="CL18" s="29">
        <f>MIN(MAX(CL16-('입력값'!C9*100+'입력값'!C62*100),0),'입력값'!C58*100+'입력값'!C59*100)*('입력값'!C58*100)/IF(('입력값'!C58*100+'입력값'!C59*100)=0,1,'입력값'!C58*100+'입력값'!C59*100)</f>
      </c>
    </row>
    <row r="19" spans="2:90" x14ac:dyDescent="0.25">
      <c r="B19" s="31" t="s">
        <v>263</v>
      </c>
      <c r="C19" s="32" t="s">
        <v>228</v>
      </c>
      <c r="E19" s="29">
        <f>MIN(MAX(E16-('입력값'!C9*100+'입력값'!C62*100),0),'입력값'!C58*100+'입력값'!C59*100)*('입력값'!C59*100)/IF(('입력값'!C58*100+'입력값'!C59*100)=0,1,'입력값'!C58*100+'입력값'!C59*100)</f>
      </c>
      <c r="F19" s="29">
        <f>MIN(MAX(F16-('입력값'!C9*100+'입력값'!C62*100),0),'입력값'!C58*100+'입력값'!C59*100)*('입력값'!C59*100)/IF(('입력값'!C58*100+'입력값'!C59*100)=0,1,'입력값'!C58*100+'입력값'!C59*100)</f>
      </c>
      <c r="G19" s="29">
        <f>MIN(MAX(G16-('입력값'!C9*100+'입력값'!C62*100),0),'입력값'!C58*100+'입력값'!C59*100)*('입력값'!C59*100)/IF(('입력값'!C58*100+'입력값'!C59*100)=0,1,'입력값'!C58*100+'입력값'!C59*100)</f>
      </c>
      <c r="H19" s="29">
        <f>MIN(MAX(H16-('입력값'!C9*100+'입력값'!C62*100),0),'입력값'!C58*100+'입력값'!C59*100)*('입력값'!C59*100)/IF(('입력값'!C58*100+'입력값'!C59*100)=0,1,'입력값'!C58*100+'입력값'!C59*100)</f>
      </c>
      <c r="I19" s="29">
        <f>MIN(MAX(I16-('입력값'!C9*100+'입력값'!C62*100),0),'입력값'!C58*100+'입력값'!C59*100)*('입력값'!C59*100)/IF(('입력값'!C58*100+'입력값'!C59*100)=0,1,'입력값'!C58*100+'입력값'!C59*100)</f>
      </c>
      <c r="J19" s="29">
        <f>MIN(MAX(J16-('입력값'!C9*100+'입력값'!C62*100),0),'입력값'!C58*100+'입력값'!C59*100)*('입력값'!C59*100)/IF(('입력값'!C58*100+'입력값'!C59*100)=0,1,'입력값'!C58*100+'입력값'!C59*100)</f>
      </c>
      <c r="K19" s="29">
        <f>MIN(MAX(K16-('입력값'!C9*100+'입력값'!C62*100),0),'입력값'!C58*100+'입력값'!C59*100)*('입력값'!C59*100)/IF(('입력값'!C58*100+'입력값'!C59*100)=0,1,'입력값'!C58*100+'입력값'!C59*100)</f>
      </c>
      <c r="L19" s="29">
        <f>MIN(MAX(L16-('입력값'!C9*100+'입력값'!C62*100),0),'입력값'!C58*100+'입력값'!C59*100)*('입력값'!C59*100)/IF(('입력값'!C58*100+'입력값'!C59*100)=0,1,'입력값'!C58*100+'입력값'!C59*100)</f>
      </c>
      <c r="M19" s="29">
        <f>MIN(MAX(M16-('입력값'!C9*100+'입력값'!C62*100),0),'입력값'!C58*100+'입력값'!C59*100)*('입력값'!C59*100)/IF(('입력값'!C58*100+'입력값'!C59*100)=0,1,'입력값'!C58*100+'입력값'!C59*100)</f>
      </c>
      <c r="N19" s="29">
        <f>MIN(MAX(N16-('입력값'!C9*100+'입력값'!C62*100),0),'입력값'!C58*100+'입력값'!C59*100)*('입력값'!C59*100)/IF(('입력값'!C58*100+'입력값'!C59*100)=0,1,'입력값'!C58*100+'입력값'!C59*100)</f>
      </c>
      <c r="O19" s="29">
        <f>MIN(MAX(O16-('입력값'!C9*100+'입력값'!C62*100),0),'입력값'!C58*100+'입력값'!C59*100)*('입력값'!C59*100)/IF(('입력값'!C58*100+'입력값'!C59*100)=0,1,'입력값'!C58*100+'입력값'!C59*100)</f>
      </c>
      <c r="P19" s="29">
        <f>MIN(MAX(P16-('입력값'!C9*100+'입력값'!C62*100),0),'입력값'!C58*100+'입력값'!C59*100)*('입력값'!C59*100)/IF(('입력값'!C58*100+'입력값'!C59*100)=0,1,'입력값'!C58*100+'입력값'!C59*100)</f>
      </c>
      <c r="Q19" s="29">
        <f>MIN(MAX(Q16-('입력값'!C9*100+'입력값'!C62*100),0),'입력값'!C58*100+'입력값'!C59*100)*('입력값'!C59*100)/IF(('입력값'!C58*100+'입력값'!C59*100)=0,1,'입력값'!C58*100+'입력값'!C59*100)</f>
      </c>
      <c r="R19" s="29">
        <f>MIN(MAX(R16-('입력값'!C9*100+'입력값'!C62*100),0),'입력값'!C58*100+'입력값'!C59*100)*('입력값'!C59*100)/IF(('입력값'!C58*100+'입력값'!C59*100)=0,1,'입력값'!C58*100+'입력값'!C59*100)</f>
      </c>
      <c r="S19" s="29">
        <f>MIN(MAX(S16-('입력값'!C9*100+'입력값'!C62*100),0),'입력값'!C58*100+'입력값'!C59*100)*('입력값'!C59*100)/IF(('입력값'!C58*100+'입력값'!C59*100)=0,1,'입력값'!C58*100+'입력값'!C59*100)</f>
      </c>
      <c r="T19" s="29">
        <f>MIN(MAX(T16-('입력값'!C9*100+'입력값'!C62*100),0),'입력값'!C58*100+'입력값'!C59*100)*('입력값'!C59*100)/IF(('입력값'!C58*100+'입력값'!C59*100)=0,1,'입력값'!C58*100+'입력값'!C59*100)</f>
      </c>
      <c r="U19" s="29">
        <f>MIN(MAX(U16-('입력값'!C9*100+'입력값'!C62*100),0),'입력값'!C58*100+'입력값'!C59*100)*('입력값'!C59*100)/IF(('입력값'!C58*100+'입력값'!C59*100)=0,1,'입력값'!C58*100+'입력값'!C59*100)</f>
      </c>
      <c r="V19" s="29">
        <f>MIN(MAX(V16-('입력값'!C9*100+'입력값'!C62*100),0),'입력값'!C58*100+'입력값'!C59*100)*('입력값'!C59*100)/IF(('입력값'!C58*100+'입력값'!C59*100)=0,1,'입력값'!C58*100+'입력값'!C59*100)</f>
      </c>
      <c r="W19" s="29">
        <f>MIN(MAX(W16-('입력값'!C9*100+'입력값'!C62*100),0),'입력값'!C58*100+'입력값'!C59*100)*('입력값'!C59*100)/IF(('입력값'!C58*100+'입력값'!C59*100)=0,1,'입력값'!C58*100+'입력값'!C59*100)</f>
      </c>
      <c r="X19" s="29">
        <f>MIN(MAX(X16-('입력값'!C9*100+'입력값'!C62*100),0),'입력값'!C58*100+'입력값'!C59*100)*('입력값'!C59*100)/IF(('입력값'!C58*100+'입력값'!C59*100)=0,1,'입력값'!C58*100+'입력값'!C59*100)</f>
      </c>
      <c r="Y19" s="29">
        <f>MIN(MAX(Y16-('입력값'!C9*100+'입력값'!C62*100),0),'입력값'!C58*100+'입력값'!C59*100)*('입력값'!C59*100)/IF(('입력값'!C58*100+'입력값'!C59*100)=0,1,'입력값'!C58*100+'입력값'!C59*100)</f>
      </c>
      <c r="Z19" s="29">
        <f>MIN(MAX(Z16-('입력값'!C9*100+'입력값'!C62*100),0),'입력값'!C58*100+'입력값'!C59*100)*('입력값'!C59*100)/IF(('입력값'!C58*100+'입력값'!C59*100)=0,1,'입력값'!C58*100+'입력값'!C59*100)</f>
      </c>
      <c r="AA19" s="29">
        <f>MIN(MAX(AA16-('입력값'!C9*100+'입력값'!C62*100),0),'입력값'!C58*100+'입력값'!C59*100)*('입력값'!C59*100)/IF(('입력값'!C58*100+'입력값'!C59*100)=0,1,'입력값'!C58*100+'입력값'!C59*100)</f>
      </c>
      <c r="AB19" s="29">
        <f>MIN(MAX(AB16-('입력값'!C9*100+'입력값'!C62*100),0),'입력값'!C58*100+'입력값'!C59*100)*('입력값'!C59*100)/IF(('입력값'!C58*100+'입력값'!C59*100)=0,1,'입력값'!C58*100+'입력값'!C59*100)</f>
      </c>
      <c r="AC19" s="29">
        <f>MIN(MAX(AC16-('입력값'!C9*100+'입력값'!C62*100),0),'입력값'!C58*100+'입력값'!C59*100)*('입력값'!C59*100)/IF(('입력값'!C58*100+'입력값'!C59*100)=0,1,'입력값'!C58*100+'입력값'!C59*100)</f>
      </c>
      <c r="AD19" s="29">
        <f>MIN(MAX(AD16-('입력값'!C9*100+'입력값'!C62*100),0),'입력값'!C58*100+'입력값'!C59*100)*('입력값'!C59*100)/IF(('입력값'!C58*100+'입력값'!C59*100)=0,1,'입력값'!C58*100+'입력값'!C59*100)</f>
      </c>
      <c r="AE19" s="29">
        <f>MIN(MAX(AE16-('입력값'!C9*100+'입력값'!C62*100),0),'입력값'!C58*100+'입력값'!C59*100)*('입력값'!C59*100)/IF(('입력값'!C58*100+'입력값'!C59*100)=0,1,'입력값'!C58*100+'입력값'!C59*100)</f>
      </c>
      <c r="AF19" s="29">
        <f>MIN(MAX(AF16-('입력값'!C9*100+'입력값'!C62*100),0),'입력값'!C58*100+'입력값'!C59*100)*('입력값'!C59*100)/IF(('입력값'!C58*100+'입력값'!C59*100)=0,1,'입력값'!C58*100+'입력값'!C59*100)</f>
      </c>
      <c r="AG19" s="29">
        <f>MIN(MAX(AG16-('입력값'!C9*100+'입력값'!C62*100),0),'입력값'!C58*100+'입력값'!C59*100)*('입력값'!C59*100)/IF(('입력값'!C58*100+'입력값'!C59*100)=0,1,'입력값'!C58*100+'입력값'!C59*100)</f>
      </c>
      <c r="AH19" s="29">
        <f>MIN(MAX(AH16-('입력값'!C9*100+'입력값'!C62*100),0),'입력값'!C58*100+'입력값'!C59*100)*('입력값'!C59*100)/IF(('입력값'!C58*100+'입력값'!C59*100)=0,1,'입력값'!C58*100+'입력값'!C59*100)</f>
      </c>
      <c r="AI19" s="29">
        <f>MIN(MAX(AI16-('입력값'!C9*100+'입력값'!C62*100),0),'입력값'!C58*100+'입력값'!C59*100)*('입력값'!C59*100)/IF(('입력값'!C58*100+'입력값'!C59*100)=0,1,'입력값'!C58*100+'입력값'!C59*100)</f>
      </c>
      <c r="AJ19" s="29">
        <f>MIN(MAX(AJ16-('입력값'!C9*100+'입력값'!C62*100),0),'입력값'!C58*100+'입력값'!C59*100)*('입력값'!C59*100)/IF(('입력값'!C58*100+'입력값'!C59*100)=0,1,'입력값'!C58*100+'입력값'!C59*100)</f>
      </c>
      <c r="AK19" s="29">
        <f>MIN(MAX(AK16-('입력값'!C9*100+'입력값'!C62*100),0),'입력값'!C58*100+'입력값'!C59*100)*('입력값'!C59*100)/IF(('입력값'!C58*100+'입력값'!C59*100)=0,1,'입력값'!C58*100+'입력값'!C59*100)</f>
      </c>
      <c r="AL19" s="29">
        <f>MIN(MAX(AL16-('입력값'!C9*100+'입력값'!C62*100),0),'입력값'!C58*100+'입력값'!C59*100)*('입력값'!C59*100)/IF(('입력값'!C58*100+'입력값'!C59*100)=0,1,'입력값'!C58*100+'입력값'!C59*100)</f>
      </c>
      <c r="AM19" s="29">
        <f>MIN(MAX(AM16-('입력값'!C9*100+'입력값'!C62*100),0),'입력값'!C58*100+'입력값'!C59*100)*('입력값'!C59*100)/IF(('입력값'!C58*100+'입력값'!C59*100)=0,1,'입력값'!C58*100+'입력값'!C59*100)</f>
      </c>
      <c r="AN19" s="29">
        <f>MIN(MAX(AN16-('입력값'!C9*100+'입력값'!C62*100),0),'입력값'!C58*100+'입력값'!C59*100)*('입력값'!C59*100)/IF(('입력값'!C58*100+'입력값'!C59*100)=0,1,'입력값'!C58*100+'입력값'!C59*100)</f>
      </c>
      <c r="AO19" s="29">
        <f>MIN(MAX(AO16-('입력값'!C9*100+'입력값'!C62*100),0),'입력값'!C58*100+'입력값'!C59*100)*('입력값'!C59*100)/IF(('입력값'!C58*100+'입력값'!C59*100)=0,1,'입력값'!C58*100+'입력값'!C59*100)</f>
      </c>
      <c r="AP19" s="29">
        <f>MIN(MAX(AP16-('입력값'!C9*100+'입력값'!C62*100),0),'입력값'!C58*100+'입력값'!C59*100)*('입력값'!C59*100)/IF(('입력값'!C58*100+'입력값'!C59*100)=0,1,'입력값'!C58*100+'입력값'!C59*100)</f>
      </c>
      <c r="AQ19" s="29">
        <f>MIN(MAX(AQ16-('입력값'!C9*100+'입력값'!C62*100),0),'입력값'!C58*100+'입력값'!C59*100)*('입력값'!C59*100)/IF(('입력값'!C58*100+'입력값'!C59*100)=0,1,'입력값'!C58*100+'입력값'!C59*100)</f>
      </c>
      <c r="AR19" s="29">
        <f>MIN(MAX(AR16-('입력값'!C9*100+'입력값'!C62*100),0),'입력값'!C58*100+'입력값'!C59*100)*('입력값'!C59*100)/IF(('입력값'!C58*100+'입력값'!C59*100)=0,1,'입력값'!C58*100+'입력값'!C59*100)</f>
      </c>
      <c r="AS19" s="29">
        <f>MIN(MAX(AS16-('입력값'!C9*100+'입력값'!C62*100),0),'입력값'!C58*100+'입력값'!C59*100)*('입력값'!C59*100)/IF(('입력값'!C58*100+'입력값'!C59*100)=0,1,'입력값'!C58*100+'입력값'!C59*100)</f>
      </c>
      <c r="AT19" s="29">
        <f>MIN(MAX(AT16-('입력값'!C9*100+'입력값'!C62*100),0),'입력값'!C58*100+'입력값'!C59*100)*('입력값'!C59*100)/IF(('입력값'!C58*100+'입력값'!C59*100)=0,1,'입력값'!C58*100+'입력값'!C59*100)</f>
      </c>
      <c r="AU19" s="29">
        <f>MIN(MAX(AU16-('입력값'!C9*100+'입력값'!C62*100),0),'입력값'!C58*100+'입력값'!C59*100)*('입력값'!C59*100)/IF(('입력값'!C58*100+'입력값'!C59*100)=0,1,'입력값'!C58*100+'입력값'!C59*100)</f>
      </c>
      <c r="AV19" s="29">
        <f>MIN(MAX(AV16-('입력값'!C9*100+'입력값'!C62*100),0),'입력값'!C58*100+'입력값'!C59*100)*('입력값'!C59*100)/IF(('입력값'!C58*100+'입력값'!C59*100)=0,1,'입력값'!C58*100+'입력값'!C59*100)</f>
      </c>
      <c r="AW19" s="29">
        <f>MIN(MAX(AW16-('입력값'!C9*100+'입력값'!C62*100),0),'입력값'!C58*100+'입력값'!C59*100)*('입력값'!C59*100)/IF(('입력값'!C58*100+'입력값'!C59*100)=0,1,'입력값'!C58*100+'입력값'!C59*100)</f>
      </c>
      <c r="AX19" s="29">
        <f>MIN(MAX(AX16-('입력값'!C9*100+'입력값'!C62*100),0),'입력값'!C58*100+'입력값'!C59*100)*('입력값'!C59*100)/IF(('입력값'!C58*100+'입력값'!C59*100)=0,1,'입력값'!C58*100+'입력값'!C59*100)</f>
      </c>
      <c r="AY19" s="29">
        <f>MIN(MAX(AY16-('입력값'!C9*100+'입력값'!C62*100),0),'입력값'!C58*100+'입력값'!C59*100)*('입력값'!C59*100)/IF(('입력값'!C58*100+'입력값'!C59*100)=0,1,'입력값'!C58*100+'입력값'!C59*100)</f>
      </c>
      <c r="AZ19" s="29">
        <f>MIN(MAX(AZ16-('입력값'!C9*100+'입력값'!C62*100),0),'입력값'!C58*100+'입력값'!C59*100)*('입력값'!C59*100)/IF(('입력값'!C58*100+'입력값'!C59*100)=0,1,'입력값'!C58*100+'입력값'!C59*100)</f>
      </c>
      <c r="BA19" s="29">
        <f>MIN(MAX(BA16-('입력값'!C9*100+'입력값'!C62*100),0),'입력값'!C58*100+'입력값'!C59*100)*('입력값'!C59*100)/IF(('입력값'!C58*100+'입력값'!C59*100)=0,1,'입력값'!C58*100+'입력값'!C59*100)</f>
      </c>
      <c r="BB19" s="29">
        <f>MIN(MAX(BB16-('입력값'!C9*100+'입력값'!C62*100),0),'입력값'!C58*100+'입력값'!C59*100)*('입력값'!C59*100)/IF(('입력값'!C58*100+'입력값'!C59*100)=0,1,'입력값'!C58*100+'입력값'!C59*100)</f>
      </c>
      <c r="BC19" s="29">
        <f>MIN(MAX(BC16-('입력값'!C9*100+'입력값'!C62*100),0),'입력값'!C58*100+'입력값'!C59*100)*('입력값'!C59*100)/IF(('입력값'!C58*100+'입력값'!C59*100)=0,1,'입력값'!C58*100+'입력값'!C59*100)</f>
      </c>
      <c r="BD19" s="29">
        <f>MIN(MAX(BD16-('입력값'!C9*100+'입력값'!C62*100),0),'입력값'!C58*100+'입력값'!C59*100)*('입력값'!C59*100)/IF(('입력값'!C58*100+'입력값'!C59*100)=0,1,'입력값'!C58*100+'입력값'!C59*100)</f>
      </c>
      <c r="BE19" s="29">
        <f>MIN(MAX(BE16-('입력값'!C9*100+'입력값'!C62*100),0),'입력값'!C58*100+'입력값'!C59*100)*('입력값'!C59*100)/IF(('입력값'!C58*100+'입력값'!C59*100)=0,1,'입력값'!C58*100+'입력값'!C59*100)</f>
      </c>
      <c r="BF19" s="29">
        <f>MIN(MAX(BF16-('입력값'!C9*100+'입력값'!C62*100),0),'입력값'!C58*100+'입력값'!C59*100)*('입력값'!C59*100)/IF(('입력값'!C58*100+'입력값'!C59*100)=0,1,'입력값'!C58*100+'입력값'!C59*100)</f>
      </c>
      <c r="BG19" s="29">
        <f>MIN(MAX(BG16-('입력값'!C9*100+'입력값'!C62*100),0),'입력값'!C58*100+'입력값'!C59*100)*('입력값'!C59*100)/IF(('입력값'!C58*100+'입력값'!C59*100)=0,1,'입력값'!C58*100+'입력값'!C59*100)</f>
      </c>
      <c r="BH19" s="29">
        <f>MIN(MAX(BH16-('입력값'!C9*100+'입력값'!C62*100),0),'입력값'!C58*100+'입력값'!C59*100)*('입력값'!C59*100)/IF(('입력값'!C58*100+'입력값'!C59*100)=0,1,'입력값'!C58*100+'입력값'!C59*100)</f>
      </c>
      <c r="BI19" s="29">
        <f>MIN(MAX(BI16-('입력값'!C9*100+'입력값'!C62*100),0),'입력값'!C58*100+'입력값'!C59*100)*('입력값'!C59*100)/IF(('입력값'!C58*100+'입력값'!C59*100)=0,1,'입력값'!C58*100+'입력값'!C59*100)</f>
      </c>
      <c r="BJ19" s="29">
        <f>MIN(MAX(BJ16-('입력값'!C9*100+'입력값'!C62*100),0),'입력값'!C58*100+'입력값'!C59*100)*('입력값'!C59*100)/IF(('입력값'!C58*100+'입력값'!C59*100)=0,1,'입력값'!C58*100+'입력값'!C59*100)</f>
      </c>
      <c r="BK19" s="29">
        <f>MIN(MAX(BK16-('입력값'!C9*100+'입력값'!C62*100),0),'입력값'!C58*100+'입력값'!C59*100)*('입력값'!C59*100)/IF(('입력값'!C58*100+'입력값'!C59*100)=0,1,'입력값'!C58*100+'입력값'!C59*100)</f>
      </c>
      <c r="BL19" s="29">
        <f>MIN(MAX(BL16-('입력값'!C9*100+'입력값'!C62*100),0),'입력값'!C58*100+'입력값'!C59*100)*('입력값'!C59*100)/IF(('입력값'!C58*100+'입력값'!C59*100)=0,1,'입력값'!C58*100+'입력값'!C59*100)</f>
      </c>
      <c r="BM19" s="29">
        <f>MIN(MAX(BM16-('입력값'!C9*100+'입력값'!C62*100),0),'입력값'!C58*100+'입력값'!C59*100)*('입력값'!C59*100)/IF(('입력값'!C58*100+'입력값'!C59*100)=0,1,'입력값'!C58*100+'입력값'!C59*100)</f>
      </c>
      <c r="BN19" s="29">
        <f>MIN(MAX(BN16-('입력값'!C9*100+'입력값'!C62*100),0),'입력값'!C58*100+'입력값'!C59*100)*('입력값'!C59*100)/IF(('입력값'!C58*100+'입력값'!C59*100)=0,1,'입력값'!C58*100+'입력값'!C59*100)</f>
      </c>
      <c r="BO19" s="29">
        <f>MIN(MAX(BO16-('입력값'!C9*100+'입력값'!C62*100),0),'입력값'!C58*100+'입력값'!C59*100)*('입력값'!C59*100)/IF(('입력값'!C58*100+'입력값'!C59*100)=0,1,'입력값'!C58*100+'입력값'!C59*100)</f>
      </c>
      <c r="BP19" s="29">
        <f>MIN(MAX(BP16-('입력값'!C9*100+'입력값'!C62*100),0),'입력값'!C58*100+'입력값'!C59*100)*('입력값'!C59*100)/IF(('입력값'!C58*100+'입력값'!C59*100)=0,1,'입력값'!C58*100+'입력값'!C59*100)</f>
      </c>
      <c r="BQ19" s="29">
        <f>MIN(MAX(BQ16-('입력값'!C9*100+'입력값'!C62*100),0),'입력값'!C58*100+'입력값'!C59*100)*('입력값'!C59*100)/IF(('입력값'!C58*100+'입력값'!C59*100)=0,1,'입력값'!C58*100+'입력값'!C59*100)</f>
      </c>
      <c r="BR19" s="29">
        <f>MIN(MAX(BR16-('입력값'!C9*100+'입력값'!C62*100),0),'입력값'!C58*100+'입력값'!C59*100)*('입력값'!C59*100)/IF(('입력값'!C58*100+'입력값'!C59*100)=0,1,'입력값'!C58*100+'입력값'!C59*100)</f>
      </c>
      <c r="BS19" s="29">
        <f>MIN(MAX(BS16-('입력값'!C9*100+'입력값'!C62*100),0),'입력값'!C58*100+'입력값'!C59*100)*('입력값'!C59*100)/IF(('입력값'!C58*100+'입력값'!C59*100)=0,1,'입력값'!C58*100+'입력값'!C59*100)</f>
      </c>
      <c r="BT19" s="29">
        <f>MIN(MAX(BT16-('입력값'!C9*100+'입력값'!C62*100),0),'입력값'!C58*100+'입력값'!C59*100)*('입력값'!C59*100)/IF(('입력값'!C58*100+'입력값'!C59*100)=0,1,'입력값'!C58*100+'입력값'!C59*100)</f>
      </c>
      <c r="BU19" s="29">
        <f>MIN(MAX(BU16-('입력값'!C9*100+'입력값'!C62*100),0),'입력값'!C58*100+'입력값'!C59*100)*('입력값'!C59*100)/IF(('입력값'!C58*100+'입력값'!C59*100)=0,1,'입력값'!C58*100+'입력값'!C59*100)</f>
      </c>
      <c r="BV19" s="29">
        <f>MIN(MAX(BV16-('입력값'!C9*100+'입력값'!C62*100),0),'입력값'!C58*100+'입력값'!C59*100)*('입력값'!C59*100)/IF(('입력값'!C58*100+'입력값'!C59*100)=0,1,'입력값'!C58*100+'입력값'!C59*100)</f>
      </c>
      <c r="BW19" s="29">
        <f>MIN(MAX(BW16-('입력값'!C9*100+'입력값'!C62*100),0),'입력값'!C58*100+'입력값'!C59*100)*('입력값'!C59*100)/IF(('입력값'!C58*100+'입력값'!C59*100)=0,1,'입력값'!C58*100+'입력값'!C59*100)</f>
      </c>
      <c r="BX19" s="29">
        <f>MIN(MAX(BX16-('입력값'!C9*100+'입력값'!C62*100),0),'입력값'!C58*100+'입력값'!C59*100)*('입력값'!C59*100)/IF(('입력값'!C58*100+'입력값'!C59*100)=0,1,'입력값'!C58*100+'입력값'!C59*100)</f>
      </c>
      <c r="BY19" s="29">
        <f>MIN(MAX(BY16-('입력값'!C9*100+'입력값'!C62*100),0),'입력값'!C58*100+'입력값'!C59*100)*('입력값'!C59*100)/IF(('입력값'!C58*100+'입력값'!C59*100)=0,1,'입력값'!C58*100+'입력값'!C59*100)</f>
      </c>
      <c r="BZ19" s="29">
        <f>MIN(MAX(BZ16-('입력값'!C9*100+'입력값'!C62*100),0),'입력값'!C58*100+'입력값'!C59*100)*('입력값'!C59*100)/IF(('입력값'!C58*100+'입력값'!C59*100)=0,1,'입력값'!C58*100+'입력값'!C59*100)</f>
      </c>
      <c r="CA19" s="29">
        <f>MIN(MAX(CA16-('입력값'!C9*100+'입력값'!C62*100),0),'입력값'!C58*100+'입력값'!C59*100)*('입력값'!C59*100)/IF(('입력값'!C58*100+'입력값'!C59*100)=0,1,'입력값'!C58*100+'입력값'!C59*100)</f>
      </c>
      <c r="CB19" s="29">
        <f>MIN(MAX(CB16-('입력값'!C9*100+'입력값'!C62*100),0),'입력값'!C58*100+'입력값'!C59*100)*('입력값'!C59*100)/IF(('입력값'!C58*100+'입력값'!C59*100)=0,1,'입력값'!C58*100+'입력값'!C59*100)</f>
      </c>
      <c r="CC19" s="29">
        <f>MIN(MAX(CC16-('입력값'!C9*100+'입력값'!C62*100),0),'입력값'!C58*100+'입력값'!C59*100)*('입력값'!C59*100)/IF(('입력값'!C58*100+'입력값'!C59*100)=0,1,'입력값'!C58*100+'입력값'!C59*100)</f>
      </c>
      <c r="CD19" s="29">
        <f>MIN(MAX(CD16-('입력값'!C9*100+'입력값'!C62*100),0),'입력값'!C58*100+'입력값'!C59*100)*('입력값'!C59*100)/IF(('입력값'!C58*100+'입력값'!C59*100)=0,1,'입력값'!C58*100+'입력값'!C59*100)</f>
      </c>
      <c r="CE19" s="29">
        <f>MIN(MAX(CE16-('입력값'!C9*100+'입력값'!C62*100),0),'입력값'!C58*100+'입력값'!C59*100)*('입력값'!C59*100)/IF(('입력값'!C58*100+'입력값'!C59*100)=0,1,'입력값'!C58*100+'입력값'!C59*100)</f>
      </c>
      <c r="CF19" s="29">
        <f>MIN(MAX(CF16-('입력값'!C9*100+'입력값'!C62*100),0),'입력값'!C58*100+'입력값'!C59*100)*('입력값'!C59*100)/IF(('입력값'!C58*100+'입력값'!C59*100)=0,1,'입력값'!C58*100+'입력값'!C59*100)</f>
      </c>
      <c r="CG19" s="29">
        <f>MIN(MAX(CG16-('입력값'!C9*100+'입력값'!C62*100),0),'입력값'!C58*100+'입력값'!C59*100)*('입력값'!C59*100)/IF(('입력값'!C58*100+'입력값'!C59*100)=0,1,'입력값'!C58*100+'입력값'!C59*100)</f>
      </c>
      <c r="CH19" s="29">
        <f>MIN(MAX(CH16-('입력값'!C9*100+'입력값'!C62*100),0),'입력값'!C58*100+'입력값'!C59*100)*('입력값'!C59*100)/IF(('입력값'!C58*100+'입력값'!C59*100)=0,1,'입력값'!C58*100+'입력값'!C59*100)</f>
      </c>
      <c r="CI19" s="29">
        <f>MIN(MAX(CI16-('입력값'!C9*100+'입력값'!C62*100),0),'입력값'!C58*100+'입력값'!C59*100)*('입력값'!C59*100)/IF(('입력값'!C58*100+'입력값'!C59*100)=0,1,'입력값'!C58*100+'입력값'!C59*100)</f>
      </c>
      <c r="CJ19" s="29">
        <f>MIN(MAX(CJ16-('입력값'!C9*100+'입력값'!C62*100),0),'입력값'!C58*100+'입력값'!C59*100)*('입력값'!C59*100)/IF(('입력값'!C58*100+'입력값'!C59*100)=0,1,'입력값'!C58*100+'입력값'!C59*100)</f>
      </c>
      <c r="CK19" s="29">
        <f>MIN(MAX(CK16-('입력값'!C9*100+'입력값'!C62*100),0),'입력값'!C58*100+'입력값'!C59*100)*('입력값'!C59*100)/IF(('입력값'!C58*100+'입력값'!C59*100)=0,1,'입력값'!C58*100+'입력값'!C59*100)</f>
      </c>
      <c r="CL19" s="29">
        <f>MIN(MAX(CL16-('입력값'!C9*100+'입력값'!C62*100),0),'입력값'!C58*100+'입력값'!C59*100)*('입력값'!C59*100)/IF(('입력값'!C58*100+'입력값'!C59*100)=0,1,'입력값'!C58*100+'입력값'!C59*100)</f>
      </c>
    </row>
    <row r="20" spans="2:90" x14ac:dyDescent="0.25">
      <c r="B20" s="31" t="s">
        <v>264</v>
      </c>
      <c r="C20" s="32" t="s">
        <v>228</v>
      </c>
      <c r="E20" s="29">
        <f>MIN(MAX(E16-('입력값'!C9*100+'입력값'!C58*100+'입력값'!C59*100+'입력값'!C61*100+'입력값'!C62*100),0),'입력값'!C60*100)*('입력값'!C60*100)/IF(('입력값'!C60*100)=0,1,'입력값'!C60*100)</f>
      </c>
      <c r="F20" s="29">
        <f>MIN(MAX(F16-('입력값'!C9*100+'입력값'!C58*100+'입력값'!C59*100+'입력값'!C61*100+'입력값'!C62*100),0),'입력값'!C60*100)*('입력값'!C60*100)/IF(('입력값'!C60*100)=0,1,'입력값'!C60*100)</f>
      </c>
      <c r="G20" s="29">
        <f>MIN(MAX(G16-('입력값'!C9*100+'입력값'!C58*100+'입력값'!C59*100+'입력값'!C61*100+'입력값'!C62*100),0),'입력값'!C60*100)*('입력값'!C60*100)/IF(('입력값'!C60*100)=0,1,'입력값'!C60*100)</f>
      </c>
      <c r="H20" s="29">
        <f>MIN(MAX(H16-('입력값'!C9*100+'입력값'!C58*100+'입력값'!C59*100+'입력값'!C61*100+'입력값'!C62*100),0),'입력값'!C60*100)*('입력값'!C60*100)/IF(('입력값'!C60*100)=0,1,'입력값'!C60*100)</f>
      </c>
      <c r="I20" s="29">
        <f>MIN(MAX(I16-('입력값'!C9*100+'입력값'!C58*100+'입력값'!C59*100+'입력값'!C61*100+'입력값'!C62*100),0),'입력값'!C60*100)*('입력값'!C60*100)/IF(('입력값'!C60*100)=0,1,'입력값'!C60*100)</f>
      </c>
      <c r="J20" s="29">
        <f>MIN(MAX(J16-('입력값'!C9*100+'입력값'!C58*100+'입력값'!C59*100+'입력값'!C61*100+'입력값'!C62*100),0),'입력값'!C60*100)*('입력값'!C60*100)/IF(('입력값'!C60*100)=0,1,'입력값'!C60*100)</f>
      </c>
      <c r="K20" s="29">
        <f>MIN(MAX(K16-('입력값'!C9*100+'입력값'!C58*100+'입력값'!C59*100+'입력값'!C61*100+'입력값'!C62*100),0),'입력값'!C60*100)*('입력값'!C60*100)/IF(('입력값'!C60*100)=0,1,'입력값'!C60*100)</f>
      </c>
      <c r="L20" s="29">
        <f>MIN(MAX(L16-('입력값'!C9*100+'입력값'!C58*100+'입력값'!C59*100+'입력값'!C61*100+'입력값'!C62*100),0),'입력값'!C60*100)*('입력값'!C60*100)/IF(('입력값'!C60*100)=0,1,'입력값'!C60*100)</f>
      </c>
      <c r="M20" s="29">
        <f>MIN(MAX(M16-('입력값'!C9*100+'입력값'!C58*100+'입력값'!C59*100+'입력값'!C61*100+'입력값'!C62*100),0),'입력값'!C60*100)*('입력값'!C60*100)/IF(('입력값'!C60*100)=0,1,'입력값'!C60*100)</f>
      </c>
      <c r="N20" s="29">
        <f>MIN(MAX(N16-('입력값'!C9*100+'입력값'!C58*100+'입력값'!C59*100+'입력값'!C61*100+'입력값'!C62*100),0),'입력값'!C60*100)*('입력값'!C60*100)/IF(('입력값'!C60*100)=0,1,'입력값'!C60*100)</f>
      </c>
      <c r="O20" s="29">
        <f>MIN(MAX(O16-('입력값'!C9*100+'입력값'!C58*100+'입력값'!C59*100+'입력값'!C61*100+'입력값'!C62*100),0),'입력값'!C60*100)*('입력값'!C60*100)/IF(('입력값'!C60*100)=0,1,'입력값'!C60*100)</f>
      </c>
      <c r="P20" s="29">
        <f>MIN(MAX(P16-('입력값'!C9*100+'입력값'!C58*100+'입력값'!C59*100+'입력값'!C61*100+'입력값'!C62*100),0),'입력값'!C60*100)*('입력값'!C60*100)/IF(('입력값'!C60*100)=0,1,'입력값'!C60*100)</f>
      </c>
      <c r="Q20" s="29">
        <f>MIN(MAX(Q16-('입력값'!C9*100+'입력값'!C58*100+'입력값'!C59*100+'입력값'!C61*100+'입력값'!C62*100),0),'입력값'!C60*100)*('입력값'!C60*100)/IF(('입력값'!C60*100)=0,1,'입력값'!C60*100)</f>
      </c>
      <c r="R20" s="29">
        <f>MIN(MAX(R16-('입력값'!C9*100+'입력값'!C58*100+'입력값'!C59*100+'입력값'!C61*100+'입력값'!C62*100),0),'입력값'!C60*100)*('입력값'!C60*100)/IF(('입력값'!C60*100)=0,1,'입력값'!C60*100)</f>
      </c>
      <c r="S20" s="29">
        <f>MIN(MAX(S16-('입력값'!C9*100+'입력값'!C58*100+'입력값'!C59*100+'입력값'!C61*100+'입력값'!C62*100),0),'입력값'!C60*100)*('입력값'!C60*100)/IF(('입력값'!C60*100)=0,1,'입력값'!C60*100)</f>
      </c>
      <c r="T20" s="29">
        <f>MIN(MAX(T16-('입력값'!C9*100+'입력값'!C58*100+'입력값'!C59*100+'입력값'!C61*100+'입력값'!C62*100),0),'입력값'!C60*100)*('입력값'!C60*100)/IF(('입력값'!C60*100)=0,1,'입력값'!C60*100)</f>
      </c>
      <c r="U20" s="29">
        <f>MIN(MAX(U16-('입력값'!C9*100+'입력값'!C58*100+'입력값'!C59*100+'입력값'!C61*100+'입력값'!C62*100),0),'입력값'!C60*100)*('입력값'!C60*100)/IF(('입력값'!C60*100)=0,1,'입력값'!C60*100)</f>
      </c>
      <c r="V20" s="29">
        <f>MIN(MAX(V16-('입력값'!C9*100+'입력값'!C58*100+'입력값'!C59*100+'입력값'!C61*100+'입력값'!C62*100),0),'입력값'!C60*100)*('입력값'!C60*100)/IF(('입력값'!C60*100)=0,1,'입력값'!C60*100)</f>
      </c>
      <c r="W20" s="29">
        <f>MIN(MAX(W16-('입력값'!C9*100+'입력값'!C58*100+'입력값'!C59*100+'입력값'!C61*100+'입력값'!C62*100),0),'입력값'!C60*100)*('입력값'!C60*100)/IF(('입력값'!C60*100)=0,1,'입력값'!C60*100)</f>
      </c>
      <c r="X20" s="29">
        <f>MIN(MAX(X16-('입력값'!C9*100+'입력값'!C58*100+'입력값'!C59*100+'입력값'!C61*100+'입력값'!C62*100),0),'입력값'!C60*100)*('입력값'!C60*100)/IF(('입력값'!C60*100)=0,1,'입력값'!C60*100)</f>
      </c>
      <c r="Y20" s="29">
        <f>MIN(MAX(Y16-('입력값'!C9*100+'입력값'!C58*100+'입력값'!C59*100+'입력값'!C61*100+'입력값'!C62*100),0),'입력값'!C60*100)*('입력값'!C60*100)/IF(('입력값'!C60*100)=0,1,'입력값'!C60*100)</f>
      </c>
      <c r="Z20" s="29">
        <f>MIN(MAX(Z16-('입력값'!C9*100+'입력값'!C58*100+'입력값'!C59*100+'입력값'!C61*100+'입력값'!C62*100),0),'입력값'!C60*100)*('입력값'!C60*100)/IF(('입력값'!C60*100)=0,1,'입력값'!C60*100)</f>
      </c>
      <c r="AA20" s="29">
        <f>MIN(MAX(AA16-('입력값'!C9*100+'입력값'!C58*100+'입력값'!C59*100+'입력값'!C61*100+'입력값'!C62*100),0),'입력값'!C60*100)*('입력값'!C60*100)/IF(('입력값'!C60*100)=0,1,'입력값'!C60*100)</f>
      </c>
      <c r="AB20" s="29">
        <f>MIN(MAX(AB16-('입력값'!C9*100+'입력값'!C58*100+'입력값'!C59*100+'입력값'!C61*100+'입력값'!C62*100),0),'입력값'!C60*100)*('입력값'!C60*100)/IF(('입력값'!C60*100)=0,1,'입력값'!C60*100)</f>
      </c>
      <c r="AC20" s="29">
        <f>MIN(MAX(AC16-('입력값'!C9*100+'입력값'!C58*100+'입력값'!C59*100+'입력값'!C61*100+'입력값'!C62*100),0),'입력값'!C60*100)*('입력값'!C60*100)/IF(('입력값'!C60*100)=0,1,'입력값'!C60*100)</f>
      </c>
      <c r="AD20" s="29">
        <f>MIN(MAX(AD16-('입력값'!C9*100+'입력값'!C58*100+'입력값'!C59*100+'입력값'!C61*100+'입력값'!C62*100),0),'입력값'!C60*100)*('입력값'!C60*100)/IF(('입력값'!C60*100)=0,1,'입력값'!C60*100)</f>
      </c>
      <c r="AE20" s="29">
        <f>MIN(MAX(AE16-('입력값'!C9*100+'입력값'!C58*100+'입력값'!C59*100+'입력값'!C61*100+'입력값'!C62*100),0),'입력값'!C60*100)*('입력값'!C60*100)/IF(('입력값'!C60*100)=0,1,'입력값'!C60*100)</f>
      </c>
      <c r="AF20" s="29">
        <f>MIN(MAX(AF16-('입력값'!C9*100+'입력값'!C58*100+'입력값'!C59*100+'입력값'!C61*100+'입력값'!C62*100),0),'입력값'!C60*100)*('입력값'!C60*100)/IF(('입력값'!C60*100)=0,1,'입력값'!C60*100)</f>
      </c>
      <c r="AG20" s="29">
        <f>MIN(MAX(AG16-('입력값'!C9*100+'입력값'!C58*100+'입력값'!C59*100+'입력값'!C61*100+'입력값'!C62*100),0),'입력값'!C60*100)*('입력값'!C60*100)/IF(('입력값'!C60*100)=0,1,'입력값'!C60*100)</f>
      </c>
      <c r="AH20" s="29">
        <f>MIN(MAX(AH16-('입력값'!C9*100+'입력값'!C58*100+'입력값'!C59*100+'입력값'!C61*100+'입력값'!C62*100),0),'입력값'!C60*100)*('입력값'!C60*100)/IF(('입력값'!C60*100)=0,1,'입력값'!C60*100)</f>
      </c>
      <c r="AI20" s="29">
        <f>MIN(MAX(AI16-('입력값'!C9*100+'입력값'!C58*100+'입력값'!C59*100+'입력값'!C61*100+'입력값'!C62*100),0),'입력값'!C60*100)*('입력값'!C60*100)/IF(('입력값'!C60*100)=0,1,'입력값'!C60*100)</f>
      </c>
      <c r="AJ20" s="29">
        <f>MIN(MAX(AJ16-('입력값'!C9*100+'입력값'!C58*100+'입력값'!C59*100+'입력값'!C61*100+'입력값'!C62*100),0),'입력값'!C60*100)*('입력값'!C60*100)/IF(('입력값'!C60*100)=0,1,'입력값'!C60*100)</f>
      </c>
      <c r="AK20" s="29">
        <f>MIN(MAX(AK16-('입력값'!C9*100+'입력값'!C58*100+'입력값'!C59*100+'입력값'!C61*100+'입력값'!C62*100),0),'입력값'!C60*100)*('입력값'!C60*100)/IF(('입력값'!C60*100)=0,1,'입력값'!C60*100)</f>
      </c>
      <c r="AL20" s="29">
        <f>MIN(MAX(AL16-('입력값'!C9*100+'입력값'!C58*100+'입력값'!C59*100+'입력값'!C61*100+'입력값'!C62*100),0),'입력값'!C60*100)*('입력값'!C60*100)/IF(('입력값'!C60*100)=0,1,'입력값'!C60*100)</f>
      </c>
      <c r="AM20" s="29">
        <f>MIN(MAX(AM16-('입력값'!C9*100+'입력값'!C58*100+'입력값'!C59*100+'입력값'!C61*100+'입력값'!C62*100),0),'입력값'!C60*100)*('입력값'!C60*100)/IF(('입력값'!C60*100)=0,1,'입력값'!C60*100)</f>
      </c>
      <c r="AN20" s="29">
        <f>MIN(MAX(AN16-('입력값'!C9*100+'입력값'!C58*100+'입력값'!C59*100+'입력값'!C61*100+'입력값'!C62*100),0),'입력값'!C60*100)*('입력값'!C60*100)/IF(('입력값'!C60*100)=0,1,'입력값'!C60*100)</f>
      </c>
      <c r="AO20" s="29">
        <f>MIN(MAX(AO16-('입력값'!C9*100+'입력값'!C58*100+'입력값'!C59*100+'입력값'!C61*100+'입력값'!C62*100),0),'입력값'!C60*100)*('입력값'!C60*100)/IF(('입력값'!C60*100)=0,1,'입력값'!C60*100)</f>
      </c>
      <c r="AP20" s="29">
        <f>MIN(MAX(AP16-('입력값'!C9*100+'입력값'!C58*100+'입력값'!C59*100+'입력값'!C61*100+'입력값'!C62*100),0),'입력값'!C60*100)*('입력값'!C60*100)/IF(('입력값'!C60*100)=0,1,'입력값'!C60*100)</f>
      </c>
      <c r="AQ20" s="29">
        <f>MIN(MAX(AQ16-('입력값'!C9*100+'입력값'!C58*100+'입력값'!C59*100+'입력값'!C61*100+'입력값'!C62*100),0),'입력값'!C60*100)*('입력값'!C60*100)/IF(('입력값'!C60*100)=0,1,'입력값'!C60*100)</f>
      </c>
      <c r="AR20" s="29">
        <f>MIN(MAX(AR16-('입력값'!C9*100+'입력값'!C58*100+'입력값'!C59*100+'입력값'!C61*100+'입력값'!C62*100),0),'입력값'!C60*100)*('입력값'!C60*100)/IF(('입력값'!C60*100)=0,1,'입력값'!C60*100)</f>
      </c>
      <c r="AS20" s="29">
        <f>MIN(MAX(AS16-('입력값'!C9*100+'입력값'!C58*100+'입력값'!C59*100+'입력값'!C61*100+'입력값'!C62*100),0),'입력값'!C60*100)*('입력값'!C60*100)/IF(('입력값'!C60*100)=0,1,'입력값'!C60*100)</f>
      </c>
      <c r="AT20" s="29">
        <f>MIN(MAX(AT16-('입력값'!C9*100+'입력값'!C58*100+'입력값'!C59*100+'입력값'!C61*100+'입력값'!C62*100),0),'입력값'!C60*100)*('입력값'!C60*100)/IF(('입력값'!C60*100)=0,1,'입력값'!C60*100)</f>
      </c>
      <c r="AU20" s="29">
        <f>MIN(MAX(AU16-('입력값'!C9*100+'입력값'!C58*100+'입력값'!C59*100+'입력값'!C61*100+'입력값'!C62*100),0),'입력값'!C60*100)*('입력값'!C60*100)/IF(('입력값'!C60*100)=0,1,'입력값'!C60*100)</f>
      </c>
      <c r="AV20" s="29">
        <f>MIN(MAX(AV16-('입력값'!C9*100+'입력값'!C58*100+'입력값'!C59*100+'입력값'!C61*100+'입력값'!C62*100),0),'입력값'!C60*100)*('입력값'!C60*100)/IF(('입력값'!C60*100)=0,1,'입력값'!C60*100)</f>
      </c>
      <c r="AW20" s="29">
        <f>MIN(MAX(AW16-('입력값'!C9*100+'입력값'!C58*100+'입력값'!C59*100+'입력값'!C61*100+'입력값'!C62*100),0),'입력값'!C60*100)*('입력값'!C60*100)/IF(('입력값'!C60*100)=0,1,'입력값'!C60*100)</f>
      </c>
      <c r="AX20" s="29">
        <f>MIN(MAX(AX16-('입력값'!C9*100+'입력값'!C58*100+'입력값'!C59*100+'입력값'!C61*100+'입력값'!C62*100),0),'입력값'!C60*100)*('입력값'!C60*100)/IF(('입력값'!C60*100)=0,1,'입력값'!C60*100)</f>
      </c>
      <c r="AY20" s="29">
        <f>MIN(MAX(AY16-('입력값'!C9*100+'입력값'!C58*100+'입력값'!C59*100+'입력값'!C61*100+'입력값'!C62*100),0),'입력값'!C60*100)*('입력값'!C60*100)/IF(('입력값'!C60*100)=0,1,'입력값'!C60*100)</f>
      </c>
      <c r="AZ20" s="29">
        <f>MIN(MAX(AZ16-('입력값'!C9*100+'입력값'!C58*100+'입력값'!C59*100+'입력값'!C61*100+'입력값'!C62*100),0),'입력값'!C60*100)*('입력값'!C60*100)/IF(('입력값'!C60*100)=0,1,'입력값'!C60*100)</f>
      </c>
      <c r="BA20" s="29">
        <f>MIN(MAX(BA16-('입력값'!C9*100+'입력값'!C58*100+'입력값'!C59*100+'입력값'!C61*100+'입력값'!C62*100),0),'입력값'!C60*100)*('입력값'!C60*100)/IF(('입력값'!C60*100)=0,1,'입력값'!C60*100)</f>
      </c>
      <c r="BB20" s="29">
        <f>MIN(MAX(BB16-('입력값'!C9*100+'입력값'!C58*100+'입력값'!C59*100+'입력값'!C61*100+'입력값'!C62*100),0),'입력값'!C60*100)*('입력값'!C60*100)/IF(('입력값'!C60*100)=0,1,'입력값'!C60*100)</f>
      </c>
      <c r="BC20" s="29">
        <f>MIN(MAX(BC16-('입력값'!C9*100+'입력값'!C58*100+'입력값'!C59*100+'입력값'!C61*100+'입력값'!C62*100),0),'입력값'!C60*100)*('입력값'!C60*100)/IF(('입력값'!C60*100)=0,1,'입력값'!C60*100)</f>
      </c>
      <c r="BD20" s="29">
        <f>MIN(MAX(BD16-('입력값'!C9*100+'입력값'!C58*100+'입력값'!C59*100+'입력값'!C61*100+'입력값'!C62*100),0),'입력값'!C60*100)*('입력값'!C60*100)/IF(('입력값'!C60*100)=0,1,'입력값'!C60*100)</f>
      </c>
      <c r="BE20" s="29">
        <f>MIN(MAX(BE16-('입력값'!C9*100+'입력값'!C58*100+'입력값'!C59*100+'입력값'!C61*100+'입력값'!C62*100),0),'입력값'!C60*100)*('입력값'!C60*100)/IF(('입력값'!C60*100)=0,1,'입력값'!C60*100)</f>
      </c>
      <c r="BF20" s="29">
        <f>MIN(MAX(BF16-('입력값'!C9*100+'입력값'!C58*100+'입력값'!C59*100+'입력값'!C61*100+'입력값'!C62*100),0),'입력값'!C60*100)*('입력값'!C60*100)/IF(('입력값'!C60*100)=0,1,'입력값'!C60*100)</f>
      </c>
      <c r="BG20" s="29">
        <f>MIN(MAX(BG16-('입력값'!C9*100+'입력값'!C58*100+'입력값'!C59*100+'입력값'!C61*100+'입력값'!C62*100),0),'입력값'!C60*100)*('입력값'!C60*100)/IF(('입력값'!C60*100)=0,1,'입력값'!C60*100)</f>
      </c>
      <c r="BH20" s="29">
        <f>MIN(MAX(BH16-('입력값'!C9*100+'입력값'!C58*100+'입력값'!C59*100+'입력값'!C61*100+'입력값'!C62*100),0),'입력값'!C60*100)*('입력값'!C60*100)/IF(('입력값'!C60*100)=0,1,'입력값'!C60*100)</f>
      </c>
      <c r="BI20" s="29">
        <f>MIN(MAX(BI16-('입력값'!C9*100+'입력값'!C58*100+'입력값'!C59*100+'입력값'!C61*100+'입력값'!C62*100),0),'입력값'!C60*100)*('입력값'!C60*100)/IF(('입력값'!C60*100)=0,1,'입력값'!C60*100)</f>
      </c>
      <c r="BJ20" s="29">
        <f>MIN(MAX(BJ16-('입력값'!C9*100+'입력값'!C58*100+'입력값'!C59*100+'입력값'!C61*100+'입력값'!C62*100),0),'입력값'!C60*100)*('입력값'!C60*100)/IF(('입력값'!C60*100)=0,1,'입력값'!C60*100)</f>
      </c>
      <c r="BK20" s="29">
        <f>MIN(MAX(BK16-('입력값'!C9*100+'입력값'!C58*100+'입력값'!C59*100+'입력값'!C61*100+'입력값'!C62*100),0),'입력값'!C60*100)*('입력값'!C60*100)/IF(('입력값'!C60*100)=0,1,'입력값'!C60*100)</f>
      </c>
      <c r="BL20" s="29">
        <f>MIN(MAX(BL16-('입력값'!C9*100+'입력값'!C58*100+'입력값'!C59*100+'입력값'!C61*100+'입력값'!C62*100),0),'입력값'!C60*100)*('입력값'!C60*100)/IF(('입력값'!C60*100)=0,1,'입력값'!C60*100)</f>
      </c>
      <c r="BM20" s="29">
        <f>MIN(MAX(BM16-('입력값'!C9*100+'입력값'!C58*100+'입력값'!C59*100+'입력값'!C61*100+'입력값'!C62*100),0),'입력값'!C60*100)*('입력값'!C60*100)/IF(('입력값'!C60*100)=0,1,'입력값'!C60*100)</f>
      </c>
      <c r="BN20" s="29">
        <f>MIN(MAX(BN16-('입력값'!C9*100+'입력값'!C58*100+'입력값'!C59*100+'입력값'!C61*100+'입력값'!C62*100),0),'입력값'!C60*100)*('입력값'!C60*100)/IF(('입력값'!C60*100)=0,1,'입력값'!C60*100)</f>
      </c>
      <c r="BO20" s="29">
        <f>MIN(MAX(BO16-('입력값'!C9*100+'입력값'!C58*100+'입력값'!C59*100+'입력값'!C61*100+'입력값'!C62*100),0),'입력값'!C60*100)*('입력값'!C60*100)/IF(('입력값'!C60*100)=0,1,'입력값'!C60*100)</f>
      </c>
      <c r="BP20" s="29">
        <f>MIN(MAX(BP16-('입력값'!C9*100+'입력값'!C58*100+'입력값'!C59*100+'입력값'!C61*100+'입력값'!C62*100),0),'입력값'!C60*100)*('입력값'!C60*100)/IF(('입력값'!C60*100)=0,1,'입력값'!C60*100)</f>
      </c>
      <c r="BQ20" s="29">
        <f>MIN(MAX(BQ16-('입력값'!C9*100+'입력값'!C58*100+'입력값'!C59*100+'입력값'!C61*100+'입력값'!C62*100),0),'입력값'!C60*100)*('입력값'!C60*100)/IF(('입력값'!C60*100)=0,1,'입력값'!C60*100)</f>
      </c>
      <c r="BR20" s="29">
        <f>MIN(MAX(BR16-('입력값'!C9*100+'입력값'!C58*100+'입력값'!C59*100+'입력값'!C61*100+'입력값'!C62*100),0),'입력값'!C60*100)*('입력값'!C60*100)/IF(('입력값'!C60*100)=0,1,'입력값'!C60*100)</f>
      </c>
      <c r="BS20" s="29">
        <f>MIN(MAX(BS16-('입력값'!C9*100+'입력값'!C58*100+'입력값'!C59*100+'입력값'!C61*100+'입력값'!C62*100),0),'입력값'!C60*100)*('입력값'!C60*100)/IF(('입력값'!C60*100)=0,1,'입력값'!C60*100)</f>
      </c>
      <c r="BT20" s="29">
        <f>MIN(MAX(BT16-('입력값'!C9*100+'입력값'!C58*100+'입력값'!C59*100+'입력값'!C61*100+'입력값'!C62*100),0),'입력값'!C60*100)*('입력값'!C60*100)/IF(('입력값'!C60*100)=0,1,'입력값'!C60*100)</f>
      </c>
      <c r="BU20" s="29">
        <f>MIN(MAX(BU16-('입력값'!C9*100+'입력값'!C58*100+'입력값'!C59*100+'입력값'!C61*100+'입력값'!C62*100),0),'입력값'!C60*100)*('입력값'!C60*100)/IF(('입력값'!C60*100)=0,1,'입력값'!C60*100)</f>
      </c>
      <c r="BV20" s="29">
        <f>MIN(MAX(BV16-('입력값'!C9*100+'입력값'!C58*100+'입력값'!C59*100+'입력값'!C61*100+'입력값'!C62*100),0),'입력값'!C60*100)*('입력값'!C60*100)/IF(('입력값'!C60*100)=0,1,'입력값'!C60*100)</f>
      </c>
      <c r="BW20" s="29">
        <f>MIN(MAX(BW16-('입력값'!C9*100+'입력값'!C58*100+'입력값'!C59*100+'입력값'!C61*100+'입력값'!C62*100),0),'입력값'!C60*100)*('입력값'!C60*100)/IF(('입력값'!C60*100)=0,1,'입력값'!C60*100)</f>
      </c>
      <c r="BX20" s="29">
        <f>MIN(MAX(BX16-('입력값'!C9*100+'입력값'!C58*100+'입력값'!C59*100+'입력값'!C61*100+'입력값'!C62*100),0),'입력값'!C60*100)*('입력값'!C60*100)/IF(('입력값'!C60*100)=0,1,'입력값'!C60*100)</f>
      </c>
      <c r="BY20" s="29">
        <f>MIN(MAX(BY16-('입력값'!C9*100+'입력값'!C58*100+'입력값'!C59*100+'입력값'!C61*100+'입력값'!C62*100),0),'입력값'!C60*100)*('입력값'!C60*100)/IF(('입력값'!C60*100)=0,1,'입력값'!C60*100)</f>
      </c>
      <c r="BZ20" s="29">
        <f>MIN(MAX(BZ16-('입력값'!C9*100+'입력값'!C58*100+'입력값'!C59*100+'입력값'!C61*100+'입력값'!C62*100),0),'입력값'!C60*100)*('입력값'!C60*100)/IF(('입력값'!C60*100)=0,1,'입력값'!C60*100)</f>
      </c>
      <c r="CA20" s="29">
        <f>MIN(MAX(CA16-('입력값'!C9*100+'입력값'!C58*100+'입력값'!C59*100+'입력값'!C61*100+'입력값'!C62*100),0),'입력값'!C60*100)*('입력값'!C60*100)/IF(('입력값'!C60*100)=0,1,'입력값'!C60*100)</f>
      </c>
      <c r="CB20" s="29">
        <f>MIN(MAX(CB16-('입력값'!C9*100+'입력값'!C58*100+'입력값'!C59*100+'입력값'!C61*100+'입력값'!C62*100),0),'입력값'!C60*100)*('입력값'!C60*100)/IF(('입력값'!C60*100)=0,1,'입력값'!C60*100)</f>
      </c>
      <c r="CC20" s="29">
        <f>MIN(MAX(CC16-('입력값'!C9*100+'입력값'!C58*100+'입력값'!C59*100+'입력값'!C61*100+'입력값'!C62*100),0),'입력값'!C60*100)*('입력값'!C60*100)/IF(('입력값'!C60*100)=0,1,'입력값'!C60*100)</f>
      </c>
      <c r="CD20" s="29">
        <f>MIN(MAX(CD16-('입력값'!C9*100+'입력값'!C58*100+'입력값'!C59*100+'입력값'!C61*100+'입력값'!C62*100),0),'입력값'!C60*100)*('입력값'!C60*100)/IF(('입력값'!C60*100)=0,1,'입력값'!C60*100)</f>
      </c>
      <c r="CE20" s="29">
        <f>MIN(MAX(CE16-('입력값'!C9*100+'입력값'!C58*100+'입력값'!C59*100+'입력값'!C61*100+'입력값'!C62*100),0),'입력값'!C60*100)*('입력값'!C60*100)/IF(('입력값'!C60*100)=0,1,'입력값'!C60*100)</f>
      </c>
      <c r="CF20" s="29">
        <f>MIN(MAX(CF16-('입력값'!C9*100+'입력값'!C58*100+'입력값'!C59*100+'입력값'!C61*100+'입력값'!C62*100),0),'입력값'!C60*100)*('입력값'!C60*100)/IF(('입력값'!C60*100)=0,1,'입력값'!C60*100)</f>
      </c>
      <c r="CG20" s="29">
        <f>MIN(MAX(CG16-('입력값'!C9*100+'입력값'!C58*100+'입력값'!C59*100+'입력값'!C61*100+'입력값'!C62*100),0),'입력값'!C60*100)*('입력값'!C60*100)/IF(('입력값'!C60*100)=0,1,'입력값'!C60*100)</f>
      </c>
      <c r="CH20" s="29">
        <f>MIN(MAX(CH16-('입력값'!C9*100+'입력값'!C58*100+'입력값'!C59*100+'입력값'!C61*100+'입력값'!C62*100),0),'입력값'!C60*100)*('입력값'!C60*100)/IF(('입력값'!C60*100)=0,1,'입력값'!C60*100)</f>
      </c>
      <c r="CI20" s="29">
        <f>MIN(MAX(CI16-('입력값'!C9*100+'입력값'!C58*100+'입력값'!C59*100+'입력값'!C61*100+'입력값'!C62*100),0),'입력값'!C60*100)*('입력값'!C60*100)/IF(('입력값'!C60*100)=0,1,'입력값'!C60*100)</f>
      </c>
      <c r="CJ20" s="29">
        <f>MIN(MAX(CJ16-('입력값'!C9*100+'입력값'!C58*100+'입력값'!C59*100+'입력값'!C61*100+'입력값'!C62*100),0),'입력값'!C60*100)*('입력값'!C60*100)/IF(('입력값'!C60*100)=0,1,'입력값'!C60*100)</f>
      </c>
      <c r="CK20" s="29">
        <f>MIN(MAX(CK16-('입력값'!C9*100+'입력값'!C58*100+'입력값'!C59*100+'입력값'!C61*100+'입력값'!C62*100),0),'입력값'!C60*100)*('입력값'!C60*100)/IF(('입력값'!C60*100)=0,1,'입력값'!C60*100)</f>
      </c>
      <c r="CL20" s="29">
        <f>MIN(MAX(CL16-('입력값'!C9*100+'입력값'!C58*100+'입력값'!C59*100+'입력값'!C61*100+'입력값'!C62*100),0),'입력값'!C60*100)*('입력값'!C60*100)/IF(('입력값'!C60*100)=0,1,'입력값'!C60*100)</f>
      </c>
    </row>
    <row r="21" spans="2:90" x14ac:dyDescent="0.25">
      <c r="B21" s="31" t="s">
        <v>265</v>
      </c>
      <c r="C21" s="32" t="s">
        <v>228</v>
      </c>
      <c r="E21" s="29">
        <f>MIN(MAX(E16-('입력값'!C9*100+'입력값'!C58*100+'입력값'!C59*100+'입력값'!C62*100),0),'입력값'!C61*100)*('입력값'!C61*100)/IF(('입력값'!C61*100)=0,1,'입력값'!C61*100)</f>
      </c>
      <c r="F21" s="29">
        <f>MIN(MAX(F16-('입력값'!C9*100+'입력값'!C58*100+'입력값'!C59*100+'입력값'!C62*100),0),'입력값'!C61*100)*('입력값'!C61*100)/IF(('입력값'!C61*100)=0,1,'입력값'!C61*100)</f>
      </c>
      <c r="G21" s="29">
        <f>MIN(MAX(G16-('입력값'!C9*100+'입력값'!C58*100+'입력값'!C59*100+'입력값'!C62*100),0),'입력값'!C61*100)*('입력값'!C61*100)/IF(('입력값'!C61*100)=0,1,'입력값'!C61*100)</f>
      </c>
      <c r="H21" s="29">
        <f>MIN(MAX(H16-('입력값'!C9*100+'입력값'!C58*100+'입력값'!C59*100+'입력값'!C62*100),0),'입력값'!C61*100)*('입력값'!C61*100)/IF(('입력값'!C61*100)=0,1,'입력값'!C61*100)</f>
      </c>
      <c r="I21" s="29">
        <f>MIN(MAX(I16-('입력값'!C9*100+'입력값'!C58*100+'입력값'!C59*100+'입력값'!C62*100),0),'입력값'!C61*100)*('입력값'!C61*100)/IF(('입력값'!C61*100)=0,1,'입력값'!C61*100)</f>
      </c>
      <c r="J21" s="29">
        <f>MIN(MAX(J16-('입력값'!C9*100+'입력값'!C58*100+'입력값'!C59*100+'입력값'!C62*100),0),'입력값'!C61*100)*('입력값'!C61*100)/IF(('입력값'!C61*100)=0,1,'입력값'!C61*100)</f>
      </c>
      <c r="K21" s="29">
        <f>MIN(MAX(K16-('입력값'!C9*100+'입력값'!C58*100+'입력값'!C59*100+'입력값'!C62*100),0),'입력값'!C61*100)*('입력값'!C61*100)/IF(('입력값'!C61*100)=0,1,'입력값'!C61*100)</f>
      </c>
      <c r="L21" s="29">
        <f>MIN(MAX(L16-('입력값'!C9*100+'입력값'!C58*100+'입력값'!C59*100+'입력값'!C62*100),0),'입력값'!C61*100)*('입력값'!C61*100)/IF(('입력값'!C61*100)=0,1,'입력값'!C61*100)</f>
      </c>
      <c r="M21" s="29">
        <f>MIN(MAX(M16-('입력값'!C9*100+'입력값'!C58*100+'입력값'!C59*100+'입력값'!C62*100),0),'입력값'!C61*100)*('입력값'!C61*100)/IF(('입력값'!C61*100)=0,1,'입력값'!C61*100)</f>
      </c>
      <c r="N21" s="29">
        <f>MIN(MAX(N16-('입력값'!C9*100+'입력값'!C58*100+'입력값'!C59*100+'입력값'!C62*100),0),'입력값'!C61*100)*('입력값'!C61*100)/IF(('입력값'!C61*100)=0,1,'입력값'!C61*100)</f>
      </c>
      <c r="O21" s="29">
        <f>MIN(MAX(O16-('입력값'!C9*100+'입력값'!C58*100+'입력값'!C59*100+'입력값'!C62*100),0),'입력값'!C61*100)*('입력값'!C61*100)/IF(('입력값'!C61*100)=0,1,'입력값'!C61*100)</f>
      </c>
      <c r="P21" s="29">
        <f>MIN(MAX(P16-('입력값'!C9*100+'입력값'!C58*100+'입력값'!C59*100+'입력값'!C62*100),0),'입력값'!C61*100)*('입력값'!C61*100)/IF(('입력값'!C61*100)=0,1,'입력값'!C61*100)</f>
      </c>
      <c r="Q21" s="29">
        <f>MIN(MAX(Q16-('입력값'!C9*100+'입력값'!C58*100+'입력값'!C59*100+'입력값'!C62*100),0),'입력값'!C61*100)*('입력값'!C61*100)/IF(('입력값'!C61*100)=0,1,'입력값'!C61*100)</f>
      </c>
      <c r="R21" s="29">
        <f>MIN(MAX(R16-('입력값'!C9*100+'입력값'!C58*100+'입력값'!C59*100+'입력값'!C62*100),0),'입력값'!C61*100)*('입력값'!C61*100)/IF(('입력값'!C61*100)=0,1,'입력값'!C61*100)</f>
      </c>
      <c r="S21" s="29">
        <f>MIN(MAX(S16-('입력값'!C9*100+'입력값'!C58*100+'입력값'!C59*100+'입력값'!C62*100),0),'입력값'!C61*100)*('입력값'!C61*100)/IF(('입력값'!C61*100)=0,1,'입력값'!C61*100)</f>
      </c>
      <c r="T21" s="29">
        <f>MIN(MAX(T16-('입력값'!C9*100+'입력값'!C58*100+'입력값'!C59*100+'입력값'!C62*100),0),'입력값'!C61*100)*('입력값'!C61*100)/IF(('입력값'!C61*100)=0,1,'입력값'!C61*100)</f>
      </c>
      <c r="U21" s="29">
        <f>MIN(MAX(U16-('입력값'!C9*100+'입력값'!C58*100+'입력값'!C59*100+'입력값'!C62*100),0),'입력값'!C61*100)*('입력값'!C61*100)/IF(('입력값'!C61*100)=0,1,'입력값'!C61*100)</f>
      </c>
      <c r="V21" s="29">
        <f>MIN(MAX(V16-('입력값'!C9*100+'입력값'!C58*100+'입력값'!C59*100+'입력값'!C62*100),0),'입력값'!C61*100)*('입력값'!C61*100)/IF(('입력값'!C61*100)=0,1,'입력값'!C61*100)</f>
      </c>
      <c r="W21" s="29">
        <f>MIN(MAX(W16-('입력값'!C9*100+'입력값'!C58*100+'입력값'!C59*100+'입력값'!C62*100),0),'입력값'!C61*100)*('입력값'!C61*100)/IF(('입력값'!C61*100)=0,1,'입력값'!C61*100)</f>
      </c>
      <c r="X21" s="29">
        <f>MIN(MAX(X16-('입력값'!C9*100+'입력값'!C58*100+'입력값'!C59*100+'입력값'!C62*100),0),'입력값'!C61*100)*('입력값'!C61*100)/IF(('입력값'!C61*100)=0,1,'입력값'!C61*100)</f>
      </c>
      <c r="Y21" s="29">
        <f>MIN(MAX(Y16-('입력값'!C9*100+'입력값'!C58*100+'입력값'!C59*100+'입력값'!C62*100),0),'입력값'!C61*100)*('입력값'!C61*100)/IF(('입력값'!C61*100)=0,1,'입력값'!C61*100)</f>
      </c>
      <c r="Z21" s="29">
        <f>MIN(MAX(Z16-('입력값'!C9*100+'입력값'!C58*100+'입력값'!C59*100+'입력값'!C62*100),0),'입력값'!C61*100)*('입력값'!C61*100)/IF(('입력값'!C61*100)=0,1,'입력값'!C61*100)</f>
      </c>
      <c r="AA21" s="29">
        <f>MIN(MAX(AA16-('입력값'!C9*100+'입력값'!C58*100+'입력값'!C59*100+'입력값'!C62*100),0),'입력값'!C61*100)*('입력값'!C61*100)/IF(('입력값'!C61*100)=0,1,'입력값'!C61*100)</f>
      </c>
      <c r="AB21" s="29">
        <f>MIN(MAX(AB16-('입력값'!C9*100+'입력값'!C58*100+'입력값'!C59*100+'입력값'!C62*100),0),'입력값'!C61*100)*('입력값'!C61*100)/IF(('입력값'!C61*100)=0,1,'입력값'!C61*100)</f>
      </c>
      <c r="AC21" s="29">
        <f>MIN(MAX(AC16-('입력값'!C9*100+'입력값'!C58*100+'입력값'!C59*100+'입력값'!C62*100),0),'입력값'!C61*100)*('입력값'!C61*100)/IF(('입력값'!C61*100)=0,1,'입력값'!C61*100)</f>
      </c>
      <c r="AD21" s="29">
        <f>MIN(MAX(AD16-('입력값'!C9*100+'입력값'!C58*100+'입력값'!C59*100+'입력값'!C62*100),0),'입력값'!C61*100)*('입력값'!C61*100)/IF(('입력값'!C61*100)=0,1,'입력값'!C61*100)</f>
      </c>
      <c r="AE21" s="29">
        <f>MIN(MAX(AE16-('입력값'!C9*100+'입력값'!C58*100+'입력값'!C59*100+'입력값'!C62*100),0),'입력값'!C61*100)*('입력값'!C61*100)/IF(('입력값'!C61*100)=0,1,'입력값'!C61*100)</f>
      </c>
      <c r="AF21" s="29">
        <f>MIN(MAX(AF16-('입력값'!C9*100+'입력값'!C58*100+'입력값'!C59*100+'입력값'!C62*100),0),'입력값'!C61*100)*('입력값'!C61*100)/IF(('입력값'!C61*100)=0,1,'입력값'!C61*100)</f>
      </c>
      <c r="AG21" s="29">
        <f>MIN(MAX(AG16-('입력값'!C9*100+'입력값'!C58*100+'입력값'!C59*100+'입력값'!C62*100),0),'입력값'!C61*100)*('입력값'!C61*100)/IF(('입력값'!C61*100)=0,1,'입력값'!C61*100)</f>
      </c>
      <c r="AH21" s="29">
        <f>MIN(MAX(AH16-('입력값'!C9*100+'입력값'!C58*100+'입력값'!C59*100+'입력값'!C62*100),0),'입력값'!C61*100)*('입력값'!C61*100)/IF(('입력값'!C61*100)=0,1,'입력값'!C61*100)</f>
      </c>
      <c r="AI21" s="29">
        <f>MIN(MAX(AI16-('입력값'!C9*100+'입력값'!C58*100+'입력값'!C59*100+'입력값'!C62*100),0),'입력값'!C61*100)*('입력값'!C61*100)/IF(('입력값'!C61*100)=0,1,'입력값'!C61*100)</f>
      </c>
      <c r="AJ21" s="29">
        <f>MIN(MAX(AJ16-('입력값'!C9*100+'입력값'!C58*100+'입력값'!C59*100+'입력값'!C62*100),0),'입력값'!C61*100)*('입력값'!C61*100)/IF(('입력값'!C61*100)=0,1,'입력값'!C61*100)</f>
      </c>
      <c r="AK21" s="29">
        <f>MIN(MAX(AK16-('입력값'!C9*100+'입력값'!C58*100+'입력값'!C59*100+'입력값'!C62*100),0),'입력값'!C61*100)*('입력값'!C61*100)/IF(('입력값'!C61*100)=0,1,'입력값'!C61*100)</f>
      </c>
      <c r="AL21" s="29">
        <f>MIN(MAX(AL16-('입력값'!C9*100+'입력값'!C58*100+'입력값'!C59*100+'입력값'!C62*100),0),'입력값'!C61*100)*('입력값'!C61*100)/IF(('입력값'!C61*100)=0,1,'입력값'!C61*100)</f>
      </c>
      <c r="AM21" s="29">
        <f>MIN(MAX(AM16-('입력값'!C9*100+'입력값'!C58*100+'입력값'!C59*100+'입력값'!C62*100),0),'입력값'!C61*100)*('입력값'!C61*100)/IF(('입력값'!C61*100)=0,1,'입력값'!C61*100)</f>
      </c>
      <c r="AN21" s="29">
        <f>MIN(MAX(AN16-('입력값'!C9*100+'입력값'!C58*100+'입력값'!C59*100+'입력값'!C62*100),0),'입력값'!C61*100)*('입력값'!C61*100)/IF(('입력값'!C61*100)=0,1,'입력값'!C61*100)</f>
      </c>
      <c r="AO21" s="29">
        <f>MIN(MAX(AO16-('입력값'!C9*100+'입력값'!C58*100+'입력값'!C59*100+'입력값'!C62*100),0),'입력값'!C61*100)*('입력값'!C61*100)/IF(('입력값'!C61*100)=0,1,'입력값'!C61*100)</f>
      </c>
      <c r="AP21" s="29">
        <f>MIN(MAX(AP16-('입력값'!C9*100+'입력값'!C58*100+'입력값'!C59*100+'입력값'!C62*100),0),'입력값'!C61*100)*('입력값'!C61*100)/IF(('입력값'!C61*100)=0,1,'입력값'!C61*100)</f>
      </c>
      <c r="AQ21" s="29">
        <f>MIN(MAX(AQ16-('입력값'!C9*100+'입력값'!C58*100+'입력값'!C59*100+'입력값'!C62*100),0),'입력값'!C61*100)*('입력값'!C61*100)/IF(('입력값'!C61*100)=0,1,'입력값'!C61*100)</f>
      </c>
      <c r="AR21" s="29">
        <f>MIN(MAX(AR16-('입력값'!C9*100+'입력값'!C58*100+'입력값'!C59*100+'입력값'!C62*100),0),'입력값'!C61*100)*('입력값'!C61*100)/IF(('입력값'!C61*100)=0,1,'입력값'!C61*100)</f>
      </c>
      <c r="AS21" s="29">
        <f>MIN(MAX(AS16-('입력값'!C9*100+'입력값'!C58*100+'입력값'!C59*100+'입력값'!C62*100),0),'입력값'!C61*100)*('입력값'!C61*100)/IF(('입력값'!C61*100)=0,1,'입력값'!C61*100)</f>
      </c>
      <c r="AT21" s="29">
        <f>MIN(MAX(AT16-('입력값'!C9*100+'입력값'!C58*100+'입력값'!C59*100+'입력값'!C62*100),0),'입력값'!C61*100)*('입력값'!C61*100)/IF(('입력값'!C61*100)=0,1,'입력값'!C61*100)</f>
      </c>
      <c r="AU21" s="29">
        <f>MIN(MAX(AU16-('입력값'!C9*100+'입력값'!C58*100+'입력값'!C59*100+'입력값'!C62*100),0),'입력값'!C61*100)*('입력값'!C61*100)/IF(('입력값'!C61*100)=0,1,'입력값'!C61*100)</f>
      </c>
      <c r="AV21" s="29">
        <f>MIN(MAX(AV16-('입력값'!C9*100+'입력값'!C58*100+'입력값'!C59*100+'입력값'!C62*100),0),'입력값'!C61*100)*('입력값'!C61*100)/IF(('입력값'!C61*100)=0,1,'입력값'!C61*100)</f>
      </c>
      <c r="AW21" s="29">
        <f>MIN(MAX(AW16-('입력값'!C9*100+'입력값'!C58*100+'입력값'!C59*100+'입력값'!C62*100),0),'입력값'!C61*100)*('입력값'!C61*100)/IF(('입력값'!C61*100)=0,1,'입력값'!C61*100)</f>
      </c>
      <c r="AX21" s="29">
        <f>MIN(MAX(AX16-('입력값'!C9*100+'입력값'!C58*100+'입력값'!C59*100+'입력값'!C62*100),0),'입력값'!C61*100)*('입력값'!C61*100)/IF(('입력값'!C61*100)=0,1,'입력값'!C61*100)</f>
      </c>
      <c r="AY21" s="29">
        <f>MIN(MAX(AY16-('입력값'!C9*100+'입력값'!C58*100+'입력값'!C59*100+'입력값'!C62*100),0),'입력값'!C61*100)*('입력값'!C61*100)/IF(('입력값'!C61*100)=0,1,'입력값'!C61*100)</f>
      </c>
      <c r="AZ21" s="29">
        <f>MIN(MAX(AZ16-('입력값'!C9*100+'입력값'!C58*100+'입력값'!C59*100+'입력값'!C62*100),0),'입력값'!C61*100)*('입력값'!C61*100)/IF(('입력값'!C61*100)=0,1,'입력값'!C61*100)</f>
      </c>
      <c r="BA21" s="29">
        <f>MIN(MAX(BA16-('입력값'!C9*100+'입력값'!C58*100+'입력값'!C59*100+'입력값'!C62*100),0),'입력값'!C61*100)*('입력값'!C61*100)/IF(('입력값'!C61*100)=0,1,'입력값'!C61*100)</f>
      </c>
      <c r="BB21" s="29">
        <f>MIN(MAX(BB16-('입력값'!C9*100+'입력값'!C58*100+'입력값'!C59*100+'입력값'!C62*100),0),'입력값'!C61*100)*('입력값'!C61*100)/IF(('입력값'!C61*100)=0,1,'입력값'!C61*100)</f>
      </c>
      <c r="BC21" s="29">
        <f>MIN(MAX(BC16-('입력값'!C9*100+'입력값'!C58*100+'입력값'!C59*100+'입력값'!C62*100),0),'입력값'!C61*100)*('입력값'!C61*100)/IF(('입력값'!C61*100)=0,1,'입력값'!C61*100)</f>
      </c>
      <c r="BD21" s="29">
        <f>MIN(MAX(BD16-('입력값'!C9*100+'입력값'!C58*100+'입력값'!C59*100+'입력값'!C62*100),0),'입력값'!C61*100)*('입력값'!C61*100)/IF(('입력값'!C61*100)=0,1,'입력값'!C61*100)</f>
      </c>
      <c r="BE21" s="29">
        <f>MIN(MAX(BE16-('입력값'!C9*100+'입력값'!C58*100+'입력값'!C59*100+'입력값'!C62*100),0),'입력값'!C61*100)*('입력값'!C61*100)/IF(('입력값'!C61*100)=0,1,'입력값'!C61*100)</f>
      </c>
      <c r="BF21" s="29">
        <f>MIN(MAX(BF16-('입력값'!C9*100+'입력값'!C58*100+'입력값'!C59*100+'입력값'!C62*100),0),'입력값'!C61*100)*('입력값'!C61*100)/IF(('입력값'!C61*100)=0,1,'입력값'!C61*100)</f>
      </c>
      <c r="BG21" s="29">
        <f>MIN(MAX(BG16-('입력값'!C9*100+'입력값'!C58*100+'입력값'!C59*100+'입력값'!C62*100),0),'입력값'!C61*100)*('입력값'!C61*100)/IF(('입력값'!C61*100)=0,1,'입력값'!C61*100)</f>
      </c>
      <c r="BH21" s="29">
        <f>MIN(MAX(BH16-('입력값'!C9*100+'입력값'!C58*100+'입력값'!C59*100+'입력값'!C62*100),0),'입력값'!C61*100)*('입력값'!C61*100)/IF(('입력값'!C61*100)=0,1,'입력값'!C61*100)</f>
      </c>
      <c r="BI21" s="29">
        <f>MIN(MAX(BI16-('입력값'!C9*100+'입력값'!C58*100+'입력값'!C59*100+'입력값'!C62*100),0),'입력값'!C61*100)*('입력값'!C61*100)/IF(('입력값'!C61*100)=0,1,'입력값'!C61*100)</f>
      </c>
      <c r="BJ21" s="29">
        <f>MIN(MAX(BJ16-('입력값'!C9*100+'입력값'!C58*100+'입력값'!C59*100+'입력값'!C62*100),0),'입력값'!C61*100)*('입력값'!C61*100)/IF(('입력값'!C61*100)=0,1,'입력값'!C61*100)</f>
      </c>
      <c r="BK21" s="29">
        <f>MIN(MAX(BK16-('입력값'!C9*100+'입력값'!C58*100+'입력값'!C59*100+'입력값'!C62*100),0),'입력값'!C61*100)*('입력값'!C61*100)/IF(('입력값'!C61*100)=0,1,'입력값'!C61*100)</f>
      </c>
      <c r="BL21" s="29">
        <f>MIN(MAX(BL16-('입력값'!C9*100+'입력값'!C58*100+'입력값'!C59*100+'입력값'!C62*100),0),'입력값'!C61*100)*('입력값'!C61*100)/IF(('입력값'!C61*100)=0,1,'입력값'!C61*100)</f>
      </c>
      <c r="BM21" s="29">
        <f>MIN(MAX(BM16-('입력값'!C9*100+'입력값'!C58*100+'입력값'!C59*100+'입력값'!C62*100),0),'입력값'!C61*100)*('입력값'!C61*100)/IF(('입력값'!C61*100)=0,1,'입력값'!C61*100)</f>
      </c>
      <c r="BN21" s="29">
        <f>MIN(MAX(BN16-('입력값'!C9*100+'입력값'!C58*100+'입력값'!C59*100+'입력값'!C62*100),0),'입력값'!C61*100)*('입력값'!C61*100)/IF(('입력값'!C61*100)=0,1,'입력값'!C61*100)</f>
      </c>
      <c r="BO21" s="29">
        <f>MIN(MAX(BO16-('입력값'!C9*100+'입력값'!C58*100+'입력값'!C59*100+'입력값'!C62*100),0),'입력값'!C61*100)*('입력값'!C61*100)/IF(('입력값'!C61*100)=0,1,'입력값'!C61*100)</f>
      </c>
      <c r="BP21" s="29">
        <f>MIN(MAX(BP16-('입력값'!C9*100+'입력값'!C58*100+'입력값'!C59*100+'입력값'!C62*100),0),'입력값'!C61*100)*('입력값'!C61*100)/IF(('입력값'!C61*100)=0,1,'입력값'!C61*100)</f>
      </c>
      <c r="BQ21" s="29">
        <f>MIN(MAX(BQ16-('입력값'!C9*100+'입력값'!C58*100+'입력값'!C59*100+'입력값'!C62*100),0),'입력값'!C61*100)*('입력값'!C61*100)/IF(('입력값'!C61*100)=0,1,'입력값'!C61*100)</f>
      </c>
      <c r="BR21" s="29">
        <f>MIN(MAX(BR16-('입력값'!C9*100+'입력값'!C58*100+'입력값'!C59*100+'입력값'!C62*100),0),'입력값'!C61*100)*('입력값'!C61*100)/IF(('입력값'!C61*100)=0,1,'입력값'!C61*100)</f>
      </c>
      <c r="BS21" s="29">
        <f>MIN(MAX(BS16-('입력값'!C9*100+'입력값'!C58*100+'입력값'!C59*100+'입력값'!C62*100),0),'입력값'!C61*100)*('입력값'!C61*100)/IF(('입력값'!C61*100)=0,1,'입력값'!C61*100)</f>
      </c>
      <c r="BT21" s="29">
        <f>MIN(MAX(BT16-('입력값'!C9*100+'입력값'!C58*100+'입력값'!C59*100+'입력값'!C62*100),0),'입력값'!C61*100)*('입력값'!C61*100)/IF(('입력값'!C61*100)=0,1,'입력값'!C61*100)</f>
      </c>
      <c r="BU21" s="29">
        <f>MIN(MAX(BU16-('입력값'!C9*100+'입력값'!C58*100+'입력값'!C59*100+'입력값'!C62*100),0),'입력값'!C61*100)*('입력값'!C61*100)/IF(('입력값'!C61*100)=0,1,'입력값'!C61*100)</f>
      </c>
      <c r="BV21" s="29">
        <f>MIN(MAX(BV16-('입력값'!C9*100+'입력값'!C58*100+'입력값'!C59*100+'입력값'!C62*100),0),'입력값'!C61*100)*('입력값'!C61*100)/IF(('입력값'!C61*100)=0,1,'입력값'!C61*100)</f>
      </c>
      <c r="BW21" s="29">
        <f>MIN(MAX(BW16-('입력값'!C9*100+'입력값'!C58*100+'입력값'!C59*100+'입력값'!C62*100),0),'입력값'!C61*100)*('입력값'!C61*100)/IF(('입력값'!C61*100)=0,1,'입력값'!C61*100)</f>
      </c>
      <c r="BX21" s="29">
        <f>MIN(MAX(BX16-('입력값'!C9*100+'입력값'!C58*100+'입력값'!C59*100+'입력값'!C62*100),0),'입력값'!C61*100)*('입력값'!C61*100)/IF(('입력값'!C61*100)=0,1,'입력값'!C61*100)</f>
      </c>
      <c r="BY21" s="29">
        <f>MIN(MAX(BY16-('입력값'!C9*100+'입력값'!C58*100+'입력값'!C59*100+'입력값'!C62*100),0),'입력값'!C61*100)*('입력값'!C61*100)/IF(('입력값'!C61*100)=0,1,'입력값'!C61*100)</f>
      </c>
      <c r="BZ21" s="29">
        <f>MIN(MAX(BZ16-('입력값'!C9*100+'입력값'!C58*100+'입력값'!C59*100+'입력값'!C62*100),0),'입력값'!C61*100)*('입력값'!C61*100)/IF(('입력값'!C61*100)=0,1,'입력값'!C61*100)</f>
      </c>
      <c r="CA21" s="29">
        <f>MIN(MAX(CA16-('입력값'!C9*100+'입력값'!C58*100+'입력값'!C59*100+'입력값'!C62*100),0),'입력값'!C61*100)*('입력값'!C61*100)/IF(('입력값'!C61*100)=0,1,'입력값'!C61*100)</f>
      </c>
      <c r="CB21" s="29">
        <f>MIN(MAX(CB16-('입력값'!C9*100+'입력값'!C58*100+'입력값'!C59*100+'입력값'!C62*100),0),'입력값'!C61*100)*('입력값'!C61*100)/IF(('입력값'!C61*100)=0,1,'입력값'!C61*100)</f>
      </c>
      <c r="CC21" s="29">
        <f>MIN(MAX(CC16-('입력값'!C9*100+'입력값'!C58*100+'입력값'!C59*100+'입력값'!C62*100),0),'입력값'!C61*100)*('입력값'!C61*100)/IF(('입력값'!C61*100)=0,1,'입력값'!C61*100)</f>
      </c>
      <c r="CD21" s="29">
        <f>MIN(MAX(CD16-('입력값'!C9*100+'입력값'!C58*100+'입력값'!C59*100+'입력값'!C62*100),0),'입력값'!C61*100)*('입력값'!C61*100)/IF(('입력값'!C61*100)=0,1,'입력값'!C61*100)</f>
      </c>
      <c r="CE21" s="29">
        <f>MIN(MAX(CE16-('입력값'!C9*100+'입력값'!C58*100+'입력값'!C59*100+'입력값'!C62*100),0),'입력값'!C61*100)*('입력값'!C61*100)/IF(('입력값'!C61*100)=0,1,'입력값'!C61*100)</f>
      </c>
      <c r="CF21" s="29">
        <f>MIN(MAX(CF16-('입력값'!C9*100+'입력값'!C58*100+'입력값'!C59*100+'입력값'!C62*100),0),'입력값'!C61*100)*('입력값'!C61*100)/IF(('입력값'!C61*100)=0,1,'입력값'!C61*100)</f>
      </c>
      <c r="CG21" s="29">
        <f>MIN(MAX(CG16-('입력값'!C9*100+'입력값'!C58*100+'입력값'!C59*100+'입력값'!C62*100),0),'입력값'!C61*100)*('입력값'!C61*100)/IF(('입력값'!C61*100)=0,1,'입력값'!C61*100)</f>
      </c>
      <c r="CH21" s="29">
        <f>MIN(MAX(CH16-('입력값'!C9*100+'입력값'!C58*100+'입력값'!C59*100+'입력값'!C62*100),0),'입력값'!C61*100)*('입력값'!C61*100)/IF(('입력값'!C61*100)=0,1,'입력값'!C61*100)</f>
      </c>
      <c r="CI21" s="29">
        <f>MIN(MAX(CI16-('입력값'!C9*100+'입력값'!C58*100+'입력값'!C59*100+'입력값'!C62*100),0),'입력값'!C61*100)*('입력값'!C61*100)/IF(('입력값'!C61*100)=0,1,'입력값'!C61*100)</f>
      </c>
      <c r="CJ21" s="29">
        <f>MIN(MAX(CJ16-('입력값'!C9*100+'입력값'!C58*100+'입력값'!C59*100+'입력값'!C62*100),0),'입력값'!C61*100)*('입력값'!C61*100)/IF(('입력값'!C61*100)=0,1,'입력값'!C61*100)</f>
      </c>
      <c r="CK21" s="29">
        <f>MIN(MAX(CK16-('입력값'!C9*100+'입력값'!C58*100+'입력값'!C59*100+'입력값'!C62*100),0),'입력값'!C61*100)*('입력값'!C61*100)/IF(('입력값'!C61*100)=0,1,'입력값'!C61*100)</f>
      </c>
      <c r="CL21" s="29">
        <f>MIN(MAX(CL16-('입력값'!C9*100+'입력값'!C58*100+'입력값'!C59*100+'입력값'!C62*100),0),'입력값'!C61*100)*('입력값'!C61*100)/IF(('입력값'!C61*100)=0,1,'입력값'!C61*100)</f>
      </c>
    </row>
    <row r="22" spans="2:90" x14ac:dyDescent="0.25">
      <c r="B22" s="31" t="s">
        <v>266</v>
      </c>
      <c r="C22" s="32" t="s">
        <v>228</v>
      </c>
      <c r="E22" s="29">
        <f>MIN(MAX(E16-(0),0),'입력값'!C9*100+'입력값'!C62*100)*('입력값'!C62*100)/IF(('입력값'!C9*100+'입력값'!C62*100)=0,1,'입력값'!C9*100+'입력값'!C62*100)</f>
      </c>
      <c r="F22" s="29">
        <f>MIN(MAX(F16-(0),0),'입력값'!C9*100+'입력값'!C62*100)*('입력값'!C62*100)/IF(('입력값'!C9*100+'입력값'!C62*100)=0,1,'입력값'!C9*100+'입력값'!C62*100)</f>
      </c>
      <c r="G22" s="29">
        <f>MIN(MAX(G16-(0),0),'입력값'!C9*100+'입력값'!C62*100)*('입력값'!C62*100)/IF(('입력값'!C9*100+'입력값'!C62*100)=0,1,'입력값'!C9*100+'입력값'!C62*100)</f>
      </c>
      <c r="H22" s="29">
        <f>MIN(MAX(H16-(0),0),'입력값'!C9*100+'입력값'!C62*100)*('입력값'!C62*100)/IF(('입력값'!C9*100+'입력값'!C62*100)=0,1,'입력값'!C9*100+'입력값'!C62*100)</f>
      </c>
      <c r="I22" s="29">
        <f>MIN(MAX(I16-(0),0),'입력값'!C9*100+'입력값'!C62*100)*('입력값'!C62*100)/IF(('입력값'!C9*100+'입력값'!C62*100)=0,1,'입력값'!C9*100+'입력값'!C62*100)</f>
      </c>
      <c r="J22" s="29">
        <f>MIN(MAX(J16-(0),0),'입력값'!C9*100+'입력값'!C62*100)*('입력값'!C62*100)/IF(('입력값'!C9*100+'입력값'!C62*100)=0,1,'입력값'!C9*100+'입력값'!C62*100)</f>
      </c>
      <c r="K22" s="29">
        <f>MIN(MAX(K16-(0),0),'입력값'!C9*100+'입력값'!C62*100)*('입력값'!C62*100)/IF(('입력값'!C9*100+'입력값'!C62*100)=0,1,'입력값'!C9*100+'입력값'!C62*100)</f>
      </c>
      <c r="L22" s="29">
        <f>MIN(MAX(L16-(0),0),'입력값'!C9*100+'입력값'!C62*100)*('입력값'!C62*100)/IF(('입력값'!C9*100+'입력값'!C62*100)=0,1,'입력값'!C9*100+'입력값'!C62*100)</f>
      </c>
      <c r="M22" s="29">
        <f>MIN(MAX(M16-(0),0),'입력값'!C9*100+'입력값'!C62*100)*('입력값'!C62*100)/IF(('입력값'!C9*100+'입력값'!C62*100)=0,1,'입력값'!C9*100+'입력값'!C62*100)</f>
      </c>
      <c r="N22" s="29">
        <f>MIN(MAX(N16-(0),0),'입력값'!C9*100+'입력값'!C62*100)*('입력값'!C62*100)/IF(('입력값'!C9*100+'입력값'!C62*100)=0,1,'입력값'!C9*100+'입력값'!C62*100)</f>
      </c>
      <c r="O22" s="29">
        <f>MIN(MAX(O16-(0),0),'입력값'!C9*100+'입력값'!C62*100)*('입력값'!C62*100)/IF(('입력값'!C9*100+'입력값'!C62*100)=0,1,'입력값'!C9*100+'입력값'!C62*100)</f>
      </c>
      <c r="P22" s="29">
        <f>MIN(MAX(P16-(0),0),'입력값'!C9*100+'입력값'!C62*100)*('입력값'!C62*100)/IF(('입력값'!C9*100+'입력값'!C62*100)=0,1,'입력값'!C9*100+'입력값'!C62*100)</f>
      </c>
      <c r="Q22" s="29">
        <f>MIN(MAX(Q16-(0),0),'입력값'!C9*100+'입력값'!C62*100)*('입력값'!C62*100)/IF(('입력값'!C9*100+'입력값'!C62*100)=0,1,'입력값'!C9*100+'입력값'!C62*100)</f>
      </c>
      <c r="R22" s="29">
        <f>MIN(MAX(R16-(0),0),'입력값'!C9*100+'입력값'!C62*100)*('입력값'!C62*100)/IF(('입력값'!C9*100+'입력값'!C62*100)=0,1,'입력값'!C9*100+'입력값'!C62*100)</f>
      </c>
      <c r="S22" s="29">
        <f>MIN(MAX(S16-(0),0),'입력값'!C9*100+'입력값'!C62*100)*('입력값'!C62*100)/IF(('입력값'!C9*100+'입력값'!C62*100)=0,1,'입력값'!C9*100+'입력값'!C62*100)</f>
      </c>
      <c r="T22" s="29">
        <f>MIN(MAX(T16-(0),0),'입력값'!C9*100+'입력값'!C62*100)*('입력값'!C62*100)/IF(('입력값'!C9*100+'입력값'!C62*100)=0,1,'입력값'!C9*100+'입력값'!C62*100)</f>
      </c>
      <c r="U22" s="29">
        <f>MIN(MAX(U16-(0),0),'입력값'!C9*100+'입력값'!C62*100)*('입력값'!C62*100)/IF(('입력값'!C9*100+'입력값'!C62*100)=0,1,'입력값'!C9*100+'입력값'!C62*100)</f>
      </c>
      <c r="V22" s="29">
        <f>MIN(MAX(V16-(0),0),'입력값'!C9*100+'입력값'!C62*100)*('입력값'!C62*100)/IF(('입력값'!C9*100+'입력값'!C62*100)=0,1,'입력값'!C9*100+'입력값'!C62*100)</f>
      </c>
      <c r="W22" s="29">
        <f>MIN(MAX(W16-(0),0),'입력값'!C9*100+'입력값'!C62*100)*('입력값'!C62*100)/IF(('입력값'!C9*100+'입력값'!C62*100)=0,1,'입력값'!C9*100+'입력값'!C62*100)</f>
      </c>
      <c r="X22" s="29">
        <f>MIN(MAX(X16-(0),0),'입력값'!C9*100+'입력값'!C62*100)*('입력값'!C62*100)/IF(('입력값'!C9*100+'입력값'!C62*100)=0,1,'입력값'!C9*100+'입력값'!C62*100)</f>
      </c>
      <c r="Y22" s="29">
        <f>MIN(MAX(Y16-(0),0),'입력값'!C9*100+'입력값'!C62*100)*('입력값'!C62*100)/IF(('입력값'!C9*100+'입력값'!C62*100)=0,1,'입력값'!C9*100+'입력값'!C62*100)</f>
      </c>
      <c r="Z22" s="29">
        <f>MIN(MAX(Z16-(0),0),'입력값'!C9*100+'입력값'!C62*100)*('입력값'!C62*100)/IF(('입력값'!C9*100+'입력값'!C62*100)=0,1,'입력값'!C9*100+'입력값'!C62*100)</f>
      </c>
      <c r="AA22" s="29">
        <f>MIN(MAX(AA16-(0),0),'입력값'!C9*100+'입력값'!C62*100)*('입력값'!C62*100)/IF(('입력값'!C9*100+'입력값'!C62*100)=0,1,'입력값'!C9*100+'입력값'!C62*100)</f>
      </c>
      <c r="AB22" s="29">
        <f>MIN(MAX(AB16-(0),0),'입력값'!C9*100+'입력값'!C62*100)*('입력값'!C62*100)/IF(('입력값'!C9*100+'입력값'!C62*100)=0,1,'입력값'!C9*100+'입력값'!C62*100)</f>
      </c>
      <c r="AC22" s="29">
        <f>MIN(MAX(AC16-(0),0),'입력값'!C9*100+'입력값'!C62*100)*('입력값'!C62*100)/IF(('입력값'!C9*100+'입력값'!C62*100)=0,1,'입력값'!C9*100+'입력값'!C62*100)</f>
      </c>
      <c r="AD22" s="29">
        <f>MIN(MAX(AD16-(0),0),'입력값'!C9*100+'입력값'!C62*100)*('입력값'!C62*100)/IF(('입력값'!C9*100+'입력값'!C62*100)=0,1,'입력값'!C9*100+'입력값'!C62*100)</f>
      </c>
      <c r="AE22" s="29">
        <f>MIN(MAX(AE16-(0),0),'입력값'!C9*100+'입력값'!C62*100)*('입력값'!C62*100)/IF(('입력값'!C9*100+'입력값'!C62*100)=0,1,'입력값'!C9*100+'입력값'!C62*100)</f>
      </c>
      <c r="AF22" s="29">
        <f>MIN(MAX(AF16-(0),0),'입력값'!C9*100+'입력값'!C62*100)*('입력값'!C62*100)/IF(('입력값'!C9*100+'입력값'!C62*100)=0,1,'입력값'!C9*100+'입력값'!C62*100)</f>
      </c>
      <c r="AG22" s="29">
        <f>MIN(MAX(AG16-(0),0),'입력값'!C9*100+'입력값'!C62*100)*('입력값'!C62*100)/IF(('입력값'!C9*100+'입력값'!C62*100)=0,1,'입력값'!C9*100+'입력값'!C62*100)</f>
      </c>
      <c r="AH22" s="29">
        <f>MIN(MAX(AH16-(0),0),'입력값'!C9*100+'입력값'!C62*100)*('입력값'!C62*100)/IF(('입력값'!C9*100+'입력값'!C62*100)=0,1,'입력값'!C9*100+'입력값'!C62*100)</f>
      </c>
      <c r="AI22" s="29">
        <f>MIN(MAX(AI16-(0),0),'입력값'!C9*100+'입력값'!C62*100)*('입력값'!C62*100)/IF(('입력값'!C9*100+'입력값'!C62*100)=0,1,'입력값'!C9*100+'입력값'!C62*100)</f>
      </c>
      <c r="AJ22" s="29">
        <f>MIN(MAX(AJ16-(0),0),'입력값'!C9*100+'입력값'!C62*100)*('입력값'!C62*100)/IF(('입력값'!C9*100+'입력값'!C62*100)=0,1,'입력값'!C9*100+'입력값'!C62*100)</f>
      </c>
      <c r="AK22" s="29">
        <f>MIN(MAX(AK16-(0),0),'입력값'!C9*100+'입력값'!C62*100)*('입력값'!C62*100)/IF(('입력값'!C9*100+'입력값'!C62*100)=0,1,'입력값'!C9*100+'입력값'!C62*100)</f>
      </c>
      <c r="AL22" s="29">
        <f>MIN(MAX(AL16-(0),0),'입력값'!C9*100+'입력값'!C62*100)*('입력값'!C62*100)/IF(('입력값'!C9*100+'입력값'!C62*100)=0,1,'입력값'!C9*100+'입력값'!C62*100)</f>
      </c>
      <c r="AM22" s="29">
        <f>MIN(MAX(AM16-(0),0),'입력값'!C9*100+'입력값'!C62*100)*('입력값'!C62*100)/IF(('입력값'!C9*100+'입력값'!C62*100)=0,1,'입력값'!C9*100+'입력값'!C62*100)</f>
      </c>
      <c r="AN22" s="29">
        <f>MIN(MAX(AN16-(0),0),'입력값'!C9*100+'입력값'!C62*100)*('입력값'!C62*100)/IF(('입력값'!C9*100+'입력값'!C62*100)=0,1,'입력값'!C9*100+'입력값'!C62*100)</f>
      </c>
      <c r="AO22" s="29">
        <f>MIN(MAX(AO16-(0),0),'입력값'!C9*100+'입력값'!C62*100)*('입력값'!C62*100)/IF(('입력값'!C9*100+'입력값'!C62*100)=0,1,'입력값'!C9*100+'입력값'!C62*100)</f>
      </c>
      <c r="AP22" s="29">
        <f>MIN(MAX(AP16-(0),0),'입력값'!C9*100+'입력값'!C62*100)*('입력값'!C62*100)/IF(('입력값'!C9*100+'입력값'!C62*100)=0,1,'입력값'!C9*100+'입력값'!C62*100)</f>
      </c>
      <c r="AQ22" s="29">
        <f>MIN(MAX(AQ16-(0),0),'입력값'!C9*100+'입력값'!C62*100)*('입력값'!C62*100)/IF(('입력값'!C9*100+'입력값'!C62*100)=0,1,'입력값'!C9*100+'입력값'!C62*100)</f>
      </c>
      <c r="AR22" s="29">
        <f>MIN(MAX(AR16-(0),0),'입력값'!C9*100+'입력값'!C62*100)*('입력값'!C62*100)/IF(('입력값'!C9*100+'입력값'!C62*100)=0,1,'입력값'!C9*100+'입력값'!C62*100)</f>
      </c>
      <c r="AS22" s="29">
        <f>MIN(MAX(AS16-(0),0),'입력값'!C9*100+'입력값'!C62*100)*('입력값'!C62*100)/IF(('입력값'!C9*100+'입력값'!C62*100)=0,1,'입력값'!C9*100+'입력값'!C62*100)</f>
      </c>
      <c r="AT22" s="29">
        <f>MIN(MAX(AT16-(0),0),'입력값'!C9*100+'입력값'!C62*100)*('입력값'!C62*100)/IF(('입력값'!C9*100+'입력값'!C62*100)=0,1,'입력값'!C9*100+'입력값'!C62*100)</f>
      </c>
      <c r="AU22" s="29">
        <f>MIN(MAX(AU16-(0),0),'입력값'!C9*100+'입력값'!C62*100)*('입력값'!C62*100)/IF(('입력값'!C9*100+'입력값'!C62*100)=0,1,'입력값'!C9*100+'입력값'!C62*100)</f>
      </c>
      <c r="AV22" s="29">
        <f>MIN(MAX(AV16-(0),0),'입력값'!C9*100+'입력값'!C62*100)*('입력값'!C62*100)/IF(('입력값'!C9*100+'입력값'!C62*100)=0,1,'입력값'!C9*100+'입력값'!C62*100)</f>
      </c>
      <c r="AW22" s="29">
        <f>MIN(MAX(AW16-(0),0),'입력값'!C9*100+'입력값'!C62*100)*('입력값'!C62*100)/IF(('입력값'!C9*100+'입력값'!C62*100)=0,1,'입력값'!C9*100+'입력값'!C62*100)</f>
      </c>
      <c r="AX22" s="29">
        <f>MIN(MAX(AX16-(0),0),'입력값'!C9*100+'입력값'!C62*100)*('입력값'!C62*100)/IF(('입력값'!C9*100+'입력값'!C62*100)=0,1,'입력값'!C9*100+'입력값'!C62*100)</f>
      </c>
      <c r="AY22" s="29">
        <f>MIN(MAX(AY16-(0),0),'입력값'!C9*100+'입력값'!C62*100)*('입력값'!C62*100)/IF(('입력값'!C9*100+'입력값'!C62*100)=0,1,'입력값'!C9*100+'입력값'!C62*100)</f>
      </c>
      <c r="AZ22" s="29">
        <f>MIN(MAX(AZ16-(0),0),'입력값'!C9*100+'입력값'!C62*100)*('입력값'!C62*100)/IF(('입력값'!C9*100+'입력값'!C62*100)=0,1,'입력값'!C9*100+'입력값'!C62*100)</f>
      </c>
      <c r="BA22" s="29">
        <f>MIN(MAX(BA16-(0),0),'입력값'!C9*100+'입력값'!C62*100)*('입력값'!C62*100)/IF(('입력값'!C9*100+'입력값'!C62*100)=0,1,'입력값'!C9*100+'입력값'!C62*100)</f>
      </c>
      <c r="BB22" s="29">
        <f>MIN(MAX(BB16-(0),0),'입력값'!C9*100+'입력값'!C62*100)*('입력값'!C62*100)/IF(('입력값'!C9*100+'입력값'!C62*100)=0,1,'입력값'!C9*100+'입력값'!C62*100)</f>
      </c>
      <c r="BC22" s="29">
        <f>MIN(MAX(BC16-(0),0),'입력값'!C9*100+'입력값'!C62*100)*('입력값'!C62*100)/IF(('입력값'!C9*100+'입력값'!C62*100)=0,1,'입력값'!C9*100+'입력값'!C62*100)</f>
      </c>
      <c r="BD22" s="29">
        <f>MIN(MAX(BD16-(0),0),'입력값'!C9*100+'입력값'!C62*100)*('입력값'!C62*100)/IF(('입력값'!C9*100+'입력값'!C62*100)=0,1,'입력값'!C9*100+'입력값'!C62*100)</f>
      </c>
      <c r="BE22" s="29">
        <f>MIN(MAX(BE16-(0),0),'입력값'!C9*100+'입력값'!C62*100)*('입력값'!C62*100)/IF(('입력값'!C9*100+'입력값'!C62*100)=0,1,'입력값'!C9*100+'입력값'!C62*100)</f>
      </c>
      <c r="BF22" s="29">
        <f>MIN(MAX(BF16-(0),0),'입력값'!C9*100+'입력값'!C62*100)*('입력값'!C62*100)/IF(('입력값'!C9*100+'입력값'!C62*100)=0,1,'입력값'!C9*100+'입력값'!C62*100)</f>
      </c>
      <c r="BG22" s="29">
        <f>MIN(MAX(BG16-(0),0),'입력값'!C9*100+'입력값'!C62*100)*('입력값'!C62*100)/IF(('입력값'!C9*100+'입력값'!C62*100)=0,1,'입력값'!C9*100+'입력값'!C62*100)</f>
      </c>
      <c r="BH22" s="29">
        <f>MIN(MAX(BH16-(0),0),'입력값'!C9*100+'입력값'!C62*100)*('입력값'!C62*100)/IF(('입력값'!C9*100+'입력값'!C62*100)=0,1,'입력값'!C9*100+'입력값'!C62*100)</f>
      </c>
      <c r="BI22" s="29">
        <f>MIN(MAX(BI16-(0),0),'입력값'!C9*100+'입력값'!C62*100)*('입력값'!C62*100)/IF(('입력값'!C9*100+'입력값'!C62*100)=0,1,'입력값'!C9*100+'입력값'!C62*100)</f>
      </c>
      <c r="BJ22" s="29">
        <f>MIN(MAX(BJ16-(0),0),'입력값'!C9*100+'입력값'!C62*100)*('입력값'!C62*100)/IF(('입력값'!C9*100+'입력값'!C62*100)=0,1,'입력값'!C9*100+'입력값'!C62*100)</f>
      </c>
      <c r="BK22" s="29">
        <f>MIN(MAX(BK16-(0),0),'입력값'!C9*100+'입력값'!C62*100)*('입력값'!C62*100)/IF(('입력값'!C9*100+'입력값'!C62*100)=0,1,'입력값'!C9*100+'입력값'!C62*100)</f>
      </c>
      <c r="BL22" s="29">
        <f>MIN(MAX(BL16-(0),0),'입력값'!C9*100+'입력값'!C62*100)*('입력값'!C62*100)/IF(('입력값'!C9*100+'입력값'!C62*100)=0,1,'입력값'!C9*100+'입력값'!C62*100)</f>
      </c>
      <c r="BM22" s="29">
        <f>MIN(MAX(BM16-(0),0),'입력값'!C9*100+'입력값'!C62*100)*('입력값'!C62*100)/IF(('입력값'!C9*100+'입력값'!C62*100)=0,1,'입력값'!C9*100+'입력값'!C62*100)</f>
      </c>
      <c r="BN22" s="29">
        <f>MIN(MAX(BN16-(0),0),'입력값'!C9*100+'입력값'!C62*100)*('입력값'!C62*100)/IF(('입력값'!C9*100+'입력값'!C62*100)=0,1,'입력값'!C9*100+'입력값'!C62*100)</f>
      </c>
      <c r="BO22" s="29">
        <f>MIN(MAX(BO16-(0),0),'입력값'!C9*100+'입력값'!C62*100)*('입력값'!C62*100)/IF(('입력값'!C9*100+'입력값'!C62*100)=0,1,'입력값'!C9*100+'입력값'!C62*100)</f>
      </c>
      <c r="BP22" s="29">
        <f>MIN(MAX(BP16-(0),0),'입력값'!C9*100+'입력값'!C62*100)*('입력값'!C62*100)/IF(('입력값'!C9*100+'입력값'!C62*100)=0,1,'입력값'!C9*100+'입력값'!C62*100)</f>
      </c>
      <c r="BQ22" s="29">
        <f>MIN(MAX(BQ16-(0),0),'입력값'!C9*100+'입력값'!C62*100)*('입력값'!C62*100)/IF(('입력값'!C9*100+'입력값'!C62*100)=0,1,'입력값'!C9*100+'입력값'!C62*100)</f>
      </c>
      <c r="BR22" s="29">
        <f>MIN(MAX(BR16-(0),0),'입력값'!C9*100+'입력값'!C62*100)*('입력값'!C62*100)/IF(('입력값'!C9*100+'입력값'!C62*100)=0,1,'입력값'!C9*100+'입력값'!C62*100)</f>
      </c>
      <c r="BS22" s="29">
        <f>MIN(MAX(BS16-(0),0),'입력값'!C9*100+'입력값'!C62*100)*('입력값'!C62*100)/IF(('입력값'!C9*100+'입력값'!C62*100)=0,1,'입력값'!C9*100+'입력값'!C62*100)</f>
      </c>
      <c r="BT22" s="29">
        <f>MIN(MAX(BT16-(0),0),'입력값'!C9*100+'입력값'!C62*100)*('입력값'!C62*100)/IF(('입력값'!C9*100+'입력값'!C62*100)=0,1,'입력값'!C9*100+'입력값'!C62*100)</f>
      </c>
      <c r="BU22" s="29">
        <f>MIN(MAX(BU16-(0),0),'입력값'!C9*100+'입력값'!C62*100)*('입력값'!C62*100)/IF(('입력값'!C9*100+'입력값'!C62*100)=0,1,'입력값'!C9*100+'입력값'!C62*100)</f>
      </c>
      <c r="BV22" s="29">
        <f>MIN(MAX(BV16-(0),0),'입력값'!C9*100+'입력값'!C62*100)*('입력값'!C62*100)/IF(('입력값'!C9*100+'입력값'!C62*100)=0,1,'입력값'!C9*100+'입력값'!C62*100)</f>
      </c>
      <c r="BW22" s="29">
        <f>MIN(MAX(BW16-(0),0),'입력값'!C9*100+'입력값'!C62*100)*('입력값'!C62*100)/IF(('입력값'!C9*100+'입력값'!C62*100)=0,1,'입력값'!C9*100+'입력값'!C62*100)</f>
      </c>
      <c r="BX22" s="29">
        <f>MIN(MAX(BX16-(0),0),'입력값'!C9*100+'입력값'!C62*100)*('입력값'!C62*100)/IF(('입력값'!C9*100+'입력값'!C62*100)=0,1,'입력값'!C9*100+'입력값'!C62*100)</f>
      </c>
      <c r="BY22" s="29">
        <f>MIN(MAX(BY16-(0),0),'입력값'!C9*100+'입력값'!C62*100)*('입력값'!C62*100)/IF(('입력값'!C9*100+'입력값'!C62*100)=0,1,'입력값'!C9*100+'입력값'!C62*100)</f>
      </c>
      <c r="BZ22" s="29">
        <f>MIN(MAX(BZ16-(0),0),'입력값'!C9*100+'입력값'!C62*100)*('입력값'!C62*100)/IF(('입력값'!C9*100+'입력값'!C62*100)=0,1,'입력값'!C9*100+'입력값'!C62*100)</f>
      </c>
      <c r="CA22" s="29">
        <f>MIN(MAX(CA16-(0),0),'입력값'!C9*100+'입력값'!C62*100)*('입력값'!C62*100)/IF(('입력값'!C9*100+'입력값'!C62*100)=0,1,'입력값'!C9*100+'입력값'!C62*100)</f>
      </c>
      <c r="CB22" s="29">
        <f>MIN(MAX(CB16-(0),0),'입력값'!C9*100+'입력값'!C62*100)*('입력값'!C62*100)/IF(('입력값'!C9*100+'입력값'!C62*100)=0,1,'입력값'!C9*100+'입력값'!C62*100)</f>
      </c>
      <c r="CC22" s="29">
        <f>MIN(MAX(CC16-(0),0),'입력값'!C9*100+'입력값'!C62*100)*('입력값'!C62*100)/IF(('입력값'!C9*100+'입력값'!C62*100)=0,1,'입력값'!C9*100+'입력값'!C62*100)</f>
      </c>
      <c r="CD22" s="29">
        <f>MIN(MAX(CD16-(0),0),'입력값'!C9*100+'입력값'!C62*100)*('입력값'!C62*100)/IF(('입력값'!C9*100+'입력값'!C62*100)=0,1,'입력값'!C9*100+'입력값'!C62*100)</f>
      </c>
      <c r="CE22" s="29">
        <f>MIN(MAX(CE16-(0),0),'입력값'!C9*100+'입력값'!C62*100)*('입력값'!C62*100)/IF(('입력값'!C9*100+'입력값'!C62*100)=0,1,'입력값'!C9*100+'입력값'!C62*100)</f>
      </c>
      <c r="CF22" s="29">
        <f>MIN(MAX(CF16-(0),0),'입력값'!C9*100+'입력값'!C62*100)*('입력값'!C62*100)/IF(('입력값'!C9*100+'입력값'!C62*100)=0,1,'입력값'!C9*100+'입력값'!C62*100)</f>
      </c>
      <c r="CG22" s="29">
        <f>MIN(MAX(CG16-(0),0),'입력값'!C9*100+'입력값'!C62*100)*('입력값'!C62*100)/IF(('입력값'!C9*100+'입력값'!C62*100)=0,1,'입력값'!C9*100+'입력값'!C62*100)</f>
      </c>
      <c r="CH22" s="29">
        <f>MIN(MAX(CH16-(0),0),'입력값'!C9*100+'입력값'!C62*100)*('입력값'!C62*100)/IF(('입력값'!C9*100+'입력값'!C62*100)=0,1,'입력값'!C9*100+'입력값'!C62*100)</f>
      </c>
      <c r="CI22" s="29">
        <f>MIN(MAX(CI16-(0),0),'입력값'!C9*100+'입력값'!C62*100)*('입력값'!C62*100)/IF(('입력값'!C9*100+'입력값'!C62*100)=0,1,'입력값'!C9*100+'입력값'!C62*100)</f>
      </c>
      <c r="CJ22" s="29">
        <f>MIN(MAX(CJ16-(0),0),'입력값'!C9*100+'입력값'!C62*100)*('입력값'!C62*100)/IF(('입력값'!C9*100+'입력값'!C62*100)=0,1,'입력값'!C9*100+'입력값'!C62*100)</f>
      </c>
      <c r="CK22" s="29">
        <f>MIN(MAX(CK16-(0),0),'입력값'!C9*100+'입력값'!C62*100)*('입력값'!C62*100)/IF(('입력값'!C9*100+'입력값'!C62*100)=0,1,'입력값'!C9*100+'입력값'!C62*100)</f>
      </c>
      <c r="CL22" s="29">
        <f>MIN(MAX(CL16-(0),0),'입력값'!C9*100+'입력값'!C62*100)*('입력값'!C62*100)/IF(('입력값'!C9*100+'입력값'!C62*100)=0,1,'입력값'!C9*100+'입력값'!C62*100)</f>
      </c>
    </row>
    <row r="25" spans="2:91" x14ac:dyDescent="0.25">
      <c r="B25" s="9" t="s">
        <v>267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</row>
    <row r="27" spans="2:90" x14ac:dyDescent="0.25">
      <c r="B27" s="26" t="s">
        <v>102</v>
      </c>
      <c r="C27" s="26" t="s">
        <v>103</v>
      </c>
      <c r="D27" s="26" t="s">
        <v>104</v>
      </c>
      <c r="E27" s="30" t="s">
        <v>105</v>
      </c>
      <c r="F27" s="30" t="s">
        <v>106</v>
      </c>
      <c r="G27" s="30" t="s">
        <v>107</v>
      </c>
      <c r="H27" s="30" t="s">
        <v>108</v>
      </c>
      <c r="I27" s="30" t="s">
        <v>109</v>
      </c>
      <c r="J27" s="30" t="s">
        <v>110</v>
      </c>
      <c r="K27" s="30" t="s">
        <v>111</v>
      </c>
      <c r="L27" s="30" t="s">
        <v>112</v>
      </c>
      <c r="M27" s="30" t="s">
        <v>113</v>
      </c>
      <c r="N27" s="30" t="s">
        <v>114</v>
      </c>
      <c r="O27" s="30" t="s">
        <v>115</v>
      </c>
      <c r="P27" s="30" t="s">
        <v>116</v>
      </c>
      <c r="Q27" s="30" t="s">
        <v>117</v>
      </c>
      <c r="R27" s="30" t="s">
        <v>118</v>
      </c>
      <c r="S27" s="30" t="s">
        <v>119</v>
      </c>
      <c r="T27" s="30" t="s">
        <v>120</v>
      </c>
      <c r="U27" s="30" t="s">
        <v>121</v>
      </c>
      <c r="V27" s="30" t="s">
        <v>122</v>
      </c>
      <c r="W27" s="30" t="s">
        <v>123</v>
      </c>
      <c r="X27" s="30" t="s">
        <v>124</v>
      </c>
      <c r="Y27" s="30" t="s">
        <v>125</v>
      </c>
      <c r="Z27" s="30" t="s">
        <v>126</v>
      </c>
      <c r="AA27" s="30" t="s">
        <v>127</v>
      </c>
      <c r="AB27" s="30" t="s">
        <v>128</v>
      </c>
      <c r="AC27" s="30" t="s">
        <v>129</v>
      </c>
      <c r="AD27" s="30" t="s">
        <v>130</v>
      </c>
      <c r="AE27" s="30" t="s">
        <v>131</v>
      </c>
      <c r="AF27" s="30" t="s">
        <v>132</v>
      </c>
      <c r="AG27" s="30" t="s">
        <v>133</v>
      </c>
      <c r="AH27" s="30" t="s">
        <v>134</v>
      </c>
      <c r="AI27" s="30" t="s">
        <v>135</v>
      </c>
      <c r="AJ27" s="30" t="s">
        <v>136</v>
      </c>
      <c r="AK27" s="30" t="s">
        <v>137</v>
      </c>
      <c r="AL27" s="30" t="s">
        <v>138</v>
      </c>
      <c r="AM27" s="30" t="s">
        <v>139</v>
      </c>
      <c r="AN27" s="30" t="s">
        <v>140</v>
      </c>
      <c r="AO27" s="30" t="s">
        <v>141</v>
      </c>
      <c r="AP27" s="30" t="s">
        <v>142</v>
      </c>
      <c r="AQ27" s="30" t="s">
        <v>143</v>
      </c>
      <c r="AR27" s="30" t="s">
        <v>144</v>
      </c>
      <c r="AS27" s="30" t="s">
        <v>145</v>
      </c>
      <c r="AT27" s="30" t="s">
        <v>146</v>
      </c>
      <c r="AU27" s="30" t="s">
        <v>147</v>
      </c>
      <c r="AV27" s="30" t="s">
        <v>148</v>
      </c>
      <c r="AW27" s="30" t="s">
        <v>149</v>
      </c>
      <c r="AX27" s="30" t="s">
        <v>150</v>
      </c>
      <c r="AY27" s="30" t="s">
        <v>151</v>
      </c>
      <c r="AZ27" s="30" t="s">
        <v>152</v>
      </c>
      <c r="BA27" s="30" t="s">
        <v>153</v>
      </c>
      <c r="BB27" s="30" t="s">
        <v>154</v>
      </c>
      <c r="BC27" s="30" t="s">
        <v>155</v>
      </c>
      <c r="BD27" s="30" t="s">
        <v>156</v>
      </c>
      <c r="BE27" s="30" t="s">
        <v>157</v>
      </c>
      <c r="BF27" s="30" t="s">
        <v>158</v>
      </c>
      <c r="BG27" s="30" t="s">
        <v>159</v>
      </c>
      <c r="BH27" s="30" t="s">
        <v>160</v>
      </c>
      <c r="BI27" s="30" t="s">
        <v>161</v>
      </c>
      <c r="BJ27" s="30" t="s">
        <v>162</v>
      </c>
      <c r="BK27" s="30" t="s">
        <v>163</v>
      </c>
      <c r="BL27" s="30" t="s">
        <v>164</v>
      </c>
      <c r="BM27" s="30" t="s">
        <v>165</v>
      </c>
      <c r="BN27" s="30" t="s">
        <v>166</v>
      </c>
      <c r="BO27" s="30" t="s">
        <v>167</v>
      </c>
      <c r="BP27" s="30" t="s">
        <v>168</v>
      </c>
      <c r="BQ27" s="30" t="s">
        <v>169</v>
      </c>
      <c r="BR27" s="30" t="s">
        <v>170</v>
      </c>
      <c r="BS27" s="30" t="s">
        <v>171</v>
      </c>
      <c r="BT27" s="30" t="s">
        <v>172</v>
      </c>
      <c r="BU27" s="30" t="s">
        <v>173</v>
      </c>
      <c r="BV27" s="30" t="s">
        <v>174</v>
      </c>
      <c r="BW27" s="30" t="s">
        <v>175</v>
      </c>
      <c r="BX27" s="30" t="s">
        <v>176</v>
      </c>
      <c r="BY27" s="30" t="s">
        <v>177</v>
      </c>
      <c r="BZ27" s="30" t="s">
        <v>178</v>
      </c>
      <c r="CA27" s="30" t="s">
        <v>179</v>
      </c>
      <c r="CB27" s="30" t="s">
        <v>180</v>
      </c>
      <c r="CC27" s="30" t="s">
        <v>181</v>
      </c>
      <c r="CD27" s="30" t="s">
        <v>182</v>
      </c>
      <c r="CE27" s="30" t="s">
        <v>183</v>
      </c>
      <c r="CF27" s="30" t="s">
        <v>184</v>
      </c>
      <c r="CG27" s="30" t="s">
        <v>185</v>
      </c>
      <c r="CH27" s="30" t="s">
        <v>186</v>
      </c>
      <c r="CI27" s="30" t="s">
        <v>187</v>
      </c>
      <c r="CJ27" s="30" t="s">
        <v>188</v>
      </c>
      <c r="CK27" s="30" t="s">
        <v>189</v>
      </c>
      <c r="CL27" s="30" t="s">
        <v>190</v>
      </c>
    </row>
    <row r="29" spans="2:91" x14ac:dyDescent="0.25">
      <c r="B29" s="43" t="s">
        <v>95</v>
      </c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</row>
    <row r="30" spans="2:90" x14ac:dyDescent="0.25">
      <c r="B30" s="31" t="s">
        <v>268</v>
      </c>
      <c r="C30" s="32" t="s">
        <v>228</v>
      </c>
      <c r="E30" s="29">
        <v>0</v>
      </c>
      <c r="F30" s="29">
        <f>E35</f>
      </c>
      <c r="G30" s="29">
        <f>F35</f>
      </c>
      <c r="H30" s="29">
        <f>G35</f>
      </c>
      <c r="I30" s="29">
        <f>H35</f>
      </c>
      <c r="J30" s="29">
        <f>I35</f>
      </c>
      <c r="K30" s="29">
        <f>J35</f>
      </c>
      <c r="L30" s="29">
        <f>K35</f>
      </c>
      <c r="M30" s="29">
        <f>L35</f>
      </c>
      <c r="N30" s="29">
        <f>M35</f>
      </c>
      <c r="O30" s="29">
        <f>N35</f>
      </c>
      <c r="P30" s="29">
        <f>O35</f>
      </c>
      <c r="Q30" s="29">
        <f>P35</f>
      </c>
      <c r="R30" s="29">
        <f>Q35</f>
      </c>
      <c r="S30" s="29">
        <f>R35</f>
      </c>
      <c r="T30" s="29">
        <f>S35</f>
      </c>
      <c r="U30" s="29">
        <f>T35</f>
      </c>
      <c r="V30" s="29">
        <f>U35</f>
      </c>
      <c r="W30" s="29">
        <f>V35</f>
      </c>
      <c r="X30" s="29">
        <f>W35</f>
      </c>
      <c r="Y30" s="29">
        <f>X35</f>
      </c>
      <c r="Z30" s="29">
        <f>Y35</f>
      </c>
      <c r="AA30" s="29">
        <f>Z35</f>
      </c>
      <c r="AB30" s="29">
        <f>AA35</f>
      </c>
      <c r="AC30" s="29">
        <f>AB35</f>
      </c>
      <c r="AD30" s="29">
        <f>AC35</f>
      </c>
      <c r="AE30" s="29">
        <f>AD35</f>
      </c>
      <c r="AF30" s="29">
        <f>AE35</f>
      </c>
      <c r="AG30" s="29">
        <f>AF35</f>
      </c>
      <c r="AH30" s="29">
        <f>AG35</f>
      </c>
      <c r="AI30" s="29">
        <f>AH35</f>
      </c>
      <c r="AJ30" s="29">
        <f>AI35</f>
      </c>
      <c r="AK30" s="29">
        <f>AJ35</f>
      </c>
      <c r="AL30" s="29">
        <f>AK35</f>
      </c>
      <c r="AM30" s="29">
        <f>AL35</f>
      </c>
      <c r="AN30" s="29">
        <f>AM35</f>
      </c>
      <c r="AO30" s="29">
        <f>AN35</f>
      </c>
      <c r="AP30" s="29">
        <f>AO35</f>
      </c>
      <c r="AQ30" s="29">
        <f>AP35</f>
      </c>
      <c r="AR30" s="29">
        <f>AQ35</f>
      </c>
      <c r="AS30" s="29">
        <f>AR35</f>
      </c>
      <c r="AT30" s="29">
        <f>AS35</f>
      </c>
      <c r="AU30" s="29">
        <f>AT35</f>
      </c>
      <c r="AV30" s="29">
        <f>AU35</f>
      </c>
      <c r="AW30" s="29">
        <f>AV35</f>
      </c>
      <c r="AX30" s="29">
        <f>AW35</f>
      </c>
      <c r="AY30" s="29">
        <f>AX35</f>
      </c>
      <c r="AZ30" s="29">
        <f>AY35</f>
      </c>
      <c r="BA30" s="29">
        <f>AZ35</f>
      </c>
      <c r="BB30" s="29">
        <f>BA35</f>
      </c>
      <c r="BC30" s="29">
        <f>BB35</f>
      </c>
      <c r="BD30" s="29">
        <f>BC35</f>
      </c>
      <c r="BE30" s="29">
        <f>BD35</f>
      </c>
      <c r="BF30" s="29">
        <f>BE35</f>
      </c>
      <c r="BG30" s="29">
        <f>BF35</f>
      </c>
      <c r="BH30" s="29">
        <f>BG35</f>
      </c>
      <c r="BI30" s="29">
        <f>BH35</f>
      </c>
      <c r="BJ30" s="29">
        <f>BI35</f>
      </c>
      <c r="BK30" s="29">
        <f>BJ35</f>
      </c>
      <c r="BL30" s="29">
        <f>BK35</f>
      </c>
      <c r="BM30" s="29">
        <f>BL35</f>
      </c>
      <c r="BN30" s="29">
        <f>BM35</f>
      </c>
      <c r="BO30" s="29">
        <f>BN35</f>
      </c>
      <c r="BP30" s="29">
        <f>BO35</f>
      </c>
      <c r="BQ30" s="29">
        <f>BP35</f>
      </c>
      <c r="BR30" s="29">
        <f>BQ35</f>
      </c>
      <c r="BS30" s="29">
        <f>BR35</f>
      </c>
      <c r="BT30" s="29">
        <f>BS35</f>
      </c>
      <c r="BU30" s="29">
        <f>BT35</f>
      </c>
      <c r="BV30" s="29">
        <f>BU35</f>
      </c>
      <c r="BW30" s="29">
        <f>BV35</f>
      </c>
      <c r="BX30" s="29">
        <f>BW35</f>
      </c>
      <c r="BY30" s="29">
        <f>BX35</f>
      </c>
      <c r="BZ30" s="29">
        <f>BY35</f>
      </c>
      <c r="CA30" s="29">
        <f>BZ35</f>
      </c>
      <c r="CB30" s="29">
        <f>CA35</f>
      </c>
      <c r="CC30" s="29">
        <f>CB35</f>
      </c>
      <c r="CD30" s="29">
        <f>CC35</f>
      </c>
      <c r="CE30" s="29">
        <f>CD35</f>
      </c>
      <c r="CF30" s="29">
        <f>CE35</f>
      </c>
      <c r="CG30" s="29">
        <f>CF35</f>
      </c>
      <c r="CH30" s="29">
        <f>CG35</f>
      </c>
      <c r="CI30" s="29">
        <f>CH35</f>
      </c>
      <c r="CJ30" s="29">
        <f>CI35</f>
      </c>
      <c r="CK30" s="29">
        <f>CJ35</f>
      </c>
      <c r="CL30" s="29">
        <f>CK35</f>
      </c>
    </row>
    <row r="31" spans="2:90" x14ac:dyDescent="0.25">
      <c r="B31" s="31" t="s">
        <v>269</v>
      </c>
      <c r="C31" s="32" t="s">
        <v>228</v>
      </c>
      <c r="D31" s="29">
        <f>SUM(E31:CL31)</f>
      </c>
      <c r="E31" s="29">
        <f>E18</f>
      </c>
      <c r="F31" s="29">
        <f>F18-E18</f>
      </c>
      <c r="G31" s="29">
        <f>G18-F18</f>
      </c>
      <c r="H31" s="29">
        <f>H18-G18</f>
      </c>
      <c r="I31" s="29">
        <f>I18-H18</f>
      </c>
      <c r="J31" s="29">
        <f>J18-I18</f>
      </c>
      <c r="K31" s="29">
        <f>K18-J18</f>
      </c>
      <c r="L31" s="29">
        <f>L18-K18</f>
      </c>
      <c r="M31" s="29">
        <f>M18-L18</f>
      </c>
      <c r="N31" s="29">
        <f>N18-M18</f>
      </c>
      <c r="O31" s="29">
        <f>O18-N18</f>
      </c>
      <c r="P31" s="29">
        <f>P18-O18</f>
      </c>
      <c r="Q31" s="29">
        <f>Q18-P18</f>
      </c>
      <c r="R31" s="29">
        <f>R18-Q18</f>
      </c>
      <c r="S31" s="29">
        <f>S18-R18</f>
      </c>
      <c r="T31" s="29">
        <f>T18-S18</f>
      </c>
      <c r="U31" s="29">
        <f>U18-T18</f>
      </c>
      <c r="V31" s="29">
        <f>V18-U18</f>
      </c>
      <c r="W31" s="29">
        <f>W18-V18</f>
      </c>
      <c r="X31" s="29">
        <f>X18-W18</f>
      </c>
      <c r="Y31" s="29">
        <f>Y18-X18</f>
      </c>
      <c r="Z31" s="29">
        <f>Z18-Y18</f>
      </c>
      <c r="AA31" s="29">
        <f>AA18-Z18</f>
      </c>
      <c r="AB31" s="29">
        <f>AB18-AA18</f>
      </c>
      <c r="AC31" s="29">
        <f>AC18-AB18</f>
      </c>
      <c r="AD31" s="29">
        <f>AD18-AC18</f>
      </c>
      <c r="AE31" s="29">
        <f>AE18-AD18</f>
      </c>
      <c r="AF31" s="29">
        <f>AF18-AE18</f>
      </c>
      <c r="AG31" s="29">
        <f>AG18-AF18</f>
      </c>
      <c r="AH31" s="29">
        <f>AH18-AG18</f>
      </c>
      <c r="AI31" s="29">
        <f>AI18-AH18</f>
      </c>
      <c r="AJ31" s="29">
        <f>AJ18-AI18</f>
      </c>
      <c r="AK31" s="29">
        <f>AK18-AJ18</f>
      </c>
      <c r="AL31" s="29">
        <f>AL18-AK18</f>
      </c>
      <c r="AM31" s="29">
        <f>AM18-AL18</f>
      </c>
      <c r="AN31" s="29">
        <f>AN18-AM18</f>
      </c>
      <c r="AO31" s="29">
        <f>AO18-AN18</f>
      </c>
      <c r="AP31" s="29">
        <f>AP18-AO18</f>
      </c>
      <c r="AQ31" s="29">
        <f>AQ18-AP18</f>
      </c>
      <c r="AR31" s="29">
        <f>AR18-AQ18</f>
      </c>
      <c r="AS31" s="29">
        <f>AS18-AR18</f>
      </c>
      <c r="AT31" s="29">
        <f>AT18-AS18</f>
      </c>
      <c r="AU31" s="29">
        <f>AU18-AT18</f>
      </c>
      <c r="AV31" s="29">
        <f>AV18-AU18</f>
      </c>
      <c r="AW31" s="29">
        <f>AW18-AV18</f>
      </c>
      <c r="AX31" s="29">
        <f>AX18-AW18</f>
      </c>
      <c r="AY31" s="29">
        <f>AY18-AX18</f>
      </c>
      <c r="AZ31" s="29">
        <f>AZ18-AY18</f>
      </c>
      <c r="BA31" s="29">
        <f>BA18-AZ18</f>
      </c>
      <c r="BB31" s="29">
        <f>BB18-BA18</f>
      </c>
      <c r="BC31" s="29">
        <f>BC18-BB18</f>
      </c>
      <c r="BD31" s="29">
        <f>BD18-BC18</f>
      </c>
      <c r="BE31" s="29">
        <f>BE18-BD18</f>
      </c>
      <c r="BF31" s="29">
        <f>BF18-BE18</f>
      </c>
      <c r="BG31" s="29">
        <f>BG18-BF18</f>
      </c>
      <c r="BH31" s="29">
        <f>BH18-BG18</f>
      </c>
      <c r="BI31" s="29">
        <f>BI18-BH18</f>
      </c>
      <c r="BJ31" s="29">
        <f>BJ18-BI18</f>
      </c>
      <c r="BK31" s="29">
        <f>BK18-BJ18</f>
      </c>
      <c r="BL31" s="29">
        <f>BL18-BK18</f>
      </c>
      <c r="BM31" s="29">
        <f>BM18-BL18</f>
      </c>
      <c r="BN31" s="29">
        <f>BN18-BM18</f>
      </c>
      <c r="BO31" s="29">
        <f>BO18-BN18</f>
      </c>
      <c r="BP31" s="29">
        <f>BP18-BO18</f>
      </c>
      <c r="BQ31" s="29">
        <f>BQ18-BP18</f>
      </c>
      <c r="BR31" s="29">
        <f>BR18-BQ18</f>
      </c>
      <c r="BS31" s="29">
        <f>BS18-BR18</f>
      </c>
      <c r="BT31" s="29">
        <f>BT18-BS18</f>
      </c>
      <c r="BU31" s="29">
        <f>BU18-BT18</f>
      </c>
      <c r="BV31" s="29">
        <f>BV18-BU18</f>
      </c>
      <c r="BW31" s="29">
        <f>BW18-BV18</f>
      </c>
      <c r="BX31" s="29">
        <f>BX18-BW18</f>
      </c>
      <c r="BY31" s="29">
        <f>BY18-BX18</f>
      </c>
      <c r="BZ31" s="29">
        <f>BZ18-BY18</f>
      </c>
      <c r="CA31" s="29">
        <f>CA18-BZ18</f>
      </c>
      <c r="CB31" s="29">
        <f>CB18-CA18</f>
      </c>
      <c r="CC31" s="29">
        <f>CC18-CB18</f>
      </c>
      <c r="CD31" s="29">
        <f>CD18-CC18</f>
      </c>
      <c r="CE31" s="29">
        <f>CE18-CD18</f>
      </c>
      <c r="CF31" s="29">
        <f>CF18-CE18</f>
      </c>
      <c r="CG31" s="29">
        <f>CG18-CF18</f>
      </c>
      <c r="CH31" s="29">
        <f>CH18-CG18</f>
      </c>
      <c r="CI31" s="29">
        <f>CI18-CH18</f>
      </c>
      <c r="CJ31" s="29">
        <f>CJ18-CI18</f>
      </c>
      <c r="CK31" s="29">
        <f>CK18-CJ18</f>
      </c>
      <c r="CL31" s="29">
        <f>CL18-CK18</f>
      </c>
    </row>
    <row r="32" spans="2:90" x14ac:dyDescent="0.25">
      <c r="B32" s="31" t="s">
        <v>244</v>
      </c>
      <c r="C32" s="32" t="s">
        <v>228</v>
      </c>
      <c r="D32" s="29">
        <f>SUM(E32:CL32)</f>
      </c>
      <c r="E32" s="29">
        <f>E10</f>
      </c>
      <c r="F32" s="29">
        <f>F10</f>
      </c>
      <c r="G32" s="29">
        <f>G10</f>
      </c>
      <c r="H32" s="29">
        <f>H10</f>
      </c>
      <c r="I32" s="29">
        <f>I10</f>
      </c>
      <c r="J32" s="29">
        <f>J10</f>
      </c>
      <c r="K32" s="29">
        <f>K10</f>
      </c>
      <c r="L32" s="29">
        <f>L10</f>
      </c>
      <c r="M32" s="29">
        <f>M10</f>
      </c>
      <c r="N32" s="29">
        <f>N10</f>
      </c>
      <c r="O32" s="29">
        <f>O10</f>
      </c>
      <c r="P32" s="29">
        <f>P10</f>
      </c>
      <c r="Q32" s="29">
        <f>Q10</f>
      </c>
      <c r="R32" s="29">
        <f>R10</f>
      </c>
      <c r="S32" s="29">
        <f>S10</f>
      </c>
      <c r="T32" s="29">
        <f>T10</f>
      </c>
      <c r="U32" s="29">
        <f>U10</f>
      </c>
      <c r="V32" s="29">
        <f>V10</f>
      </c>
      <c r="W32" s="29">
        <f>W10</f>
      </c>
      <c r="X32" s="29">
        <f>X10</f>
      </c>
      <c r="Y32" s="29">
        <f>Y10</f>
      </c>
      <c r="Z32" s="29">
        <f>Z10</f>
      </c>
      <c r="AA32" s="29">
        <f>AA10</f>
      </c>
      <c r="AB32" s="29">
        <f>AB10</f>
      </c>
      <c r="AC32" s="29">
        <f>AC10</f>
      </c>
      <c r="AD32" s="29">
        <f>AD10</f>
      </c>
      <c r="AE32" s="29">
        <f>AE10</f>
      </c>
      <c r="AF32" s="29">
        <f>AF10</f>
      </c>
      <c r="AG32" s="29">
        <f>AG10</f>
      </c>
      <c r="AH32" s="29">
        <f>AH10</f>
      </c>
      <c r="AI32" s="29">
        <f>AI10</f>
      </c>
      <c r="AJ32" s="29">
        <f>AJ10</f>
      </c>
      <c r="AK32" s="29">
        <f>AK10</f>
      </c>
      <c r="AL32" s="29">
        <f>AL10</f>
      </c>
      <c r="AM32" s="29">
        <f>AM10</f>
      </c>
      <c r="AN32" s="29">
        <f>AN10</f>
      </c>
      <c r="AO32" s="29">
        <f>AO10</f>
      </c>
      <c r="AP32" s="29">
        <f>AP10</f>
      </c>
      <c r="AQ32" s="29">
        <f>AQ10</f>
      </c>
      <c r="AR32" s="29">
        <f>AR10</f>
      </c>
      <c r="AS32" s="29">
        <f>AS10</f>
      </c>
      <c r="AT32" s="29">
        <f>AT10</f>
      </c>
      <c r="AU32" s="29">
        <f>AU10</f>
      </c>
      <c r="AV32" s="29">
        <f>AV10</f>
      </c>
      <c r="AW32" s="29">
        <f>AW10</f>
      </c>
      <c r="AX32" s="29">
        <f>AX10</f>
      </c>
      <c r="AY32" s="29">
        <f>AY10</f>
      </c>
      <c r="AZ32" s="29">
        <f>AZ10</f>
      </c>
      <c r="BA32" s="29">
        <f>BA10</f>
      </c>
      <c r="BB32" s="29">
        <f>BB10</f>
      </c>
      <c r="BC32" s="29">
        <f>BC10</f>
      </c>
      <c r="BD32" s="29">
        <f>BD10</f>
      </c>
      <c r="BE32" s="29">
        <f>BE10</f>
      </c>
      <c r="BF32" s="29">
        <f>BF10</f>
      </c>
      <c r="BG32" s="29">
        <f>BG10</f>
      </c>
      <c r="BH32" s="29">
        <f>BH10</f>
      </c>
      <c r="BI32" s="29">
        <f>BI10</f>
      </c>
      <c r="BJ32" s="29">
        <f>BJ10</f>
      </c>
      <c r="BK32" s="29">
        <f>BK10</f>
      </c>
      <c r="BL32" s="29">
        <f>BL10</f>
      </c>
      <c r="BM32" s="29">
        <f>BM10</f>
      </c>
      <c r="BN32" s="29">
        <f>BN10</f>
      </c>
      <c r="BO32" s="29">
        <f>BO10</f>
      </c>
      <c r="BP32" s="29">
        <f>BP10</f>
      </c>
      <c r="BQ32" s="29">
        <f>BQ10</f>
      </c>
      <c r="BR32" s="29">
        <f>BR10</f>
      </c>
      <c r="BS32" s="29">
        <f>BS10</f>
      </c>
      <c r="BT32" s="29">
        <f>BT10</f>
      </c>
      <c r="BU32" s="29">
        <f>BU10</f>
      </c>
      <c r="BV32" s="29">
        <f>BV10</f>
      </c>
      <c r="BW32" s="29">
        <f>BW10</f>
      </c>
      <c r="BX32" s="29">
        <f>BX10</f>
      </c>
      <c r="BY32" s="29">
        <f>BY10</f>
      </c>
      <c r="BZ32" s="29">
        <f>BZ10</f>
      </c>
      <c r="CA32" s="29">
        <f>CA10</f>
      </c>
      <c r="CB32" s="29">
        <f>CB10</f>
      </c>
      <c r="CC32" s="29">
        <f>CC10</f>
      </c>
      <c r="CD32" s="29">
        <f>CD10</f>
      </c>
      <c r="CE32" s="29">
        <f>CE10</f>
      </c>
      <c r="CF32" s="29">
        <f>CF10</f>
      </c>
      <c r="CG32" s="29">
        <f>CG10</f>
      </c>
      <c r="CH32" s="29">
        <f>CH10</f>
      </c>
      <c r="CI32" s="29">
        <f>CI10</f>
      </c>
      <c r="CJ32" s="29">
        <f>CJ10</f>
      </c>
      <c r="CK32" s="29">
        <f>CK10</f>
      </c>
      <c r="CL32" s="29">
        <f>CL10</f>
      </c>
    </row>
    <row r="33" spans="2:90" x14ac:dyDescent="0.25">
      <c r="B33" s="31" t="s">
        <v>270</v>
      </c>
      <c r="C33" s="32" t="s">
        <v>228</v>
      </c>
      <c r="D33" s="14">
        <f>SUM(E33:CL33)</f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f>K30*'입력값'!E58/4</f>
      </c>
      <c r="L33" s="29">
        <f>L30*'입력값'!E58/4</f>
      </c>
      <c r="M33" s="29">
        <f>M30*'입력값'!E58/4</f>
      </c>
      <c r="N33" s="29">
        <f>N30*'입력값'!E58/4</f>
      </c>
      <c r="O33" s="29">
        <f>O30*'입력값'!E58/4</f>
      </c>
      <c r="P33" s="29">
        <f>P30*'입력값'!E58/4</f>
      </c>
      <c r="Q33" s="29">
        <f>Q30*'입력값'!E58/4</f>
      </c>
      <c r="R33" s="29">
        <f>R30*'입력값'!E58/4</f>
      </c>
      <c r="S33" s="29">
        <f>S30*'입력값'!E58/4</f>
      </c>
      <c r="T33" s="29">
        <f>T30*'입력값'!E58/4</f>
      </c>
      <c r="U33" s="29">
        <f>U30*'입력값'!E58/4</f>
      </c>
      <c r="V33" s="29">
        <f>V30*'입력값'!E58/4</f>
      </c>
      <c r="W33" s="29">
        <f>W30*'입력값'!E58/4</f>
      </c>
      <c r="X33" s="29">
        <f>X30*'입력값'!E58/4</f>
      </c>
      <c r="Y33" s="29">
        <f>Y30*'입력값'!E58/4</f>
      </c>
      <c r="Z33" s="29">
        <f>Z30*'입력값'!E58/4</f>
      </c>
      <c r="AA33" s="29">
        <f>AA30*'입력값'!E58/4</f>
      </c>
      <c r="AB33" s="29">
        <f>AB30*'입력값'!E58/4</f>
      </c>
      <c r="AC33" s="29">
        <f>AC30*'입력값'!E58/4</f>
      </c>
      <c r="AD33" s="29">
        <f>AD30*'입력값'!E58/4</f>
      </c>
      <c r="AE33" s="29">
        <f>AE30*'입력값'!E58/4</f>
      </c>
      <c r="AF33" s="29">
        <f>AF30*'입력값'!E58/4</f>
      </c>
      <c r="AG33" s="29">
        <f>AG30*'입력값'!E58/4</f>
      </c>
      <c r="AH33" s="29">
        <f>AH30*'입력값'!E58/4</f>
      </c>
      <c r="AI33" s="29">
        <f>AI30*'입력값'!E58/4</f>
      </c>
      <c r="AJ33" s="29">
        <f>AJ30*'입력값'!E58/4</f>
      </c>
      <c r="AK33" s="29">
        <f>AK30*'입력값'!E58/4</f>
      </c>
      <c r="AL33" s="29">
        <f>AL30*'입력값'!E58/4</f>
      </c>
      <c r="AM33" s="29">
        <f>AM30*'입력값'!E58/4</f>
      </c>
      <c r="AN33" s="29">
        <f>AN30*'입력값'!E58/4</f>
      </c>
      <c r="AO33" s="29">
        <f>AO30*'입력값'!E58/4</f>
      </c>
      <c r="AP33" s="29">
        <f>AP30*'입력값'!E58/4</f>
      </c>
      <c r="AQ33" s="29">
        <f>AQ30*'입력값'!E58/4</f>
      </c>
      <c r="AR33" s="29">
        <f>AR30*'입력값'!E58/4</f>
      </c>
      <c r="AS33" s="29">
        <f>AS30*'입력값'!E58/4</f>
      </c>
      <c r="AT33" s="29">
        <f>AT30*'입력값'!E58/4</f>
      </c>
      <c r="AU33" s="29">
        <f>AU30*'입력값'!E58/4</f>
      </c>
      <c r="AV33" s="29">
        <f>AV30*'입력값'!E58/4</f>
      </c>
      <c r="AW33" s="29">
        <f>AW30*'입력값'!E58/4</f>
      </c>
      <c r="AX33" s="29">
        <f>AX30*'입력값'!E58/4</f>
      </c>
      <c r="AY33" s="29">
        <f>AY30*'입력값'!E58/4</f>
      </c>
      <c r="AZ33" s="29">
        <f>AZ30*'입력값'!E58/4</f>
      </c>
      <c r="BA33" s="29">
        <f>BA30*'입력값'!E58/4</f>
      </c>
      <c r="BB33" s="29">
        <f>BB30*'입력값'!E58/4</f>
      </c>
      <c r="BC33" s="29">
        <f>BC30*'입력값'!E58/4</f>
      </c>
      <c r="BD33" s="29">
        <f>BD30*'입력값'!E58/4</f>
      </c>
      <c r="BE33" s="29">
        <f>BE30*'입력값'!E58/4</f>
      </c>
      <c r="BF33" s="29">
        <f>BF30*'입력값'!E58/4</f>
      </c>
      <c r="BG33" s="29">
        <f>BG30*'입력값'!E58/4</f>
      </c>
      <c r="BH33" s="29">
        <f>BH30*'입력값'!E58/4</f>
      </c>
      <c r="BI33" s="29">
        <f>BI30*'입력값'!E58/4</f>
      </c>
      <c r="BJ33" s="29">
        <f>BJ30*'입력값'!E58/4</f>
      </c>
      <c r="BK33" s="29">
        <f>BK30*'입력값'!E58/4</f>
      </c>
      <c r="BL33" s="29">
        <f>BL30*'입력값'!E58/4</f>
      </c>
      <c r="BM33" s="29">
        <f>BM30*'입력값'!E58/4</f>
      </c>
      <c r="BN33" s="29">
        <f>BN30*'입력값'!E58/4</f>
      </c>
      <c r="BO33" s="29">
        <f>BO30*'입력값'!E58/4</f>
      </c>
      <c r="BP33" s="29">
        <f>BP30*'입력값'!E58/4</f>
      </c>
      <c r="BQ33" s="29">
        <f>BQ30*'입력값'!E58/4</f>
      </c>
      <c r="BR33" s="29">
        <f>BR30*'입력값'!E58/4</f>
      </c>
      <c r="BS33" s="29">
        <f>BS30*'입력값'!E58/4</f>
      </c>
      <c r="BT33" s="29">
        <f>BT30*'입력값'!E58/4</f>
      </c>
      <c r="BU33" s="29">
        <f>BU30*'입력값'!E58/4</f>
      </c>
      <c r="BV33" s="29">
        <f>BV30*'입력값'!E58/4</f>
      </c>
      <c r="BW33" s="29">
        <f>BW30*'입력값'!E58/4</f>
      </c>
      <c r="BX33" s="29">
        <f>BX30*'입력값'!E58/4</f>
      </c>
      <c r="BY33" s="29">
        <f>BY30*'입력값'!E58/4</f>
      </c>
      <c r="BZ33" s="29">
        <f>BZ30*'입력값'!E58/4</f>
      </c>
      <c r="CA33" s="29">
        <f>CA30*'입력값'!E58/4</f>
      </c>
      <c r="CB33" s="29">
        <f>CB30*'입력값'!E58/4</f>
      </c>
      <c r="CC33" s="29">
        <f>CC30*'입력값'!E58/4</f>
      </c>
      <c r="CD33" s="29">
        <f>CD30*'입력값'!E58/4</f>
      </c>
      <c r="CE33" s="29">
        <f>CE30*'입력값'!E58/4</f>
      </c>
      <c r="CF33" s="29">
        <f>CF30*'입력값'!E58/4</f>
      </c>
      <c r="CG33" s="29">
        <f>CG30*'입력값'!E58/4</f>
      </c>
      <c r="CH33" s="29">
        <f>CH30*'입력값'!E58/4</f>
      </c>
      <c r="CI33" s="29">
        <f>CI30*'입력값'!E58/4</f>
      </c>
      <c r="CJ33" s="29">
        <f>CJ30*'입력값'!E58/4</f>
      </c>
      <c r="CK33" s="29">
        <f>CK30*'입력값'!E58/4</f>
      </c>
      <c r="CL33" s="29">
        <f>CL30*'입력값'!E58/4</f>
      </c>
    </row>
    <row r="34" spans="2:90" x14ac:dyDescent="0.25">
      <c r="B34" s="31" t="s">
        <v>271</v>
      </c>
      <c r="C34" s="32" t="s">
        <v>228</v>
      </c>
      <c r="D34" s="14">
        <f>SUM(E34:CL34)</f>
      </c>
      <c r="E34" s="29">
        <v>0</v>
      </c>
      <c r="F34" s="29">
        <v>0</v>
      </c>
      <c r="G34" s="29">
        <v>0</v>
      </c>
      <c r="H34" s="29">
        <v>0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f>'입력값'!N75*'입력값'!C58*100</f>
      </c>
      <c r="O34" s="29">
        <f>'입력값'!O75*'입력값'!C58*100</f>
      </c>
      <c r="P34" s="29">
        <f>'입력값'!P75*'입력값'!C58*100</f>
      </c>
      <c r="Q34" s="29">
        <f>'입력값'!Q75*'입력값'!C58*100</f>
      </c>
      <c r="R34" s="29">
        <f>'입력값'!R75*'입력값'!C58*100</f>
      </c>
      <c r="S34" s="29">
        <f>'입력값'!S75*'입력값'!C58*100</f>
      </c>
      <c r="T34" s="29">
        <f>'입력값'!T75*'입력값'!C58*100</f>
      </c>
      <c r="U34" s="29">
        <f>'입력값'!U75*'입력값'!C58*100</f>
      </c>
      <c r="V34" s="29">
        <f>'입력값'!V75*'입력값'!C58*100</f>
      </c>
      <c r="W34" s="29">
        <f>'입력값'!W75*'입력값'!C58*100</f>
      </c>
      <c r="X34" s="29">
        <f>'입력값'!X75*'입력값'!C58*100</f>
      </c>
      <c r="Y34" s="29">
        <f>'입력값'!Y75*'입력값'!C58*100</f>
      </c>
      <c r="Z34" s="29">
        <f>'입력값'!Z75*'입력값'!C58*100</f>
      </c>
      <c r="AA34" s="29">
        <f>'입력값'!AA75*'입력값'!C58*100</f>
      </c>
      <c r="AB34" s="29">
        <f>'입력값'!AB75*'입력값'!C58*100</f>
      </c>
      <c r="AC34" s="29">
        <f>'입력값'!AC75*'입력값'!C58*100</f>
      </c>
      <c r="AD34" s="29">
        <f>'입력값'!AD75*'입력값'!C58*100</f>
      </c>
      <c r="AE34" s="29">
        <f>'입력값'!AE75*'입력값'!C58*100</f>
      </c>
      <c r="AF34" s="29">
        <f>'입력값'!AF75*'입력값'!C58*100</f>
      </c>
      <c r="AG34" s="29">
        <f>'입력값'!AG75*'입력값'!C58*100</f>
      </c>
      <c r="AH34" s="29">
        <f>'입력값'!AH75*'입력값'!C58*100</f>
      </c>
      <c r="AI34" s="29">
        <f>'입력값'!AI75*'입력값'!C58*100</f>
      </c>
      <c r="AJ34" s="29">
        <f>'입력값'!AJ75*'입력값'!C58*100</f>
      </c>
      <c r="AK34" s="29">
        <f>'입력값'!AK75*'입력값'!C58*100</f>
      </c>
      <c r="AL34" s="29">
        <f>'입력값'!AL75*'입력값'!C58*100</f>
      </c>
      <c r="AM34" s="29">
        <f>'입력값'!AM75*'입력값'!C58*100</f>
      </c>
      <c r="AN34" s="29">
        <f>'입력값'!AN75*'입력값'!C58*100</f>
      </c>
      <c r="AO34" s="29">
        <f>'입력값'!AO75*'입력값'!C58*100</f>
      </c>
      <c r="AP34" s="29">
        <f>'입력값'!AP75*'입력값'!C58*100</f>
      </c>
      <c r="AQ34" s="29">
        <f>'입력값'!AQ75*'입력값'!C58*100</f>
      </c>
      <c r="AR34" s="29">
        <f>'입력값'!AR75*'입력값'!C58*100</f>
      </c>
      <c r="AS34" s="29">
        <f>'입력값'!AS75*'입력값'!C58*100</f>
      </c>
      <c r="AT34" s="29">
        <f>'입력값'!AT75*'입력값'!C58*100</f>
      </c>
      <c r="AU34" s="29">
        <f>'입력값'!AU75*'입력값'!C58*100</f>
      </c>
      <c r="AV34" s="29">
        <f>'입력값'!AV75*'입력값'!C58*100</f>
      </c>
      <c r="AW34" s="29">
        <f>'입력값'!AW75*'입력값'!C58*100</f>
      </c>
      <c r="AX34" s="29">
        <f>'입력값'!AX75*'입력값'!C58*100</f>
      </c>
      <c r="AY34" s="29">
        <f>'입력값'!AY75*'입력값'!C58*100</f>
      </c>
      <c r="AZ34" s="29">
        <f>'입력값'!AZ75*'입력값'!C58*100</f>
      </c>
      <c r="BA34" s="29">
        <f>'입력값'!BA75*'입력값'!C58*100</f>
      </c>
      <c r="BB34" s="29">
        <f>'입력값'!BB75*'입력값'!C58*100</f>
      </c>
      <c r="BC34" s="29">
        <f>'입력값'!BC75*'입력값'!C58*100</f>
      </c>
      <c r="BD34" s="29">
        <f>'입력값'!BD75*'입력값'!C58*100</f>
      </c>
      <c r="BE34" s="29">
        <f>'입력값'!BE75*'입력값'!C58*100</f>
      </c>
      <c r="BF34" s="29">
        <f>'입력값'!BF75*'입력값'!C58*100</f>
      </c>
      <c r="BG34" s="29">
        <f>'입력값'!BG75*'입력값'!C58*100</f>
      </c>
      <c r="BH34" s="29">
        <f>'입력값'!BH75*'입력값'!C58*100</f>
      </c>
      <c r="BI34" s="29">
        <f>'입력값'!BI75*'입력값'!C58*100</f>
      </c>
      <c r="BJ34" s="29">
        <f>'입력값'!BJ75*'입력값'!C58*100</f>
      </c>
      <c r="BK34" s="29">
        <f>'입력값'!BK75*'입력값'!C58*100</f>
      </c>
      <c r="BL34" s="29">
        <f>'입력값'!BL75*'입력값'!C58*100</f>
      </c>
      <c r="BM34" s="29">
        <f>'입력값'!BM75*'입력값'!C58*100</f>
      </c>
      <c r="BN34" s="29">
        <f>'입력값'!BN75*'입력값'!C58*100</f>
      </c>
      <c r="BO34" s="29">
        <f>'입력값'!BO75*'입력값'!C58*100</f>
      </c>
      <c r="BP34" s="29">
        <f>'입력값'!BP75*'입력값'!C58*100</f>
      </c>
      <c r="BQ34" s="29">
        <f>'입력값'!BQ75*'입력값'!C58*100</f>
      </c>
      <c r="BR34" s="29">
        <f>'입력값'!BR75*'입력값'!C58*100</f>
      </c>
      <c r="BS34" s="29">
        <f>'입력값'!BS75*'입력값'!C58*100</f>
      </c>
      <c r="BT34" s="29">
        <f>'입력값'!BT75*'입력값'!C58*100</f>
      </c>
      <c r="BU34" s="29">
        <f>'입력값'!BU75*'입력값'!C58*100</f>
      </c>
      <c r="BV34" s="29">
        <f>'입력값'!BV75*'입력값'!C58*100</f>
      </c>
      <c r="BW34" s="29">
        <f>'입력값'!BW75*'입력값'!C58*100</f>
      </c>
      <c r="BX34" s="29">
        <f>'입력값'!BX75*'입력값'!C58*100</f>
      </c>
      <c r="BY34" s="29">
        <f>'입력값'!BY75*'입력값'!C58*100</f>
      </c>
      <c r="BZ34" s="29">
        <v>0</v>
      </c>
      <c r="CA34" s="29">
        <v>0</v>
      </c>
      <c r="CB34" s="29">
        <v>0</v>
      </c>
      <c r="CC34" s="29">
        <v>0</v>
      </c>
      <c r="CD34" s="29">
        <v>0</v>
      </c>
      <c r="CE34" s="29">
        <v>0</v>
      </c>
      <c r="CF34" s="29">
        <v>0</v>
      </c>
      <c r="CG34" s="29">
        <v>0</v>
      </c>
      <c r="CH34" s="29">
        <v>0</v>
      </c>
      <c r="CI34" s="29">
        <v>0</v>
      </c>
      <c r="CJ34" s="29">
        <v>0</v>
      </c>
      <c r="CK34" s="29">
        <v>0</v>
      </c>
      <c r="CL34" s="29">
        <v>0</v>
      </c>
    </row>
    <row r="35" spans="2:90" x14ac:dyDescent="0.25">
      <c r="B35" s="42" t="s">
        <v>272</v>
      </c>
      <c r="C35" s="32" t="s">
        <v>228</v>
      </c>
      <c r="E35" s="14">
        <f>E30+E31-E34</f>
      </c>
      <c r="F35" s="14">
        <f>F30+F31-F34</f>
      </c>
      <c r="G35" s="14">
        <f>G30+G31-G34</f>
      </c>
      <c r="H35" s="14">
        <f>H30+H31-H34</f>
      </c>
      <c r="I35" s="14">
        <f>I30+I31-I34</f>
      </c>
      <c r="J35" s="14">
        <f>J30+J31-J34</f>
      </c>
      <c r="K35" s="14">
        <f>K30+K31-K34</f>
      </c>
      <c r="L35" s="14">
        <f>L30+L31-L34</f>
      </c>
      <c r="M35" s="14">
        <f>M30+M31-M34</f>
      </c>
      <c r="N35" s="14">
        <f>N30+N31-N34</f>
      </c>
      <c r="O35" s="14">
        <f>O30+O31-O34</f>
      </c>
      <c r="P35" s="14">
        <f>P30+P31-P34</f>
      </c>
      <c r="Q35" s="14">
        <f>Q30+Q31-Q34</f>
      </c>
      <c r="R35" s="14">
        <f>R30+R31-R34</f>
      </c>
      <c r="S35" s="14">
        <f>S30+S31-S34</f>
      </c>
      <c r="T35" s="14">
        <f>T30+T31-T34</f>
      </c>
      <c r="U35" s="14">
        <f>U30+U31-U34</f>
      </c>
      <c r="V35" s="14">
        <f>V30+V31-V34</f>
      </c>
      <c r="W35" s="14">
        <f>W30+W31-W34</f>
      </c>
      <c r="X35" s="14">
        <f>X30+X31-X34</f>
      </c>
      <c r="Y35" s="14">
        <f>Y30+Y31-Y34</f>
      </c>
      <c r="Z35" s="14">
        <f>Z30+Z31-Z34</f>
      </c>
      <c r="AA35" s="14">
        <f>AA30+AA31-AA34</f>
      </c>
      <c r="AB35" s="14">
        <f>AB30+AB31-AB34</f>
      </c>
      <c r="AC35" s="14">
        <f>AC30+AC31-AC34</f>
      </c>
      <c r="AD35" s="14">
        <f>AD30+AD31-AD34</f>
      </c>
      <c r="AE35" s="14">
        <f>AE30+AE31-AE34</f>
      </c>
      <c r="AF35" s="14">
        <f>AF30+AF31-AF34</f>
      </c>
      <c r="AG35" s="14">
        <f>AG30+AG31-AG34</f>
      </c>
      <c r="AH35" s="14">
        <f>AH30+AH31-AH34</f>
      </c>
      <c r="AI35" s="14">
        <f>AI30+AI31-AI34</f>
      </c>
      <c r="AJ35" s="14">
        <f>AJ30+AJ31-AJ34</f>
      </c>
      <c r="AK35" s="14">
        <f>AK30+AK31-AK34</f>
      </c>
      <c r="AL35" s="14">
        <f>AL30+AL31-AL34</f>
      </c>
      <c r="AM35" s="14">
        <f>AM30+AM31-AM34</f>
      </c>
      <c r="AN35" s="14">
        <f>AN30+AN31-AN34</f>
      </c>
      <c r="AO35" s="14">
        <f>AO30+AO31-AO34</f>
      </c>
      <c r="AP35" s="14">
        <f>AP30+AP31-AP34</f>
      </c>
      <c r="AQ35" s="14">
        <f>AQ30+AQ31-AQ34</f>
      </c>
      <c r="AR35" s="14">
        <f>AR30+AR31-AR34</f>
      </c>
      <c r="AS35" s="14">
        <f>AS30+AS31-AS34</f>
      </c>
      <c r="AT35" s="14">
        <f>AT30+AT31-AT34</f>
      </c>
      <c r="AU35" s="14">
        <f>AU30+AU31-AU34</f>
      </c>
      <c r="AV35" s="14">
        <f>AV30+AV31-AV34</f>
      </c>
      <c r="AW35" s="14">
        <f>AW30+AW31-AW34</f>
      </c>
      <c r="AX35" s="14">
        <f>AX30+AX31-AX34</f>
      </c>
      <c r="AY35" s="14">
        <f>AY30+AY31-AY34</f>
      </c>
      <c r="AZ35" s="14">
        <f>AZ30+AZ31-AZ34</f>
      </c>
      <c r="BA35" s="14">
        <f>BA30+BA31-BA34</f>
      </c>
      <c r="BB35" s="14">
        <f>BB30+BB31-BB34</f>
      </c>
      <c r="BC35" s="14">
        <f>BC30+BC31-BC34</f>
      </c>
      <c r="BD35" s="14">
        <f>BD30+BD31-BD34</f>
      </c>
      <c r="BE35" s="14">
        <f>BE30+BE31-BE34</f>
      </c>
      <c r="BF35" s="14">
        <f>BF30+BF31-BF34</f>
      </c>
      <c r="BG35" s="14">
        <f>BG30+BG31-BG34</f>
      </c>
      <c r="BH35" s="14">
        <f>BH30+BH31-BH34</f>
      </c>
      <c r="BI35" s="14">
        <f>BI30+BI31-BI34</f>
      </c>
      <c r="BJ35" s="14">
        <f>BJ30+BJ31-BJ34</f>
      </c>
      <c r="BK35" s="14">
        <f>BK30+BK31-BK34</f>
      </c>
      <c r="BL35" s="14">
        <f>BL30+BL31-BL34</f>
      </c>
      <c r="BM35" s="14">
        <f>BM30+BM31-BM34</f>
      </c>
      <c r="BN35" s="14">
        <f>BN30+BN31-BN34</f>
      </c>
      <c r="BO35" s="14">
        <f>BO30+BO31-BO34</f>
      </c>
      <c r="BP35" s="14">
        <f>BP30+BP31-BP34</f>
      </c>
      <c r="BQ35" s="14">
        <f>BQ30+BQ31-BQ34</f>
      </c>
      <c r="BR35" s="14">
        <f>BR30+BR31-BR34</f>
      </c>
      <c r="BS35" s="14">
        <f>BS30+BS31-BS34</f>
      </c>
      <c r="BT35" s="14">
        <f>BT30+BT31-BT34</f>
      </c>
      <c r="BU35" s="14">
        <f>BU30+BU31-BU34</f>
      </c>
      <c r="BV35" s="14">
        <f>BV30+BV31-BV34</f>
      </c>
      <c r="BW35" s="14">
        <f>BW30+BW31-BW34</f>
      </c>
      <c r="BX35" s="14">
        <f>BX30+BX31-BX34</f>
      </c>
      <c r="BY35" s="14">
        <f>BY30+BY31-BY34</f>
      </c>
      <c r="BZ35" s="14">
        <f>BZ30+BZ31-BZ34</f>
      </c>
      <c r="CA35" s="14">
        <f>CA30+CA31-CA34</f>
      </c>
      <c r="CB35" s="14">
        <f>CB30+CB31-CB34</f>
      </c>
      <c r="CC35" s="14">
        <f>CC30+CC31-CC34</f>
      </c>
      <c r="CD35" s="14">
        <f>CD30+CD31-CD34</f>
      </c>
      <c r="CE35" s="14">
        <f>CE30+CE31-CE34</f>
      </c>
      <c r="CF35" s="14">
        <f>CF30+CF31-CF34</f>
      </c>
      <c r="CG35" s="14">
        <f>CG30+CG31-CG34</f>
      </c>
      <c r="CH35" s="14">
        <f>CH30+CH31-CH34</f>
      </c>
      <c r="CI35" s="14">
        <f>CI30+CI31-CI34</f>
      </c>
      <c r="CJ35" s="14">
        <f>CJ30+CJ31-CJ34</f>
      </c>
      <c r="CK35" s="14">
        <f>CK30+CK31-CK34</f>
      </c>
      <c r="CL35" s="14">
        <f>CL30+CL31-CL34</f>
      </c>
    </row>
    <row r="36" spans="2:8" x14ac:dyDescent="0.25">
      <c r="B36" s="31" t="s">
        <v>273</v>
      </c>
      <c r="C36" s="32" t="s">
        <v>228</v>
      </c>
      <c r="D36" s="29">
        <f>CL35</f>
      </c>
      <c r="F36" s="28">
        <f>IF(ABS(D36)&lt;1,"완전상환 확인 (OK)","경고: 미상환 잔액")</f>
      </c>
      <c r="H36" s="45" t="s">
        <v>274</v>
      </c>
    </row>
    <row r="38" spans="2:91" x14ac:dyDescent="0.25">
      <c r="B38" s="43" t="s">
        <v>96</v>
      </c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</row>
    <row r="39" spans="2:90" x14ac:dyDescent="0.25">
      <c r="B39" s="31" t="s">
        <v>268</v>
      </c>
      <c r="C39" s="32" t="s">
        <v>228</v>
      </c>
      <c r="E39" s="29">
        <v>0</v>
      </c>
      <c r="F39" s="29">
        <f>E44</f>
      </c>
      <c r="G39" s="29">
        <f>F44</f>
      </c>
      <c r="H39" s="29">
        <f>G44</f>
      </c>
      <c r="I39" s="29">
        <f>H44</f>
      </c>
      <c r="J39" s="29">
        <f>I44</f>
      </c>
      <c r="K39" s="29">
        <f>J44</f>
      </c>
      <c r="L39" s="29">
        <f>K44</f>
      </c>
      <c r="M39" s="29">
        <f>L44</f>
      </c>
      <c r="N39" s="29">
        <f>M44</f>
      </c>
      <c r="O39" s="29">
        <f>N44</f>
      </c>
      <c r="P39" s="29">
        <f>O44</f>
      </c>
      <c r="Q39" s="29">
        <f>P44</f>
      </c>
      <c r="R39" s="29">
        <f>Q44</f>
      </c>
      <c r="S39" s="29">
        <f>R44</f>
      </c>
      <c r="T39" s="29">
        <f>S44</f>
      </c>
      <c r="U39" s="29">
        <f>T44</f>
      </c>
      <c r="V39" s="29">
        <f>U44</f>
      </c>
      <c r="W39" s="29">
        <f>V44</f>
      </c>
      <c r="X39" s="29">
        <f>W44</f>
      </c>
      <c r="Y39" s="29">
        <f>X44</f>
      </c>
      <c r="Z39" s="29">
        <f>Y44</f>
      </c>
      <c r="AA39" s="29">
        <f>Z44</f>
      </c>
      <c r="AB39" s="29">
        <f>AA44</f>
      </c>
      <c r="AC39" s="29">
        <f>AB44</f>
      </c>
      <c r="AD39" s="29">
        <f>AC44</f>
      </c>
      <c r="AE39" s="29">
        <f>AD44</f>
      </c>
      <c r="AF39" s="29">
        <f>AE44</f>
      </c>
      <c r="AG39" s="29">
        <f>AF44</f>
      </c>
      <c r="AH39" s="29">
        <f>AG44</f>
      </c>
      <c r="AI39" s="29">
        <f>AH44</f>
      </c>
      <c r="AJ39" s="29">
        <f>AI44</f>
      </c>
      <c r="AK39" s="29">
        <f>AJ44</f>
      </c>
      <c r="AL39" s="29">
        <f>AK44</f>
      </c>
      <c r="AM39" s="29">
        <f>AL44</f>
      </c>
      <c r="AN39" s="29">
        <f>AM44</f>
      </c>
      <c r="AO39" s="29">
        <f>AN44</f>
      </c>
      <c r="AP39" s="29">
        <f>AO44</f>
      </c>
      <c r="AQ39" s="29">
        <f>AP44</f>
      </c>
      <c r="AR39" s="29">
        <f>AQ44</f>
      </c>
      <c r="AS39" s="29">
        <f>AR44</f>
      </c>
      <c r="AT39" s="29">
        <f>AS44</f>
      </c>
      <c r="AU39" s="29">
        <f>AT44</f>
      </c>
      <c r="AV39" s="29">
        <f>AU44</f>
      </c>
      <c r="AW39" s="29">
        <f>AV44</f>
      </c>
      <c r="AX39" s="29">
        <f>AW44</f>
      </c>
      <c r="AY39" s="29">
        <f>AX44</f>
      </c>
      <c r="AZ39" s="29">
        <f>AY44</f>
      </c>
      <c r="BA39" s="29">
        <f>AZ44</f>
      </c>
      <c r="BB39" s="29">
        <f>BA44</f>
      </c>
      <c r="BC39" s="29">
        <f>BB44</f>
      </c>
      <c r="BD39" s="29">
        <f>BC44</f>
      </c>
      <c r="BE39" s="29">
        <f>BD44</f>
      </c>
      <c r="BF39" s="29">
        <f>BE44</f>
      </c>
      <c r="BG39" s="29">
        <f>BF44</f>
      </c>
      <c r="BH39" s="29">
        <f>BG44</f>
      </c>
      <c r="BI39" s="29">
        <f>BH44</f>
      </c>
      <c r="BJ39" s="29">
        <f>BI44</f>
      </c>
      <c r="BK39" s="29">
        <f>BJ44</f>
      </c>
      <c r="BL39" s="29">
        <f>BK44</f>
      </c>
      <c r="BM39" s="29">
        <f>BL44</f>
      </c>
      <c r="BN39" s="29">
        <f>BM44</f>
      </c>
      <c r="BO39" s="29">
        <f>BN44</f>
      </c>
      <c r="BP39" s="29">
        <f>BO44</f>
      </c>
      <c r="BQ39" s="29">
        <f>BP44</f>
      </c>
      <c r="BR39" s="29">
        <f>BQ44</f>
      </c>
      <c r="BS39" s="29">
        <f>BR44</f>
      </c>
      <c r="BT39" s="29">
        <f>BS44</f>
      </c>
      <c r="BU39" s="29">
        <f>BT44</f>
      </c>
      <c r="BV39" s="29">
        <f>BU44</f>
      </c>
      <c r="BW39" s="29">
        <f>BV44</f>
      </c>
      <c r="BX39" s="29">
        <f>BW44</f>
      </c>
      <c r="BY39" s="29">
        <f>BX44</f>
      </c>
      <c r="BZ39" s="29">
        <f>BY44</f>
      </c>
      <c r="CA39" s="29">
        <f>BZ44</f>
      </c>
      <c r="CB39" s="29">
        <f>CA44</f>
      </c>
      <c r="CC39" s="29">
        <f>CB44</f>
      </c>
      <c r="CD39" s="29">
        <f>CC44</f>
      </c>
      <c r="CE39" s="29">
        <f>CD44</f>
      </c>
      <c r="CF39" s="29">
        <f>CE44</f>
      </c>
      <c r="CG39" s="29">
        <f>CF44</f>
      </c>
      <c r="CH39" s="29">
        <f>CG44</f>
      </c>
      <c r="CI39" s="29">
        <f>CH44</f>
      </c>
      <c r="CJ39" s="29">
        <f>CI44</f>
      </c>
      <c r="CK39" s="29">
        <f>CJ44</f>
      </c>
      <c r="CL39" s="29">
        <f>CK44</f>
      </c>
    </row>
    <row r="40" spans="2:90" x14ac:dyDescent="0.25">
      <c r="B40" s="31" t="s">
        <v>269</v>
      </c>
      <c r="C40" s="32" t="s">
        <v>228</v>
      </c>
      <c r="D40" s="29">
        <f>SUM(E40:CL40)</f>
      </c>
      <c r="E40" s="29">
        <f>E19</f>
      </c>
      <c r="F40" s="29">
        <f>F19-E19</f>
      </c>
      <c r="G40" s="29">
        <f>G19-F19</f>
      </c>
      <c r="H40" s="29">
        <f>H19-G19</f>
      </c>
      <c r="I40" s="29">
        <f>I19-H19</f>
      </c>
      <c r="J40" s="29">
        <f>J19-I19</f>
      </c>
      <c r="K40" s="29">
        <f>K19-J19</f>
      </c>
      <c r="L40" s="29">
        <f>L19-K19</f>
      </c>
      <c r="M40" s="29">
        <f>M19-L19</f>
      </c>
      <c r="N40" s="29">
        <f>N19-M19</f>
      </c>
      <c r="O40" s="29">
        <f>O19-N19</f>
      </c>
      <c r="P40" s="29">
        <f>P19-O19</f>
      </c>
      <c r="Q40" s="29">
        <f>Q19-P19</f>
      </c>
      <c r="R40" s="29">
        <f>R19-Q19</f>
      </c>
      <c r="S40" s="29">
        <f>S19-R19</f>
      </c>
      <c r="T40" s="29">
        <f>T19-S19</f>
      </c>
      <c r="U40" s="29">
        <f>U19-T19</f>
      </c>
      <c r="V40" s="29">
        <f>V19-U19</f>
      </c>
      <c r="W40" s="29">
        <f>W19-V19</f>
      </c>
      <c r="X40" s="29">
        <f>X19-W19</f>
      </c>
      <c r="Y40" s="29">
        <f>Y19-X19</f>
      </c>
      <c r="Z40" s="29">
        <f>Z19-Y19</f>
      </c>
      <c r="AA40" s="29">
        <f>AA19-Z19</f>
      </c>
      <c r="AB40" s="29">
        <f>AB19-AA19</f>
      </c>
      <c r="AC40" s="29">
        <f>AC19-AB19</f>
      </c>
      <c r="AD40" s="29">
        <f>AD19-AC19</f>
      </c>
      <c r="AE40" s="29">
        <f>AE19-AD19</f>
      </c>
      <c r="AF40" s="29">
        <f>AF19-AE19</f>
      </c>
      <c r="AG40" s="29">
        <f>AG19-AF19</f>
      </c>
      <c r="AH40" s="29">
        <f>AH19-AG19</f>
      </c>
      <c r="AI40" s="29">
        <f>AI19-AH19</f>
      </c>
      <c r="AJ40" s="29">
        <f>AJ19-AI19</f>
      </c>
      <c r="AK40" s="29">
        <f>AK19-AJ19</f>
      </c>
      <c r="AL40" s="29">
        <f>AL19-AK19</f>
      </c>
      <c r="AM40" s="29">
        <f>AM19-AL19</f>
      </c>
      <c r="AN40" s="29">
        <f>AN19-AM19</f>
      </c>
      <c r="AO40" s="29">
        <f>AO19-AN19</f>
      </c>
      <c r="AP40" s="29">
        <f>AP19-AO19</f>
      </c>
      <c r="AQ40" s="29">
        <f>AQ19-AP19</f>
      </c>
      <c r="AR40" s="29">
        <f>AR19-AQ19</f>
      </c>
      <c r="AS40" s="29">
        <f>AS19-AR19</f>
      </c>
      <c r="AT40" s="29">
        <f>AT19-AS19</f>
      </c>
      <c r="AU40" s="29">
        <f>AU19-AT19</f>
      </c>
      <c r="AV40" s="29">
        <f>AV19-AU19</f>
      </c>
      <c r="AW40" s="29">
        <f>AW19-AV19</f>
      </c>
      <c r="AX40" s="29">
        <f>AX19-AW19</f>
      </c>
      <c r="AY40" s="29">
        <f>AY19-AX19</f>
      </c>
      <c r="AZ40" s="29">
        <f>AZ19-AY19</f>
      </c>
      <c r="BA40" s="29">
        <f>BA19-AZ19</f>
      </c>
      <c r="BB40" s="29">
        <f>BB19-BA19</f>
      </c>
      <c r="BC40" s="29">
        <f>BC19-BB19</f>
      </c>
      <c r="BD40" s="29">
        <f>BD19-BC19</f>
      </c>
      <c r="BE40" s="29">
        <f>BE19-BD19</f>
      </c>
      <c r="BF40" s="29">
        <f>BF19-BE19</f>
      </c>
      <c r="BG40" s="29">
        <f>BG19-BF19</f>
      </c>
      <c r="BH40" s="29">
        <f>BH19-BG19</f>
      </c>
      <c r="BI40" s="29">
        <f>BI19-BH19</f>
      </c>
      <c r="BJ40" s="29">
        <f>BJ19-BI19</f>
      </c>
      <c r="BK40" s="29">
        <f>BK19-BJ19</f>
      </c>
      <c r="BL40" s="29">
        <f>BL19-BK19</f>
      </c>
      <c r="BM40" s="29">
        <f>BM19-BL19</f>
      </c>
      <c r="BN40" s="29">
        <f>BN19-BM19</f>
      </c>
      <c r="BO40" s="29">
        <f>BO19-BN19</f>
      </c>
      <c r="BP40" s="29">
        <f>BP19-BO19</f>
      </c>
      <c r="BQ40" s="29">
        <f>BQ19-BP19</f>
      </c>
      <c r="BR40" s="29">
        <f>BR19-BQ19</f>
      </c>
      <c r="BS40" s="29">
        <f>BS19-BR19</f>
      </c>
      <c r="BT40" s="29">
        <f>BT19-BS19</f>
      </c>
      <c r="BU40" s="29">
        <f>BU19-BT19</f>
      </c>
      <c r="BV40" s="29">
        <f>BV19-BU19</f>
      </c>
      <c r="BW40" s="29">
        <f>BW19-BV19</f>
      </c>
      <c r="BX40" s="29">
        <f>BX19-BW19</f>
      </c>
      <c r="BY40" s="29">
        <f>BY19-BX19</f>
      </c>
      <c r="BZ40" s="29">
        <f>BZ19-BY19</f>
      </c>
      <c r="CA40" s="29">
        <f>CA19-BZ19</f>
      </c>
      <c r="CB40" s="29">
        <f>CB19-CA19</f>
      </c>
      <c r="CC40" s="29">
        <f>CC19-CB19</f>
      </c>
      <c r="CD40" s="29">
        <f>CD19-CC19</f>
      </c>
      <c r="CE40" s="29">
        <f>CE19-CD19</f>
      </c>
      <c r="CF40" s="29">
        <f>CF19-CE19</f>
      </c>
      <c r="CG40" s="29">
        <f>CG19-CF19</f>
      </c>
      <c r="CH40" s="29">
        <f>CH19-CG19</f>
      </c>
      <c r="CI40" s="29">
        <f>CI19-CH19</f>
      </c>
      <c r="CJ40" s="29">
        <f>CJ19-CI19</f>
      </c>
      <c r="CK40" s="29">
        <f>CK19-CJ19</f>
      </c>
      <c r="CL40" s="29">
        <f>CL19-CK19</f>
      </c>
    </row>
    <row r="41" spans="2:90" x14ac:dyDescent="0.25">
      <c r="B41" s="31" t="s">
        <v>244</v>
      </c>
      <c r="C41" s="32" t="s">
        <v>228</v>
      </c>
      <c r="D41" s="29">
        <f>SUM(E41:CL41)</f>
      </c>
      <c r="E41" s="29">
        <f>E11</f>
      </c>
      <c r="F41" s="29">
        <f>F11</f>
      </c>
      <c r="G41" s="29">
        <f>G11</f>
      </c>
      <c r="H41" s="29">
        <f>H11</f>
      </c>
      <c r="I41" s="29">
        <f>I11</f>
      </c>
      <c r="J41" s="29">
        <f>J11</f>
      </c>
      <c r="K41" s="29">
        <f>K11</f>
      </c>
      <c r="L41" s="29">
        <f>L11</f>
      </c>
      <c r="M41" s="29">
        <f>M11</f>
      </c>
      <c r="N41" s="29">
        <f>N11</f>
      </c>
      <c r="O41" s="29">
        <f>O11</f>
      </c>
      <c r="P41" s="29">
        <f>P11</f>
      </c>
      <c r="Q41" s="29">
        <f>Q11</f>
      </c>
      <c r="R41" s="29">
        <f>R11</f>
      </c>
      <c r="S41" s="29">
        <f>S11</f>
      </c>
      <c r="T41" s="29">
        <f>T11</f>
      </c>
      <c r="U41" s="29">
        <f>U11</f>
      </c>
      <c r="V41" s="29">
        <f>V11</f>
      </c>
      <c r="W41" s="29">
        <f>W11</f>
      </c>
      <c r="X41" s="29">
        <f>X11</f>
      </c>
      <c r="Y41" s="29">
        <f>Y11</f>
      </c>
      <c r="Z41" s="29">
        <f>Z11</f>
      </c>
      <c r="AA41" s="29">
        <f>AA11</f>
      </c>
      <c r="AB41" s="29">
        <f>AB11</f>
      </c>
      <c r="AC41" s="29">
        <f>AC11</f>
      </c>
      <c r="AD41" s="29">
        <f>AD11</f>
      </c>
      <c r="AE41" s="29">
        <f>AE11</f>
      </c>
      <c r="AF41" s="29">
        <f>AF11</f>
      </c>
      <c r="AG41" s="29">
        <f>AG11</f>
      </c>
      <c r="AH41" s="29">
        <f>AH11</f>
      </c>
      <c r="AI41" s="29">
        <f>AI11</f>
      </c>
      <c r="AJ41" s="29">
        <f>AJ11</f>
      </c>
      <c r="AK41" s="29">
        <f>AK11</f>
      </c>
      <c r="AL41" s="29">
        <f>AL11</f>
      </c>
      <c r="AM41" s="29">
        <f>AM11</f>
      </c>
      <c r="AN41" s="29">
        <f>AN11</f>
      </c>
      <c r="AO41" s="29">
        <f>AO11</f>
      </c>
      <c r="AP41" s="29">
        <f>AP11</f>
      </c>
      <c r="AQ41" s="29">
        <f>AQ11</f>
      </c>
      <c r="AR41" s="29">
        <f>AR11</f>
      </c>
      <c r="AS41" s="29">
        <f>AS11</f>
      </c>
      <c r="AT41" s="29">
        <f>AT11</f>
      </c>
      <c r="AU41" s="29">
        <f>AU11</f>
      </c>
      <c r="AV41" s="29">
        <f>AV11</f>
      </c>
      <c r="AW41" s="29">
        <f>AW11</f>
      </c>
      <c r="AX41" s="29">
        <f>AX11</f>
      </c>
      <c r="AY41" s="29">
        <f>AY11</f>
      </c>
      <c r="AZ41" s="29">
        <f>AZ11</f>
      </c>
      <c r="BA41" s="29">
        <f>BA11</f>
      </c>
      <c r="BB41" s="29">
        <f>BB11</f>
      </c>
      <c r="BC41" s="29">
        <f>BC11</f>
      </c>
      <c r="BD41" s="29">
        <f>BD11</f>
      </c>
      <c r="BE41" s="29">
        <f>BE11</f>
      </c>
      <c r="BF41" s="29">
        <f>BF11</f>
      </c>
      <c r="BG41" s="29">
        <f>BG11</f>
      </c>
      <c r="BH41" s="29">
        <f>BH11</f>
      </c>
      <c r="BI41" s="29">
        <f>BI11</f>
      </c>
      <c r="BJ41" s="29">
        <f>BJ11</f>
      </c>
      <c r="BK41" s="29">
        <f>BK11</f>
      </c>
      <c r="BL41" s="29">
        <f>BL11</f>
      </c>
      <c r="BM41" s="29">
        <f>BM11</f>
      </c>
      <c r="BN41" s="29">
        <f>BN11</f>
      </c>
      <c r="BO41" s="29">
        <f>BO11</f>
      </c>
      <c r="BP41" s="29">
        <f>BP11</f>
      </c>
      <c r="BQ41" s="29">
        <f>BQ11</f>
      </c>
      <c r="BR41" s="29">
        <f>BR11</f>
      </c>
      <c r="BS41" s="29">
        <f>BS11</f>
      </c>
      <c r="BT41" s="29">
        <f>BT11</f>
      </c>
      <c r="BU41" s="29">
        <f>BU11</f>
      </c>
      <c r="BV41" s="29">
        <f>BV11</f>
      </c>
      <c r="BW41" s="29">
        <f>BW11</f>
      </c>
      <c r="BX41" s="29">
        <f>BX11</f>
      </c>
      <c r="BY41" s="29">
        <f>BY11</f>
      </c>
      <c r="BZ41" s="29">
        <f>BZ11</f>
      </c>
      <c r="CA41" s="29">
        <f>CA11</f>
      </c>
      <c r="CB41" s="29">
        <f>CB11</f>
      </c>
      <c r="CC41" s="29">
        <f>CC11</f>
      </c>
      <c r="CD41" s="29">
        <f>CD11</f>
      </c>
      <c r="CE41" s="29">
        <f>CE11</f>
      </c>
      <c r="CF41" s="29">
        <f>CF11</f>
      </c>
      <c r="CG41" s="29">
        <f>CG11</f>
      </c>
      <c r="CH41" s="29">
        <f>CH11</f>
      </c>
      <c r="CI41" s="29">
        <f>CI11</f>
      </c>
      <c r="CJ41" s="29">
        <f>CJ11</f>
      </c>
      <c r="CK41" s="29">
        <f>CK11</f>
      </c>
      <c r="CL41" s="29">
        <f>CL11</f>
      </c>
    </row>
    <row r="42" spans="2:90" x14ac:dyDescent="0.25">
      <c r="B42" s="31" t="s">
        <v>270</v>
      </c>
      <c r="C42" s="32" t="s">
        <v>228</v>
      </c>
      <c r="D42" s="14">
        <f>SUM(E42:CL42)</f>
      </c>
      <c r="E42" s="29">
        <v>0</v>
      </c>
      <c r="F42" s="29">
        <v>0</v>
      </c>
      <c r="G42" s="29">
        <v>0</v>
      </c>
      <c r="H42" s="29">
        <v>0</v>
      </c>
      <c r="I42" s="29">
        <v>0</v>
      </c>
      <c r="J42" s="29">
        <v>0</v>
      </c>
      <c r="K42" s="29">
        <f>K39*'입력값'!E59/4</f>
      </c>
      <c r="L42" s="29">
        <f>L39*'입력값'!E59/4</f>
      </c>
      <c r="M42" s="29">
        <f>M39*'입력값'!E59/4</f>
      </c>
      <c r="N42" s="29">
        <f>N39*'입력값'!E59/4</f>
      </c>
      <c r="O42" s="29">
        <f>O39*'입력값'!E59/4</f>
      </c>
      <c r="P42" s="29">
        <f>P39*'입력값'!E59/4</f>
      </c>
      <c r="Q42" s="29">
        <f>Q39*'입력값'!E59/4</f>
      </c>
      <c r="R42" s="29">
        <f>R39*'입력값'!E59/4</f>
      </c>
      <c r="S42" s="29">
        <f>S39*'입력값'!E59/4</f>
      </c>
      <c r="T42" s="29">
        <f>T39*'입력값'!E59/4</f>
      </c>
      <c r="U42" s="29">
        <f>U39*'입력값'!E59/4</f>
      </c>
      <c r="V42" s="29">
        <f>V39*'입력값'!E59/4</f>
      </c>
      <c r="W42" s="29">
        <f>W39*'입력값'!E59/4</f>
      </c>
      <c r="X42" s="29">
        <f>X39*'입력값'!E59/4</f>
      </c>
      <c r="Y42" s="29">
        <f>Y39*'입력값'!E59/4</f>
      </c>
      <c r="Z42" s="29">
        <f>Z39*'입력값'!E59/4</f>
      </c>
      <c r="AA42" s="29">
        <f>AA39*'입력값'!E59/4</f>
      </c>
      <c r="AB42" s="29">
        <f>AB39*'입력값'!E59/4</f>
      </c>
      <c r="AC42" s="29">
        <f>AC39*'입력값'!E59/4</f>
      </c>
      <c r="AD42" s="29">
        <f>AD39*'입력값'!E59/4</f>
      </c>
      <c r="AE42" s="29">
        <f>AE39*'입력값'!E59/4</f>
      </c>
      <c r="AF42" s="29">
        <f>AF39*'입력값'!E59/4</f>
      </c>
      <c r="AG42" s="29">
        <f>AG39*'입력값'!E59/4</f>
      </c>
      <c r="AH42" s="29">
        <f>AH39*'입력값'!E59/4</f>
      </c>
      <c r="AI42" s="29">
        <f>AI39*'입력값'!E59/4</f>
      </c>
      <c r="AJ42" s="29">
        <f>AJ39*'입력값'!E59/4</f>
      </c>
      <c r="AK42" s="29">
        <f>AK39*'입력값'!E59/4</f>
      </c>
      <c r="AL42" s="29">
        <f>AL39*'입력값'!E59/4</f>
      </c>
      <c r="AM42" s="29">
        <f>AM39*'입력값'!E59/4</f>
      </c>
      <c r="AN42" s="29">
        <f>AN39*'입력값'!E59/4</f>
      </c>
      <c r="AO42" s="29">
        <f>AO39*'입력값'!E59/4</f>
      </c>
      <c r="AP42" s="29">
        <f>AP39*'입력값'!E59/4</f>
      </c>
      <c r="AQ42" s="29">
        <f>AQ39*'입력값'!E59/4</f>
      </c>
      <c r="AR42" s="29">
        <f>AR39*'입력값'!E59/4</f>
      </c>
      <c r="AS42" s="29">
        <f>AS39*'입력값'!E59/4</f>
      </c>
      <c r="AT42" s="29">
        <f>AT39*'입력값'!E59/4</f>
      </c>
      <c r="AU42" s="29">
        <f>AU39*'입력값'!E59/4</f>
      </c>
      <c r="AV42" s="29">
        <f>AV39*'입력값'!E59/4</f>
      </c>
      <c r="AW42" s="29">
        <f>AW39*'입력값'!E59/4</f>
      </c>
      <c r="AX42" s="29">
        <f>AX39*'입력값'!E59/4</f>
      </c>
      <c r="AY42" s="29">
        <f>AY39*'입력값'!E59/4</f>
      </c>
      <c r="AZ42" s="29">
        <f>AZ39*'입력값'!E59/4</f>
      </c>
      <c r="BA42" s="29">
        <f>BA39*'입력값'!E59/4</f>
      </c>
      <c r="BB42" s="29">
        <f>BB39*'입력값'!E59/4</f>
      </c>
      <c r="BC42" s="29">
        <f>BC39*'입력값'!E59/4</f>
      </c>
      <c r="BD42" s="29">
        <f>BD39*'입력값'!E59/4</f>
      </c>
      <c r="BE42" s="29">
        <f>BE39*'입력값'!E59/4</f>
      </c>
      <c r="BF42" s="29">
        <f>BF39*'입력값'!E59/4</f>
      </c>
      <c r="BG42" s="29">
        <f>BG39*'입력값'!E59/4</f>
      </c>
      <c r="BH42" s="29">
        <f>BH39*'입력값'!E59/4</f>
      </c>
      <c r="BI42" s="29">
        <f>BI39*'입력값'!E59/4</f>
      </c>
      <c r="BJ42" s="29">
        <f>BJ39*'입력값'!E59/4</f>
      </c>
      <c r="BK42" s="29">
        <f>BK39*'입력값'!E59/4</f>
      </c>
      <c r="BL42" s="29">
        <f>BL39*'입력값'!E59/4</f>
      </c>
      <c r="BM42" s="29">
        <f>BM39*'입력값'!E59/4</f>
      </c>
      <c r="BN42" s="29">
        <f>BN39*'입력값'!E59/4</f>
      </c>
      <c r="BO42" s="29">
        <f>BO39*'입력값'!E59/4</f>
      </c>
      <c r="BP42" s="29">
        <f>BP39*'입력값'!E59/4</f>
      </c>
      <c r="BQ42" s="29">
        <f>BQ39*'입력값'!E59/4</f>
      </c>
      <c r="BR42" s="29">
        <f>BR39*'입력값'!E59/4</f>
      </c>
      <c r="BS42" s="29">
        <f>BS39*'입력값'!E59/4</f>
      </c>
      <c r="BT42" s="29">
        <f>BT39*'입력값'!E59/4</f>
      </c>
      <c r="BU42" s="29">
        <f>BU39*'입력값'!E59/4</f>
      </c>
      <c r="BV42" s="29">
        <f>BV39*'입력값'!E59/4</f>
      </c>
      <c r="BW42" s="29">
        <f>BW39*'입력값'!E59/4</f>
      </c>
      <c r="BX42" s="29">
        <f>BX39*'입력값'!E59/4</f>
      </c>
      <c r="BY42" s="29">
        <f>BY39*'입력값'!E59/4</f>
      </c>
      <c r="BZ42" s="29">
        <f>BZ39*'입력값'!E59/4</f>
      </c>
      <c r="CA42" s="29">
        <f>CA39*'입력값'!E59/4</f>
      </c>
      <c r="CB42" s="29">
        <f>CB39*'입력값'!E59/4</f>
      </c>
      <c r="CC42" s="29">
        <f>CC39*'입력값'!E59/4</f>
      </c>
      <c r="CD42" s="29">
        <f>CD39*'입력값'!E59/4</f>
      </c>
      <c r="CE42" s="29">
        <f>CE39*'입력값'!E59/4</f>
      </c>
      <c r="CF42" s="29">
        <f>CF39*'입력값'!E59/4</f>
      </c>
      <c r="CG42" s="29">
        <f>CG39*'입력값'!E59/4</f>
      </c>
      <c r="CH42" s="29">
        <f>CH39*'입력값'!E59/4</f>
      </c>
      <c r="CI42" s="29">
        <f>CI39*'입력값'!E59/4</f>
      </c>
      <c r="CJ42" s="29">
        <f>CJ39*'입력값'!E59/4</f>
      </c>
      <c r="CK42" s="29">
        <f>CK39*'입력값'!E59/4</f>
      </c>
      <c r="CL42" s="29">
        <f>CL39*'입력값'!E59/4</f>
      </c>
    </row>
    <row r="43" spans="2:90" x14ac:dyDescent="0.25">
      <c r="B43" s="31" t="s">
        <v>271</v>
      </c>
      <c r="C43" s="32" t="s">
        <v>228</v>
      </c>
      <c r="D43" s="14">
        <f>SUM(E43:CL43)</f>
      </c>
      <c r="E43" s="29">
        <v>0</v>
      </c>
      <c r="F43" s="29">
        <v>0</v>
      </c>
      <c r="G43" s="29">
        <v>0</v>
      </c>
      <c r="H43" s="29">
        <v>0</v>
      </c>
      <c r="I43" s="29">
        <v>0</v>
      </c>
      <c r="J43" s="29">
        <v>0</v>
      </c>
      <c r="K43" s="29">
        <v>0</v>
      </c>
      <c r="L43" s="29">
        <v>0</v>
      </c>
      <c r="M43" s="29">
        <v>0</v>
      </c>
      <c r="N43" s="29">
        <f>'입력값'!N76*'입력값'!C59*100</f>
      </c>
      <c r="O43" s="29">
        <f>'입력값'!O76*'입력값'!C59*100</f>
      </c>
      <c r="P43" s="29">
        <f>'입력값'!P76*'입력값'!C59*100</f>
      </c>
      <c r="Q43" s="29">
        <f>'입력값'!Q76*'입력값'!C59*100</f>
      </c>
      <c r="R43" s="29">
        <f>'입력값'!R76*'입력값'!C59*100</f>
      </c>
      <c r="S43" s="29">
        <f>'입력값'!S76*'입력값'!C59*100</f>
      </c>
      <c r="T43" s="29">
        <f>'입력값'!T76*'입력값'!C59*100</f>
      </c>
      <c r="U43" s="29">
        <f>'입력값'!U76*'입력값'!C59*100</f>
      </c>
      <c r="V43" s="29">
        <f>'입력값'!V76*'입력값'!C59*100</f>
      </c>
      <c r="W43" s="29">
        <f>'입력값'!W76*'입력값'!C59*100</f>
      </c>
      <c r="X43" s="29">
        <f>'입력값'!X76*'입력값'!C59*100</f>
      </c>
      <c r="Y43" s="29">
        <f>'입력값'!Y76*'입력값'!C59*100</f>
      </c>
      <c r="Z43" s="29">
        <f>'입력값'!Z76*'입력값'!C59*100</f>
      </c>
      <c r="AA43" s="29">
        <f>'입력값'!AA76*'입력값'!C59*100</f>
      </c>
      <c r="AB43" s="29">
        <f>'입력값'!AB76*'입력값'!C59*100</f>
      </c>
      <c r="AC43" s="29">
        <f>'입력값'!AC76*'입력값'!C59*100</f>
      </c>
      <c r="AD43" s="29">
        <f>'입력값'!AD76*'입력값'!C59*100</f>
      </c>
      <c r="AE43" s="29">
        <f>'입력값'!AE76*'입력값'!C59*100</f>
      </c>
      <c r="AF43" s="29">
        <f>'입력값'!AF76*'입력값'!C59*100</f>
      </c>
      <c r="AG43" s="29">
        <f>'입력값'!AG76*'입력값'!C59*100</f>
      </c>
      <c r="AH43" s="29">
        <f>'입력값'!AH76*'입력값'!C59*100</f>
      </c>
      <c r="AI43" s="29">
        <f>'입력값'!AI76*'입력값'!C59*100</f>
      </c>
      <c r="AJ43" s="29">
        <f>'입력값'!AJ76*'입력값'!C59*100</f>
      </c>
      <c r="AK43" s="29">
        <f>'입력값'!AK76*'입력값'!C59*100</f>
      </c>
      <c r="AL43" s="29">
        <f>'입력값'!AL76*'입력값'!C59*100</f>
      </c>
      <c r="AM43" s="29">
        <f>'입력값'!AM76*'입력값'!C59*100</f>
      </c>
      <c r="AN43" s="29">
        <f>'입력값'!AN76*'입력값'!C59*100</f>
      </c>
      <c r="AO43" s="29">
        <f>'입력값'!AO76*'입력값'!C59*100</f>
      </c>
      <c r="AP43" s="29">
        <f>'입력값'!AP76*'입력값'!C59*100</f>
      </c>
      <c r="AQ43" s="29">
        <f>'입력값'!AQ76*'입력값'!C59*100</f>
      </c>
      <c r="AR43" s="29">
        <f>'입력값'!AR76*'입력값'!C59*100</f>
      </c>
      <c r="AS43" s="29">
        <f>'입력값'!AS76*'입력값'!C59*100</f>
      </c>
      <c r="AT43" s="29">
        <f>'입력값'!AT76*'입력값'!C59*100</f>
      </c>
      <c r="AU43" s="29">
        <f>'입력값'!AU76*'입력값'!C59*100</f>
      </c>
      <c r="AV43" s="29">
        <f>'입력값'!AV76*'입력값'!C59*100</f>
      </c>
      <c r="AW43" s="29">
        <f>'입력값'!AW76*'입력값'!C59*100</f>
      </c>
      <c r="AX43" s="29">
        <f>'입력값'!AX76*'입력값'!C59*100</f>
      </c>
      <c r="AY43" s="29">
        <f>'입력값'!AY76*'입력값'!C59*100</f>
      </c>
      <c r="AZ43" s="29">
        <f>'입력값'!AZ76*'입력값'!C59*100</f>
      </c>
      <c r="BA43" s="29">
        <f>'입력값'!BA76*'입력값'!C59*100</f>
      </c>
      <c r="BB43" s="29">
        <f>'입력값'!BB76*'입력값'!C59*100</f>
      </c>
      <c r="BC43" s="29">
        <f>'입력값'!BC76*'입력값'!C59*100</f>
      </c>
      <c r="BD43" s="29">
        <f>'입력값'!BD76*'입력값'!C59*100</f>
      </c>
      <c r="BE43" s="29">
        <f>'입력값'!BE76*'입력값'!C59*100</f>
      </c>
      <c r="BF43" s="29">
        <f>'입력값'!BF76*'입력값'!C59*100</f>
      </c>
      <c r="BG43" s="29">
        <f>'입력값'!BG76*'입력값'!C59*100</f>
      </c>
      <c r="BH43" s="29">
        <f>'입력값'!BH76*'입력값'!C59*100</f>
      </c>
      <c r="BI43" s="29">
        <f>'입력값'!BI76*'입력값'!C59*100</f>
      </c>
      <c r="BJ43" s="29">
        <f>'입력값'!BJ76*'입력값'!C59*100</f>
      </c>
      <c r="BK43" s="29">
        <f>'입력값'!BK76*'입력값'!C59*100</f>
      </c>
      <c r="BL43" s="29">
        <f>'입력값'!BL76*'입력값'!C59*100</f>
      </c>
      <c r="BM43" s="29">
        <f>'입력값'!BM76*'입력값'!C59*100</f>
      </c>
      <c r="BN43" s="29">
        <f>'입력값'!BN76*'입력값'!C59*100</f>
      </c>
      <c r="BO43" s="29">
        <f>'입력값'!BO76*'입력값'!C59*100</f>
      </c>
      <c r="BP43" s="29">
        <f>'입력값'!BP76*'입력값'!C59*100</f>
      </c>
      <c r="BQ43" s="29">
        <f>'입력값'!BQ76*'입력값'!C59*100</f>
      </c>
      <c r="BR43" s="29">
        <f>'입력값'!BR76*'입력값'!C59*100</f>
      </c>
      <c r="BS43" s="29">
        <f>'입력값'!BS76*'입력값'!C59*100</f>
      </c>
      <c r="BT43" s="29">
        <f>'입력값'!BT76*'입력값'!C59*100</f>
      </c>
      <c r="BU43" s="29">
        <f>'입력값'!BU76*'입력값'!C59*100</f>
      </c>
      <c r="BV43" s="29">
        <f>'입력값'!BV76*'입력값'!C59*100</f>
      </c>
      <c r="BW43" s="29">
        <f>'입력값'!BW76*'입력값'!C59*100</f>
      </c>
      <c r="BX43" s="29">
        <f>'입력값'!BX76*'입력값'!C59*100</f>
      </c>
      <c r="BY43" s="29">
        <f>'입력값'!BY76*'입력값'!C59*100</f>
      </c>
      <c r="BZ43" s="29">
        <v>0</v>
      </c>
      <c r="CA43" s="29">
        <v>0</v>
      </c>
      <c r="CB43" s="29">
        <v>0</v>
      </c>
      <c r="CC43" s="29">
        <v>0</v>
      </c>
      <c r="CD43" s="29">
        <v>0</v>
      </c>
      <c r="CE43" s="29">
        <v>0</v>
      </c>
      <c r="CF43" s="29">
        <v>0</v>
      </c>
      <c r="CG43" s="29">
        <v>0</v>
      </c>
      <c r="CH43" s="29">
        <v>0</v>
      </c>
      <c r="CI43" s="29">
        <v>0</v>
      </c>
      <c r="CJ43" s="29">
        <v>0</v>
      </c>
      <c r="CK43" s="29">
        <v>0</v>
      </c>
      <c r="CL43" s="29">
        <v>0</v>
      </c>
    </row>
    <row r="44" spans="2:90" x14ac:dyDescent="0.25">
      <c r="B44" s="42" t="s">
        <v>272</v>
      </c>
      <c r="C44" s="32" t="s">
        <v>228</v>
      </c>
      <c r="E44" s="14">
        <f>E39+E40-E43</f>
      </c>
      <c r="F44" s="14">
        <f>F39+F40-F43</f>
      </c>
      <c r="G44" s="14">
        <f>G39+G40-G43</f>
      </c>
      <c r="H44" s="14">
        <f>H39+H40-H43</f>
      </c>
      <c r="I44" s="14">
        <f>I39+I40-I43</f>
      </c>
      <c r="J44" s="14">
        <f>J39+J40-J43</f>
      </c>
      <c r="K44" s="14">
        <f>K39+K40-K43</f>
      </c>
      <c r="L44" s="14">
        <f>L39+L40-L43</f>
      </c>
      <c r="M44" s="14">
        <f>M39+M40-M43</f>
      </c>
      <c r="N44" s="14">
        <f>N39+N40-N43</f>
      </c>
      <c r="O44" s="14">
        <f>O39+O40-O43</f>
      </c>
      <c r="P44" s="14">
        <f>P39+P40-P43</f>
      </c>
      <c r="Q44" s="14">
        <f>Q39+Q40-Q43</f>
      </c>
      <c r="R44" s="14">
        <f>R39+R40-R43</f>
      </c>
      <c r="S44" s="14">
        <f>S39+S40-S43</f>
      </c>
      <c r="T44" s="14">
        <f>T39+T40-T43</f>
      </c>
      <c r="U44" s="14">
        <f>U39+U40-U43</f>
      </c>
      <c r="V44" s="14">
        <f>V39+V40-V43</f>
      </c>
      <c r="W44" s="14">
        <f>W39+W40-W43</f>
      </c>
      <c r="X44" s="14">
        <f>X39+X40-X43</f>
      </c>
      <c r="Y44" s="14">
        <f>Y39+Y40-Y43</f>
      </c>
      <c r="Z44" s="14">
        <f>Z39+Z40-Z43</f>
      </c>
      <c r="AA44" s="14">
        <f>AA39+AA40-AA43</f>
      </c>
      <c r="AB44" s="14">
        <f>AB39+AB40-AB43</f>
      </c>
      <c r="AC44" s="14">
        <f>AC39+AC40-AC43</f>
      </c>
      <c r="AD44" s="14">
        <f>AD39+AD40-AD43</f>
      </c>
      <c r="AE44" s="14">
        <f>AE39+AE40-AE43</f>
      </c>
      <c r="AF44" s="14">
        <f>AF39+AF40-AF43</f>
      </c>
      <c r="AG44" s="14">
        <f>AG39+AG40-AG43</f>
      </c>
      <c r="AH44" s="14">
        <f>AH39+AH40-AH43</f>
      </c>
      <c r="AI44" s="14">
        <f>AI39+AI40-AI43</f>
      </c>
      <c r="AJ44" s="14">
        <f>AJ39+AJ40-AJ43</f>
      </c>
      <c r="AK44" s="14">
        <f>AK39+AK40-AK43</f>
      </c>
      <c r="AL44" s="14">
        <f>AL39+AL40-AL43</f>
      </c>
      <c r="AM44" s="14">
        <f>AM39+AM40-AM43</f>
      </c>
      <c r="AN44" s="14">
        <f>AN39+AN40-AN43</f>
      </c>
      <c r="AO44" s="14">
        <f>AO39+AO40-AO43</f>
      </c>
      <c r="AP44" s="14">
        <f>AP39+AP40-AP43</f>
      </c>
      <c r="AQ44" s="14">
        <f>AQ39+AQ40-AQ43</f>
      </c>
      <c r="AR44" s="14">
        <f>AR39+AR40-AR43</f>
      </c>
      <c r="AS44" s="14">
        <f>AS39+AS40-AS43</f>
      </c>
      <c r="AT44" s="14">
        <f>AT39+AT40-AT43</f>
      </c>
      <c r="AU44" s="14">
        <f>AU39+AU40-AU43</f>
      </c>
      <c r="AV44" s="14">
        <f>AV39+AV40-AV43</f>
      </c>
      <c r="AW44" s="14">
        <f>AW39+AW40-AW43</f>
      </c>
      <c r="AX44" s="14">
        <f>AX39+AX40-AX43</f>
      </c>
      <c r="AY44" s="14">
        <f>AY39+AY40-AY43</f>
      </c>
      <c r="AZ44" s="14">
        <f>AZ39+AZ40-AZ43</f>
      </c>
      <c r="BA44" s="14">
        <f>BA39+BA40-BA43</f>
      </c>
      <c r="BB44" s="14">
        <f>BB39+BB40-BB43</f>
      </c>
      <c r="BC44" s="14">
        <f>BC39+BC40-BC43</f>
      </c>
      <c r="BD44" s="14">
        <f>BD39+BD40-BD43</f>
      </c>
      <c r="BE44" s="14">
        <f>BE39+BE40-BE43</f>
      </c>
      <c r="BF44" s="14">
        <f>BF39+BF40-BF43</f>
      </c>
      <c r="BG44" s="14">
        <f>BG39+BG40-BG43</f>
      </c>
      <c r="BH44" s="14">
        <f>BH39+BH40-BH43</f>
      </c>
      <c r="BI44" s="14">
        <f>BI39+BI40-BI43</f>
      </c>
      <c r="BJ44" s="14">
        <f>BJ39+BJ40-BJ43</f>
      </c>
      <c r="BK44" s="14">
        <f>BK39+BK40-BK43</f>
      </c>
      <c r="BL44" s="14">
        <f>BL39+BL40-BL43</f>
      </c>
      <c r="BM44" s="14">
        <f>BM39+BM40-BM43</f>
      </c>
      <c r="BN44" s="14">
        <f>BN39+BN40-BN43</f>
      </c>
      <c r="BO44" s="14">
        <f>BO39+BO40-BO43</f>
      </c>
      <c r="BP44" s="14">
        <f>BP39+BP40-BP43</f>
      </c>
      <c r="BQ44" s="14">
        <f>BQ39+BQ40-BQ43</f>
      </c>
      <c r="BR44" s="14">
        <f>BR39+BR40-BR43</f>
      </c>
      <c r="BS44" s="14">
        <f>BS39+BS40-BS43</f>
      </c>
      <c r="BT44" s="14">
        <f>BT39+BT40-BT43</f>
      </c>
      <c r="BU44" s="14">
        <f>BU39+BU40-BU43</f>
      </c>
      <c r="BV44" s="14">
        <f>BV39+BV40-BV43</f>
      </c>
      <c r="BW44" s="14">
        <f>BW39+BW40-BW43</f>
      </c>
      <c r="BX44" s="14">
        <f>BX39+BX40-BX43</f>
      </c>
      <c r="BY44" s="14">
        <f>BY39+BY40-BY43</f>
      </c>
      <c r="BZ44" s="14">
        <f>BZ39+BZ40-BZ43</f>
      </c>
      <c r="CA44" s="14">
        <f>CA39+CA40-CA43</f>
      </c>
      <c r="CB44" s="14">
        <f>CB39+CB40-CB43</f>
      </c>
      <c r="CC44" s="14">
        <f>CC39+CC40-CC43</f>
      </c>
      <c r="CD44" s="14">
        <f>CD39+CD40-CD43</f>
      </c>
      <c r="CE44" s="14">
        <f>CE39+CE40-CE43</f>
      </c>
      <c r="CF44" s="14">
        <f>CF39+CF40-CF43</f>
      </c>
      <c r="CG44" s="14">
        <f>CG39+CG40-CG43</f>
      </c>
      <c r="CH44" s="14">
        <f>CH39+CH40-CH43</f>
      </c>
      <c r="CI44" s="14">
        <f>CI39+CI40-CI43</f>
      </c>
      <c r="CJ44" s="14">
        <f>CJ39+CJ40-CJ43</f>
      </c>
      <c r="CK44" s="14">
        <f>CK39+CK40-CK43</f>
      </c>
      <c r="CL44" s="14">
        <f>CL39+CL40-CL43</f>
      </c>
    </row>
    <row r="45" spans="2:8" x14ac:dyDescent="0.25">
      <c r="B45" s="31" t="s">
        <v>273</v>
      </c>
      <c r="C45" s="32" t="s">
        <v>228</v>
      </c>
      <c r="D45" s="29">
        <f>CL44</f>
      </c>
      <c r="F45" s="28">
        <f>IF(ABS(D45)&lt;1,"완전상환 확인 (OK)","경고: 미상환 잔액")</f>
      </c>
      <c r="H45" s="45" t="s">
        <v>274</v>
      </c>
    </row>
    <row r="47" spans="2:91" x14ac:dyDescent="0.25">
      <c r="B47" s="43" t="s">
        <v>97</v>
      </c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</row>
    <row r="48" spans="2:90" x14ac:dyDescent="0.25">
      <c r="B48" s="31" t="s">
        <v>268</v>
      </c>
      <c r="C48" s="32" t="s">
        <v>228</v>
      </c>
      <c r="E48" s="29">
        <v>0</v>
      </c>
      <c r="F48" s="29">
        <f>E53</f>
      </c>
      <c r="G48" s="29">
        <f>F53</f>
      </c>
      <c r="H48" s="29">
        <f>G53</f>
      </c>
      <c r="I48" s="29">
        <f>H53</f>
      </c>
      <c r="J48" s="29">
        <f>I53</f>
      </c>
      <c r="K48" s="29">
        <f>J53</f>
      </c>
      <c r="L48" s="29">
        <f>K53</f>
      </c>
      <c r="M48" s="29">
        <f>L53</f>
      </c>
      <c r="N48" s="29">
        <f>M53</f>
      </c>
      <c r="O48" s="29">
        <f>N53</f>
      </c>
      <c r="P48" s="29">
        <f>O53</f>
      </c>
      <c r="Q48" s="29">
        <f>P53</f>
      </c>
      <c r="R48" s="29">
        <f>Q53</f>
      </c>
      <c r="S48" s="29">
        <f>R53</f>
      </c>
      <c r="T48" s="29">
        <f>S53</f>
      </c>
      <c r="U48" s="29">
        <f>T53</f>
      </c>
      <c r="V48" s="29">
        <f>U53</f>
      </c>
      <c r="W48" s="29">
        <f>V53</f>
      </c>
      <c r="X48" s="29">
        <f>W53</f>
      </c>
      <c r="Y48" s="29">
        <f>X53</f>
      </c>
      <c r="Z48" s="29">
        <f>Y53</f>
      </c>
      <c r="AA48" s="29">
        <f>Z53</f>
      </c>
      <c r="AB48" s="29">
        <f>AA53</f>
      </c>
      <c r="AC48" s="29">
        <f>AB53</f>
      </c>
      <c r="AD48" s="29">
        <f>AC53</f>
      </c>
      <c r="AE48" s="29">
        <f>AD53</f>
      </c>
      <c r="AF48" s="29">
        <f>AE53</f>
      </c>
      <c r="AG48" s="29">
        <f>AF53</f>
      </c>
      <c r="AH48" s="29">
        <f>AG53</f>
      </c>
      <c r="AI48" s="29">
        <f>AH53</f>
      </c>
      <c r="AJ48" s="29">
        <f>AI53</f>
      </c>
      <c r="AK48" s="29">
        <f>AJ53</f>
      </c>
      <c r="AL48" s="29">
        <f>AK53</f>
      </c>
      <c r="AM48" s="29">
        <f>AL53</f>
      </c>
      <c r="AN48" s="29">
        <f>AM53</f>
      </c>
      <c r="AO48" s="29">
        <f>AN53</f>
      </c>
      <c r="AP48" s="29">
        <f>AO53</f>
      </c>
      <c r="AQ48" s="29">
        <f>AP53</f>
      </c>
      <c r="AR48" s="29">
        <f>AQ53</f>
      </c>
      <c r="AS48" s="29">
        <f>AR53</f>
      </c>
      <c r="AT48" s="29">
        <f>AS53</f>
      </c>
      <c r="AU48" s="29">
        <f>AT53</f>
      </c>
      <c r="AV48" s="29">
        <f>AU53</f>
      </c>
      <c r="AW48" s="29">
        <f>AV53</f>
      </c>
      <c r="AX48" s="29">
        <f>AW53</f>
      </c>
      <c r="AY48" s="29">
        <f>AX53</f>
      </c>
      <c r="AZ48" s="29">
        <f>AY53</f>
      </c>
      <c r="BA48" s="29">
        <f>AZ53</f>
      </c>
      <c r="BB48" s="29">
        <f>BA53</f>
      </c>
      <c r="BC48" s="29">
        <f>BB53</f>
      </c>
      <c r="BD48" s="29">
        <f>BC53</f>
      </c>
      <c r="BE48" s="29">
        <f>BD53</f>
      </c>
      <c r="BF48" s="29">
        <f>BE53</f>
      </c>
      <c r="BG48" s="29">
        <f>BF53</f>
      </c>
      <c r="BH48" s="29">
        <f>BG53</f>
      </c>
      <c r="BI48" s="29">
        <f>BH53</f>
      </c>
      <c r="BJ48" s="29">
        <f>BI53</f>
      </c>
      <c r="BK48" s="29">
        <f>BJ53</f>
      </c>
      <c r="BL48" s="29">
        <f>BK53</f>
      </c>
      <c r="BM48" s="29">
        <f>BL53</f>
      </c>
      <c r="BN48" s="29">
        <f>BM53</f>
      </c>
      <c r="BO48" s="29">
        <f>BN53</f>
      </c>
      <c r="BP48" s="29">
        <f>BO53</f>
      </c>
      <c r="BQ48" s="29">
        <f>BP53</f>
      </c>
      <c r="BR48" s="29">
        <f>BQ53</f>
      </c>
      <c r="BS48" s="29">
        <f>BR53</f>
      </c>
      <c r="BT48" s="29">
        <f>BS53</f>
      </c>
      <c r="BU48" s="29">
        <f>BT53</f>
      </c>
      <c r="BV48" s="29">
        <f>BU53</f>
      </c>
      <c r="BW48" s="29">
        <f>BV53</f>
      </c>
      <c r="BX48" s="29">
        <f>BW53</f>
      </c>
      <c r="BY48" s="29">
        <f>BX53</f>
      </c>
      <c r="BZ48" s="29">
        <f>BY53</f>
      </c>
      <c r="CA48" s="29">
        <f>BZ53</f>
      </c>
      <c r="CB48" s="29">
        <f>CA53</f>
      </c>
      <c r="CC48" s="29">
        <f>CB53</f>
      </c>
      <c r="CD48" s="29">
        <f>CC53</f>
      </c>
      <c r="CE48" s="29">
        <f>CD53</f>
      </c>
      <c r="CF48" s="29">
        <f>CE53</f>
      </c>
      <c r="CG48" s="29">
        <f>CF53</f>
      </c>
      <c r="CH48" s="29">
        <f>CG53</f>
      </c>
      <c r="CI48" s="29">
        <f>CH53</f>
      </c>
      <c r="CJ48" s="29">
        <f>CI53</f>
      </c>
      <c r="CK48" s="29">
        <f>CJ53</f>
      </c>
      <c r="CL48" s="29">
        <f>CK53</f>
      </c>
    </row>
    <row r="49" spans="2:90" x14ac:dyDescent="0.25">
      <c r="B49" s="31" t="s">
        <v>269</v>
      </c>
      <c r="C49" s="32" t="s">
        <v>228</v>
      </c>
      <c r="D49" s="29">
        <f>SUM(E49:CL49)</f>
      </c>
      <c r="E49" s="29">
        <f>E20</f>
      </c>
      <c r="F49" s="29">
        <f>F20-E20</f>
      </c>
      <c r="G49" s="29">
        <f>G20-F20</f>
      </c>
      <c r="H49" s="29">
        <f>H20-G20</f>
      </c>
      <c r="I49" s="29">
        <f>I20-H20</f>
      </c>
      <c r="J49" s="29">
        <f>J20-I20</f>
      </c>
      <c r="K49" s="29">
        <f>K20-J20</f>
      </c>
      <c r="L49" s="29">
        <f>L20-K20</f>
      </c>
      <c r="M49" s="29">
        <f>M20-L20</f>
      </c>
      <c r="N49" s="29">
        <f>N20-M20</f>
      </c>
      <c r="O49" s="29">
        <f>O20-N20</f>
      </c>
      <c r="P49" s="29">
        <f>P20-O20</f>
      </c>
      <c r="Q49" s="29">
        <f>Q20-P20</f>
      </c>
      <c r="R49" s="29">
        <f>R20-Q20</f>
      </c>
      <c r="S49" s="29">
        <f>S20-R20</f>
      </c>
      <c r="T49" s="29">
        <f>T20-S20</f>
      </c>
      <c r="U49" s="29">
        <f>U20-T20</f>
      </c>
      <c r="V49" s="29">
        <f>V20-U20</f>
      </c>
      <c r="W49" s="29">
        <f>W20-V20</f>
      </c>
      <c r="X49" s="29">
        <f>X20-W20</f>
      </c>
      <c r="Y49" s="29">
        <f>Y20-X20</f>
      </c>
      <c r="Z49" s="29">
        <f>Z20-Y20</f>
      </c>
      <c r="AA49" s="29">
        <f>AA20-Z20</f>
      </c>
      <c r="AB49" s="29">
        <f>AB20-AA20</f>
      </c>
      <c r="AC49" s="29">
        <f>AC20-AB20</f>
      </c>
      <c r="AD49" s="29">
        <f>AD20-AC20</f>
      </c>
      <c r="AE49" s="29">
        <f>AE20-AD20</f>
      </c>
      <c r="AF49" s="29">
        <f>AF20-AE20</f>
      </c>
      <c r="AG49" s="29">
        <f>AG20-AF20</f>
      </c>
      <c r="AH49" s="29">
        <f>AH20-AG20</f>
      </c>
      <c r="AI49" s="29">
        <f>AI20-AH20</f>
      </c>
      <c r="AJ49" s="29">
        <f>AJ20-AI20</f>
      </c>
      <c r="AK49" s="29">
        <f>AK20-AJ20</f>
      </c>
      <c r="AL49" s="29">
        <f>AL20-AK20</f>
      </c>
      <c r="AM49" s="29">
        <f>AM20-AL20</f>
      </c>
      <c r="AN49" s="29">
        <f>AN20-AM20</f>
      </c>
      <c r="AO49" s="29">
        <f>AO20-AN20</f>
      </c>
      <c r="AP49" s="29">
        <f>AP20-AO20</f>
      </c>
      <c r="AQ49" s="29">
        <f>AQ20-AP20</f>
      </c>
      <c r="AR49" s="29">
        <f>AR20-AQ20</f>
      </c>
      <c r="AS49" s="29">
        <f>AS20-AR20</f>
      </c>
      <c r="AT49" s="29">
        <f>AT20-AS20</f>
      </c>
      <c r="AU49" s="29">
        <f>AU20-AT20</f>
      </c>
      <c r="AV49" s="29">
        <f>AV20-AU20</f>
      </c>
      <c r="AW49" s="29">
        <f>AW20-AV20</f>
      </c>
      <c r="AX49" s="29">
        <f>AX20-AW20</f>
      </c>
      <c r="AY49" s="29">
        <f>AY20-AX20</f>
      </c>
      <c r="AZ49" s="29">
        <f>AZ20-AY20</f>
      </c>
      <c r="BA49" s="29">
        <f>BA20-AZ20</f>
      </c>
      <c r="BB49" s="29">
        <f>BB20-BA20</f>
      </c>
      <c r="BC49" s="29">
        <f>BC20-BB20</f>
      </c>
      <c r="BD49" s="29">
        <f>BD20-BC20</f>
      </c>
      <c r="BE49" s="29">
        <f>BE20-BD20</f>
      </c>
      <c r="BF49" s="29">
        <f>BF20-BE20</f>
      </c>
      <c r="BG49" s="29">
        <f>BG20-BF20</f>
      </c>
      <c r="BH49" s="29">
        <f>BH20-BG20</f>
      </c>
      <c r="BI49" s="29">
        <f>BI20-BH20</f>
      </c>
      <c r="BJ49" s="29">
        <f>BJ20-BI20</f>
      </c>
      <c r="BK49" s="29">
        <f>BK20-BJ20</f>
      </c>
      <c r="BL49" s="29">
        <f>BL20-BK20</f>
      </c>
      <c r="BM49" s="29">
        <f>BM20-BL20</f>
      </c>
      <c r="BN49" s="29">
        <f>BN20-BM20</f>
      </c>
      <c r="BO49" s="29">
        <f>BO20-BN20</f>
      </c>
      <c r="BP49" s="29">
        <f>BP20-BO20</f>
      </c>
      <c r="BQ49" s="29">
        <f>BQ20-BP20</f>
      </c>
      <c r="BR49" s="29">
        <f>BR20-BQ20</f>
      </c>
      <c r="BS49" s="29">
        <f>BS20-BR20</f>
      </c>
      <c r="BT49" s="29">
        <f>BT20-BS20</f>
      </c>
      <c r="BU49" s="29">
        <f>BU20-BT20</f>
      </c>
      <c r="BV49" s="29">
        <f>BV20-BU20</f>
      </c>
      <c r="BW49" s="29">
        <f>BW20-BV20</f>
      </c>
      <c r="BX49" s="29">
        <f>BX20-BW20</f>
      </c>
      <c r="BY49" s="29">
        <f>BY20-BX20</f>
      </c>
      <c r="BZ49" s="29">
        <f>BZ20-BY20</f>
      </c>
      <c r="CA49" s="29">
        <f>CA20-BZ20</f>
      </c>
      <c r="CB49" s="29">
        <f>CB20-CA20</f>
      </c>
      <c r="CC49" s="29">
        <f>CC20-CB20</f>
      </c>
      <c r="CD49" s="29">
        <f>CD20-CC20</f>
      </c>
      <c r="CE49" s="29">
        <f>CE20-CD20</f>
      </c>
      <c r="CF49" s="29">
        <f>CF20-CE20</f>
      </c>
      <c r="CG49" s="29">
        <f>CG20-CF20</f>
      </c>
      <c r="CH49" s="29">
        <f>CH20-CG20</f>
      </c>
      <c r="CI49" s="29">
        <f>CI20-CH20</f>
      </c>
      <c r="CJ49" s="29">
        <f>CJ20-CI20</f>
      </c>
      <c r="CK49" s="29">
        <f>CK20-CJ20</f>
      </c>
      <c r="CL49" s="29">
        <f>CL20-CK20</f>
      </c>
    </row>
    <row r="50" spans="2:90" x14ac:dyDescent="0.25">
      <c r="B50" s="31" t="s">
        <v>244</v>
      </c>
      <c r="C50" s="32" t="s">
        <v>228</v>
      </c>
      <c r="D50" s="29">
        <f>SUM(E50:CL50)</f>
      </c>
      <c r="E50" s="29">
        <f>E12</f>
      </c>
      <c r="F50" s="29">
        <f>F12</f>
      </c>
      <c r="G50" s="29">
        <f>G12</f>
      </c>
      <c r="H50" s="29">
        <f>H12</f>
      </c>
      <c r="I50" s="29">
        <f>I12</f>
      </c>
      <c r="J50" s="29">
        <f>J12</f>
      </c>
      <c r="K50" s="29">
        <f>K12</f>
      </c>
      <c r="L50" s="29">
        <f>L12</f>
      </c>
      <c r="M50" s="29">
        <f>M12</f>
      </c>
      <c r="N50" s="29">
        <f>N12</f>
      </c>
      <c r="O50" s="29">
        <f>O12</f>
      </c>
      <c r="P50" s="29">
        <f>P12</f>
      </c>
      <c r="Q50" s="29">
        <f>Q12</f>
      </c>
      <c r="R50" s="29">
        <f>R12</f>
      </c>
      <c r="S50" s="29">
        <f>S12</f>
      </c>
      <c r="T50" s="29">
        <f>T12</f>
      </c>
      <c r="U50" s="29">
        <f>U12</f>
      </c>
      <c r="V50" s="29">
        <f>V12</f>
      </c>
      <c r="W50" s="29">
        <f>W12</f>
      </c>
      <c r="X50" s="29">
        <f>X12</f>
      </c>
      <c r="Y50" s="29">
        <f>Y12</f>
      </c>
      <c r="Z50" s="29">
        <f>Z12</f>
      </c>
      <c r="AA50" s="29">
        <f>AA12</f>
      </c>
      <c r="AB50" s="29">
        <f>AB12</f>
      </c>
      <c r="AC50" s="29">
        <f>AC12</f>
      </c>
      <c r="AD50" s="29">
        <f>AD12</f>
      </c>
      <c r="AE50" s="29">
        <f>AE12</f>
      </c>
      <c r="AF50" s="29">
        <f>AF12</f>
      </c>
      <c r="AG50" s="29">
        <f>AG12</f>
      </c>
      <c r="AH50" s="29">
        <f>AH12</f>
      </c>
      <c r="AI50" s="29">
        <f>AI12</f>
      </c>
      <c r="AJ50" s="29">
        <f>AJ12</f>
      </c>
      <c r="AK50" s="29">
        <f>AK12</f>
      </c>
      <c r="AL50" s="29">
        <f>AL12</f>
      </c>
      <c r="AM50" s="29">
        <f>AM12</f>
      </c>
      <c r="AN50" s="29">
        <f>AN12</f>
      </c>
      <c r="AO50" s="29">
        <f>AO12</f>
      </c>
      <c r="AP50" s="29">
        <f>AP12</f>
      </c>
      <c r="AQ50" s="29">
        <f>AQ12</f>
      </c>
      <c r="AR50" s="29">
        <f>AR12</f>
      </c>
      <c r="AS50" s="29">
        <f>AS12</f>
      </c>
      <c r="AT50" s="29">
        <f>AT12</f>
      </c>
      <c r="AU50" s="29">
        <f>AU12</f>
      </c>
      <c r="AV50" s="29">
        <f>AV12</f>
      </c>
      <c r="AW50" s="29">
        <f>AW12</f>
      </c>
      <c r="AX50" s="29">
        <f>AX12</f>
      </c>
      <c r="AY50" s="29">
        <f>AY12</f>
      </c>
      <c r="AZ50" s="29">
        <f>AZ12</f>
      </c>
      <c r="BA50" s="29">
        <f>BA12</f>
      </c>
      <c r="BB50" s="29">
        <f>BB12</f>
      </c>
      <c r="BC50" s="29">
        <f>BC12</f>
      </c>
      <c r="BD50" s="29">
        <f>BD12</f>
      </c>
      <c r="BE50" s="29">
        <f>BE12</f>
      </c>
      <c r="BF50" s="29">
        <f>BF12</f>
      </c>
      <c r="BG50" s="29">
        <f>BG12</f>
      </c>
      <c r="BH50" s="29">
        <f>BH12</f>
      </c>
      <c r="BI50" s="29">
        <f>BI12</f>
      </c>
      <c r="BJ50" s="29">
        <f>BJ12</f>
      </c>
      <c r="BK50" s="29">
        <f>BK12</f>
      </c>
      <c r="BL50" s="29">
        <f>BL12</f>
      </c>
      <c r="BM50" s="29">
        <f>BM12</f>
      </c>
      <c r="BN50" s="29">
        <f>BN12</f>
      </c>
      <c r="BO50" s="29">
        <f>BO12</f>
      </c>
      <c r="BP50" s="29">
        <f>BP12</f>
      </c>
      <c r="BQ50" s="29">
        <f>BQ12</f>
      </c>
      <c r="BR50" s="29">
        <f>BR12</f>
      </c>
      <c r="BS50" s="29">
        <f>BS12</f>
      </c>
      <c r="BT50" s="29">
        <f>BT12</f>
      </c>
      <c r="BU50" s="29">
        <f>BU12</f>
      </c>
      <c r="BV50" s="29">
        <f>BV12</f>
      </c>
      <c r="BW50" s="29">
        <f>BW12</f>
      </c>
      <c r="BX50" s="29">
        <f>BX12</f>
      </c>
      <c r="BY50" s="29">
        <f>BY12</f>
      </c>
      <c r="BZ50" s="29">
        <f>BZ12</f>
      </c>
      <c r="CA50" s="29">
        <f>CA12</f>
      </c>
      <c r="CB50" s="29">
        <f>CB12</f>
      </c>
      <c r="CC50" s="29">
        <f>CC12</f>
      </c>
      <c r="CD50" s="29">
        <f>CD12</f>
      </c>
      <c r="CE50" s="29">
        <f>CE12</f>
      </c>
      <c r="CF50" s="29">
        <f>CF12</f>
      </c>
      <c r="CG50" s="29">
        <f>CG12</f>
      </c>
      <c r="CH50" s="29">
        <f>CH12</f>
      </c>
      <c r="CI50" s="29">
        <f>CI12</f>
      </c>
      <c r="CJ50" s="29">
        <f>CJ12</f>
      </c>
      <c r="CK50" s="29">
        <f>CK12</f>
      </c>
      <c r="CL50" s="29">
        <f>CL12</f>
      </c>
    </row>
    <row r="51" spans="2:90" x14ac:dyDescent="0.25">
      <c r="B51" s="31" t="s">
        <v>270</v>
      </c>
      <c r="C51" s="32" t="s">
        <v>228</v>
      </c>
      <c r="D51" s="14">
        <f>SUM(E51:CL51)</f>
      </c>
      <c r="E51" s="29">
        <v>0</v>
      </c>
      <c r="F51" s="29">
        <v>0</v>
      </c>
      <c r="G51" s="29">
        <v>0</v>
      </c>
      <c r="H51" s="29">
        <v>0</v>
      </c>
      <c r="I51" s="29">
        <v>0</v>
      </c>
      <c r="J51" s="29">
        <v>0</v>
      </c>
      <c r="K51" s="29">
        <f>K48*'입력값'!E60/4</f>
      </c>
      <c r="L51" s="29">
        <f>L48*'입력값'!E60/4</f>
      </c>
      <c r="M51" s="29">
        <f>M48*'입력값'!E60/4</f>
      </c>
      <c r="N51" s="29">
        <f>N48*'입력값'!E60/4</f>
      </c>
      <c r="O51" s="29">
        <f>O48*'입력값'!E60/4</f>
      </c>
      <c r="P51" s="29">
        <f>P48*'입력값'!E60/4</f>
      </c>
      <c r="Q51" s="29">
        <f>Q48*'입력값'!E60/4</f>
      </c>
      <c r="R51" s="29">
        <f>R48*'입력값'!E60/4</f>
      </c>
      <c r="S51" s="29">
        <f>S48*'입력값'!E60/4</f>
      </c>
      <c r="T51" s="29">
        <f>T48*'입력값'!E60/4</f>
      </c>
      <c r="U51" s="29">
        <f>U48*'입력값'!E60/4</f>
      </c>
      <c r="V51" s="29">
        <f>V48*'입력값'!E60/4</f>
      </c>
      <c r="W51" s="29">
        <f>W48*'입력값'!E60/4</f>
      </c>
      <c r="X51" s="29">
        <f>X48*'입력값'!E60/4</f>
      </c>
      <c r="Y51" s="29">
        <f>Y48*'입력값'!E60/4</f>
      </c>
      <c r="Z51" s="29">
        <f>Z48*'입력값'!E60/4</f>
      </c>
      <c r="AA51" s="29">
        <f>AA48*'입력값'!E60/4</f>
      </c>
      <c r="AB51" s="29">
        <f>AB48*'입력값'!E60/4</f>
      </c>
      <c r="AC51" s="29">
        <f>AC48*'입력값'!E60/4</f>
      </c>
      <c r="AD51" s="29">
        <f>AD48*'입력값'!E60/4</f>
      </c>
      <c r="AE51" s="29">
        <f>AE48*'입력값'!E60/4</f>
      </c>
      <c r="AF51" s="29">
        <f>AF48*'입력값'!E60/4</f>
      </c>
      <c r="AG51" s="29">
        <f>AG48*'입력값'!E60/4</f>
      </c>
      <c r="AH51" s="29">
        <f>AH48*'입력값'!E60/4</f>
      </c>
      <c r="AI51" s="29">
        <f>AI48*'입력값'!E60/4</f>
      </c>
      <c r="AJ51" s="29">
        <f>AJ48*'입력값'!E60/4</f>
      </c>
      <c r="AK51" s="29">
        <f>AK48*'입력값'!E60/4</f>
      </c>
      <c r="AL51" s="29">
        <f>AL48*'입력값'!E60/4</f>
      </c>
      <c r="AM51" s="29">
        <f>AM48*'입력값'!E60/4</f>
      </c>
      <c r="AN51" s="29">
        <f>AN48*'입력값'!E60/4</f>
      </c>
      <c r="AO51" s="29">
        <f>AO48*'입력값'!E60/4</f>
      </c>
      <c r="AP51" s="29">
        <f>AP48*'입력값'!E60/4</f>
      </c>
      <c r="AQ51" s="29">
        <f>AQ48*'입력값'!E60/4</f>
      </c>
      <c r="AR51" s="29">
        <f>AR48*'입력값'!E60/4</f>
      </c>
      <c r="AS51" s="29">
        <f>AS48*'입력값'!E60/4</f>
      </c>
      <c r="AT51" s="29">
        <f>AT48*'입력값'!E60/4</f>
      </c>
      <c r="AU51" s="29">
        <f>AU48*'입력값'!E60/4</f>
      </c>
      <c r="AV51" s="29">
        <f>AV48*'입력값'!E60/4</f>
      </c>
      <c r="AW51" s="29">
        <f>AW48*'입력값'!E60/4</f>
      </c>
      <c r="AX51" s="29">
        <f>AX48*'입력값'!E60/4</f>
      </c>
      <c r="AY51" s="29">
        <f>AY48*'입력값'!E60/4</f>
      </c>
      <c r="AZ51" s="29">
        <f>AZ48*'입력값'!E60/4</f>
      </c>
      <c r="BA51" s="29">
        <f>BA48*'입력값'!E60/4</f>
      </c>
      <c r="BB51" s="29">
        <f>BB48*'입력값'!E60/4</f>
      </c>
      <c r="BC51" s="29">
        <f>BC48*'입력값'!E60/4</f>
      </c>
      <c r="BD51" s="29">
        <f>BD48*'입력값'!E60/4</f>
      </c>
      <c r="BE51" s="29">
        <f>BE48*'입력값'!E60/4</f>
      </c>
      <c r="BF51" s="29">
        <f>BF48*'입력값'!E60/4</f>
      </c>
      <c r="BG51" s="29">
        <f>BG48*'입력값'!E60/4</f>
      </c>
      <c r="BH51" s="29">
        <f>BH48*'입력값'!E60/4</f>
      </c>
      <c r="BI51" s="29">
        <f>BI48*'입력값'!E60/4</f>
      </c>
      <c r="BJ51" s="29">
        <f>BJ48*'입력값'!E60/4</f>
      </c>
      <c r="BK51" s="29">
        <f>BK48*'입력값'!E60/4</f>
      </c>
      <c r="BL51" s="29">
        <f>BL48*'입력값'!E60/4</f>
      </c>
      <c r="BM51" s="29">
        <f>BM48*'입력값'!E60/4</f>
      </c>
      <c r="BN51" s="29">
        <f>BN48*'입력값'!E60/4</f>
      </c>
      <c r="BO51" s="29">
        <f>BO48*'입력값'!E60/4</f>
      </c>
      <c r="BP51" s="29">
        <f>BP48*'입력값'!E60/4</f>
      </c>
      <c r="BQ51" s="29">
        <f>BQ48*'입력값'!E60/4</f>
      </c>
      <c r="BR51" s="29">
        <f>BR48*'입력값'!E60/4</f>
      </c>
      <c r="BS51" s="29">
        <f>BS48*'입력값'!E60/4</f>
      </c>
      <c r="BT51" s="29">
        <f>BT48*'입력값'!E60/4</f>
      </c>
      <c r="BU51" s="29">
        <f>BU48*'입력값'!E60/4</f>
      </c>
      <c r="BV51" s="29">
        <f>BV48*'입력값'!E60/4</f>
      </c>
      <c r="BW51" s="29">
        <f>BW48*'입력값'!E60/4</f>
      </c>
      <c r="BX51" s="29">
        <f>BX48*'입력값'!E60/4</f>
      </c>
      <c r="BY51" s="29">
        <f>BY48*'입력값'!E60/4</f>
      </c>
      <c r="BZ51" s="29">
        <f>BZ48*'입력값'!E60/4</f>
      </c>
      <c r="CA51" s="29">
        <f>CA48*'입력값'!E60/4</f>
      </c>
      <c r="CB51" s="29">
        <f>CB48*'입력값'!E60/4</f>
      </c>
      <c r="CC51" s="29">
        <f>CC48*'입력값'!E60/4</f>
      </c>
      <c r="CD51" s="29">
        <f>CD48*'입력값'!E60/4</f>
      </c>
      <c r="CE51" s="29">
        <f>CE48*'입력값'!E60/4</f>
      </c>
      <c r="CF51" s="29">
        <f>CF48*'입력값'!E60/4</f>
      </c>
      <c r="CG51" s="29">
        <f>CG48*'입력값'!E60/4</f>
      </c>
      <c r="CH51" s="29">
        <f>CH48*'입력값'!E60/4</f>
      </c>
      <c r="CI51" s="29">
        <f>CI48*'입력값'!E60/4</f>
      </c>
      <c r="CJ51" s="29">
        <f>CJ48*'입력값'!E60/4</f>
      </c>
      <c r="CK51" s="29">
        <f>CK48*'입력값'!E60/4</f>
      </c>
      <c r="CL51" s="29">
        <f>CL48*'입력값'!E60/4</f>
      </c>
    </row>
    <row r="52" spans="2:90" x14ac:dyDescent="0.25">
      <c r="B52" s="31" t="s">
        <v>271</v>
      </c>
      <c r="C52" s="32" t="s">
        <v>228</v>
      </c>
      <c r="D52" s="14">
        <f>SUM(E52:CL52)</f>
      </c>
      <c r="E52" s="29">
        <v>0</v>
      </c>
      <c r="F52" s="29">
        <v>0</v>
      </c>
      <c r="G52" s="29">
        <v>0</v>
      </c>
      <c r="H52" s="29">
        <v>0</v>
      </c>
      <c r="I52" s="29">
        <v>0</v>
      </c>
      <c r="J52" s="29">
        <v>0</v>
      </c>
      <c r="K52" s="29">
        <v>0</v>
      </c>
      <c r="L52" s="29">
        <v>0</v>
      </c>
      <c r="M52" s="29">
        <v>0</v>
      </c>
      <c r="N52" s="29">
        <f>'입력값'!N77*'입력값'!C60*100</f>
      </c>
      <c r="O52" s="29">
        <f>'입력값'!O77*'입력값'!C60*100</f>
      </c>
      <c r="P52" s="29">
        <f>'입력값'!P77*'입력값'!C60*100</f>
      </c>
      <c r="Q52" s="29">
        <f>'입력값'!Q77*'입력값'!C60*100</f>
      </c>
      <c r="R52" s="29">
        <f>'입력값'!R77*'입력값'!C60*100</f>
      </c>
      <c r="S52" s="29">
        <f>'입력값'!S77*'입력값'!C60*100</f>
      </c>
      <c r="T52" s="29">
        <f>'입력값'!T77*'입력값'!C60*100</f>
      </c>
      <c r="U52" s="29">
        <f>'입력값'!U77*'입력값'!C60*100</f>
      </c>
      <c r="V52" s="29">
        <f>'입력값'!V77*'입력값'!C60*100</f>
      </c>
      <c r="W52" s="29">
        <f>'입력값'!W77*'입력값'!C60*100</f>
      </c>
      <c r="X52" s="29">
        <f>'입력값'!X77*'입력값'!C60*100</f>
      </c>
      <c r="Y52" s="29">
        <f>'입력값'!Y77*'입력값'!C60*100</f>
      </c>
      <c r="Z52" s="29">
        <f>'입력값'!Z77*'입력값'!C60*100</f>
      </c>
      <c r="AA52" s="29">
        <f>'입력값'!AA77*'입력값'!C60*100</f>
      </c>
      <c r="AB52" s="29">
        <f>'입력값'!AB77*'입력값'!C60*100</f>
      </c>
      <c r="AC52" s="29">
        <f>'입력값'!AC77*'입력값'!C60*100</f>
      </c>
      <c r="AD52" s="29">
        <f>'입력값'!AD77*'입력값'!C60*100</f>
      </c>
      <c r="AE52" s="29">
        <f>'입력값'!AE77*'입력값'!C60*100</f>
      </c>
      <c r="AF52" s="29">
        <f>'입력값'!AF77*'입력값'!C60*100</f>
      </c>
      <c r="AG52" s="29">
        <f>'입력값'!AG77*'입력값'!C60*100</f>
      </c>
      <c r="AH52" s="29">
        <f>'입력값'!AH77*'입력값'!C60*100</f>
      </c>
      <c r="AI52" s="29">
        <f>'입력값'!AI77*'입력값'!C60*100</f>
      </c>
      <c r="AJ52" s="29">
        <f>'입력값'!AJ77*'입력값'!C60*100</f>
      </c>
      <c r="AK52" s="29">
        <f>'입력값'!AK77*'입력값'!C60*100</f>
      </c>
      <c r="AL52" s="29">
        <f>'입력값'!AL77*'입력값'!C60*100</f>
      </c>
      <c r="AM52" s="29">
        <f>'입력값'!AM77*'입력값'!C60*100</f>
      </c>
      <c r="AN52" s="29">
        <f>'입력값'!AN77*'입력값'!C60*100</f>
      </c>
      <c r="AO52" s="29">
        <f>'입력값'!AO77*'입력값'!C60*100</f>
      </c>
      <c r="AP52" s="29">
        <f>'입력값'!AP77*'입력값'!C60*100</f>
      </c>
      <c r="AQ52" s="29">
        <f>'입력값'!AQ77*'입력값'!C60*100</f>
      </c>
      <c r="AR52" s="29">
        <f>'입력값'!AR77*'입력값'!C60*100</f>
      </c>
      <c r="AS52" s="29">
        <f>'입력값'!AS77*'입력값'!C60*100</f>
      </c>
      <c r="AT52" s="29">
        <f>'입력값'!AT77*'입력값'!C60*100</f>
      </c>
      <c r="AU52" s="29">
        <f>'입력값'!AU77*'입력값'!C60*100</f>
      </c>
      <c r="AV52" s="29">
        <f>'입력값'!AV77*'입력값'!C60*100</f>
      </c>
      <c r="AW52" s="29">
        <f>'입력값'!AW77*'입력값'!C60*100</f>
      </c>
      <c r="AX52" s="29">
        <f>'입력값'!AX77*'입력값'!C60*100</f>
      </c>
      <c r="AY52" s="29">
        <f>'입력값'!AY77*'입력값'!C60*100</f>
      </c>
      <c r="AZ52" s="29">
        <f>'입력값'!AZ77*'입력값'!C60*100</f>
      </c>
      <c r="BA52" s="29">
        <f>'입력값'!BA77*'입력값'!C60*100</f>
      </c>
      <c r="BB52" s="29">
        <f>'입력값'!BB77*'입력값'!C60*100</f>
      </c>
      <c r="BC52" s="29">
        <f>'입력값'!BC77*'입력값'!C60*100</f>
      </c>
      <c r="BD52" s="29">
        <f>'입력값'!BD77*'입력값'!C60*100</f>
      </c>
      <c r="BE52" s="29">
        <f>'입력값'!BE77*'입력값'!C60*100</f>
      </c>
      <c r="BF52" s="29">
        <f>'입력값'!BF77*'입력값'!C60*100</f>
      </c>
      <c r="BG52" s="29">
        <f>'입력값'!BG77*'입력값'!C60*100</f>
      </c>
      <c r="BH52" s="29">
        <f>'입력값'!BH77*'입력값'!C60*100</f>
      </c>
      <c r="BI52" s="29">
        <f>'입력값'!BI77*'입력값'!C60*100</f>
      </c>
      <c r="BJ52" s="29">
        <f>'입력값'!BJ77*'입력값'!C60*100</f>
      </c>
      <c r="BK52" s="29">
        <f>'입력값'!BK77*'입력값'!C60*100</f>
      </c>
      <c r="BL52" s="29">
        <f>'입력값'!BL77*'입력값'!C60*100</f>
      </c>
      <c r="BM52" s="29">
        <f>'입력값'!BM77*'입력값'!C60*100</f>
      </c>
      <c r="BN52" s="29">
        <f>'입력값'!BN77*'입력값'!C60*100</f>
      </c>
      <c r="BO52" s="29">
        <f>'입력값'!BO77*'입력값'!C60*100</f>
      </c>
      <c r="BP52" s="29">
        <f>'입력값'!BP77*'입력값'!C60*100</f>
      </c>
      <c r="BQ52" s="29">
        <f>'입력값'!BQ77*'입력값'!C60*100</f>
      </c>
      <c r="BR52" s="29">
        <f>'입력값'!BR77*'입력값'!C60*100</f>
      </c>
      <c r="BS52" s="29">
        <f>'입력값'!BS77*'입력값'!C60*100</f>
      </c>
      <c r="BT52" s="29">
        <f>'입력값'!BT77*'입력값'!C60*100</f>
      </c>
      <c r="BU52" s="29">
        <f>'입력값'!BU77*'입력값'!C60*100</f>
      </c>
      <c r="BV52" s="29">
        <f>'입력값'!BV77*'입력값'!C60*100</f>
      </c>
      <c r="BW52" s="29">
        <f>'입력값'!BW77*'입력값'!C60*100</f>
      </c>
      <c r="BX52" s="29">
        <f>'입력값'!BX77*'입력값'!C60*100</f>
      </c>
      <c r="BY52" s="29">
        <f>'입력값'!BY77*'입력값'!C60*100</f>
      </c>
      <c r="BZ52" s="29">
        <v>0</v>
      </c>
      <c r="CA52" s="29">
        <v>0</v>
      </c>
      <c r="CB52" s="29">
        <v>0</v>
      </c>
      <c r="CC52" s="29">
        <v>0</v>
      </c>
      <c r="CD52" s="29">
        <v>0</v>
      </c>
      <c r="CE52" s="29">
        <v>0</v>
      </c>
      <c r="CF52" s="29">
        <v>0</v>
      </c>
      <c r="CG52" s="29">
        <v>0</v>
      </c>
      <c r="CH52" s="29">
        <v>0</v>
      </c>
      <c r="CI52" s="29">
        <v>0</v>
      </c>
      <c r="CJ52" s="29">
        <v>0</v>
      </c>
      <c r="CK52" s="29">
        <v>0</v>
      </c>
      <c r="CL52" s="29">
        <v>0</v>
      </c>
    </row>
    <row r="53" spans="2:90" x14ac:dyDescent="0.25">
      <c r="B53" s="42" t="s">
        <v>272</v>
      </c>
      <c r="C53" s="32" t="s">
        <v>228</v>
      </c>
      <c r="E53" s="14">
        <f>E48+E49-E52</f>
      </c>
      <c r="F53" s="14">
        <f>F48+F49-F52</f>
      </c>
      <c r="G53" s="14">
        <f>G48+G49-G52</f>
      </c>
      <c r="H53" s="14">
        <f>H48+H49-H52</f>
      </c>
      <c r="I53" s="14">
        <f>I48+I49-I52</f>
      </c>
      <c r="J53" s="14">
        <f>J48+J49-J52</f>
      </c>
      <c r="K53" s="14">
        <f>K48+K49-K52</f>
      </c>
      <c r="L53" s="14">
        <f>L48+L49-L52</f>
      </c>
      <c r="M53" s="14">
        <f>M48+M49-M52</f>
      </c>
      <c r="N53" s="14">
        <f>N48+N49-N52</f>
      </c>
      <c r="O53" s="14">
        <f>O48+O49-O52</f>
      </c>
      <c r="P53" s="14">
        <f>P48+P49-P52</f>
      </c>
      <c r="Q53" s="14">
        <f>Q48+Q49-Q52</f>
      </c>
      <c r="R53" s="14">
        <f>R48+R49-R52</f>
      </c>
      <c r="S53" s="14">
        <f>S48+S49-S52</f>
      </c>
      <c r="T53" s="14">
        <f>T48+T49-T52</f>
      </c>
      <c r="U53" s="14">
        <f>U48+U49-U52</f>
      </c>
      <c r="V53" s="14">
        <f>V48+V49-V52</f>
      </c>
      <c r="W53" s="14">
        <f>W48+W49-W52</f>
      </c>
      <c r="X53" s="14">
        <f>X48+X49-X52</f>
      </c>
      <c r="Y53" s="14">
        <f>Y48+Y49-Y52</f>
      </c>
      <c r="Z53" s="14">
        <f>Z48+Z49-Z52</f>
      </c>
      <c r="AA53" s="14">
        <f>AA48+AA49-AA52</f>
      </c>
      <c r="AB53" s="14">
        <f>AB48+AB49-AB52</f>
      </c>
      <c r="AC53" s="14">
        <f>AC48+AC49-AC52</f>
      </c>
      <c r="AD53" s="14">
        <f>AD48+AD49-AD52</f>
      </c>
      <c r="AE53" s="14">
        <f>AE48+AE49-AE52</f>
      </c>
      <c r="AF53" s="14">
        <f>AF48+AF49-AF52</f>
      </c>
      <c r="AG53" s="14">
        <f>AG48+AG49-AG52</f>
      </c>
      <c r="AH53" s="14">
        <f>AH48+AH49-AH52</f>
      </c>
      <c r="AI53" s="14">
        <f>AI48+AI49-AI52</f>
      </c>
      <c r="AJ53" s="14">
        <f>AJ48+AJ49-AJ52</f>
      </c>
      <c r="AK53" s="14">
        <f>AK48+AK49-AK52</f>
      </c>
      <c r="AL53" s="14">
        <f>AL48+AL49-AL52</f>
      </c>
      <c r="AM53" s="14">
        <f>AM48+AM49-AM52</f>
      </c>
      <c r="AN53" s="14">
        <f>AN48+AN49-AN52</f>
      </c>
      <c r="AO53" s="14">
        <f>AO48+AO49-AO52</f>
      </c>
      <c r="AP53" s="14">
        <f>AP48+AP49-AP52</f>
      </c>
      <c r="AQ53" s="14">
        <f>AQ48+AQ49-AQ52</f>
      </c>
      <c r="AR53" s="14">
        <f>AR48+AR49-AR52</f>
      </c>
      <c r="AS53" s="14">
        <f>AS48+AS49-AS52</f>
      </c>
      <c r="AT53" s="14">
        <f>AT48+AT49-AT52</f>
      </c>
      <c r="AU53" s="14">
        <f>AU48+AU49-AU52</f>
      </c>
      <c r="AV53" s="14">
        <f>AV48+AV49-AV52</f>
      </c>
      <c r="AW53" s="14">
        <f>AW48+AW49-AW52</f>
      </c>
      <c r="AX53" s="14">
        <f>AX48+AX49-AX52</f>
      </c>
      <c r="AY53" s="14">
        <f>AY48+AY49-AY52</f>
      </c>
      <c r="AZ53" s="14">
        <f>AZ48+AZ49-AZ52</f>
      </c>
      <c r="BA53" s="14">
        <f>BA48+BA49-BA52</f>
      </c>
      <c r="BB53" s="14">
        <f>BB48+BB49-BB52</f>
      </c>
      <c r="BC53" s="14">
        <f>BC48+BC49-BC52</f>
      </c>
      <c r="BD53" s="14">
        <f>BD48+BD49-BD52</f>
      </c>
      <c r="BE53" s="14">
        <f>BE48+BE49-BE52</f>
      </c>
      <c r="BF53" s="14">
        <f>BF48+BF49-BF52</f>
      </c>
      <c r="BG53" s="14">
        <f>BG48+BG49-BG52</f>
      </c>
      <c r="BH53" s="14">
        <f>BH48+BH49-BH52</f>
      </c>
      <c r="BI53" s="14">
        <f>BI48+BI49-BI52</f>
      </c>
      <c r="BJ53" s="14">
        <f>BJ48+BJ49-BJ52</f>
      </c>
      <c r="BK53" s="14">
        <f>BK48+BK49-BK52</f>
      </c>
      <c r="BL53" s="14">
        <f>BL48+BL49-BL52</f>
      </c>
      <c r="BM53" s="14">
        <f>BM48+BM49-BM52</f>
      </c>
      <c r="BN53" s="14">
        <f>BN48+BN49-BN52</f>
      </c>
      <c r="BO53" s="14">
        <f>BO48+BO49-BO52</f>
      </c>
      <c r="BP53" s="14">
        <f>BP48+BP49-BP52</f>
      </c>
      <c r="BQ53" s="14">
        <f>BQ48+BQ49-BQ52</f>
      </c>
      <c r="BR53" s="14">
        <f>BR48+BR49-BR52</f>
      </c>
      <c r="BS53" s="14">
        <f>BS48+BS49-BS52</f>
      </c>
      <c r="BT53" s="14">
        <f>BT48+BT49-BT52</f>
      </c>
      <c r="BU53" s="14">
        <f>BU48+BU49-BU52</f>
      </c>
      <c r="BV53" s="14">
        <f>BV48+BV49-BV52</f>
      </c>
      <c r="BW53" s="14">
        <f>BW48+BW49-BW52</f>
      </c>
      <c r="BX53" s="14">
        <f>BX48+BX49-BX52</f>
      </c>
      <c r="BY53" s="14">
        <f>BY48+BY49-BY52</f>
      </c>
      <c r="BZ53" s="14">
        <f>BZ48+BZ49-BZ52</f>
      </c>
      <c r="CA53" s="14">
        <f>CA48+CA49-CA52</f>
      </c>
      <c r="CB53" s="14">
        <f>CB48+CB49-CB52</f>
      </c>
      <c r="CC53" s="14">
        <f>CC48+CC49-CC52</f>
      </c>
      <c r="CD53" s="14">
        <f>CD48+CD49-CD52</f>
      </c>
      <c r="CE53" s="14">
        <f>CE48+CE49-CE52</f>
      </c>
      <c r="CF53" s="14">
        <f>CF48+CF49-CF52</f>
      </c>
      <c r="CG53" s="14">
        <f>CG48+CG49-CG52</f>
      </c>
      <c r="CH53" s="14">
        <f>CH48+CH49-CH52</f>
      </c>
      <c r="CI53" s="14">
        <f>CI48+CI49-CI52</f>
      </c>
      <c r="CJ53" s="14">
        <f>CJ48+CJ49-CJ52</f>
      </c>
      <c r="CK53" s="14">
        <f>CK48+CK49-CK52</f>
      </c>
      <c r="CL53" s="14">
        <f>CL48+CL49-CL52</f>
      </c>
    </row>
    <row r="54" spans="2:8" x14ac:dyDescent="0.25">
      <c r="B54" s="31" t="s">
        <v>273</v>
      </c>
      <c r="C54" s="32" t="s">
        <v>228</v>
      </c>
      <c r="D54" s="29">
        <f>CL53</f>
      </c>
      <c r="F54" s="28">
        <f>IF(ABS(D54)&lt;1,"완전상환 확인 (OK)","경고: 미상환 잔액")</f>
      </c>
      <c r="H54" s="45" t="s">
        <v>274</v>
      </c>
    </row>
    <row r="56" spans="2:91" x14ac:dyDescent="0.25">
      <c r="B56" s="43" t="s">
        <v>98</v>
      </c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</row>
    <row r="57" spans="2:90" x14ac:dyDescent="0.25">
      <c r="B57" s="31" t="s">
        <v>268</v>
      </c>
      <c r="C57" s="32" t="s">
        <v>228</v>
      </c>
      <c r="E57" s="29">
        <v>0</v>
      </c>
      <c r="F57" s="29">
        <f>E62</f>
      </c>
      <c r="G57" s="29">
        <f>F62</f>
      </c>
      <c r="H57" s="29">
        <f>G62</f>
      </c>
      <c r="I57" s="29">
        <f>H62</f>
      </c>
      <c r="J57" s="29">
        <f>I62</f>
      </c>
      <c r="K57" s="29">
        <f>J62</f>
      </c>
      <c r="L57" s="29">
        <f>K62</f>
      </c>
      <c r="M57" s="29">
        <f>L62</f>
      </c>
      <c r="N57" s="29">
        <f>M62</f>
      </c>
      <c r="O57" s="29">
        <f>N62</f>
      </c>
      <c r="P57" s="29">
        <f>O62</f>
      </c>
      <c r="Q57" s="29">
        <f>P62</f>
      </c>
      <c r="R57" s="29">
        <f>Q62</f>
      </c>
      <c r="S57" s="29">
        <f>R62</f>
      </c>
      <c r="T57" s="29">
        <f>S62</f>
      </c>
      <c r="U57" s="29">
        <f>T62</f>
      </c>
      <c r="V57" s="29">
        <f>U62</f>
      </c>
      <c r="W57" s="29">
        <f>V62</f>
      </c>
      <c r="X57" s="29">
        <f>W62</f>
      </c>
      <c r="Y57" s="29">
        <f>X62</f>
      </c>
      <c r="Z57" s="29">
        <f>Y62</f>
      </c>
      <c r="AA57" s="29">
        <f>Z62</f>
      </c>
      <c r="AB57" s="29">
        <f>AA62</f>
      </c>
      <c r="AC57" s="29">
        <f>AB62</f>
      </c>
      <c r="AD57" s="29">
        <f>AC62</f>
      </c>
      <c r="AE57" s="29">
        <f>AD62</f>
      </c>
      <c r="AF57" s="29">
        <f>AE62</f>
      </c>
      <c r="AG57" s="29">
        <f>AF62</f>
      </c>
      <c r="AH57" s="29">
        <f>AG62</f>
      </c>
      <c r="AI57" s="29">
        <f>AH62</f>
      </c>
      <c r="AJ57" s="29">
        <f>AI62</f>
      </c>
      <c r="AK57" s="29">
        <f>AJ62</f>
      </c>
      <c r="AL57" s="29">
        <f>AK62</f>
      </c>
      <c r="AM57" s="29">
        <f>AL62</f>
      </c>
      <c r="AN57" s="29">
        <f>AM62</f>
      </c>
      <c r="AO57" s="29">
        <f>AN62</f>
      </c>
      <c r="AP57" s="29">
        <f>AO62</f>
      </c>
      <c r="AQ57" s="29">
        <f>AP62</f>
      </c>
      <c r="AR57" s="29">
        <f>AQ62</f>
      </c>
      <c r="AS57" s="29">
        <f>AR62</f>
      </c>
      <c r="AT57" s="29">
        <f>AS62</f>
      </c>
      <c r="AU57" s="29">
        <f>AT62</f>
      </c>
      <c r="AV57" s="29">
        <f>AU62</f>
      </c>
      <c r="AW57" s="29">
        <f>AV62</f>
      </c>
      <c r="AX57" s="29">
        <f>AW62</f>
      </c>
      <c r="AY57" s="29">
        <f>AX62</f>
      </c>
      <c r="AZ57" s="29">
        <f>AY62</f>
      </c>
      <c r="BA57" s="29">
        <f>AZ62</f>
      </c>
      <c r="BB57" s="29">
        <f>BA62</f>
      </c>
      <c r="BC57" s="29">
        <f>BB62</f>
      </c>
      <c r="BD57" s="29">
        <f>BC62</f>
      </c>
      <c r="BE57" s="29">
        <f>BD62</f>
      </c>
      <c r="BF57" s="29">
        <f>BE62</f>
      </c>
      <c r="BG57" s="29">
        <f>BF62</f>
      </c>
      <c r="BH57" s="29">
        <f>BG62</f>
      </c>
      <c r="BI57" s="29">
        <f>BH62</f>
      </c>
      <c r="BJ57" s="29">
        <f>BI62</f>
      </c>
      <c r="BK57" s="29">
        <f>BJ62</f>
      </c>
      <c r="BL57" s="29">
        <f>BK62</f>
      </c>
      <c r="BM57" s="29">
        <f>BL62</f>
      </c>
      <c r="BN57" s="29">
        <f>BM62</f>
      </c>
      <c r="BO57" s="29">
        <f>BN62</f>
      </c>
      <c r="BP57" s="29">
        <f>BO62</f>
      </c>
      <c r="BQ57" s="29">
        <f>BP62</f>
      </c>
      <c r="BR57" s="29">
        <f>BQ62</f>
      </c>
      <c r="BS57" s="29">
        <f>BR62</f>
      </c>
      <c r="BT57" s="29">
        <f>BS62</f>
      </c>
      <c r="BU57" s="29">
        <f>BT62</f>
      </c>
      <c r="BV57" s="29">
        <f>BU62</f>
      </c>
      <c r="BW57" s="29">
        <f>BV62</f>
      </c>
      <c r="BX57" s="29">
        <f>BW62</f>
      </c>
      <c r="BY57" s="29">
        <f>BX62</f>
      </c>
      <c r="BZ57" s="29">
        <f>BY62</f>
      </c>
      <c r="CA57" s="29">
        <f>BZ62</f>
      </c>
      <c r="CB57" s="29">
        <f>CA62</f>
      </c>
      <c r="CC57" s="29">
        <f>CB62</f>
      </c>
      <c r="CD57" s="29">
        <f>CC62</f>
      </c>
      <c r="CE57" s="29">
        <f>CD62</f>
      </c>
      <c r="CF57" s="29">
        <f>CE62</f>
      </c>
      <c r="CG57" s="29">
        <f>CF62</f>
      </c>
      <c r="CH57" s="29">
        <f>CG62</f>
      </c>
      <c r="CI57" s="29">
        <f>CH62</f>
      </c>
      <c r="CJ57" s="29">
        <f>CI62</f>
      </c>
      <c r="CK57" s="29">
        <f>CJ62</f>
      </c>
      <c r="CL57" s="29">
        <f>CK62</f>
      </c>
    </row>
    <row r="58" spans="2:90" x14ac:dyDescent="0.25">
      <c r="B58" s="31" t="s">
        <v>269</v>
      </c>
      <c r="C58" s="32" t="s">
        <v>228</v>
      </c>
      <c r="D58" s="29">
        <f>SUM(E58:CL58)</f>
      </c>
      <c r="E58" s="29">
        <f>E21</f>
      </c>
      <c r="F58" s="29">
        <f>F21-E21</f>
      </c>
      <c r="G58" s="29">
        <f>G21-F21</f>
      </c>
      <c r="H58" s="29">
        <f>H21-G21</f>
      </c>
      <c r="I58" s="29">
        <f>I21-H21</f>
      </c>
      <c r="J58" s="29">
        <f>J21-I21</f>
      </c>
      <c r="K58" s="29">
        <f>K21-J21</f>
      </c>
      <c r="L58" s="29">
        <f>L21-K21</f>
      </c>
      <c r="M58" s="29">
        <f>M21-L21</f>
      </c>
      <c r="N58" s="29">
        <f>N21-M21</f>
      </c>
      <c r="O58" s="29">
        <f>O21-N21</f>
      </c>
      <c r="P58" s="29">
        <f>P21-O21</f>
      </c>
      <c r="Q58" s="29">
        <f>Q21-P21</f>
      </c>
      <c r="R58" s="29">
        <f>R21-Q21</f>
      </c>
      <c r="S58" s="29">
        <f>S21-R21</f>
      </c>
      <c r="T58" s="29">
        <f>T21-S21</f>
      </c>
      <c r="U58" s="29">
        <f>U21-T21</f>
      </c>
      <c r="V58" s="29">
        <f>V21-U21</f>
      </c>
      <c r="W58" s="29">
        <f>W21-V21</f>
      </c>
      <c r="X58" s="29">
        <f>X21-W21</f>
      </c>
      <c r="Y58" s="29">
        <f>Y21-X21</f>
      </c>
      <c r="Z58" s="29">
        <f>Z21-Y21</f>
      </c>
      <c r="AA58" s="29">
        <f>AA21-Z21</f>
      </c>
      <c r="AB58" s="29">
        <f>AB21-AA21</f>
      </c>
      <c r="AC58" s="29">
        <f>AC21-AB21</f>
      </c>
      <c r="AD58" s="29">
        <f>AD21-AC21</f>
      </c>
      <c r="AE58" s="29">
        <f>AE21-AD21</f>
      </c>
      <c r="AF58" s="29">
        <f>AF21-AE21</f>
      </c>
      <c r="AG58" s="29">
        <f>AG21-AF21</f>
      </c>
      <c r="AH58" s="29">
        <f>AH21-AG21</f>
      </c>
      <c r="AI58" s="29">
        <f>AI21-AH21</f>
      </c>
      <c r="AJ58" s="29">
        <f>AJ21-AI21</f>
      </c>
      <c r="AK58" s="29">
        <f>AK21-AJ21</f>
      </c>
      <c r="AL58" s="29">
        <f>AL21-AK21</f>
      </c>
      <c r="AM58" s="29">
        <f>AM21-AL21</f>
      </c>
      <c r="AN58" s="29">
        <f>AN21-AM21</f>
      </c>
      <c r="AO58" s="29">
        <f>AO21-AN21</f>
      </c>
      <c r="AP58" s="29">
        <f>AP21-AO21</f>
      </c>
      <c r="AQ58" s="29">
        <f>AQ21-AP21</f>
      </c>
      <c r="AR58" s="29">
        <f>AR21-AQ21</f>
      </c>
      <c r="AS58" s="29">
        <f>AS21-AR21</f>
      </c>
      <c r="AT58" s="29">
        <f>AT21-AS21</f>
      </c>
      <c r="AU58" s="29">
        <f>AU21-AT21</f>
      </c>
      <c r="AV58" s="29">
        <f>AV21-AU21</f>
      </c>
      <c r="AW58" s="29">
        <f>AW21-AV21</f>
      </c>
      <c r="AX58" s="29">
        <f>AX21-AW21</f>
      </c>
      <c r="AY58" s="29">
        <f>AY21-AX21</f>
      </c>
      <c r="AZ58" s="29">
        <f>AZ21-AY21</f>
      </c>
      <c r="BA58" s="29">
        <f>BA21-AZ21</f>
      </c>
      <c r="BB58" s="29">
        <f>BB21-BA21</f>
      </c>
      <c r="BC58" s="29">
        <f>BC21-BB21</f>
      </c>
      <c r="BD58" s="29">
        <f>BD21-BC21</f>
      </c>
      <c r="BE58" s="29">
        <f>BE21-BD21</f>
      </c>
      <c r="BF58" s="29">
        <f>BF21-BE21</f>
      </c>
      <c r="BG58" s="29">
        <f>BG21-BF21</f>
      </c>
      <c r="BH58" s="29">
        <f>BH21-BG21</f>
      </c>
      <c r="BI58" s="29">
        <f>BI21-BH21</f>
      </c>
      <c r="BJ58" s="29">
        <f>BJ21-BI21</f>
      </c>
      <c r="BK58" s="29">
        <f>BK21-BJ21</f>
      </c>
      <c r="BL58" s="29">
        <f>BL21-BK21</f>
      </c>
      <c r="BM58" s="29">
        <f>BM21-BL21</f>
      </c>
      <c r="BN58" s="29">
        <f>BN21-BM21</f>
      </c>
      <c r="BO58" s="29">
        <f>BO21-BN21</f>
      </c>
      <c r="BP58" s="29">
        <f>BP21-BO21</f>
      </c>
      <c r="BQ58" s="29">
        <f>BQ21-BP21</f>
      </c>
      <c r="BR58" s="29">
        <f>BR21-BQ21</f>
      </c>
      <c r="BS58" s="29">
        <f>BS21-BR21</f>
      </c>
      <c r="BT58" s="29">
        <f>BT21-BS21</f>
      </c>
      <c r="BU58" s="29">
        <f>BU21-BT21</f>
      </c>
      <c r="BV58" s="29">
        <f>BV21-BU21</f>
      </c>
      <c r="BW58" s="29">
        <f>BW21-BV21</f>
      </c>
      <c r="BX58" s="29">
        <f>BX21-BW21</f>
      </c>
      <c r="BY58" s="29">
        <f>BY21-BX21</f>
      </c>
      <c r="BZ58" s="29">
        <f>BZ21-BY21</f>
      </c>
      <c r="CA58" s="29">
        <f>CA21-BZ21</f>
      </c>
      <c r="CB58" s="29">
        <f>CB21-CA21</f>
      </c>
      <c r="CC58" s="29">
        <f>CC21-CB21</f>
      </c>
      <c r="CD58" s="29">
        <f>CD21-CC21</f>
      </c>
      <c r="CE58" s="29">
        <f>CE21-CD21</f>
      </c>
      <c r="CF58" s="29">
        <f>CF21-CE21</f>
      </c>
      <c r="CG58" s="29">
        <f>CG21-CF21</f>
      </c>
      <c r="CH58" s="29">
        <f>CH21-CG21</f>
      </c>
      <c r="CI58" s="29">
        <f>CI21-CH21</f>
      </c>
      <c r="CJ58" s="29">
        <f>CJ21-CI21</f>
      </c>
      <c r="CK58" s="29">
        <f>CK21-CJ21</f>
      </c>
      <c r="CL58" s="29">
        <f>CL21-CK21</f>
      </c>
    </row>
    <row r="59" spans="2:90" x14ac:dyDescent="0.25">
      <c r="B59" s="31" t="s">
        <v>244</v>
      </c>
      <c r="C59" s="32" t="s">
        <v>228</v>
      </c>
      <c r="D59" s="29">
        <f>SUM(E59:CL59)</f>
      </c>
      <c r="E59" s="29">
        <f>E13</f>
      </c>
      <c r="F59" s="29">
        <f>F13</f>
      </c>
      <c r="G59" s="29">
        <f>G13</f>
      </c>
      <c r="H59" s="29">
        <f>H13</f>
      </c>
      <c r="I59" s="29">
        <f>I13</f>
      </c>
      <c r="J59" s="29">
        <f>J13</f>
      </c>
      <c r="K59" s="29">
        <f>K13</f>
      </c>
      <c r="L59" s="29">
        <f>L13</f>
      </c>
      <c r="M59" s="29">
        <f>M13</f>
      </c>
      <c r="N59" s="29">
        <f>N13</f>
      </c>
      <c r="O59" s="29">
        <f>O13</f>
      </c>
      <c r="P59" s="29">
        <f>P13</f>
      </c>
      <c r="Q59" s="29">
        <f>Q13</f>
      </c>
      <c r="R59" s="29">
        <f>R13</f>
      </c>
      <c r="S59" s="29">
        <f>S13</f>
      </c>
      <c r="T59" s="29">
        <f>T13</f>
      </c>
      <c r="U59" s="29">
        <f>U13</f>
      </c>
      <c r="V59" s="29">
        <f>V13</f>
      </c>
      <c r="W59" s="29">
        <f>W13</f>
      </c>
      <c r="X59" s="29">
        <f>X13</f>
      </c>
      <c r="Y59" s="29">
        <f>Y13</f>
      </c>
      <c r="Z59" s="29">
        <f>Z13</f>
      </c>
      <c r="AA59" s="29">
        <f>AA13</f>
      </c>
      <c r="AB59" s="29">
        <f>AB13</f>
      </c>
      <c r="AC59" s="29">
        <f>AC13</f>
      </c>
      <c r="AD59" s="29">
        <f>AD13</f>
      </c>
      <c r="AE59" s="29">
        <f>AE13</f>
      </c>
      <c r="AF59" s="29">
        <f>AF13</f>
      </c>
      <c r="AG59" s="29">
        <f>AG13</f>
      </c>
      <c r="AH59" s="29">
        <f>AH13</f>
      </c>
      <c r="AI59" s="29">
        <f>AI13</f>
      </c>
      <c r="AJ59" s="29">
        <f>AJ13</f>
      </c>
      <c r="AK59" s="29">
        <f>AK13</f>
      </c>
      <c r="AL59" s="29">
        <f>AL13</f>
      </c>
      <c r="AM59" s="29">
        <f>AM13</f>
      </c>
      <c r="AN59" s="29">
        <f>AN13</f>
      </c>
      <c r="AO59" s="29">
        <f>AO13</f>
      </c>
      <c r="AP59" s="29">
        <f>AP13</f>
      </c>
      <c r="AQ59" s="29">
        <f>AQ13</f>
      </c>
      <c r="AR59" s="29">
        <f>AR13</f>
      </c>
      <c r="AS59" s="29">
        <f>AS13</f>
      </c>
      <c r="AT59" s="29">
        <f>AT13</f>
      </c>
      <c r="AU59" s="29">
        <f>AU13</f>
      </c>
      <c r="AV59" s="29">
        <f>AV13</f>
      </c>
      <c r="AW59" s="29">
        <f>AW13</f>
      </c>
      <c r="AX59" s="29">
        <f>AX13</f>
      </c>
      <c r="AY59" s="29">
        <f>AY13</f>
      </c>
      <c r="AZ59" s="29">
        <f>AZ13</f>
      </c>
      <c r="BA59" s="29">
        <f>BA13</f>
      </c>
      <c r="BB59" s="29">
        <f>BB13</f>
      </c>
      <c r="BC59" s="29">
        <f>BC13</f>
      </c>
      <c r="BD59" s="29">
        <f>BD13</f>
      </c>
      <c r="BE59" s="29">
        <f>BE13</f>
      </c>
      <c r="BF59" s="29">
        <f>BF13</f>
      </c>
      <c r="BG59" s="29">
        <f>BG13</f>
      </c>
      <c r="BH59" s="29">
        <f>BH13</f>
      </c>
      <c r="BI59" s="29">
        <f>BI13</f>
      </c>
      <c r="BJ59" s="29">
        <f>BJ13</f>
      </c>
      <c r="BK59" s="29">
        <f>BK13</f>
      </c>
      <c r="BL59" s="29">
        <f>BL13</f>
      </c>
      <c r="BM59" s="29">
        <f>BM13</f>
      </c>
      <c r="BN59" s="29">
        <f>BN13</f>
      </c>
      <c r="BO59" s="29">
        <f>BO13</f>
      </c>
      <c r="BP59" s="29">
        <f>BP13</f>
      </c>
      <c r="BQ59" s="29">
        <f>BQ13</f>
      </c>
      <c r="BR59" s="29">
        <f>BR13</f>
      </c>
      <c r="BS59" s="29">
        <f>BS13</f>
      </c>
      <c r="BT59" s="29">
        <f>BT13</f>
      </c>
      <c r="BU59" s="29">
        <f>BU13</f>
      </c>
      <c r="BV59" s="29">
        <f>BV13</f>
      </c>
      <c r="BW59" s="29">
        <f>BW13</f>
      </c>
      <c r="BX59" s="29">
        <f>BX13</f>
      </c>
      <c r="BY59" s="29">
        <f>BY13</f>
      </c>
      <c r="BZ59" s="29">
        <f>BZ13</f>
      </c>
      <c r="CA59" s="29">
        <f>CA13</f>
      </c>
      <c r="CB59" s="29">
        <f>CB13</f>
      </c>
      <c r="CC59" s="29">
        <f>CC13</f>
      </c>
      <c r="CD59" s="29">
        <f>CD13</f>
      </c>
      <c r="CE59" s="29">
        <f>CE13</f>
      </c>
      <c r="CF59" s="29">
        <f>CF13</f>
      </c>
      <c r="CG59" s="29">
        <f>CG13</f>
      </c>
      <c r="CH59" s="29">
        <f>CH13</f>
      </c>
      <c r="CI59" s="29">
        <f>CI13</f>
      </c>
      <c r="CJ59" s="29">
        <f>CJ13</f>
      </c>
      <c r="CK59" s="29">
        <f>CK13</f>
      </c>
      <c r="CL59" s="29">
        <f>CL13</f>
      </c>
    </row>
    <row r="60" spans="2:90" x14ac:dyDescent="0.25">
      <c r="B60" s="31" t="s">
        <v>270</v>
      </c>
      <c r="C60" s="32" t="s">
        <v>228</v>
      </c>
      <c r="D60" s="14">
        <f>SUM(E60:CL60)</f>
      </c>
      <c r="E60" s="29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  <c r="K60" s="29">
        <f>K57*'입력값'!E61/4</f>
      </c>
      <c r="L60" s="29">
        <f>L57*'입력값'!E61/4</f>
      </c>
      <c r="M60" s="29">
        <f>M57*'입력값'!E61/4</f>
      </c>
      <c r="N60" s="29">
        <f>N57*'입력값'!E61/4</f>
      </c>
      <c r="O60" s="29">
        <f>O57*'입력값'!E61/4</f>
      </c>
      <c r="P60" s="29">
        <f>P57*'입력값'!E61/4</f>
      </c>
      <c r="Q60" s="29">
        <f>Q57*'입력값'!E61/4</f>
      </c>
      <c r="R60" s="29">
        <f>R57*'입력값'!E61/4</f>
      </c>
      <c r="S60" s="29">
        <f>S57*'입력값'!E61/4</f>
      </c>
      <c r="T60" s="29">
        <f>T57*'입력값'!E61/4</f>
      </c>
      <c r="U60" s="29">
        <f>U57*'입력값'!E61/4</f>
      </c>
      <c r="V60" s="29">
        <f>V57*'입력값'!E61/4</f>
      </c>
      <c r="W60" s="29">
        <f>W57*'입력값'!E61/4</f>
      </c>
      <c r="X60" s="29">
        <f>X57*'입력값'!E61/4</f>
      </c>
      <c r="Y60" s="29">
        <f>Y57*'입력값'!E61/4</f>
      </c>
      <c r="Z60" s="29">
        <f>Z57*'입력값'!E61/4</f>
      </c>
      <c r="AA60" s="29">
        <f>AA57*'입력값'!E61/4</f>
      </c>
      <c r="AB60" s="29">
        <f>AB57*'입력값'!E61/4</f>
      </c>
      <c r="AC60" s="29">
        <f>AC57*'입력값'!E61/4</f>
      </c>
      <c r="AD60" s="29">
        <f>AD57*'입력값'!E61/4</f>
      </c>
      <c r="AE60" s="29">
        <f>AE57*'입력값'!E61/4</f>
      </c>
      <c r="AF60" s="29">
        <f>AF57*'입력값'!E61/4</f>
      </c>
      <c r="AG60" s="29">
        <f>AG57*'입력값'!E61/4</f>
      </c>
      <c r="AH60" s="29">
        <f>AH57*'입력값'!E61/4</f>
      </c>
      <c r="AI60" s="29">
        <f>AI57*'입력값'!E61/4</f>
      </c>
      <c r="AJ60" s="29">
        <f>AJ57*'입력값'!E61/4</f>
      </c>
      <c r="AK60" s="29">
        <f>AK57*'입력값'!E61/4</f>
      </c>
      <c r="AL60" s="29">
        <f>AL57*'입력값'!E61/4</f>
      </c>
      <c r="AM60" s="29">
        <f>AM57*'입력값'!E61/4</f>
      </c>
      <c r="AN60" s="29">
        <f>AN57*'입력값'!E61/4</f>
      </c>
      <c r="AO60" s="29">
        <f>AO57*'입력값'!E61/4</f>
      </c>
      <c r="AP60" s="29">
        <f>AP57*'입력값'!E61/4</f>
      </c>
      <c r="AQ60" s="29">
        <f>AQ57*'입력값'!E61/4</f>
      </c>
      <c r="AR60" s="29">
        <f>AR57*'입력값'!E61/4</f>
      </c>
      <c r="AS60" s="29">
        <f>AS57*'입력값'!E61/4</f>
      </c>
      <c r="AT60" s="29">
        <f>AT57*'입력값'!E61/4</f>
      </c>
      <c r="AU60" s="29">
        <f>AU57*'입력값'!E61/4</f>
      </c>
      <c r="AV60" s="29">
        <f>AV57*'입력값'!E61/4</f>
      </c>
      <c r="AW60" s="29">
        <f>AW57*'입력값'!E61/4</f>
      </c>
      <c r="AX60" s="29">
        <f>AX57*'입력값'!E61/4</f>
      </c>
      <c r="AY60" s="29">
        <f>AY57*'입력값'!E61/4</f>
      </c>
      <c r="AZ60" s="29">
        <f>AZ57*'입력값'!E61/4</f>
      </c>
      <c r="BA60" s="29">
        <f>BA57*'입력값'!E61/4</f>
      </c>
      <c r="BB60" s="29">
        <f>BB57*'입력값'!E61/4</f>
      </c>
      <c r="BC60" s="29">
        <f>BC57*'입력값'!E61/4</f>
      </c>
      <c r="BD60" s="29">
        <f>BD57*'입력값'!E61/4</f>
      </c>
      <c r="BE60" s="29">
        <f>BE57*'입력값'!E61/4</f>
      </c>
      <c r="BF60" s="29">
        <f>BF57*'입력값'!E61/4</f>
      </c>
      <c r="BG60" s="29">
        <f>BG57*'입력값'!E61/4</f>
      </c>
      <c r="BH60" s="29">
        <f>BH57*'입력값'!E61/4</f>
      </c>
      <c r="BI60" s="29">
        <f>BI57*'입력값'!E61/4</f>
      </c>
      <c r="BJ60" s="29">
        <f>BJ57*'입력값'!E61/4</f>
      </c>
      <c r="BK60" s="29">
        <f>BK57*'입력값'!E61/4</f>
      </c>
      <c r="BL60" s="29">
        <f>BL57*'입력값'!E61/4</f>
      </c>
      <c r="BM60" s="29">
        <f>BM57*'입력값'!E61/4</f>
      </c>
      <c r="BN60" s="29">
        <f>BN57*'입력값'!E61/4</f>
      </c>
      <c r="BO60" s="29">
        <f>BO57*'입력값'!E61/4</f>
      </c>
      <c r="BP60" s="29">
        <f>BP57*'입력값'!E61/4</f>
      </c>
      <c r="BQ60" s="29">
        <f>BQ57*'입력값'!E61/4</f>
      </c>
      <c r="BR60" s="29">
        <f>BR57*'입력값'!E61/4</f>
      </c>
      <c r="BS60" s="29">
        <f>BS57*'입력값'!E61/4</f>
      </c>
      <c r="BT60" s="29">
        <f>BT57*'입력값'!E61/4</f>
      </c>
      <c r="BU60" s="29">
        <f>BU57*'입력값'!E61/4</f>
      </c>
      <c r="BV60" s="29">
        <f>BV57*'입력값'!E61/4</f>
      </c>
      <c r="BW60" s="29">
        <f>BW57*'입력값'!E61/4</f>
      </c>
      <c r="BX60" s="29">
        <f>BX57*'입력값'!E61/4</f>
      </c>
      <c r="BY60" s="29">
        <f>BY57*'입력값'!E61/4</f>
      </c>
      <c r="BZ60" s="29">
        <f>BZ57*'입력값'!E61/4</f>
      </c>
      <c r="CA60" s="29">
        <f>CA57*'입력값'!E61/4</f>
      </c>
      <c r="CB60" s="29">
        <f>CB57*'입력값'!E61/4</f>
      </c>
      <c r="CC60" s="29">
        <f>CC57*'입력값'!E61/4</f>
      </c>
      <c r="CD60" s="29">
        <f>CD57*'입력값'!E61/4</f>
      </c>
      <c r="CE60" s="29">
        <f>CE57*'입력값'!E61/4</f>
      </c>
      <c r="CF60" s="29">
        <f>CF57*'입력값'!E61/4</f>
      </c>
      <c r="CG60" s="29">
        <f>CG57*'입력값'!E61/4</f>
      </c>
      <c r="CH60" s="29">
        <f>CH57*'입력값'!E61/4</f>
      </c>
      <c r="CI60" s="29">
        <f>CI57*'입력값'!E61/4</f>
      </c>
      <c r="CJ60" s="29">
        <f>CJ57*'입력값'!E61/4</f>
      </c>
      <c r="CK60" s="29">
        <f>CK57*'입력값'!E61/4</f>
      </c>
      <c r="CL60" s="29">
        <f>CL57*'입력값'!E61/4</f>
      </c>
    </row>
    <row r="61" spans="2:90" x14ac:dyDescent="0.25">
      <c r="B61" s="31" t="s">
        <v>271</v>
      </c>
      <c r="C61" s="32" t="s">
        <v>228</v>
      </c>
      <c r="D61" s="14">
        <f>SUM(E61:CL61)</f>
      </c>
      <c r="E61" s="29">
        <v>0</v>
      </c>
      <c r="F61" s="29">
        <v>0</v>
      </c>
      <c r="G61" s="29">
        <v>0</v>
      </c>
      <c r="H61" s="29">
        <v>0</v>
      </c>
      <c r="I61" s="29">
        <v>0</v>
      </c>
      <c r="J61" s="29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  <c r="AC61" s="29">
        <v>0</v>
      </c>
      <c r="AD61" s="29">
        <v>0</v>
      </c>
      <c r="AE61" s="29">
        <v>0</v>
      </c>
      <c r="AF61" s="29">
        <v>0</v>
      </c>
      <c r="AG61" s="29">
        <v>0</v>
      </c>
      <c r="AH61" s="29">
        <v>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R61" s="29">
        <v>0</v>
      </c>
      <c r="AS61" s="29">
        <v>0</v>
      </c>
      <c r="AT61" s="29">
        <v>0</v>
      </c>
      <c r="AU61" s="29">
        <v>0</v>
      </c>
      <c r="AV61" s="29">
        <v>0</v>
      </c>
      <c r="AW61" s="29">
        <v>0</v>
      </c>
      <c r="AX61" s="29">
        <v>0</v>
      </c>
      <c r="AY61" s="29">
        <v>0</v>
      </c>
      <c r="AZ61" s="29">
        <v>0</v>
      </c>
      <c r="BA61" s="29">
        <v>0</v>
      </c>
      <c r="BB61" s="29">
        <v>0</v>
      </c>
      <c r="BC61" s="29">
        <v>0</v>
      </c>
      <c r="BD61" s="29">
        <v>0</v>
      </c>
      <c r="BE61" s="29">
        <v>0</v>
      </c>
      <c r="BF61" s="29">
        <v>0</v>
      </c>
      <c r="BG61" s="29">
        <v>0</v>
      </c>
      <c r="BH61" s="29">
        <v>0</v>
      </c>
      <c r="BI61" s="29">
        <v>0</v>
      </c>
      <c r="BJ61" s="29">
        <v>0</v>
      </c>
      <c r="BK61" s="29">
        <v>0</v>
      </c>
      <c r="BL61" s="29">
        <v>0</v>
      </c>
      <c r="BM61" s="29">
        <v>0</v>
      </c>
      <c r="BN61" s="29">
        <v>0</v>
      </c>
      <c r="BO61" s="29">
        <v>0</v>
      </c>
      <c r="BP61" s="29">
        <v>0</v>
      </c>
      <c r="BQ61" s="29">
        <v>0</v>
      </c>
      <c r="BR61" s="29">
        <v>0</v>
      </c>
      <c r="BS61" s="29">
        <v>0</v>
      </c>
      <c r="BT61" s="29">
        <v>0</v>
      </c>
      <c r="BU61" s="29">
        <v>0</v>
      </c>
      <c r="BV61" s="29">
        <v>0</v>
      </c>
      <c r="BW61" s="29">
        <v>0</v>
      </c>
      <c r="BX61" s="29">
        <v>0</v>
      </c>
      <c r="BY61" s="29">
        <v>0</v>
      </c>
      <c r="BZ61" s="29">
        <v>0</v>
      </c>
      <c r="CA61" s="29">
        <v>0</v>
      </c>
      <c r="CB61" s="29">
        <v>0</v>
      </c>
      <c r="CC61" s="29">
        <v>0</v>
      </c>
      <c r="CD61" s="29">
        <v>0</v>
      </c>
      <c r="CE61" s="29">
        <v>0</v>
      </c>
      <c r="CF61" s="29">
        <v>0</v>
      </c>
      <c r="CG61" s="29">
        <v>0</v>
      </c>
      <c r="CH61" s="29">
        <v>0</v>
      </c>
      <c r="CI61" s="29">
        <v>0</v>
      </c>
      <c r="CJ61" s="29">
        <v>0</v>
      </c>
      <c r="CK61" s="29">
        <v>0</v>
      </c>
      <c r="CL61" s="29">
        <v>0</v>
      </c>
    </row>
    <row r="62" spans="2:90" x14ac:dyDescent="0.25">
      <c r="B62" s="42" t="s">
        <v>272</v>
      </c>
      <c r="C62" s="32" t="s">
        <v>228</v>
      </c>
      <c r="E62" s="14">
        <f>E57+E58-E61</f>
      </c>
      <c r="F62" s="14">
        <f>F57+F58-F61</f>
      </c>
      <c r="G62" s="14">
        <f>G57+G58-G61</f>
      </c>
      <c r="H62" s="14">
        <f>H57+H58-H61</f>
      </c>
      <c r="I62" s="14">
        <f>I57+I58-I61</f>
      </c>
      <c r="J62" s="14">
        <f>J57+J58-J61</f>
      </c>
      <c r="K62" s="14">
        <f>K57+K58-K61</f>
      </c>
      <c r="L62" s="14">
        <f>L57+L58-L61</f>
      </c>
      <c r="M62" s="14">
        <f>M57+M58-M61</f>
      </c>
      <c r="N62" s="14">
        <f>N57+N58-N61</f>
      </c>
      <c r="O62" s="14">
        <f>O57+O58-O61</f>
      </c>
      <c r="P62" s="14">
        <f>P57+P58-P61</f>
      </c>
      <c r="Q62" s="14">
        <f>Q57+Q58-Q61</f>
      </c>
      <c r="R62" s="14">
        <f>R57+R58-R61</f>
      </c>
      <c r="S62" s="14">
        <f>S57+S58-S61</f>
      </c>
      <c r="T62" s="14">
        <f>T57+T58-T61</f>
      </c>
      <c r="U62" s="14">
        <f>U57+U58-U61</f>
      </c>
      <c r="V62" s="14">
        <f>V57+V58-V61</f>
      </c>
      <c r="W62" s="14">
        <f>W57+W58-W61</f>
      </c>
      <c r="X62" s="14">
        <f>X57+X58-X61</f>
      </c>
      <c r="Y62" s="14">
        <f>Y57+Y58-Y61</f>
      </c>
      <c r="Z62" s="14">
        <f>Z57+Z58-Z61</f>
      </c>
      <c r="AA62" s="14">
        <f>AA57+AA58-AA61</f>
      </c>
      <c r="AB62" s="14">
        <f>AB57+AB58-AB61</f>
      </c>
      <c r="AC62" s="14">
        <f>AC57+AC58-AC61</f>
      </c>
      <c r="AD62" s="14">
        <f>AD57+AD58-AD61</f>
      </c>
      <c r="AE62" s="14">
        <f>AE57+AE58-AE61</f>
      </c>
      <c r="AF62" s="14">
        <f>AF57+AF58-AF61</f>
      </c>
      <c r="AG62" s="14">
        <f>AG57+AG58-AG61</f>
      </c>
      <c r="AH62" s="14">
        <f>AH57+AH58-AH61</f>
      </c>
      <c r="AI62" s="14">
        <f>AI57+AI58-AI61</f>
      </c>
      <c r="AJ62" s="14">
        <f>AJ57+AJ58-AJ61</f>
      </c>
      <c r="AK62" s="14">
        <f>AK57+AK58-AK61</f>
      </c>
      <c r="AL62" s="14">
        <f>AL57+AL58-AL61</f>
      </c>
      <c r="AM62" s="14">
        <f>AM57+AM58-AM61</f>
      </c>
      <c r="AN62" s="14">
        <f>AN57+AN58-AN61</f>
      </c>
      <c r="AO62" s="14">
        <f>AO57+AO58-AO61</f>
      </c>
      <c r="AP62" s="14">
        <f>AP57+AP58-AP61</f>
      </c>
      <c r="AQ62" s="14">
        <f>AQ57+AQ58-AQ61</f>
      </c>
      <c r="AR62" s="14">
        <f>AR57+AR58-AR61</f>
      </c>
      <c r="AS62" s="14">
        <f>AS57+AS58-AS61</f>
      </c>
      <c r="AT62" s="14">
        <f>AT57+AT58-AT61</f>
      </c>
      <c r="AU62" s="14">
        <f>AU57+AU58-AU61</f>
      </c>
      <c r="AV62" s="14">
        <f>AV57+AV58-AV61</f>
      </c>
      <c r="AW62" s="14">
        <f>AW57+AW58-AW61</f>
      </c>
      <c r="AX62" s="14">
        <f>AX57+AX58-AX61</f>
      </c>
      <c r="AY62" s="14">
        <f>AY57+AY58-AY61</f>
      </c>
      <c r="AZ62" s="14">
        <f>AZ57+AZ58-AZ61</f>
      </c>
      <c r="BA62" s="14">
        <f>BA57+BA58-BA61</f>
      </c>
      <c r="BB62" s="14">
        <f>BB57+BB58-BB61</f>
      </c>
      <c r="BC62" s="14">
        <f>BC57+BC58-BC61</f>
      </c>
      <c r="BD62" s="14">
        <f>BD57+BD58-BD61</f>
      </c>
      <c r="BE62" s="14">
        <f>BE57+BE58-BE61</f>
      </c>
      <c r="BF62" s="14">
        <f>BF57+BF58-BF61</f>
      </c>
      <c r="BG62" s="14">
        <f>BG57+BG58-BG61</f>
      </c>
      <c r="BH62" s="14">
        <f>BH57+BH58-BH61</f>
      </c>
      <c r="BI62" s="14">
        <f>BI57+BI58-BI61</f>
      </c>
      <c r="BJ62" s="14">
        <f>BJ57+BJ58-BJ61</f>
      </c>
      <c r="BK62" s="14">
        <f>BK57+BK58-BK61</f>
      </c>
      <c r="BL62" s="14">
        <f>BL57+BL58-BL61</f>
      </c>
      <c r="BM62" s="14">
        <f>BM57+BM58-BM61</f>
      </c>
      <c r="BN62" s="14">
        <f>BN57+BN58-BN61</f>
      </c>
      <c r="BO62" s="14">
        <f>BO57+BO58-BO61</f>
      </c>
      <c r="BP62" s="14">
        <f>BP57+BP58-BP61</f>
      </c>
      <c r="BQ62" s="14">
        <f>BQ57+BQ58-BQ61</f>
      </c>
      <c r="BR62" s="14">
        <f>BR57+BR58-BR61</f>
      </c>
      <c r="BS62" s="14">
        <f>BS57+BS58-BS61</f>
      </c>
      <c r="BT62" s="14">
        <f>BT57+BT58-BT61</f>
      </c>
      <c r="BU62" s="14">
        <f>BU57+BU58-BU61</f>
      </c>
      <c r="BV62" s="14">
        <f>BV57+BV58-BV61</f>
      </c>
      <c r="BW62" s="14">
        <f>BW57+BW58-BW61</f>
      </c>
      <c r="BX62" s="14">
        <f>BX57+BX58-BX61</f>
      </c>
      <c r="BY62" s="14">
        <f>BY57+BY58-BY61</f>
      </c>
      <c r="BZ62" s="14">
        <f>BZ57+BZ58-BZ61</f>
      </c>
      <c r="CA62" s="14">
        <f>CA57+CA58-CA61</f>
      </c>
      <c r="CB62" s="14">
        <f>CB57+CB58-CB61</f>
      </c>
      <c r="CC62" s="14">
        <f>CC57+CC58-CC61</f>
      </c>
      <c r="CD62" s="14">
        <f>CD57+CD58-CD61</f>
      </c>
      <c r="CE62" s="14">
        <f>CE57+CE58-CE61</f>
      </c>
      <c r="CF62" s="14">
        <f>CF57+CF58-CF61</f>
      </c>
      <c r="CG62" s="14">
        <f>CG57+CG58-CG61</f>
      </c>
      <c r="CH62" s="14">
        <f>CH57+CH58-CH61</f>
      </c>
      <c r="CI62" s="14">
        <f>CI57+CI58-CI61</f>
      </c>
      <c r="CJ62" s="14">
        <f>CJ57+CJ58-CJ61</f>
      </c>
      <c r="CK62" s="14">
        <f>CK57+CK58-CK61</f>
      </c>
      <c r="CL62" s="14">
        <f>CL57+CL58-CL61</f>
      </c>
    </row>
    <row r="63" spans="2:8" x14ac:dyDescent="0.25">
      <c r="B63" s="31" t="s">
        <v>273</v>
      </c>
      <c r="C63" s="32" t="s">
        <v>228</v>
      </c>
      <c r="D63" s="29">
        <f>CL62</f>
      </c>
      <c r="F63" s="28">
        <f>IF(ABS(D63)&lt;1,"완전상환 확인 (OK)","경고: 미상환 잔액")</f>
      </c>
      <c r="H63" s="45" t="s">
        <v>275</v>
      </c>
    </row>
    <row r="65" spans="2:91" x14ac:dyDescent="0.25">
      <c r="B65" s="43" t="s">
        <v>99</v>
      </c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4"/>
      <c r="CD65" s="44"/>
      <c r="CE65" s="44"/>
      <c r="CF65" s="44"/>
      <c r="CG65" s="44"/>
      <c r="CH65" s="44"/>
      <c r="CI65" s="44"/>
      <c r="CJ65" s="44"/>
      <c r="CK65" s="44"/>
      <c r="CL65" s="44"/>
      <c r="CM65" s="44"/>
    </row>
    <row r="66" spans="2:90" x14ac:dyDescent="0.25">
      <c r="B66" s="31" t="s">
        <v>268</v>
      </c>
      <c r="C66" s="32" t="s">
        <v>228</v>
      </c>
      <c r="E66" s="29">
        <v>0</v>
      </c>
      <c r="F66" s="29">
        <f>E71</f>
      </c>
      <c r="G66" s="29">
        <f>F71</f>
      </c>
      <c r="H66" s="29">
        <f>G71</f>
      </c>
      <c r="I66" s="29">
        <f>H71</f>
      </c>
      <c r="J66" s="29">
        <f>I71</f>
      </c>
      <c r="K66" s="29">
        <f>J71</f>
      </c>
      <c r="L66" s="29">
        <f>K71</f>
      </c>
      <c r="M66" s="29">
        <f>L71</f>
      </c>
      <c r="N66" s="29">
        <f>M71</f>
      </c>
      <c r="O66" s="29">
        <f>N71</f>
      </c>
      <c r="P66" s="29">
        <f>O71</f>
      </c>
      <c r="Q66" s="29">
        <f>P71</f>
      </c>
      <c r="R66" s="29">
        <f>Q71</f>
      </c>
      <c r="S66" s="29">
        <f>R71</f>
      </c>
      <c r="T66" s="29">
        <f>S71</f>
      </c>
      <c r="U66" s="29">
        <f>T71</f>
      </c>
      <c r="V66" s="29">
        <f>U71</f>
      </c>
      <c r="W66" s="29">
        <f>V71</f>
      </c>
      <c r="X66" s="29">
        <f>W71</f>
      </c>
      <c r="Y66" s="29">
        <f>X71</f>
      </c>
      <c r="Z66" s="29">
        <f>Y71</f>
      </c>
      <c r="AA66" s="29">
        <f>Z71</f>
      </c>
      <c r="AB66" s="29">
        <f>AA71</f>
      </c>
      <c r="AC66" s="29">
        <f>AB71</f>
      </c>
      <c r="AD66" s="29">
        <f>AC71</f>
      </c>
      <c r="AE66" s="29">
        <f>AD71</f>
      </c>
      <c r="AF66" s="29">
        <f>AE71</f>
      </c>
      <c r="AG66" s="29">
        <f>AF71</f>
      </c>
      <c r="AH66" s="29">
        <f>AG71</f>
      </c>
      <c r="AI66" s="29">
        <f>AH71</f>
      </c>
      <c r="AJ66" s="29">
        <f>AI71</f>
      </c>
      <c r="AK66" s="29">
        <f>AJ71</f>
      </c>
      <c r="AL66" s="29">
        <f>AK71</f>
      </c>
      <c r="AM66" s="29">
        <f>AL71</f>
      </c>
      <c r="AN66" s="29">
        <f>AM71</f>
      </c>
      <c r="AO66" s="29">
        <f>AN71</f>
      </c>
      <c r="AP66" s="29">
        <f>AO71</f>
      </c>
      <c r="AQ66" s="29">
        <f>AP71</f>
      </c>
      <c r="AR66" s="29">
        <f>AQ71</f>
      </c>
      <c r="AS66" s="29">
        <f>AR71</f>
      </c>
      <c r="AT66" s="29">
        <f>AS71</f>
      </c>
      <c r="AU66" s="29">
        <f>AT71</f>
      </c>
      <c r="AV66" s="29">
        <f>AU71</f>
      </c>
      <c r="AW66" s="29">
        <f>AV71</f>
      </c>
      <c r="AX66" s="29">
        <f>AW71</f>
      </c>
      <c r="AY66" s="29">
        <f>AX71</f>
      </c>
      <c r="AZ66" s="29">
        <f>AY71</f>
      </c>
      <c r="BA66" s="29">
        <f>AZ71</f>
      </c>
      <c r="BB66" s="29">
        <f>BA71</f>
      </c>
      <c r="BC66" s="29">
        <f>BB71</f>
      </c>
      <c r="BD66" s="29">
        <f>BC71</f>
      </c>
      <c r="BE66" s="29">
        <f>BD71</f>
      </c>
      <c r="BF66" s="29">
        <f>BE71</f>
      </c>
      <c r="BG66" s="29">
        <f>BF71</f>
      </c>
      <c r="BH66" s="29">
        <f>BG71</f>
      </c>
      <c r="BI66" s="29">
        <f>BH71</f>
      </c>
      <c r="BJ66" s="29">
        <f>BI71</f>
      </c>
      <c r="BK66" s="29">
        <f>BJ71</f>
      </c>
      <c r="BL66" s="29">
        <f>BK71</f>
      </c>
      <c r="BM66" s="29">
        <f>BL71</f>
      </c>
      <c r="BN66" s="29">
        <f>BM71</f>
      </c>
      <c r="BO66" s="29">
        <f>BN71</f>
      </c>
      <c r="BP66" s="29">
        <f>BO71</f>
      </c>
      <c r="BQ66" s="29">
        <f>BP71</f>
      </c>
      <c r="BR66" s="29">
        <f>BQ71</f>
      </c>
      <c r="BS66" s="29">
        <f>BR71</f>
      </c>
      <c r="BT66" s="29">
        <f>BS71</f>
      </c>
      <c r="BU66" s="29">
        <f>BT71</f>
      </c>
      <c r="BV66" s="29">
        <f>BU71</f>
      </c>
      <c r="BW66" s="29">
        <f>BV71</f>
      </c>
      <c r="BX66" s="29">
        <f>BW71</f>
      </c>
      <c r="BY66" s="29">
        <f>BX71</f>
      </c>
      <c r="BZ66" s="29">
        <f>BY71</f>
      </c>
      <c r="CA66" s="29">
        <f>BZ71</f>
      </c>
      <c r="CB66" s="29">
        <f>CA71</f>
      </c>
      <c r="CC66" s="29">
        <f>CB71</f>
      </c>
      <c r="CD66" s="29">
        <f>CC71</f>
      </c>
      <c r="CE66" s="29">
        <f>CD71</f>
      </c>
      <c r="CF66" s="29">
        <f>CE71</f>
      </c>
      <c r="CG66" s="29">
        <f>CF71</f>
      </c>
      <c r="CH66" s="29">
        <f>CG71</f>
      </c>
      <c r="CI66" s="29">
        <f>CH71</f>
      </c>
      <c r="CJ66" s="29">
        <f>CI71</f>
      </c>
      <c r="CK66" s="29">
        <f>CJ71</f>
      </c>
      <c r="CL66" s="29">
        <f>CK71</f>
      </c>
    </row>
    <row r="67" spans="2:90" x14ac:dyDescent="0.25">
      <c r="B67" s="31" t="s">
        <v>269</v>
      </c>
      <c r="C67" s="32" t="s">
        <v>228</v>
      </c>
      <c r="D67" s="29">
        <f>SUM(E67:CL67)</f>
      </c>
      <c r="E67" s="29">
        <f>E22</f>
      </c>
      <c r="F67" s="29">
        <f>F22-E22</f>
      </c>
      <c r="G67" s="29">
        <f>G22-F22</f>
      </c>
      <c r="H67" s="29">
        <f>H22-G22</f>
      </c>
      <c r="I67" s="29">
        <f>I22-H22</f>
      </c>
      <c r="J67" s="29">
        <f>J22-I22</f>
      </c>
      <c r="K67" s="29">
        <f>K22-J22</f>
      </c>
      <c r="L67" s="29">
        <f>L22-K22</f>
      </c>
      <c r="M67" s="29">
        <f>M22-L22</f>
      </c>
      <c r="N67" s="29">
        <f>N22-M22</f>
      </c>
      <c r="O67" s="29">
        <f>O22-N22</f>
      </c>
      <c r="P67" s="29">
        <f>P22-O22</f>
      </c>
      <c r="Q67" s="29">
        <f>Q22-P22</f>
      </c>
      <c r="R67" s="29">
        <f>R22-Q22</f>
      </c>
      <c r="S67" s="29">
        <f>S22-R22</f>
      </c>
      <c r="T67" s="29">
        <f>T22-S22</f>
      </c>
      <c r="U67" s="29">
        <f>U22-T22</f>
      </c>
      <c r="V67" s="29">
        <f>V22-U22</f>
      </c>
      <c r="W67" s="29">
        <f>W22-V22</f>
      </c>
      <c r="X67" s="29">
        <f>X22-W22</f>
      </c>
      <c r="Y67" s="29">
        <f>Y22-X22</f>
      </c>
      <c r="Z67" s="29">
        <f>Z22-Y22</f>
      </c>
      <c r="AA67" s="29">
        <f>AA22-Z22</f>
      </c>
      <c r="AB67" s="29">
        <f>AB22-AA22</f>
      </c>
      <c r="AC67" s="29">
        <f>AC22-AB22</f>
      </c>
      <c r="AD67" s="29">
        <f>AD22-AC22</f>
      </c>
      <c r="AE67" s="29">
        <f>AE22-AD22</f>
      </c>
      <c r="AF67" s="29">
        <f>AF22-AE22</f>
      </c>
      <c r="AG67" s="29">
        <f>AG22-AF22</f>
      </c>
      <c r="AH67" s="29">
        <f>AH22-AG22</f>
      </c>
      <c r="AI67" s="29">
        <f>AI22-AH22</f>
      </c>
      <c r="AJ67" s="29">
        <f>AJ22-AI22</f>
      </c>
      <c r="AK67" s="29">
        <f>AK22-AJ22</f>
      </c>
      <c r="AL67" s="29">
        <f>AL22-AK22</f>
      </c>
      <c r="AM67" s="29">
        <f>AM22-AL22</f>
      </c>
      <c r="AN67" s="29">
        <f>AN22-AM22</f>
      </c>
      <c r="AO67" s="29">
        <f>AO22-AN22</f>
      </c>
      <c r="AP67" s="29">
        <f>AP22-AO22</f>
      </c>
      <c r="AQ67" s="29">
        <f>AQ22-AP22</f>
      </c>
      <c r="AR67" s="29">
        <f>AR22-AQ22</f>
      </c>
      <c r="AS67" s="29">
        <f>AS22-AR22</f>
      </c>
      <c r="AT67" s="29">
        <f>AT22-AS22</f>
      </c>
      <c r="AU67" s="29">
        <f>AU22-AT22</f>
      </c>
      <c r="AV67" s="29">
        <f>AV22-AU22</f>
      </c>
      <c r="AW67" s="29">
        <f>AW22-AV22</f>
      </c>
      <c r="AX67" s="29">
        <f>AX22-AW22</f>
      </c>
      <c r="AY67" s="29">
        <f>AY22-AX22</f>
      </c>
      <c r="AZ67" s="29">
        <f>AZ22-AY22</f>
      </c>
      <c r="BA67" s="29">
        <f>BA22-AZ22</f>
      </c>
      <c r="BB67" s="29">
        <f>BB22-BA22</f>
      </c>
      <c r="BC67" s="29">
        <f>BC22-BB22</f>
      </c>
      <c r="BD67" s="29">
        <f>BD22-BC22</f>
      </c>
      <c r="BE67" s="29">
        <f>BE22-BD22</f>
      </c>
      <c r="BF67" s="29">
        <f>BF22-BE22</f>
      </c>
      <c r="BG67" s="29">
        <f>BG22-BF22</f>
      </c>
      <c r="BH67" s="29">
        <f>BH22-BG22</f>
      </c>
      <c r="BI67" s="29">
        <f>BI22-BH22</f>
      </c>
      <c r="BJ67" s="29">
        <f>BJ22-BI22</f>
      </c>
      <c r="BK67" s="29">
        <f>BK22-BJ22</f>
      </c>
      <c r="BL67" s="29">
        <f>BL22-BK22</f>
      </c>
      <c r="BM67" s="29">
        <f>BM22-BL22</f>
      </c>
      <c r="BN67" s="29">
        <f>BN22-BM22</f>
      </c>
      <c r="BO67" s="29">
        <f>BO22-BN22</f>
      </c>
      <c r="BP67" s="29">
        <f>BP22-BO22</f>
      </c>
      <c r="BQ67" s="29">
        <f>BQ22-BP22</f>
      </c>
      <c r="BR67" s="29">
        <f>BR22-BQ22</f>
      </c>
      <c r="BS67" s="29">
        <f>BS22-BR22</f>
      </c>
      <c r="BT67" s="29">
        <f>BT22-BS22</f>
      </c>
      <c r="BU67" s="29">
        <f>BU22-BT22</f>
      </c>
      <c r="BV67" s="29">
        <f>BV22-BU22</f>
      </c>
      <c r="BW67" s="29">
        <f>BW22-BV22</f>
      </c>
      <c r="BX67" s="29">
        <f>BX22-BW22</f>
      </c>
      <c r="BY67" s="29">
        <f>BY22-BX22</f>
      </c>
      <c r="BZ67" s="29">
        <f>BZ22-BY22</f>
      </c>
      <c r="CA67" s="29">
        <f>CA22-BZ22</f>
      </c>
      <c r="CB67" s="29">
        <f>CB22-CA22</f>
      </c>
      <c r="CC67" s="29">
        <f>CC22-CB22</f>
      </c>
      <c r="CD67" s="29">
        <f>CD22-CC22</f>
      </c>
      <c r="CE67" s="29">
        <f>CE22-CD22</f>
      </c>
      <c r="CF67" s="29">
        <f>CF22-CE22</f>
      </c>
      <c r="CG67" s="29">
        <f>CG22-CF22</f>
      </c>
      <c r="CH67" s="29">
        <f>CH22-CG22</f>
      </c>
      <c r="CI67" s="29">
        <f>CI22-CH22</f>
      </c>
      <c r="CJ67" s="29">
        <f>CJ22-CI22</f>
      </c>
      <c r="CK67" s="29">
        <f>CK22-CJ22</f>
      </c>
      <c r="CL67" s="29">
        <f>CL22-CK22</f>
      </c>
    </row>
    <row r="68" spans="2:90" x14ac:dyDescent="0.25">
      <c r="B68" s="31" t="s">
        <v>244</v>
      </c>
      <c r="C68" s="32" t="s">
        <v>228</v>
      </c>
      <c r="D68" s="29">
        <f>SUM(E68:CL68)</f>
      </c>
      <c r="E68" s="29">
        <f>E14</f>
      </c>
      <c r="F68" s="29">
        <f>F14</f>
      </c>
      <c r="G68" s="29">
        <f>G14</f>
      </c>
      <c r="H68" s="29">
        <f>H14</f>
      </c>
      <c r="I68" s="29">
        <f>I14</f>
      </c>
      <c r="J68" s="29">
        <f>J14</f>
      </c>
      <c r="K68" s="29">
        <f>K14</f>
      </c>
      <c r="L68" s="29">
        <f>L14</f>
      </c>
      <c r="M68" s="29">
        <f>M14</f>
      </c>
      <c r="N68" s="29">
        <f>N14</f>
      </c>
      <c r="O68" s="29">
        <f>O14</f>
      </c>
      <c r="P68" s="29">
        <f>P14</f>
      </c>
      <c r="Q68" s="29">
        <f>Q14</f>
      </c>
      <c r="R68" s="29">
        <f>R14</f>
      </c>
      <c r="S68" s="29">
        <f>S14</f>
      </c>
      <c r="T68" s="29">
        <f>T14</f>
      </c>
      <c r="U68" s="29">
        <f>U14</f>
      </c>
      <c r="V68" s="29">
        <f>V14</f>
      </c>
      <c r="W68" s="29">
        <f>W14</f>
      </c>
      <c r="X68" s="29">
        <f>X14</f>
      </c>
      <c r="Y68" s="29">
        <f>Y14</f>
      </c>
      <c r="Z68" s="29">
        <f>Z14</f>
      </c>
      <c r="AA68" s="29">
        <f>AA14</f>
      </c>
      <c r="AB68" s="29">
        <f>AB14</f>
      </c>
      <c r="AC68" s="29">
        <f>AC14</f>
      </c>
      <c r="AD68" s="29">
        <f>AD14</f>
      </c>
      <c r="AE68" s="29">
        <f>AE14</f>
      </c>
      <c r="AF68" s="29">
        <f>AF14</f>
      </c>
      <c r="AG68" s="29">
        <f>AG14</f>
      </c>
      <c r="AH68" s="29">
        <f>AH14</f>
      </c>
      <c r="AI68" s="29">
        <f>AI14</f>
      </c>
      <c r="AJ68" s="29">
        <f>AJ14</f>
      </c>
      <c r="AK68" s="29">
        <f>AK14</f>
      </c>
      <c r="AL68" s="29">
        <f>AL14</f>
      </c>
      <c r="AM68" s="29">
        <f>AM14</f>
      </c>
      <c r="AN68" s="29">
        <f>AN14</f>
      </c>
      <c r="AO68" s="29">
        <f>AO14</f>
      </c>
      <c r="AP68" s="29">
        <f>AP14</f>
      </c>
      <c r="AQ68" s="29">
        <f>AQ14</f>
      </c>
      <c r="AR68" s="29">
        <f>AR14</f>
      </c>
      <c r="AS68" s="29">
        <f>AS14</f>
      </c>
      <c r="AT68" s="29">
        <f>AT14</f>
      </c>
      <c r="AU68" s="29">
        <f>AU14</f>
      </c>
      <c r="AV68" s="29">
        <f>AV14</f>
      </c>
      <c r="AW68" s="29">
        <f>AW14</f>
      </c>
      <c r="AX68" s="29">
        <f>AX14</f>
      </c>
      <c r="AY68" s="29">
        <f>AY14</f>
      </c>
      <c r="AZ68" s="29">
        <f>AZ14</f>
      </c>
      <c r="BA68" s="29">
        <f>BA14</f>
      </c>
      <c r="BB68" s="29">
        <f>BB14</f>
      </c>
      <c r="BC68" s="29">
        <f>BC14</f>
      </c>
      <c r="BD68" s="29">
        <f>BD14</f>
      </c>
      <c r="BE68" s="29">
        <f>BE14</f>
      </c>
      <c r="BF68" s="29">
        <f>BF14</f>
      </c>
      <c r="BG68" s="29">
        <f>BG14</f>
      </c>
      <c r="BH68" s="29">
        <f>BH14</f>
      </c>
      <c r="BI68" s="29">
        <f>BI14</f>
      </c>
      <c r="BJ68" s="29">
        <f>BJ14</f>
      </c>
      <c r="BK68" s="29">
        <f>BK14</f>
      </c>
      <c r="BL68" s="29">
        <f>BL14</f>
      </c>
      <c r="BM68" s="29">
        <f>BM14</f>
      </c>
      <c r="BN68" s="29">
        <f>BN14</f>
      </c>
      <c r="BO68" s="29">
        <f>BO14</f>
      </c>
      <c r="BP68" s="29">
        <f>BP14</f>
      </c>
      <c r="BQ68" s="29">
        <f>BQ14</f>
      </c>
      <c r="BR68" s="29">
        <f>BR14</f>
      </c>
      <c r="BS68" s="29">
        <f>BS14</f>
      </c>
      <c r="BT68" s="29">
        <f>BT14</f>
      </c>
      <c r="BU68" s="29">
        <f>BU14</f>
      </c>
      <c r="BV68" s="29">
        <f>BV14</f>
      </c>
      <c r="BW68" s="29">
        <f>BW14</f>
      </c>
      <c r="BX68" s="29">
        <f>BX14</f>
      </c>
      <c r="BY68" s="29">
        <f>BY14</f>
      </c>
      <c r="BZ68" s="29">
        <f>BZ14</f>
      </c>
      <c r="CA68" s="29">
        <f>CA14</f>
      </c>
      <c r="CB68" s="29">
        <f>CB14</f>
      </c>
      <c r="CC68" s="29">
        <f>CC14</f>
      </c>
      <c r="CD68" s="29">
        <f>CD14</f>
      </c>
      <c r="CE68" s="29">
        <f>CE14</f>
      </c>
      <c r="CF68" s="29">
        <f>CF14</f>
      </c>
      <c r="CG68" s="29">
        <f>CG14</f>
      </c>
      <c r="CH68" s="29">
        <f>CH14</f>
      </c>
      <c r="CI68" s="29">
        <f>CI14</f>
      </c>
      <c r="CJ68" s="29">
        <f>CJ14</f>
      </c>
      <c r="CK68" s="29">
        <f>CK14</f>
      </c>
      <c r="CL68" s="29">
        <f>CL14</f>
      </c>
    </row>
    <row r="69" spans="2:90" x14ac:dyDescent="0.25">
      <c r="B69" s="31" t="s">
        <v>270</v>
      </c>
      <c r="C69" s="32" t="s">
        <v>228</v>
      </c>
      <c r="D69" s="14">
        <f>SUM(E69:CL69)</f>
      </c>
      <c r="E69" s="29">
        <v>0</v>
      </c>
      <c r="F69" s="29">
        <v>0</v>
      </c>
      <c r="G69" s="29">
        <v>0</v>
      </c>
      <c r="H69" s="29">
        <v>0</v>
      </c>
      <c r="I69" s="29">
        <v>0</v>
      </c>
      <c r="J69" s="29">
        <v>0</v>
      </c>
      <c r="K69" s="29">
        <f>K66*'입력값'!E62/4</f>
      </c>
      <c r="L69" s="29">
        <f>L66*'입력값'!E62/4</f>
      </c>
      <c r="M69" s="29">
        <f>M66*'입력값'!E62/4</f>
      </c>
      <c r="N69" s="29">
        <f>N66*'입력값'!E62/4</f>
      </c>
      <c r="O69" s="29">
        <f>O66*'입력값'!E62/4</f>
      </c>
      <c r="P69" s="29">
        <f>P66*'입력값'!E62/4</f>
      </c>
      <c r="Q69" s="29">
        <f>Q66*'입력값'!E62/4</f>
      </c>
      <c r="R69" s="29">
        <f>R66*'입력값'!E62/4</f>
      </c>
      <c r="S69" s="29">
        <f>S66*'입력값'!E62/4</f>
      </c>
      <c r="T69" s="29">
        <f>T66*'입력값'!E62/4</f>
      </c>
      <c r="U69" s="29">
        <f>U66*'입력값'!E62/4</f>
      </c>
      <c r="V69" s="29">
        <f>V66*'입력값'!E62/4</f>
      </c>
      <c r="W69" s="29">
        <f>W66*'입력값'!E62/4</f>
      </c>
      <c r="X69" s="29">
        <f>X66*'입력값'!E62/4</f>
      </c>
      <c r="Y69" s="29">
        <f>Y66*'입력값'!E62/4</f>
      </c>
      <c r="Z69" s="29">
        <f>Z66*'입력값'!E62/4</f>
      </c>
      <c r="AA69" s="29">
        <f>AA66*'입력값'!E62/4</f>
      </c>
      <c r="AB69" s="29">
        <f>AB66*'입력값'!E62/4</f>
      </c>
      <c r="AC69" s="29">
        <f>AC66*'입력값'!E62/4</f>
      </c>
      <c r="AD69" s="29">
        <f>AD66*'입력값'!E62/4</f>
      </c>
      <c r="AE69" s="29">
        <f>AE66*'입력값'!E62/4</f>
      </c>
      <c r="AF69" s="29">
        <f>AF66*'입력값'!E62/4</f>
      </c>
      <c r="AG69" s="29">
        <f>AG66*'입력값'!E62/4</f>
      </c>
      <c r="AH69" s="29">
        <f>AH66*'입력값'!E62/4</f>
      </c>
      <c r="AI69" s="29">
        <f>AI66*'입력값'!E62/4</f>
      </c>
      <c r="AJ69" s="29">
        <f>AJ66*'입력값'!E62/4</f>
      </c>
      <c r="AK69" s="29">
        <f>AK66*'입력값'!E62/4</f>
      </c>
      <c r="AL69" s="29">
        <f>AL66*'입력값'!E62/4</f>
      </c>
      <c r="AM69" s="29">
        <f>AM66*'입력값'!E62/4</f>
      </c>
      <c r="AN69" s="29">
        <f>AN66*'입력값'!E62/4</f>
      </c>
      <c r="AO69" s="29">
        <f>AO66*'입력값'!E62/4</f>
      </c>
      <c r="AP69" s="29">
        <f>AP66*'입력값'!E62/4</f>
      </c>
      <c r="AQ69" s="29">
        <f>AQ66*'입력값'!E62/4</f>
      </c>
      <c r="AR69" s="29">
        <f>AR66*'입력값'!E62/4</f>
      </c>
      <c r="AS69" s="29">
        <f>AS66*'입력값'!E62/4</f>
      </c>
      <c r="AT69" s="29">
        <f>AT66*'입력값'!E62/4</f>
      </c>
      <c r="AU69" s="29">
        <f>AU66*'입력값'!E62/4</f>
      </c>
      <c r="AV69" s="29">
        <f>AV66*'입력값'!E62/4</f>
      </c>
      <c r="AW69" s="29">
        <f>AW66*'입력값'!E62/4</f>
      </c>
      <c r="AX69" s="29">
        <f>AX66*'입력값'!E62/4</f>
      </c>
      <c r="AY69" s="29">
        <f>AY66*'입력값'!E62/4</f>
      </c>
      <c r="AZ69" s="29">
        <f>AZ66*'입력값'!E62/4</f>
      </c>
      <c r="BA69" s="29">
        <f>BA66*'입력값'!E62/4</f>
      </c>
      <c r="BB69" s="29">
        <f>BB66*'입력값'!E62/4</f>
      </c>
      <c r="BC69" s="29">
        <f>BC66*'입력값'!E62/4</f>
      </c>
      <c r="BD69" s="29">
        <f>BD66*'입력값'!E62/4</f>
      </c>
      <c r="BE69" s="29">
        <f>BE66*'입력값'!E62/4</f>
      </c>
      <c r="BF69" s="29">
        <f>BF66*'입력값'!E62/4</f>
      </c>
      <c r="BG69" s="29">
        <f>BG66*'입력값'!E62/4</f>
      </c>
      <c r="BH69" s="29">
        <f>BH66*'입력값'!E62/4</f>
      </c>
      <c r="BI69" s="29">
        <f>BI66*'입력값'!E62/4</f>
      </c>
      <c r="BJ69" s="29">
        <f>BJ66*'입력값'!E62/4</f>
      </c>
      <c r="BK69" s="29">
        <f>BK66*'입력값'!E62/4</f>
      </c>
      <c r="BL69" s="29">
        <f>BL66*'입력값'!E62/4</f>
      </c>
      <c r="BM69" s="29">
        <f>BM66*'입력값'!E62/4</f>
      </c>
      <c r="BN69" s="29">
        <f>BN66*'입력값'!E62/4</f>
      </c>
      <c r="BO69" s="29">
        <f>BO66*'입력값'!E62/4</f>
      </c>
      <c r="BP69" s="29">
        <f>BP66*'입력값'!E62/4</f>
      </c>
      <c r="BQ69" s="29">
        <f>BQ66*'입력값'!E62/4</f>
      </c>
      <c r="BR69" s="29">
        <f>BR66*'입력값'!E62/4</f>
      </c>
      <c r="BS69" s="29">
        <f>BS66*'입력값'!E62/4</f>
      </c>
      <c r="BT69" s="29">
        <f>BT66*'입력값'!E62/4</f>
      </c>
      <c r="BU69" s="29">
        <f>BU66*'입력값'!E62/4</f>
      </c>
      <c r="BV69" s="29">
        <f>BV66*'입력값'!E62/4</f>
      </c>
      <c r="BW69" s="29">
        <f>BW66*'입력값'!E62/4</f>
      </c>
      <c r="BX69" s="29">
        <f>BX66*'입력값'!E62/4</f>
      </c>
      <c r="BY69" s="29">
        <f>BY66*'입력값'!E62/4</f>
      </c>
      <c r="BZ69" s="29">
        <f>BZ66*'입력값'!E62/4</f>
      </c>
      <c r="CA69" s="29">
        <f>CA66*'입력값'!E62/4</f>
      </c>
      <c r="CB69" s="29">
        <f>CB66*'입력값'!E62/4</f>
      </c>
      <c r="CC69" s="29">
        <f>CC66*'입력값'!E62/4</f>
      </c>
      <c r="CD69" s="29">
        <f>CD66*'입력값'!E62/4</f>
      </c>
      <c r="CE69" s="29">
        <f>CE66*'입력값'!E62/4</f>
      </c>
      <c r="CF69" s="29">
        <f>CF66*'입력값'!E62/4</f>
      </c>
      <c r="CG69" s="29">
        <f>CG66*'입력값'!E62/4</f>
      </c>
      <c r="CH69" s="29">
        <f>CH66*'입력값'!E62/4</f>
      </c>
      <c r="CI69" s="29">
        <f>CI66*'입력값'!E62/4</f>
      </c>
      <c r="CJ69" s="29">
        <f>CJ66*'입력값'!E62/4</f>
      </c>
      <c r="CK69" s="29">
        <f>CK66*'입력값'!E62/4</f>
      </c>
      <c r="CL69" s="29">
        <f>CL66*'입력값'!E62/4</f>
      </c>
    </row>
    <row r="70" spans="2:90" x14ac:dyDescent="0.25">
      <c r="B70" s="31" t="s">
        <v>271</v>
      </c>
      <c r="C70" s="32" t="s">
        <v>228</v>
      </c>
      <c r="D70" s="14">
        <f>SUM(E70:CL70)</f>
      </c>
      <c r="E70" s="29">
        <v>0</v>
      </c>
      <c r="F70" s="29">
        <v>0</v>
      </c>
      <c r="G70" s="29">
        <v>0</v>
      </c>
      <c r="H70" s="29">
        <v>0</v>
      </c>
      <c r="I70" s="29">
        <v>0</v>
      </c>
      <c r="J70" s="29">
        <v>0</v>
      </c>
      <c r="K70" s="29">
        <v>0</v>
      </c>
      <c r="L70" s="29">
        <v>0</v>
      </c>
      <c r="M70" s="29">
        <v>0</v>
      </c>
      <c r="N70" s="29">
        <v>0</v>
      </c>
      <c r="O70" s="29">
        <v>0</v>
      </c>
      <c r="P70" s="29">
        <v>0</v>
      </c>
      <c r="Q70" s="29">
        <v>0</v>
      </c>
      <c r="R70" s="29">
        <v>0</v>
      </c>
      <c r="S70" s="29">
        <v>0</v>
      </c>
      <c r="T70" s="29">
        <v>0</v>
      </c>
      <c r="U70" s="29">
        <v>0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>
        <v>0</v>
      </c>
      <c r="AC70" s="29">
        <v>0</v>
      </c>
      <c r="AD70" s="29">
        <v>0</v>
      </c>
      <c r="AE70" s="29">
        <v>0</v>
      </c>
      <c r="AF70" s="29">
        <v>0</v>
      </c>
      <c r="AG70" s="29">
        <v>0</v>
      </c>
      <c r="AH70" s="29">
        <v>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R70" s="29">
        <v>0</v>
      </c>
      <c r="AS70" s="29">
        <v>0</v>
      </c>
      <c r="AT70" s="29">
        <v>0</v>
      </c>
      <c r="AU70" s="29">
        <v>0</v>
      </c>
      <c r="AV70" s="29">
        <v>0</v>
      </c>
      <c r="AW70" s="29">
        <v>0</v>
      </c>
      <c r="AX70" s="29">
        <v>0</v>
      </c>
      <c r="AY70" s="29">
        <v>0</v>
      </c>
      <c r="AZ70" s="29">
        <v>0</v>
      </c>
      <c r="BA70" s="29">
        <v>0</v>
      </c>
      <c r="BB70" s="29">
        <v>0</v>
      </c>
      <c r="BC70" s="29">
        <v>0</v>
      </c>
      <c r="BD70" s="29">
        <v>0</v>
      </c>
      <c r="BE70" s="29">
        <v>0</v>
      </c>
      <c r="BF70" s="29">
        <v>0</v>
      </c>
      <c r="BG70" s="29">
        <v>0</v>
      </c>
      <c r="BH70" s="29">
        <v>0</v>
      </c>
      <c r="BI70" s="29">
        <v>0</v>
      </c>
      <c r="BJ70" s="29">
        <v>0</v>
      </c>
      <c r="BK70" s="29">
        <v>0</v>
      </c>
      <c r="BL70" s="29">
        <v>0</v>
      </c>
      <c r="BM70" s="29">
        <v>0</v>
      </c>
      <c r="BN70" s="29">
        <v>0</v>
      </c>
      <c r="BO70" s="29">
        <v>0</v>
      </c>
      <c r="BP70" s="29">
        <v>0</v>
      </c>
      <c r="BQ70" s="29">
        <v>0</v>
      </c>
      <c r="BR70" s="29">
        <v>0</v>
      </c>
      <c r="BS70" s="29">
        <v>0</v>
      </c>
      <c r="BT70" s="29">
        <v>0</v>
      </c>
      <c r="BU70" s="29">
        <v>0</v>
      </c>
      <c r="BV70" s="29">
        <v>0</v>
      </c>
      <c r="BW70" s="29">
        <v>0</v>
      </c>
      <c r="BX70" s="29">
        <v>0</v>
      </c>
      <c r="BY70" s="29">
        <v>0</v>
      </c>
      <c r="BZ70" s="29">
        <v>0</v>
      </c>
      <c r="CA70" s="29">
        <v>0</v>
      </c>
      <c r="CB70" s="29">
        <v>0</v>
      </c>
      <c r="CC70" s="29">
        <v>0</v>
      </c>
      <c r="CD70" s="29">
        <v>0</v>
      </c>
      <c r="CE70" s="29">
        <v>0</v>
      </c>
      <c r="CF70" s="29">
        <v>0</v>
      </c>
      <c r="CG70" s="29">
        <v>0</v>
      </c>
      <c r="CH70" s="29">
        <v>0</v>
      </c>
      <c r="CI70" s="29">
        <v>0</v>
      </c>
      <c r="CJ70" s="29">
        <v>0</v>
      </c>
      <c r="CK70" s="29">
        <v>0</v>
      </c>
      <c r="CL70" s="29">
        <v>0</v>
      </c>
    </row>
    <row r="71" spans="2:90" x14ac:dyDescent="0.25">
      <c r="B71" s="42" t="s">
        <v>272</v>
      </c>
      <c r="C71" s="32" t="s">
        <v>228</v>
      </c>
      <c r="E71" s="14">
        <f>E66+E67-E70</f>
      </c>
      <c r="F71" s="14">
        <f>F66+F67-F70</f>
      </c>
      <c r="G71" s="14">
        <f>G66+G67-G70</f>
      </c>
      <c r="H71" s="14">
        <f>H66+H67-H70</f>
      </c>
      <c r="I71" s="14">
        <f>I66+I67-I70</f>
      </c>
      <c r="J71" s="14">
        <f>J66+J67-J70</f>
      </c>
      <c r="K71" s="14">
        <f>K66+K67-K70</f>
      </c>
      <c r="L71" s="14">
        <f>L66+L67-L70</f>
      </c>
      <c r="M71" s="14">
        <f>M66+M67-M70</f>
      </c>
      <c r="N71" s="14">
        <f>N66+N67-N70</f>
      </c>
      <c r="O71" s="14">
        <f>O66+O67-O70</f>
      </c>
      <c r="P71" s="14">
        <f>P66+P67-P70</f>
      </c>
      <c r="Q71" s="14">
        <f>Q66+Q67-Q70</f>
      </c>
      <c r="R71" s="14">
        <f>R66+R67-R70</f>
      </c>
      <c r="S71" s="14">
        <f>S66+S67-S70</f>
      </c>
      <c r="T71" s="14">
        <f>T66+T67-T70</f>
      </c>
      <c r="U71" s="14">
        <f>U66+U67-U70</f>
      </c>
      <c r="V71" s="14">
        <f>V66+V67-V70</f>
      </c>
      <c r="W71" s="14">
        <f>W66+W67-W70</f>
      </c>
      <c r="X71" s="14">
        <f>X66+X67-X70</f>
      </c>
      <c r="Y71" s="14">
        <f>Y66+Y67-Y70</f>
      </c>
      <c r="Z71" s="14">
        <f>Z66+Z67-Z70</f>
      </c>
      <c r="AA71" s="14">
        <f>AA66+AA67-AA70</f>
      </c>
      <c r="AB71" s="14">
        <f>AB66+AB67-AB70</f>
      </c>
      <c r="AC71" s="14">
        <f>AC66+AC67-AC70</f>
      </c>
      <c r="AD71" s="14">
        <f>AD66+AD67-AD70</f>
      </c>
      <c r="AE71" s="14">
        <f>AE66+AE67-AE70</f>
      </c>
      <c r="AF71" s="14">
        <f>AF66+AF67-AF70</f>
      </c>
      <c r="AG71" s="14">
        <f>AG66+AG67-AG70</f>
      </c>
      <c r="AH71" s="14">
        <f>AH66+AH67-AH70</f>
      </c>
      <c r="AI71" s="14">
        <f>AI66+AI67-AI70</f>
      </c>
      <c r="AJ71" s="14">
        <f>AJ66+AJ67-AJ70</f>
      </c>
      <c r="AK71" s="14">
        <f>AK66+AK67-AK70</f>
      </c>
      <c r="AL71" s="14">
        <f>AL66+AL67-AL70</f>
      </c>
      <c r="AM71" s="14">
        <f>AM66+AM67-AM70</f>
      </c>
      <c r="AN71" s="14">
        <f>AN66+AN67-AN70</f>
      </c>
      <c r="AO71" s="14">
        <f>AO66+AO67-AO70</f>
      </c>
      <c r="AP71" s="14">
        <f>AP66+AP67-AP70</f>
      </c>
      <c r="AQ71" s="14">
        <f>AQ66+AQ67-AQ70</f>
      </c>
      <c r="AR71" s="14">
        <f>AR66+AR67-AR70</f>
      </c>
      <c r="AS71" s="14">
        <f>AS66+AS67-AS70</f>
      </c>
      <c r="AT71" s="14">
        <f>AT66+AT67-AT70</f>
      </c>
      <c r="AU71" s="14">
        <f>AU66+AU67-AU70</f>
      </c>
      <c r="AV71" s="14">
        <f>AV66+AV67-AV70</f>
      </c>
      <c r="AW71" s="14">
        <f>AW66+AW67-AW70</f>
      </c>
      <c r="AX71" s="14">
        <f>AX66+AX67-AX70</f>
      </c>
      <c r="AY71" s="14">
        <f>AY66+AY67-AY70</f>
      </c>
      <c r="AZ71" s="14">
        <f>AZ66+AZ67-AZ70</f>
      </c>
      <c r="BA71" s="14">
        <f>BA66+BA67-BA70</f>
      </c>
      <c r="BB71" s="14">
        <f>BB66+BB67-BB70</f>
      </c>
      <c r="BC71" s="14">
        <f>BC66+BC67-BC70</f>
      </c>
      <c r="BD71" s="14">
        <f>BD66+BD67-BD70</f>
      </c>
      <c r="BE71" s="14">
        <f>BE66+BE67-BE70</f>
      </c>
      <c r="BF71" s="14">
        <f>BF66+BF67-BF70</f>
      </c>
      <c r="BG71" s="14">
        <f>BG66+BG67-BG70</f>
      </c>
      <c r="BH71" s="14">
        <f>BH66+BH67-BH70</f>
      </c>
      <c r="BI71" s="14">
        <f>BI66+BI67-BI70</f>
      </c>
      <c r="BJ71" s="14">
        <f>BJ66+BJ67-BJ70</f>
      </c>
      <c r="BK71" s="14">
        <f>BK66+BK67-BK70</f>
      </c>
      <c r="BL71" s="14">
        <f>BL66+BL67-BL70</f>
      </c>
      <c r="BM71" s="14">
        <f>BM66+BM67-BM70</f>
      </c>
      <c r="BN71" s="14">
        <f>BN66+BN67-BN70</f>
      </c>
      <c r="BO71" s="14">
        <f>BO66+BO67-BO70</f>
      </c>
      <c r="BP71" s="14">
        <f>BP66+BP67-BP70</f>
      </c>
      <c r="BQ71" s="14">
        <f>BQ66+BQ67-BQ70</f>
      </c>
      <c r="BR71" s="14">
        <f>BR66+BR67-BR70</f>
      </c>
      <c r="BS71" s="14">
        <f>BS66+BS67-BS70</f>
      </c>
      <c r="BT71" s="14">
        <f>BT66+BT67-BT70</f>
      </c>
      <c r="BU71" s="14">
        <f>BU66+BU67-BU70</f>
      </c>
      <c r="BV71" s="14">
        <f>BV66+BV67-BV70</f>
      </c>
      <c r="BW71" s="14">
        <f>BW66+BW67-BW70</f>
      </c>
      <c r="BX71" s="14">
        <f>BX66+BX67-BX70</f>
      </c>
      <c r="BY71" s="14">
        <f>BY66+BY67-BY70</f>
      </c>
      <c r="BZ71" s="14">
        <f>BZ66+BZ67-BZ70</f>
      </c>
      <c r="CA71" s="14">
        <f>CA66+CA67-CA70</f>
      </c>
      <c r="CB71" s="14">
        <f>CB66+CB67-CB70</f>
      </c>
      <c r="CC71" s="14">
        <f>CC66+CC67-CC70</f>
      </c>
      <c r="CD71" s="14">
        <f>CD66+CD67-CD70</f>
      </c>
      <c r="CE71" s="14">
        <f>CE66+CE67-CE70</f>
      </c>
      <c r="CF71" s="14">
        <f>CF66+CF67-CF70</f>
      </c>
      <c r="CG71" s="14">
        <f>CG66+CG67-CG70</f>
      </c>
      <c r="CH71" s="14">
        <f>CH66+CH67-CH70</f>
      </c>
      <c r="CI71" s="14">
        <f>CI66+CI67-CI70</f>
      </c>
      <c r="CJ71" s="14">
        <f>CJ66+CJ67-CJ70</f>
      </c>
      <c r="CK71" s="14">
        <f>CK66+CK67-CK70</f>
      </c>
      <c r="CL71" s="14">
        <f>CL66+CL67-CL70</f>
      </c>
    </row>
    <row r="72" spans="2:8" x14ac:dyDescent="0.25">
      <c r="B72" s="31" t="s">
        <v>273</v>
      </c>
      <c r="C72" s="32" t="s">
        <v>228</v>
      </c>
      <c r="D72" s="29">
        <f>CL71</f>
      </c>
      <c r="F72" s="28">
        <f>IF(ABS(D72)&lt;1,"완전상환 확인 (OK)","경고: 미상환 잔액")</f>
      </c>
      <c r="H72" s="45" t="s">
        <v>275</v>
      </c>
    </row>
    <row r="74" spans="2:91" x14ac:dyDescent="0.25">
      <c r="B74" s="9" t="s">
        <v>276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</row>
    <row r="75" spans="2:90" x14ac:dyDescent="0.25">
      <c r="B75" s="31" t="s">
        <v>268</v>
      </c>
      <c r="C75" s="32" t="s">
        <v>228</v>
      </c>
      <c r="E75" s="29">
        <f>E30+E39+E48+E57+E66</f>
      </c>
      <c r="F75" s="29">
        <f>F30+F39+F48+F57+F66</f>
      </c>
      <c r="G75" s="29">
        <f>G30+G39+G48+G57+G66</f>
      </c>
      <c r="H75" s="29">
        <f>H30+H39+H48+H57+H66</f>
      </c>
      <c r="I75" s="29">
        <f>I30+I39+I48+I57+I66</f>
      </c>
      <c r="J75" s="29">
        <f>J30+J39+J48+J57+J66</f>
      </c>
      <c r="K75" s="29">
        <f>K30+K39+K48+K57+K66</f>
      </c>
      <c r="L75" s="29">
        <f>L30+L39+L48+L57+L66</f>
      </c>
      <c r="M75" s="29">
        <f>M30+M39+M48+M57+M66</f>
      </c>
      <c r="N75" s="29">
        <f>N30+N39+N48+N57+N66</f>
      </c>
      <c r="O75" s="29">
        <f>O30+O39+O48+O57+O66</f>
      </c>
      <c r="P75" s="29">
        <f>P30+P39+P48+P57+P66</f>
      </c>
      <c r="Q75" s="29">
        <f>Q30+Q39+Q48+Q57+Q66</f>
      </c>
      <c r="R75" s="29">
        <f>R30+R39+R48+R57+R66</f>
      </c>
      <c r="S75" s="29">
        <f>S30+S39+S48+S57+S66</f>
      </c>
      <c r="T75" s="29">
        <f>T30+T39+T48+T57+T66</f>
      </c>
      <c r="U75" s="29">
        <f>U30+U39+U48+U57+U66</f>
      </c>
      <c r="V75" s="29">
        <f>V30+V39+V48+V57+V66</f>
      </c>
      <c r="W75" s="29">
        <f>W30+W39+W48+W57+W66</f>
      </c>
      <c r="X75" s="29">
        <f>X30+X39+X48+X57+X66</f>
      </c>
      <c r="Y75" s="29">
        <f>Y30+Y39+Y48+Y57+Y66</f>
      </c>
      <c r="Z75" s="29">
        <f>Z30+Z39+Z48+Z57+Z66</f>
      </c>
      <c r="AA75" s="29">
        <f>AA30+AA39+AA48+AA57+AA66</f>
      </c>
      <c r="AB75" s="29">
        <f>AB30+AB39+AB48+AB57+AB66</f>
      </c>
      <c r="AC75" s="29">
        <f>AC30+AC39+AC48+AC57+AC66</f>
      </c>
      <c r="AD75" s="29">
        <f>AD30+AD39+AD48+AD57+AD66</f>
      </c>
      <c r="AE75" s="29">
        <f>AE30+AE39+AE48+AE57+AE66</f>
      </c>
      <c r="AF75" s="29">
        <f>AF30+AF39+AF48+AF57+AF66</f>
      </c>
      <c r="AG75" s="29">
        <f>AG30+AG39+AG48+AG57+AG66</f>
      </c>
      <c r="AH75" s="29">
        <f>AH30+AH39+AH48+AH57+AH66</f>
      </c>
      <c r="AI75" s="29">
        <f>AI30+AI39+AI48+AI57+AI66</f>
      </c>
      <c r="AJ75" s="29">
        <f>AJ30+AJ39+AJ48+AJ57+AJ66</f>
      </c>
      <c r="AK75" s="29">
        <f>AK30+AK39+AK48+AK57+AK66</f>
      </c>
      <c r="AL75" s="29">
        <f>AL30+AL39+AL48+AL57+AL66</f>
      </c>
      <c r="AM75" s="29">
        <f>AM30+AM39+AM48+AM57+AM66</f>
      </c>
      <c r="AN75" s="29">
        <f>AN30+AN39+AN48+AN57+AN66</f>
      </c>
      <c r="AO75" s="29">
        <f>AO30+AO39+AO48+AO57+AO66</f>
      </c>
      <c r="AP75" s="29">
        <f>AP30+AP39+AP48+AP57+AP66</f>
      </c>
      <c r="AQ75" s="29">
        <f>AQ30+AQ39+AQ48+AQ57+AQ66</f>
      </c>
      <c r="AR75" s="29">
        <f>AR30+AR39+AR48+AR57+AR66</f>
      </c>
      <c r="AS75" s="29">
        <f>AS30+AS39+AS48+AS57+AS66</f>
      </c>
      <c r="AT75" s="29">
        <f>AT30+AT39+AT48+AT57+AT66</f>
      </c>
      <c r="AU75" s="29">
        <f>AU30+AU39+AU48+AU57+AU66</f>
      </c>
      <c r="AV75" s="29">
        <f>AV30+AV39+AV48+AV57+AV66</f>
      </c>
      <c r="AW75" s="29">
        <f>AW30+AW39+AW48+AW57+AW66</f>
      </c>
      <c r="AX75" s="29">
        <f>AX30+AX39+AX48+AX57+AX66</f>
      </c>
      <c r="AY75" s="29">
        <f>AY30+AY39+AY48+AY57+AY66</f>
      </c>
      <c r="AZ75" s="29">
        <f>AZ30+AZ39+AZ48+AZ57+AZ66</f>
      </c>
      <c r="BA75" s="29">
        <f>BA30+BA39+BA48+BA57+BA66</f>
      </c>
      <c r="BB75" s="29">
        <f>BB30+BB39+BB48+BB57+BB66</f>
      </c>
      <c r="BC75" s="29">
        <f>BC30+BC39+BC48+BC57+BC66</f>
      </c>
      <c r="BD75" s="29">
        <f>BD30+BD39+BD48+BD57+BD66</f>
      </c>
      <c r="BE75" s="29">
        <f>BE30+BE39+BE48+BE57+BE66</f>
      </c>
      <c r="BF75" s="29">
        <f>BF30+BF39+BF48+BF57+BF66</f>
      </c>
      <c r="BG75" s="29">
        <f>BG30+BG39+BG48+BG57+BG66</f>
      </c>
      <c r="BH75" s="29">
        <f>BH30+BH39+BH48+BH57+BH66</f>
      </c>
      <c r="BI75" s="29">
        <f>BI30+BI39+BI48+BI57+BI66</f>
      </c>
      <c r="BJ75" s="29">
        <f>BJ30+BJ39+BJ48+BJ57+BJ66</f>
      </c>
      <c r="BK75" s="29">
        <f>BK30+BK39+BK48+BK57+BK66</f>
      </c>
      <c r="BL75" s="29">
        <f>BL30+BL39+BL48+BL57+BL66</f>
      </c>
      <c r="BM75" s="29">
        <f>BM30+BM39+BM48+BM57+BM66</f>
      </c>
      <c r="BN75" s="29">
        <f>BN30+BN39+BN48+BN57+BN66</f>
      </c>
      <c r="BO75" s="29">
        <f>BO30+BO39+BO48+BO57+BO66</f>
      </c>
      <c r="BP75" s="29">
        <f>BP30+BP39+BP48+BP57+BP66</f>
      </c>
      <c r="BQ75" s="29">
        <f>BQ30+BQ39+BQ48+BQ57+BQ66</f>
      </c>
      <c r="BR75" s="29">
        <f>BR30+BR39+BR48+BR57+BR66</f>
      </c>
      <c r="BS75" s="29">
        <f>BS30+BS39+BS48+BS57+BS66</f>
      </c>
      <c r="BT75" s="29">
        <f>BT30+BT39+BT48+BT57+BT66</f>
      </c>
      <c r="BU75" s="29">
        <f>BU30+BU39+BU48+BU57+BU66</f>
      </c>
      <c r="BV75" s="29">
        <f>BV30+BV39+BV48+BV57+BV66</f>
      </c>
      <c r="BW75" s="29">
        <f>BW30+BW39+BW48+BW57+BW66</f>
      </c>
      <c r="BX75" s="29">
        <f>BX30+BX39+BX48+BX57+BX66</f>
      </c>
      <c r="BY75" s="29">
        <f>BY30+BY39+BY48+BY57+BY66</f>
      </c>
      <c r="BZ75" s="29">
        <f>BZ30+BZ39+BZ48+BZ57+BZ66</f>
      </c>
      <c r="CA75" s="29">
        <f>CA30+CA39+CA48+CA57+CA66</f>
      </c>
      <c r="CB75" s="29">
        <f>CB30+CB39+CB48+CB57+CB66</f>
      </c>
      <c r="CC75" s="29">
        <f>CC30+CC39+CC48+CC57+CC66</f>
      </c>
      <c r="CD75" s="29">
        <f>CD30+CD39+CD48+CD57+CD66</f>
      </c>
      <c r="CE75" s="29">
        <f>CE30+CE39+CE48+CE57+CE66</f>
      </c>
      <c r="CF75" s="29">
        <f>CF30+CF39+CF48+CF57+CF66</f>
      </c>
      <c r="CG75" s="29">
        <f>CG30+CG39+CG48+CG57+CG66</f>
      </c>
      <c r="CH75" s="29">
        <f>CH30+CH39+CH48+CH57+CH66</f>
      </c>
      <c r="CI75" s="29">
        <f>CI30+CI39+CI48+CI57+CI66</f>
      </c>
      <c r="CJ75" s="29">
        <f>CJ30+CJ39+CJ48+CJ57+CJ66</f>
      </c>
      <c r="CK75" s="29">
        <f>CK30+CK39+CK48+CK57+CK66</f>
      </c>
      <c r="CL75" s="29">
        <f>CL30+CL39+CL48+CL57+CL66</f>
      </c>
    </row>
    <row r="76" spans="2:90" x14ac:dyDescent="0.25">
      <c r="B76" s="31" t="s">
        <v>277</v>
      </c>
      <c r="C76" s="32" t="s">
        <v>228</v>
      </c>
      <c r="D76" s="14">
        <f>SUM(E76:CL76)</f>
      </c>
      <c r="E76" s="29">
        <f>E33+E42+E51+E60+E69</f>
      </c>
      <c r="F76" s="29">
        <f>F33+F42+F51+F60+F69</f>
      </c>
      <c r="G76" s="29">
        <f>G33+G42+G51+G60+G69</f>
      </c>
      <c r="H76" s="29">
        <f>H33+H42+H51+H60+H69</f>
      </c>
      <c r="I76" s="29">
        <f>I33+I42+I51+I60+I69</f>
      </c>
      <c r="J76" s="29">
        <f>J33+J42+J51+J60+J69</f>
      </c>
      <c r="K76" s="29">
        <f>K33+K42+K51+K60+K69</f>
      </c>
      <c r="L76" s="29">
        <f>L33+L42+L51+L60+L69</f>
      </c>
      <c r="M76" s="29">
        <f>M33+M42+M51+M60+M69</f>
      </c>
      <c r="N76" s="29">
        <f>N33+N42+N51+N60+N69</f>
      </c>
      <c r="O76" s="29">
        <f>O33+O42+O51+O60+O69</f>
      </c>
      <c r="P76" s="29">
        <f>P33+P42+P51+P60+P69</f>
      </c>
      <c r="Q76" s="29">
        <f>Q33+Q42+Q51+Q60+Q69</f>
      </c>
      <c r="R76" s="29">
        <f>R33+R42+R51+R60+R69</f>
      </c>
      <c r="S76" s="29">
        <f>S33+S42+S51+S60+S69</f>
      </c>
      <c r="T76" s="29">
        <f>T33+T42+T51+T60+T69</f>
      </c>
      <c r="U76" s="29">
        <f>U33+U42+U51+U60+U69</f>
      </c>
      <c r="V76" s="29">
        <f>V33+V42+V51+V60+V69</f>
      </c>
      <c r="W76" s="29">
        <f>W33+W42+W51+W60+W69</f>
      </c>
      <c r="X76" s="29">
        <f>X33+X42+X51+X60+X69</f>
      </c>
      <c r="Y76" s="29">
        <f>Y33+Y42+Y51+Y60+Y69</f>
      </c>
      <c r="Z76" s="29">
        <f>Z33+Z42+Z51+Z60+Z69</f>
      </c>
      <c r="AA76" s="29">
        <f>AA33+AA42+AA51+AA60+AA69</f>
      </c>
      <c r="AB76" s="29">
        <f>AB33+AB42+AB51+AB60+AB69</f>
      </c>
      <c r="AC76" s="29">
        <f>AC33+AC42+AC51+AC60+AC69</f>
      </c>
      <c r="AD76" s="29">
        <f>AD33+AD42+AD51+AD60+AD69</f>
      </c>
      <c r="AE76" s="29">
        <f>AE33+AE42+AE51+AE60+AE69</f>
      </c>
      <c r="AF76" s="29">
        <f>AF33+AF42+AF51+AF60+AF69</f>
      </c>
      <c r="AG76" s="29">
        <f>AG33+AG42+AG51+AG60+AG69</f>
      </c>
      <c r="AH76" s="29">
        <f>AH33+AH42+AH51+AH60+AH69</f>
      </c>
      <c r="AI76" s="29">
        <f>AI33+AI42+AI51+AI60+AI69</f>
      </c>
      <c r="AJ76" s="29">
        <f>AJ33+AJ42+AJ51+AJ60+AJ69</f>
      </c>
      <c r="AK76" s="29">
        <f>AK33+AK42+AK51+AK60+AK69</f>
      </c>
      <c r="AL76" s="29">
        <f>AL33+AL42+AL51+AL60+AL69</f>
      </c>
      <c r="AM76" s="29">
        <f>AM33+AM42+AM51+AM60+AM69</f>
      </c>
      <c r="AN76" s="29">
        <f>AN33+AN42+AN51+AN60+AN69</f>
      </c>
      <c r="AO76" s="29">
        <f>AO33+AO42+AO51+AO60+AO69</f>
      </c>
      <c r="AP76" s="29">
        <f>AP33+AP42+AP51+AP60+AP69</f>
      </c>
      <c r="AQ76" s="29">
        <f>AQ33+AQ42+AQ51+AQ60+AQ69</f>
      </c>
      <c r="AR76" s="29">
        <f>AR33+AR42+AR51+AR60+AR69</f>
      </c>
      <c r="AS76" s="29">
        <f>AS33+AS42+AS51+AS60+AS69</f>
      </c>
      <c r="AT76" s="29">
        <f>AT33+AT42+AT51+AT60+AT69</f>
      </c>
      <c r="AU76" s="29">
        <f>AU33+AU42+AU51+AU60+AU69</f>
      </c>
      <c r="AV76" s="29">
        <f>AV33+AV42+AV51+AV60+AV69</f>
      </c>
      <c r="AW76" s="29">
        <f>AW33+AW42+AW51+AW60+AW69</f>
      </c>
      <c r="AX76" s="29">
        <f>AX33+AX42+AX51+AX60+AX69</f>
      </c>
      <c r="AY76" s="29">
        <f>AY33+AY42+AY51+AY60+AY69</f>
      </c>
      <c r="AZ76" s="29">
        <f>AZ33+AZ42+AZ51+AZ60+AZ69</f>
      </c>
      <c r="BA76" s="29">
        <f>BA33+BA42+BA51+BA60+BA69</f>
      </c>
      <c r="BB76" s="29">
        <f>BB33+BB42+BB51+BB60+BB69</f>
      </c>
      <c r="BC76" s="29">
        <f>BC33+BC42+BC51+BC60+BC69</f>
      </c>
      <c r="BD76" s="29">
        <f>BD33+BD42+BD51+BD60+BD69</f>
      </c>
      <c r="BE76" s="29">
        <f>BE33+BE42+BE51+BE60+BE69</f>
      </c>
      <c r="BF76" s="29">
        <f>BF33+BF42+BF51+BF60+BF69</f>
      </c>
      <c r="BG76" s="29">
        <f>BG33+BG42+BG51+BG60+BG69</f>
      </c>
      <c r="BH76" s="29">
        <f>BH33+BH42+BH51+BH60+BH69</f>
      </c>
      <c r="BI76" s="29">
        <f>BI33+BI42+BI51+BI60+BI69</f>
      </c>
      <c r="BJ76" s="29">
        <f>BJ33+BJ42+BJ51+BJ60+BJ69</f>
      </c>
      <c r="BK76" s="29">
        <f>BK33+BK42+BK51+BK60+BK69</f>
      </c>
      <c r="BL76" s="29">
        <f>BL33+BL42+BL51+BL60+BL69</f>
      </c>
      <c r="BM76" s="29">
        <f>BM33+BM42+BM51+BM60+BM69</f>
      </c>
      <c r="BN76" s="29">
        <f>BN33+BN42+BN51+BN60+BN69</f>
      </c>
      <c r="BO76" s="29">
        <f>BO33+BO42+BO51+BO60+BO69</f>
      </c>
      <c r="BP76" s="29">
        <f>BP33+BP42+BP51+BP60+BP69</f>
      </c>
      <c r="BQ76" s="29">
        <f>BQ33+BQ42+BQ51+BQ60+BQ69</f>
      </c>
      <c r="BR76" s="29">
        <f>BR33+BR42+BR51+BR60+BR69</f>
      </c>
      <c r="BS76" s="29">
        <f>BS33+BS42+BS51+BS60+BS69</f>
      </c>
      <c r="BT76" s="29">
        <f>BT33+BT42+BT51+BT60+BT69</f>
      </c>
      <c r="BU76" s="29">
        <f>BU33+BU42+BU51+BU60+BU69</f>
      </c>
      <c r="BV76" s="29">
        <f>BV33+BV42+BV51+BV60+BV69</f>
      </c>
      <c r="BW76" s="29">
        <f>BW33+BW42+BW51+BW60+BW69</f>
      </c>
      <c r="BX76" s="29">
        <f>BX33+BX42+BX51+BX60+BX69</f>
      </c>
      <c r="BY76" s="29">
        <f>BY33+BY42+BY51+BY60+BY69</f>
      </c>
      <c r="BZ76" s="29">
        <f>BZ33+BZ42+BZ51+BZ60+BZ69</f>
      </c>
      <c r="CA76" s="29">
        <f>CA33+CA42+CA51+CA60+CA69</f>
      </c>
      <c r="CB76" s="29">
        <f>CB33+CB42+CB51+CB60+CB69</f>
      </c>
      <c r="CC76" s="29">
        <f>CC33+CC42+CC51+CC60+CC69</f>
      </c>
      <c r="CD76" s="29">
        <f>CD33+CD42+CD51+CD60+CD69</f>
      </c>
      <c r="CE76" s="29">
        <f>CE33+CE42+CE51+CE60+CE69</f>
      </c>
      <c r="CF76" s="29">
        <f>CF33+CF42+CF51+CF60+CF69</f>
      </c>
      <c r="CG76" s="29">
        <f>CG33+CG42+CG51+CG60+CG69</f>
      </c>
      <c r="CH76" s="29">
        <f>CH33+CH42+CH51+CH60+CH69</f>
      </c>
      <c r="CI76" s="29">
        <f>CI33+CI42+CI51+CI60+CI69</f>
      </c>
      <c r="CJ76" s="29">
        <f>CJ33+CJ42+CJ51+CJ60+CJ69</f>
      </c>
      <c r="CK76" s="29">
        <f>CK33+CK42+CK51+CK60+CK69</f>
      </c>
      <c r="CL76" s="29">
        <f>CL33+CL42+CL51+CL60+CL69</f>
      </c>
    </row>
    <row r="77" spans="2:90" x14ac:dyDescent="0.25">
      <c r="B77" s="31" t="s">
        <v>271</v>
      </c>
      <c r="C77" s="32" t="s">
        <v>228</v>
      </c>
      <c r="D77" s="14">
        <f>SUM(E77:CL77)</f>
      </c>
      <c r="E77" s="29">
        <f>E34+E43+E52+E61+E70</f>
      </c>
      <c r="F77" s="29">
        <f>F34+F43+F52+F61+F70</f>
      </c>
      <c r="G77" s="29">
        <f>G34+G43+G52+G61+G70</f>
      </c>
      <c r="H77" s="29">
        <f>H34+H43+H52+H61+H70</f>
      </c>
      <c r="I77" s="29">
        <f>I34+I43+I52+I61+I70</f>
      </c>
      <c r="J77" s="29">
        <f>J34+J43+J52+J61+J70</f>
      </c>
      <c r="K77" s="29">
        <f>K34+K43+K52+K61+K70</f>
      </c>
      <c r="L77" s="29">
        <f>L34+L43+L52+L61+L70</f>
      </c>
      <c r="M77" s="29">
        <f>M34+M43+M52+M61+M70</f>
      </c>
      <c r="N77" s="29">
        <f>N34+N43+N52+N61+N70</f>
      </c>
      <c r="O77" s="29">
        <f>O34+O43+O52+O61+O70</f>
      </c>
      <c r="P77" s="29">
        <f>P34+P43+P52+P61+P70</f>
      </c>
      <c r="Q77" s="29">
        <f>Q34+Q43+Q52+Q61+Q70</f>
      </c>
      <c r="R77" s="29">
        <f>R34+R43+R52+R61+R70</f>
      </c>
      <c r="S77" s="29">
        <f>S34+S43+S52+S61+S70</f>
      </c>
      <c r="T77" s="29">
        <f>T34+T43+T52+T61+T70</f>
      </c>
      <c r="U77" s="29">
        <f>U34+U43+U52+U61+U70</f>
      </c>
      <c r="V77" s="29">
        <f>V34+V43+V52+V61+V70</f>
      </c>
      <c r="W77" s="29">
        <f>W34+W43+W52+W61+W70</f>
      </c>
      <c r="X77" s="29">
        <f>X34+X43+X52+X61+X70</f>
      </c>
      <c r="Y77" s="29">
        <f>Y34+Y43+Y52+Y61+Y70</f>
      </c>
      <c r="Z77" s="29">
        <f>Z34+Z43+Z52+Z61+Z70</f>
      </c>
      <c r="AA77" s="29">
        <f>AA34+AA43+AA52+AA61+AA70</f>
      </c>
      <c r="AB77" s="29">
        <f>AB34+AB43+AB52+AB61+AB70</f>
      </c>
      <c r="AC77" s="29">
        <f>AC34+AC43+AC52+AC61+AC70</f>
      </c>
      <c r="AD77" s="29">
        <f>AD34+AD43+AD52+AD61+AD70</f>
      </c>
      <c r="AE77" s="29">
        <f>AE34+AE43+AE52+AE61+AE70</f>
      </c>
      <c r="AF77" s="29">
        <f>AF34+AF43+AF52+AF61+AF70</f>
      </c>
      <c r="AG77" s="29">
        <f>AG34+AG43+AG52+AG61+AG70</f>
      </c>
      <c r="AH77" s="29">
        <f>AH34+AH43+AH52+AH61+AH70</f>
      </c>
      <c r="AI77" s="29">
        <f>AI34+AI43+AI52+AI61+AI70</f>
      </c>
      <c r="AJ77" s="29">
        <f>AJ34+AJ43+AJ52+AJ61+AJ70</f>
      </c>
      <c r="AK77" s="29">
        <f>AK34+AK43+AK52+AK61+AK70</f>
      </c>
      <c r="AL77" s="29">
        <f>AL34+AL43+AL52+AL61+AL70</f>
      </c>
      <c r="AM77" s="29">
        <f>AM34+AM43+AM52+AM61+AM70</f>
      </c>
      <c r="AN77" s="29">
        <f>AN34+AN43+AN52+AN61+AN70</f>
      </c>
      <c r="AO77" s="29">
        <f>AO34+AO43+AO52+AO61+AO70</f>
      </c>
      <c r="AP77" s="29">
        <f>AP34+AP43+AP52+AP61+AP70</f>
      </c>
      <c r="AQ77" s="29">
        <f>AQ34+AQ43+AQ52+AQ61+AQ70</f>
      </c>
      <c r="AR77" s="29">
        <f>AR34+AR43+AR52+AR61+AR70</f>
      </c>
      <c r="AS77" s="29">
        <f>AS34+AS43+AS52+AS61+AS70</f>
      </c>
      <c r="AT77" s="29">
        <f>AT34+AT43+AT52+AT61+AT70</f>
      </c>
      <c r="AU77" s="29">
        <f>AU34+AU43+AU52+AU61+AU70</f>
      </c>
      <c r="AV77" s="29">
        <f>AV34+AV43+AV52+AV61+AV70</f>
      </c>
      <c r="AW77" s="29">
        <f>AW34+AW43+AW52+AW61+AW70</f>
      </c>
      <c r="AX77" s="29">
        <f>AX34+AX43+AX52+AX61+AX70</f>
      </c>
      <c r="AY77" s="29">
        <f>AY34+AY43+AY52+AY61+AY70</f>
      </c>
      <c r="AZ77" s="29">
        <f>AZ34+AZ43+AZ52+AZ61+AZ70</f>
      </c>
      <c r="BA77" s="29">
        <f>BA34+BA43+BA52+BA61+BA70</f>
      </c>
      <c r="BB77" s="29">
        <f>BB34+BB43+BB52+BB61+BB70</f>
      </c>
      <c r="BC77" s="29">
        <f>BC34+BC43+BC52+BC61+BC70</f>
      </c>
      <c r="BD77" s="29">
        <f>BD34+BD43+BD52+BD61+BD70</f>
      </c>
      <c r="BE77" s="29">
        <f>BE34+BE43+BE52+BE61+BE70</f>
      </c>
      <c r="BF77" s="29">
        <f>BF34+BF43+BF52+BF61+BF70</f>
      </c>
      <c r="BG77" s="29">
        <f>BG34+BG43+BG52+BG61+BG70</f>
      </c>
      <c r="BH77" s="29">
        <f>BH34+BH43+BH52+BH61+BH70</f>
      </c>
      <c r="BI77" s="29">
        <f>BI34+BI43+BI52+BI61+BI70</f>
      </c>
      <c r="BJ77" s="29">
        <f>BJ34+BJ43+BJ52+BJ61+BJ70</f>
      </c>
      <c r="BK77" s="29">
        <f>BK34+BK43+BK52+BK61+BK70</f>
      </c>
      <c r="BL77" s="29">
        <f>BL34+BL43+BL52+BL61+BL70</f>
      </c>
      <c r="BM77" s="29">
        <f>BM34+BM43+BM52+BM61+BM70</f>
      </c>
      <c r="BN77" s="29">
        <f>BN34+BN43+BN52+BN61+BN70</f>
      </c>
      <c r="BO77" s="29">
        <f>BO34+BO43+BO52+BO61+BO70</f>
      </c>
      <c r="BP77" s="29">
        <f>BP34+BP43+BP52+BP61+BP70</f>
      </c>
      <c r="BQ77" s="29">
        <f>BQ34+BQ43+BQ52+BQ61+BQ70</f>
      </c>
      <c r="BR77" s="29">
        <f>BR34+BR43+BR52+BR61+BR70</f>
      </c>
      <c r="BS77" s="29">
        <f>BS34+BS43+BS52+BS61+BS70</f>
      </c>
      <c r="BT77" s="29">
        <f>BT34+BT43+BT52+BT61+BT70</f>
      </c>
      <c r="BU77" s="29">
        <f>BU34+BU43+BU52+BU61+BU70</f>
      </c>
      <c r="BV77" s="29">
        <f>BV34+BV43+BV52+BV61+BV70</f>
      </c>
      <c r="BW77" s="29">
        <f>BW34+BW43+BW52+BW61+BW70</f>
      </c>
      <c r="BX77" s="29">
        <f>BX34+BX43+BX52+BX61+BX70</f>
      </c>
      <c r="BY77" s="29">
        <f>BY34+BY43+BY52+BY61+BY70</f>
      </c>
      <c r="BZ77" s="29">
        <f>BZ34+BZ43+BZ52+BZ61+BZ70</f>
      </c>
      <c r="CA77" s="29">
        <f>CA34+CA43+CA52+CA61+CA70</f>
      </c>
      <c r="CB77" s="29">
        <f>CB34+CB43+CB52+CB61+CB70</f>
      </c>
      <c r="CC77" s="29">
        <f>CC34+CC43+CC52+CC61+CC70</f>
      </c>
      <c r="CD77" s="29">
        <f>CD34+CD43+CD52+CD61+CD70</f>
      </c>
      <c r="CE77" s="29">
        <f>CE34+CE43+CE52+CE61+CE70</f>
      </c>
      <c r="CF77" s="29">
        <f>CF34+CF43+CF52+CF61+CF70</f>
      </c>
      <c r="CG77" s="29">
        <f>CG34+CG43+CG52+CG61+CG70</f>
      </c>
      <c r="CH77" s="29">
        <f>CH34+CH43+CH52+CH61+CH70</f>
      </c>
      <c r="CI77" s="29">
        <f>CI34+CI43+CI52+CI61+CI70</f>
      </c>
      <c r="CJ77" s="29">
        <f>CJ34+CJ43+CJ52+CJ61+CJ70</f>
      </c>
      <c r="CK77" s="29">
        <f>CK34+CK43+CK52+CK61+CK70</f>
      </c>
      <c r="CL77" s="29">
        <f>CL34+CL43+CL52+CL61+CL70</f>
      </c>
    </row>
    <row r="78" spans="2:91" x14ac:dyDescent="0.25">
      <c r="B78" s="43" t="s">
        <v>278</v>
      </c>
      <c r="C78" s="46" t="s">
        <v>228</v>
      </c>
      <c r="D78" s="41">
        <f>SUM(E78:CL78)</f>
      </c>
      <c r="E78" s="41">
        <f>E76+E77</f>
      </c>
      <c r="F78" s="41">
        <f>F76+F77</f>
      </c>
      <c r="G78" s="41">
        <f>G76+G77</f>
      </c>
      <c r="H78" s="41">
        <f>H76+H77</f>
      </c>
      <c r="I78" s="41">
        <f>I76+I77</f>
      </c>
      <c r="J78" s="41">
        <f>J76+J77</f>
      </c>
      <c r="K78" s="41">
        <f>K76+K77</f>
      </c>
      <c r="L78" s="41">
        <f>L76+L77</f>
      </c>
      <c r="M78" s="41">
        <f>M76+M77</f>
      </c>
      <c r="N78" s="41">
        <f>N76+N77</f>
      </c>
      <c r="O78" s="41">
        <f>O76+O77</f>
      </c>
      <c r="P78" s="41">
        <f>P76+P77</f>
      </c>
      <c r="Q78" s="41">
        <f>Q76+Q77</f>
      </c>
      <c r="R78" s="41">
        <f>R76+R77</f>
      </c>
      <c r="S78" s="41">
        <f>S76+S77</f>
      </c>
      <c r="T78" s="41">
        <f>T76+T77</f>
      </c>
      <c r="U78" s="41">
        <f>U76+U77</f>
      </c>
      <c r="V78" s="41">
        <f>V76+V77</f>
      </c>
      <c r="W78" s="41">
        <f>W76+W77</f>
      </c>
      <c r="X78" s="41">
        <f>X76+X77</f>
      </c>
      <c r="Y78" s="41">
        <f>Y76+Y77</f>
      </c>
      <c r="Z78" s="41">
        <f>Z76+Z77</f>
      </c>
      <c r="AA78" s="41">
        <f>AA76+AA77</f>
      </c>
      <c r="AB78" s="41">
        <f>AB76+AB77</f>
      </c>
      <c r="AC78" s="41">
        <f>AC76+AC77</f>
      </c>
      <c r="AD78" s="41">
        <f>AD76+AD77</f>
      </c>
      <c r="AE78" s="41">
        <f>AE76+AE77</f>
      </c>
      <c r="AF78" s="41">
        <f>AF76+AF77</f>
      </c>
      <c r="AG78" s="41">
        <f>AG76+AG77</f>
      </c>
      <c r="AH78" s="41">
        <f>AH76+AH77</f>
      </c>
      <c r="AI78" s="41">
        <f>AI76+AI77</f>
      </c>
      <c r="AJ78" s="41">
        <f>AJ76+AJ77</f>
      </c>
      <c r="AK78" s="41">
        <f>AK76+AK77</f>
      </c>
      <c r="AL78" s="41">
        <f>AL76+AL77</f>
      </c>
      <c r="AM78" s="41">
        <f>AM76+AM77</f>
      </c>
      <c r="AN78" s="41">
        <f>AN76+AN77</f>
      </c>
      <c r="AO78" s="41">
        <f>AO76+AO77</f>
      </c>
      <c r="AP78" s="41">
        <f>AP76+AP77</f>
      </c>
      <c r="AQ78" s="41">
        <f>AQ76+AQ77</f>
      </c>
      <c r="AR78" s="41">
        <f>AR76+AR77</f>
      </c>
      <c r="AS78" s="41">
        <f>AS76+AS77</f>
      </c>
      <c r="AT78" s="41">
        <f>AT76+AT77</f>
      </c>
      <c r="AU78" s="41">
        <f>AU76+AU77</f>
      </c>
      <c r="AV78" s="41">
        <f>AV76+AV77</f>
      </c>
      <c r="AW78" s="41">
        <f>AW76+AW77</f>
      </c>
      <c r="AX78" s="41">
        <f>AX76+AX77</f>
      </c>
      <c r="AY78" s="41">
        <f>AY76+AY77</f>
      </c>
      <c r="AZ78" s="41">
        <f>AZ76+AZ77</f>
      </c>
      <c r="BA78" s="41">
        <f>BA76+BA77</f>
      </c>
      <c r="BB78" s="41">
        <f>BB76+BB77</f>
      </c>
      <c r="BC78" s="41">
        <f>BC76+BC77</f>
      </c>
      <c r="BD78" s="41">
        <f>BD76+BD77</f>
      </c>
      <c r="BE78" s="41">
        <f>BE76+BE77</f>
      </c>
      <c r="BF78" s="41">
        <f>BF76+BF77</f>
      </c>
      <c r="BG78" s="41">
        <f>BG76+BG77</f>
      </c>
      <c r="BH78" s="41">
        <f>BH76+BH77</f>
      </c>
      <c r="BI78" s="41">
        <f>BI76+BI77</f>
      </c>
      <c r="BJ78" s="41">
        <f>BJ76+BJ77</f>
      </c>
      <c r="BK78" s="41">
        <f>BK76+BK77</f>
      </c>
      <c r="BL78" s="41">
        <f>BL76+BL77</f>
      </c>
      <c r="BM78" s="41">
        <f>BM76+BM77</f>
      </c>
      <c r="BN78" s="41">
        <f>BN76+BN77</f>
      </c>
      <c r="BO78" s="41">
        <f>BO76+BO77</f>
      </c>
      <c r="BP78" s="41">
        <f>BP76+BP77</f>
      </c>
      <c r="BQ78" s="41">
        <f>BQ76+BQ77</f>
      </c>
      <c r="BR78" s="41">
        <f>BR76+BR77</f>
      </c>
      <c r="BS78" s="41">
        <f>BS76+BS77</f>
      </c>
      <c r="BT78" s="41">
        <f>BT76+BT77</f>
      </c>
      <c r="BU78" s="41">
        <f>BU76+BU77</f>
      </c>
      <c r="BV78" s="41">
        <f>BV76+BV77</f>
      </c>
      <c r="BW78" s="41">
        <f>BW76+BW77</f>
      </c>
      <c r="BX78" s="41">
        <f>BX76+BX77</f>
      </c>
      <c r="BY78" s="41">
        <f>BY76+BY77</f>
      </c>
      <c r="BZ78" s="41">
        <f>BZ76+BZ77</f>
      </c>
      <c r="CA78" s="41">
        <f>CA76+CA77</f>
      </c>
      <c r="CB78" s="41">
        <f>CB76+CB77</f>
      </c>
      <c r="CC78" s="41">
        <f>CC76+CC77</f>
      </c>
      <c r="CD78" s="41">
        <f>CD76+CD77</f>
      </c>
      <c r="CE78" s="41">
        <f>CE76+CE77</f>
      </c>
      <c r="CF78" s="41">
        <f>CF76+CF77</f>
      </c>
      <c r="CG78" s="41">
        <f>CG76+CG77</f>
      </c>
      <c r="CH78" s="41">
        <f>CH76+CH77</f>
      </c>
      <c r="CI78" s="41">
        <f>CI76+CI77</f>
      </c>
      <c r="CJ78" s="41">
        <f>CJ76+CJ77</f>
      </c>
      <c r="CK78" s="41">
        <f>CK76+CK77</f>
      </c>
      <c r="CL78" s="41">
        <f>CL76+CL77</f>
      </c>
      <c r="CM78" s="44"/>
    </row>
    <row r="79" spans="2:90" x14ac:dyDescent="0.25">
      <c r="B79" s="31" t="s">
        <v>272</v>
      </c>
      <c r="C79" s="32" t="s">
        <v>228</v>
      </c>
      <c r="E79" s="29">
        <f>E35+E44+E53+E62+E71</f>
      </c>
      <c r="F79" s="29">
        <f>F35+F44+F53+F62+F71</f>
      </c>
      <c r="G79" s="29">
        <f>G35+G44+G53+G62+G71</f>
      </c>
      <c r="H79" s="29">
        <f>H35+H44+H53+H62+H71</f>
      </c>
      <c r="I79" s="29">
        <f>I35+I44+I53+I62+I71</f>
      </c>
      <c r="J79" s="29">
        <f>J35+J44+J53+J62+J71</f>
      </c>
      <c r="K79" s="29">
        <f>K35+K44+K53+K62+K71</f>
      </c>
      <c r="L79" s="29">
        <f>L35+L44+L53+L62+L71</f>
      </c>
      <c r="M79" s="29">
        <f>M35+M44+M53+M62+M71</f>
      </c>
      <c r="N79" s="29">
        <f>N35+N44+N53+N62+N71</f>
      </c>
      <c r="O79" s="29">
        <f>O35+O44+O53+O62+O71</f>
      </c>
      <c r="P79" s="29">
        <f>P35+P44+P53+P62+P71</f>
      </c>
      <c r="Q79" s="29">
        <f>Q35+Q44+Q53+Q62+Q71</f>
      </c>
      <c r="R79" s="29">
        <f>R35+R44+R53+R62+R71</f>
      </c>
      <c r="S79" s="29">
        <f>S35+S44+S53+S62+S71</f>
      </c>
      <c r="T79" s="29">
        <f>T35+T44+T53+T62+T71</f>
      </c>
      <c r="U79" s="29">
        <f>U35+U44+U53+U62+U71</f>
      </c>
      <c r="V79" s="29">
        <f>V35+V44+V53+V62+V71</f>
      </c>
      <c r="W79" s="29">
        <f>W35+W44+W53+W62+W71</f>
      </c>
      <c r="X79" s="29">
        <f>X35+X44+X53+X62+X71</f>
      </c>
      <c r="Y79" s="29">
        <f>Y35+Y44+Y53+Y62+Y71</f>
      </c>
      <c r="Z79" s="29">
        <f>Z35+Z44+Z53+Z62+Z71</f>
      </c>
      <c r="AA79" s="29">
        <f>AA35+AA44+AA53+AA62+AA71</f>
      </c>
      <c r="AB79" s="29">
        <f>AB35+AB44+AB53+AB62+AB71</f>
      </c>
      <c r="AC79" s="29">
        <f>AC35+AC44+AC53+AC62+AC71</f>
      </c>
      <c r="AD79" s="29">
        <f>AD35+AD44+AD53+AD62+AD71</f>
      </c>
      <c r="AE79" s="29">
        <f>AE35+AE44+AE53+AE62+AE71</f>
      </c>
      <c r="AF79" s="29">
        <f>AF35+AF44+AF53+AF62+AF71</f>
      </c>
      <c r="AG79" s="29">
        <f>AG35+AG44+AG53+AG62+AG71</f>
      </c>
      <c r="AH79" s="29">
        <f>AH35+AH44+AH53+AH62+AH71</f>
      </c>
      <c r="AI79" s="29">
        <f>AI35+AI44+AI53+AI62+AI71</f>
      </c>
      <c r="AJ79" s="29">
        <f>AJ35+AJ44+AJ53+AJ62+AJ71</f>
      </c>
      <c r="AK79" s="29">
        <f>AK35+AK44+AK53+AK62+AK71</f>
      </c>
      <c r="AL79" s="29">
        <f>AL35+AL44+AL53+AL62+AL71</f>
      </c>
      <c r="AM79" s="29">
        <f>AM35+AM44+AM53+AM62+AM71</f>
      </c>
      <c r="AN79" s="29">
        <f>AN35+AN44+AN53+AN62+AN71</f>
      </c>
      <c r="AO79" s="29">
        <f>AO35+AO44+AO53+AO62+AO71</f>
      </c>
      <c r="AP79" s="29">
        <f>AP35+AP44+AP53+AP62+AP71</f>
      </c>
      <c r="AQ79" s="29">
        <f>AQ35+AQ44+AQ53+AQ62+AQ71</f>
      </c>
      <c r="AR79" s="29">
        <f>AR35+AR44+AR53+AR62+AR71</f>
      </c>
      <c r="AS79" s="29">
        <f>AS35+AS44+AS53+AS62+AS71</f>
      </c>
      <c r="AT79" s="29">
        <f>AT35+AT44+AT53+AT62+AT71</f>
      </c>
      <c r="AU79" s="29">
        <f>AU35+AU44+AU53+AU62+AU71</f>
      </c>
      <c r="AV79" s="29">
        <f>AV35+AV44+AV53+AV62+AV71</f>
      </c>
      <c r="AW79" s="29">
        <f>AW35+AW44+AW53+AW62+AW71</f>
      </c>
      <c r="AX79" s="29">
        <f>AX35+AX44+AX53+AX62+AX71</f>
      </c>
      <c r="AY79" s="29">
        <f>AY35+AY44+AY53+AY62+AY71</f>
      </c>
      <c r="AZ79" s="29">
        <f>AZ35+AZ44+AZ53+AZ62+AZ71</f>
      </c>
      <c r="BA79" s="29">
        <f>BA35+BA44+BA53+BA62+BA71</f>
      </c>
      <c r="BB79" s="29">
        <f>BB35+BB44+BB53+BB62+BB71</f>
      </c>
      <c r="BC79" s="29">
        <f>BC35+BC44+BC53+BC62+BC71</f>
      </c>
      <c r="BD79" s="29">
        <f>BD35+BD44+BD53+BD62+BD71</f>
      </c>
      <c r="BE79" s="29">
        <f>BE35+BE44+BE53+BE62+BE71</f>
      </c>
      <c r="BF79" s="29">
        <f>BF35+BF44+BF53+BF62+BF71</f>
      </c>
      <c r="BG79" s="29">
        <f>BG35+BG44+BG53+BG62+BG71</f>
      </c>
      <c r="BH79" s="29">
        <f>BH35+BH44+BH53+BH62+BH71</f>
      </c>
      <c r="BI79" s="29">
        <f>BI35+BI44+BI53+BI62+BI71</f>
      </c>
      <c r="BJ79" s="29">
        <f>BJ35+BJ44+BJ53+BJ62+BJ71</f>
      </c>
      <c r="BK79" s="29">
        <f>BK35+BK44+BK53+BK62+BK71</f>
      </c>
      <c r="BL79" s="29">
        <f>BL35+BL44+BL53+BL62+BL71</f>
      </c>
      <c r="BM79" s="29">
        <f>BM35+BM44+BM53+BM62+BM71</f>
      </c>
      <c r="BN79" s="29">
        <f>BN35+BN44+BN53+BN62+BN71</f>
      </c>
      <c r="BO79" s="29">
        <f>BO35+BO44+BO53+BO62+BO71</f>
      </c>
      <c r="BP79" s="29">
        <f>BP35+BP44+BP53+BP62+BP71</f>
      </c>
      <c r="BQ79" s="29">
        <f>BQ35+BQ44+BQ53+BQ62+BQ71</f>
      </c>
      <c r="BR79" s="29">
        <f>BR35+BR44+BR53+BR62+BR71</f>
      </c>
      <c r="BS79" s="29">
        <f>BS35+BS44+BS53+BS62+BS71</f>
      </c>
      <c r="BT79" s="29">
        <f>BT35+BT44+BT53+BT62+BT71</f>
      </c>
      <c r="BU79" s="29">
        <f>BU35+BU44+BU53+BU62+BU71</f>
      </c>
      <c r="BV79" s="29">
        <f>BV35+BV44+BV53+BV62+BV71</f>
      </c>
      <c r="BW79" s="29">
        <f>BW35+BW44+BW53+BW62+BW71</f>
      </c>
      <c r="BX79" s="29">
        <f>BX35+BX44+BX53+BX62+BX71</f>
      </c>
      <c r="BY79" s="29">
        <f>BY35+BY44+BY53+BY62+BY71</f>
      </c>
      <c r="BZ79" s="29">
        <f>BZ35+BZ44+BZ53+BZ62+BZ71</f>
      </c>
      <c r="CA79" s="29">
        <f>CA35+CA44+CA53+CA62+CA71</f>
      </c>
      <c r="CB79" s="29">
        <f>CB35+CB44+CB53+CB62+CB71</f>
      </c>
      <c r="CC79" s="29">
        <f>CC35+CC44+CC53+CC62+CC71</f>
      </c>
      <c r="CD79" s="29">
        <f>CD35+CD44+CD53+CD62+CD71</f>
      </c>
      <c r="CE79" s="29">
        <f>CE35+CE44+CE53+CE62+CE71</f>
      </c>
      <c r="CF79" s="29">
        <f>CF35+CF44+CF53+CF62+CF71</f>
      </c>
      <c r="CG79" s="29">
        <f>CG35+CG44+CG53+CG62+CG71</f>
      </c>
      <c r="CH79" s="29">
        <f>CH35+CH44+CH53+CH62+CH71</f>
      </c>
      <c r="CI79" s="29">
        <f>CI35+CI44+CI53+CI62+CI71</f>
      </c>
      <c r="CJ79" s="29">
        <f>CJ35+CJ44+CJ53+CJ62+CJ71</f>
      </c>
      <c r="CK79" s="29">
        <f>CK35+CK44+CK53+CK62+CK71</f>
      </c>
      <c r="CL79" s="29">
        <f>CL35+CL44+CL53+CL62+CL71</f>
      </c>
    </row>
    <row r="81" spans="2:90" x14ac:dyDescent="0.25">
      <c r="B81" s="31" t="s">
        <v>279</v>
      </c>
      <c r="C81" s="32" t="s">
        <v>228</v>
      </c>
      <c r="E81" s="29">
        <f>0</f>
      </c>
      <c r="F81" s="29">
        <f>E82</f>
      </c>
      <c r="G81" s="29">
        <f>F82</f>
      </c>
      <c r="H81" s="29">
        <f>G82</f>
      </c>
      <c r="I81" s="29">
        <f>H82</f>
      </c>
      <c r="J81" s="29">
        <f>'입력값'!C20*100</f>
      </c>
      <c r="K81" s="29">
        <f>J82</f>
      </c>
      <c r="L81" s="29">
        <f>K82</f>
      </c>
      <c r="M81" s="29">
        <f>L82</f>
      </c>
      <c r="N81" s="29">
        <f>M82</f>
      </c>
      <c r="O81" s="29">
        <f>N82</f>
      </c>
      <c r="P81" s="29">
        <f>O82</f>
      </c>
      <c r="Q81" s="29">
        <f>P82</f>
      </c>
      <c r="R81" s="29">
        <f>Q82</f>
      </c>
      <c r="S81" s="29">
        <f>R82</f>
      </c>
      <c r="T81" s="29">
        <f>S82</f>
      </c>
      <c r="U81" s="29">
        <f>T82</f>
      </c>
      <c r="V81" s="29">
        <f>U82</f>
      </c>
      <c r="W81" s="29">
        <f>V82</f>
      </c>
      <c r="X81" s="29">
        <f>W82</f>
      </c>
      <c r="Y81" s="29">
        <f>X82</f>
      </c>
      <c r="Z81" s="29">
        <f>Y82</f>
      </c>
      <c r="AA81" s="29">
        <f>Z82</f>
      </c>
      <c r="AB81" s="29">
        <f>AA82</f>
      </c>
      <c r="AC81" s="29">
        <f>AB82</f>
      </c>
      <c r="AD81" s="29">
        <f>AC82</f>
      </c>
      <c r="AE81" s="29">
        <f>AD82</f>
      </c>
      <c r="AF81" s="29">
        <f>AE82</f>
      </c>
      <c r="AG81" s="29">
        <f>AF82</f>
      </c>
      <c r="AH81" s="29">
        <f>AG82</f>
      </c>
      <c r="AI81" s="29">
        <f>AH82</f>
      </c>
      <c r="AJ81" s="29">
        <f>AI82</f>
      </c>
      <c r="AK81" s="29">
        <f>AJ82</f>
      </c>
      <c r="AL81" s="29">
        <f>AK82</f>
      </c>
      <c r="AM81" s="29">
        <f>AL82</f>
      </c>
      <c r="AN81" s="29">
        <f>AM82</f>
      </c>
      <c r="AO81" s="29">
        <f>AN82</f>
      </c>
      <c r="AP81" s="29">
        <f>AO82</f>
      </c>
      <c r="AQ81" s="29">
        <f>AP82</f>
      </c>
      <c r="AR81" s="29">
        <f>AQ82</f>
      </c>
      <c r="AS81" s="29">
        <f>AR82</f>
      </c>
      <c r="AT81" s="29">
        <f>AS82</f>
      </c>
      <c r="AU81" s="29">
        <f>AT82</f>
      </c>
      <c r="AV81" s="29">
        <f>AU82</f>
      </c>
      <c r="AW81" s="29">
        <f>AV82</f>
      </c>
      <c r="AX81" s="29">
        <f>AW82</f>
      </c>
      <c r="AY81" s="29">
        <f>AX82</f>
      </c>
      <c r="AZ81" s="29">
        <f>AY82</f>
      </c>
      <c r="BA81" s="29">
        <f>AZ82</f>
      </c>
      <c r="BB81" s="29">
        <f>BA82</f>
      </c>
      <c r="BC81" s="29">
        <f>BB82</f>
      </c>
      <c r="BD81" s="29">
        <f>BC82</f>
      </c>
      <c r="BE81" s="29">
        <f>BD82</f>
      </c>
      <c r="BF81" s="29">
        <f>BE82</f>
      </c>
      <c r="BG81" s="29">
        <f>BF82</f>
      </c>
      <c r="BH81" s="29">
        <f>BG82</f>
      </c>
      <c r="BI81" s="29">
        <f>BH82</f>
      </c>
      <c r="BJ81" s="29">
        <f>BI82</f>
      </c>
      <c r="BK81" s="29">
        <f>BJ82</f>
      </c>
      <c r="BL81" s="29">
        <f>BK82</f>
      </c>
      <c r="BM81" s="29">
        <f>BL82</f>
      </c>
      <c r="BN81" s="29">
        <f>BM82</f>
      </c>
      <c r="BO81" s="29">
        <f>BN82</f>
      </c>
      <c r="BP81" s="29">
        <f>BO82</f>
      </c>
      <c r="BQ81" s="29">
        <f>BP82</f>
      </c>
      <c r="BR81" s="29">
        <f>BQ82</f>
      </c>
      <c r="BS81" s="29">
        <f>BR82</f>
      </c>
      <c r="BT81" s="29">
        <f>BS82</f>
      </c>
      <c r="BU81" s="29">
        <f>BT82</f>
      </c>
      <c r="BV81" s="29">
        <f>BU82</f>
      </c>
      <c r="BW81" s="29">
        <f>BV82</f>
      </c>
      <c r="BX81" s="29">
        <f>BW82</f>
      </c>
      <c r="BY81" s="29">
        <f>BX82</f>
      </c>
      <c r="BZ81" s="29">
        <f>BY82</f>
      </c>
      <c r="CA81" s="29">
        <f>BZ82</f>
      </c>
      <c r="CB81" s="29">
        <f>CA82</f>
      </c>
      <c r="CC81" s="29">
        <f>CB82</f>
      </c>
      <c r="CD81" s="29">
        <f>CC82</f>
      </c>
      <c r="CE81" s="29">
        <f>CD82</f>
      </c>
      <c r="CF81" s="29">
        <f>CE82</f>
      </c>
      <c r="CG81" s="29">
        <f>CF82</f>
      </c>
      <c r="CH81" s="29">
        <f>CG82</f>
      </c>
      <c r="CI81" s="29">
        <f>CH82</f>
      </c>
      <c r="CJ81" s="29">
        <f>CI82</f>
      </c>
      <c r="CK81" s="29">
        <f>CJ82</f>
      </c>
      <c r="CL81" s="29">
        <f>CK82</f>
      </c>
    </row>
    <row r="82" spans="2:90" x14ac:dyDescent="0.25">
      <c r="B82" s="31" t="s">
        <v>280</v>
      </c>
      <c r="C82" s="32" t="s">
        <v>228</v>
      </c>
      <c r="E82" s="29">
        <f>E81</f>
      </c>
      <c r="F82" s="29">
        <f>F81</f>
      </c>
      <c r="G82" s="29">
        <f>G81</f>
      </c>
      <c r="H82" s="29">
        <f>H81</f>
      </c>
      <c r="I82" s="29">
        <f>I81</f>
      </c>
      <c r="J82" s="29">
        <f>J81</f>
      </c>
      <c r="K82" s="29">
        <f>L78+M78</f>
      </c>
      <c r="L82" s="29">
        <f>M78+N78</f>
      </c>
      <c r="M82" s="29">
        <f>N78+O78</f>
      </c>
      <c r="N82" s="29">
        <f>O78+P78</f>
      </c>
      <c r="O82" s="29">
        <f>P78+Q78</f>
      </c>
      <c r="P82" s="29">
        <f>Q78+R78</f>
      </c>
      <c r="Q82" s="29">
        <f>R78+S78</f>
      </c>
      <c r="R82" s="29">
        <f>S78+T78</f>
      </c>
      <c r="S82" s="29">
        <f>T78+U78</f>
      </c>
      <c r="T82" s="29">
        <f>U78+V78</f>
      </c>
      <c r="U82" s="29">
        <f>V78+W78</f>
      </c>
      <c r="V82" s="29">
        <f>W78+X78</f>
      </c>
      <c r="W82" s="29">
        <f>X78+Y78</f>
      </c>
      <c r="X82" s="29">
        <f>Y78+Z78</f>
      </c>
      <c r="Y82" s="29">
        <f>Z78+AA78</f>
      </c>
      <c r="Z82" s="29">
        <f>AA78+AB78</f>
      </c>
      <c r="AA82" s="29">
        <f>AB78+AC78</f>
      </c>
      <c r="AB82" s="29">
        <f>AC78+AD78</f>
      </c>
      <c r="AC82" s="29">
        <f>AD78+AE78</f>
      </c>
      <c r="AD82" s="29">
        <f>AE78+AF78</f>
      </c>
      <c r="AE82" s="29">
        <f>AF78+AG78</f>
      </c>
      <c r="AF82" s="29">
        <f>AG78+AH78</f>
      </c>
      <c r="AG82" s="29">
        <f>AH78+AI78</f>
      </c>
      <c r="AH82" s="29">
        <f>AI78+AJ78</f>
      </c>
      <c r="AI82" s="29">
        <f>AJ78+AK78</f>
      </c>
      <c r="AJ82" s="29">
        <f>AK78+AL78</f>
      </c>
      <c r="AK82" s="29">
        <f>AL78+AM78</f>
      </c>
      <c r="AL82" s="29">
        <f>AM78+AN78</f>
      </c>
      <c r="AM82" s="29">
        <f>AN78+AO78</f>
      </c>
      <c r="AN82" s="29">
        <f>AO78+AP78</f>
      </c>
      <c r="AO82" s="29">
        <f>AP78+AQ78</f>
      </c>
      <c r="AP82" s="29">
        <f>AQ78+AR78</f>
      </c>
      <c r="AQ82" s="29">
        <f>AR78+AS78</f>
      </c>
      <c r="AR82" s="29">
        <f>AS78+AT78</f>
      </c>
      <c r="AS82" s="29">
        <f>AT78+AU78</f>
      </c>
      <c r="AT82" s="29">
        <f>AU78+AV78</f>
      </c>
      <c r="AU82" s="29">
        <f>AV78+AW78</f>
      </c>
      <c r="AV82" s="29">
        <f>AW78+AX78</f>
      </c>
      <c r="AW82" s="29">
        <f>AX78+AY78</f>
      </c>
      <c r="AX82" s="29">
        <f>AY78+AZ78</f>
      </c>
      <c r="AY82" s="29">
        <f>AZ78+BA78</f>
      </c>
      <c r="AZ82" s="29">
        <f>BA78+BB78</f>
      </c>
      <c r="BA82" s="29">
        <f>BB78+BC78</f>
      </c>
      <c r="BB82" s="29">
        <f>BC78+BD78</f>
      </c>
      <c r="BC82" s="29">
        <f>BD78+BE78</f>
      </c>
      <c r="BD82" s="29">
        <f>BE78+BF78</f>
      </c>
      <c r="BE82" s="29">
        <f>BF78+BG78</f>
      </c>
      <c r="BF82" s="29">
        <f>BG78+BH78</f>
      </c>
      <c r="BG82" s="29">
        <f>BH78+BI78</f>
      </c>
      <c r="BH82" s="29">
        <f>BI78+BJ78</f>
      </c>
      <c r="BI82" s="29">
        <f>BJ78+BK78</f>
      </c>
      <c r="BJ82" s="29">
        <f>BK78+BL78</f>
      </c>
      <c r="BK82" s="29">
        <f>BL78+BM78</f>
      </c>
      <c r="BL82" s="29">
        <f>BM78+BN78</f>
      </c>
      <c r="BM82" s="29">
        <f>BN78+BO78</f>
      </c>
      <c r="BN82" s="29">
        <f>BO78+BP78</f>
      </c>
      <c r="BO82" s="29">
        <f>BP78+BQ78</f>
      </c>
      <c r="BP82" s="29">
        <f>BQ78+BR78</f>
      </c>
      <c r="BQ82" s="29">
        <f>BR78+BS78</f>
      </c>
      <c r="BR82" s="29">
        <f>BS78+BT78</f>
      </c>
      <c r="BS82" s="29">
        <f>BT78+BU78</f>
      </c>
      <c r="BT82" s="29">
        <f>BU78+BV78</f>
      </c>
      <c r="BU82" s="29">
        <f>BV78+BW78</f>
      </c>
      <c r="BV82" s="29">
        <f>BW78+BX78</f>
      </c>
      <c r="BW82" s="29">
        <f>BX78+BY78</f>
      </c>
      <c r="BX82" s="29">
        <f>BY78+BZ78</f>
      </c>
      <c r="BY82" s="29">
        <f>BZ78+CA78</f>
      </c>
      <c r="BZ82" s="29">
        <f>CA78+CB78</f>
      </c>
      <c r="CA82" s="29">
        <f>CB78+CC78</f>
      </c>
      <c r="CB82" s="29">
        <f>CC78+CD78</f>
      </c>
      <c r="CC82" s="29">
        <f>CD78+CE78</f>
      </c>
      <c r="CD82" s="29">
        <f>CE78+CF78</f>
      </c>
      <c r="CE82" s="29">
        <f>CF78+CG78</f>
      </c>
      <c r="CF82" s="29">
        <f>CG78+CH78</f>
      </c>
      <c r="CG82" s="29">
        <f>CH78+CI78</f>
      </c>
      <c r="CH82" s="29">
        <f>CI78+CJ78</f>
      </c>
      <c r="CI82" s="29">
        <f>CJ78+CK78</f>
      </c>
      <c r="CJ82" s="29">
        <f>CK78+CL78</f>
      </c>
      <c r="CK82" s="29">
        <f>CL78</f>
      </c>
      <c r="CL82" s="29">
        <f>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14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281</v>
      </c>
    </row>
    <row r="4" spans="2:91" x14ac:dyDescent="0.25">
      <c r="B4" s="9" t="s">
        <v>282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102</v>
      </c>
      <c r="C6" s="26" t="s">
        <v>103</v>
      </c>
      <c r="D6" s="26" t="s">
        <v>104</v>
      </c>
      <c r="E6" s="30" t="s">
        <v>105</v>
      </c>
      <c r="F6" s="30" t="s">
        <v>106</v>
      </c>
      <c r="G6" s="30" t="s">
        <v>107</v>
      </c>
      <c r="H6" s="30" t="s">
        <v>108</v>
      </c>
      <c r="I6" s="30" t="s">
        <v>109</v>
      </c>
      <c r="J6" s="30" t="s">
        <v>110</v>
      </c>
      <c r="K6" s="30" t="s">
        <v>111</v>
      </c>
      <c r="L6" s="30" t="s">
        <v>112</v>
      </c>
      <c r="M6" s="30" t="s">
        <v>113</v>
      </c>
      <c r="N6" s="30" t="s">
        <v>114</v>
      </c>
      <c r="O6" s="30" t="s">
        <v>115</v>
      </c>
      <c r="P6" s="30" t="s">
        <v>116</v>
      </c>
      <c r="Q6" s="30" t="s">
        <v>117</v>
      </c>
      <c r="R6" s="30" t="s">
        <v>118</v>
      </c>
      <c r="S6" s="30" t="s">
        <v>119</v>
      </c>
      <c r="T6" s="30" t="s">
        <v>120</v>
      </c>
      <c r="U6" s="30" t="s">
        <v>121</v>
      </c>
      <c r="V6" s="30" t="s">
        <v>122</v>
      </c>
      <c r="W6" s="30" t="s">
        <v>123</v>
      </c>
      <c r="X6" s="30" t="s">
        <v>124</v>
      </c>
      <c r="Y6" s="30" t="s">
        <v>125</v>
      </c>
      <c r="Z6" s="30" t="s">
        <v>126</v>
      </c>
      <c r="AA6" s="30" t="s">
        <v>127</v>
      </c>
      <c r="AB6" s="30" t="s">
        <v>128</v>
      </c>
      <c r="AC6" s="30" t="s">
        <v>129</v>
      </c>
      <c r="AD6" s="30" t="s">
        <v>130</v>
      </c>
      <c r="AE6" s="30" t="s">
        <v>131</v>
      </c>
      <c r="AF6" s="30" t="s">
        <v>132</v>
      </c>
      <c r="AG6" s="30" t="s">
        <v>133</v>
      </c>
      <c r="AH6" s="30" t="s">
        <v>134</v>
      </c>
      <c r="AI6" s="30" t="s">
        <v>135</v>
      </c>
      <c r="AJ6" s="30" t="s">
        <v>136</v>
      </c>
      <c r="AK6" s="30" t="s">
        <v>137</v>
      </c>
      <c r="AL6" s="30" t="s">
        <v>138</v>
      </c>
      <c r="AM6" s="30" t="s">
        <v>139</v>
      </c>
      <c r="AN6" s="30" t="s">
        <v>140</v>
      </c>
      <c r="AO6" s="30" t="s">
        <v>141</v>
      </c>
      <c r="AP6" s="30" t="s">
        <v>142</v>
      </c>
      <c r="AQ6" s="30" t="s">
        <v>143</v>
      </c>
      <c r="AR6" s="30" t="s">
        <v>144</v>
      </c>
      <c r="AS6" s="30" t="s">
        <v>145</v>
      </c>
      <c r="AT6" s="30" t="s">
        <v>146</v>
      </c>
      <c r="AU6" s="30" t="s">
        <v>147</v>
      </c>
      <c r="AV6" s="30" t="s">
        <v>148</v>
      </c>
      <c r="AW6" s="30" t="s">
        <v>149</v>
      </c>
      <c r="AX6" s="30" t="s">
        <v>150</v>
      </c>
      <c r="AY6" s="30" t="s">
        <v>151</v>
      </c>
      <c r="AZ6" s="30" t="s">
        <v>152</v>
      </c>
      <c r="BA6" s="30" t="s">
        <v>153</v>
      </c>
      <c r="BB6" s="30" t="s">
        <v>154</v>
      </c>
      <c r="BC6" s="30" t="s">
        <v>155</v>
      </c>
      <c r="BD6" s="30" t="s">
        <v>156</v>
      </c>
      <c r="BE6" s="30" t="s">
        <v>157</v>
      </c>
      <c r="BF6" s="30" t="s">
        <v>158</v>
      </c>
      <c r="BG6" s="30" t="s">
        <v>159</v>
      </c>
      <c r="BH6" s="30" t="s">
        <v>160</v>
      </c>
      <c r="BI6" s="30" t="s">
        <v>161</v>
      </c>
      <c r="BJ6" s="30" t="s">
        <v>162</v>
      </c>
      <c r="BK6" s="30" t="s">
        <v>163</v>
      </c>
      <c r="BL6" s="30" t="s">
        <v>164</v>
      </c>
      <c r="BM6" s="30" t="s">
        <v>165</v>
      </c>
      <c r="BN6" s="30" t="s">
        <v>166</v>
      </c>
      <c r="BO6" s="30" t="s">
        <v>167</v>
      </c>
      <c r="BP6" s="30" t="s">
        <v>168</v>
      </c>
      <c r="BQ6" s="30" t="s">
        <v>169</v>
      </c>
      <c r="BR6" s="30" t="s">
        <v>170</v>
      </c>
      <c r="BS6" s="30" t="s">
        <v>171</v>
      </c>
      <c r="BT6" s="30" t="s">
        <v>172</v>
      </c>
      <c r="BU6" s="30" t="s">
        <v>173</v>
      </c>
      <c r="BV6" s="30" t="s">
        <v>174</v>
      </c>
      <c r="BW6" s="30" t="s">
        <v>175</v>
      </c>
      <c r="BX6" s="30" t="s">
        <v>176</v>
      </c>
      <c r="BY6" s="30" t="s">
        <v>177</v>
      </c>
      <c r="BZ6" s="30" t="s">
        <v>178</v>
      </c>
      <c r="CA6" s="30" t="s">
        <v>179</v>
      </c>
      <c r="CB6" s="30" t="s">
        <v>180</v>
      </c>
      <c r="CC6" s="30" t="s">
        <v>181</v>
      </c>
      <c r="CD6" s="30" t="s">
        <v>182</v>
      </c>
      <c r="CE6" s="30" t="s">
        <v>183</v>
      </c>
      <c r="CF6" s="30" t="s">
        <v>184</v>
      </c>
      <c r="CG6" s="30" t="s">
        <v>185</v>
      </c>
      <c r="CH6" s="30" t="s">
        <v>186</v>
      </c>
      <c r="CI6" s="30" t="s">
        <v>187</v>
      </c>
      <c r="CJ6" s="30" t="s">
        <v>188</v>
      </c>
      <c r="CK6" s="30" t="s">
        <v>189</v>
      </c>
      <c r="CL6" s="30" t="s">
        <v>190</v>
      </c>
    </row>
    <row r="9" spans="2:90" x14ac:dyDescent="0.25">
      <c r="B9" s="31" t="s">
        <v>283</v>
      </c>
      <c r="C9" s="32" t="s">
        <v>284</v>
      </c>
      <c r="D9" s="47">
        <f>SUM(E9:CL9)</f>
      </c>
      <c r="E9" s="48">
        <f>('입력값'!C7*'입력값'!C14*365)*MAX(0,1-'입력값'!C12/100*0)*(1-'입력값'!C13/100)*0</f>
      </c>
      <c r="F9" s="48">
        <f>('입력값'!C7*'입력값'!C14*365)*MAX(0,1-'입력값'!C12/100*0)*(1-'입력값'!C13/100)*0</f>
      </c>
      <c r="G9" s="48">
        <f>('입력값'!C7*'입력값'!C14*365)*MAX(0,1-'입력값'!C12/100*0)*(1-'입력값'!C13/100)*0</f>
      </c>
      <c r="H9" s="48">
        <f>('입력값'!C7*'입력값'!C14*365)*MAX(0,1-'입력값'!C12/100*0)*(1-'입력값'!C13/100)*0</f>
      </c>
      <c r="I9" s="48">
        <f>('입력값'!C7*'입력값'!C14*365)*MAX(0,1-'입력값'!C12/100*0)*(1-'입력값'!C13/100)*0</f>
      </c>
      <c r="J9" s="48">
        <f>('입력값'!C7*'입력값'!C14*365)*MAX(0,1-'입력값'!C12/100*0)*(1-'입력값'!C13/100)*0</f>
      </c>
      <c r="K9" s="48">
        <f>('입력값'!C7*'입력값'!C14*365)*MAX(0,1-'입력값'!C12/100*0)*(1-'입력값'!C13/100)*0.2347</f>
      </c>
      <c r="L9" s="48">
        <f>('입력값'!C7*'입력값'!C14*365)*MAX(0,1-'입력값'!C12/100*0)*(1-'입력값'!C13/100)*0.2397</f>
      </c>
      <c r="M9" s="48">
        <f>('입력값'!C7*'입력값'!C14*365)*MAX(0,1-'입력값'!C12/100*0)*(1-'입력값'!C13/100)*0.3057</f>
      </c>
      <c r="N9" s="48">
        <f>('입력값'!C7*'입력값'!C14*365)*MAX(0,1-'입력값'!C12/100*0)*(1-'입력값'!C13/100)*0.2199</f>
      </c>
      <c r="O9" s="48">
        <f>('입력값'!C7*'입력값'!C14*365)*MAX(0,1-'입력값'!C12/100*1)*(1-'입력값'!C13/100)*0.2347</f>
      </c>
      <c r="P9" s="48">
        <f>('입력값'!C7*'입력값'!C14*365)*MAX(0,1-'입력값'!C12/100*1)*(1-'입력값'!C13/100)*0.2397</f>
      </c>
      <c r="Q9" s="48">
        <f>('입력값'!C7*'입력값'!C14*365)*MAX(0,1-'입력값'!C12/100*1)*(1-'입력값'!C13/100)*0.3057</f>
      </c>
      <c r="R9" s="48">
        <f>('입력값'!C7*'입력값'!C14*365)*MAX(0,1-'입력값'!C12/100*1)*(1-'입력값'!C13/100)*0.2199</f>
      </c>
      <c r="S9" s="48">
        <f>('입력값'!C7*'입력값'!C14*365)*MAX(0,1-'입력값'!C12/100*2)*(1-'입력값'!C13/100)*0.2347</f>
      </c>
      <c r="T9" s="48">
        <f>('입력값'!C7*'입력값'!C14*365)*MAX(0,1-'입력값'!C12/100*2)*(1-'입력값'!C13/100)*0.2397</f>
      </c>
      <c r="U9" s="48">
        <f>('입력값'!C7*'입력값'!C14*365)*MAX(0,1-'입력값'!C12/100*2)*(1-'입력값'!C13/100)*0.3057</f>
      </c>
      <c r="V9" s="48">
        <f>('입력값'!C7*'입력값'!C14*365)*MAX(0,1-'입력값'!C12/100*2)*(1-'입력값'!C13/100)*0.2199</f>
      </c>
      <c r="W9" s="48">
        <f>('입력값'!C7*'입력값'!C14*365)*MAX(0,1-'입력값'!C12/100*3)*(1-'입력값'!C13/100)*0.2347</f>
      </c>
      <c r="X9" s="48">
        <f>('입력값'!C7*'입력값'!C14*365)*MAX(0,1-'입력값'!C12/100*3)*(1-'입력값'!C13/100)*0.2397</f>
      </c>
      <c r="Y9" s="48">
        <f>('입력값'!C7*'입력값'!C14*365)*MAX(0,1-'입력값'!C12/100*3)*(1-'입력값'!C13/100)*0.3057</f>
      </c>
      <c r="Z9" s="48">
        <f>('입력값'!C7*'입력값'!C14*365)*MAX(0,1-'입력값'!C12/100*3)*(1-'입력값'!C13/100)*0.2199</f>
      </c>
      <c r="AA9" s="48">
        <f>('입력값'!C7*'입력값'!C14*365)*MAX(0,1-'입력값'!C12/100*4)*(1-'입력값'!C13/100)*0.2347</f>
      </c>
      <c r="AB9" s="48">
        <f>('입력값'!C7*'입력값'!C14*365)*MAX(0,1-'입력값'!C12/100*4)*(1-'입력값'!C13/100)*0.2397</f>
      </c>
      <c r="AC9" s="48">
        <f>('입력값'!C7*'입력값'!C14*365)*MAX(0,1-'입력값'!C12/100*4)*(1-'입력값'!C13/100)*0.3057</f>
      </c>
      <c r="AD9" s="48">
        <f>('입력값'!C7*'입력값'!C14*365)*MAX(0,1-'입력값'!C12/100*4)*(1-'입력값'!C13/100)*0.2199</f>
      </c>
      <c r="AE9" s="48">
        <f>('입력값'!C7*'입력값'!C14*365)*MAX(0,1-'입력값'!C12/100*5)*(1-'입력값'!C13/100)*0.2347</f>
      </c>
      <c r="AF9" s="48">
        <f>('입력값'!C7*'입력값'!C14*365)*MAX(0,1-'입력값'!C12/100*5)*(1-'입력값'!C13/100)*0.2397</f>
      </c>
      <c r="AG9" s="48">
        <f>('입력값'!C7*'입력값'!C14*365)*MAX(0,1-'입력값'!C12/100*5)*(1-'입력값'!C13/100)*0.3057</f>
      </c>
      <c r="AH9" s="48">
        <f>('입력값'!C7*'입력값'!C14*365)*MAX(0,1-'입력값'!C12/100*5)*(1-'입력값'!C13/100)*0.2199</f>
      </c>
      <c r="AI9" s="48">
        <f>('입력값'!C7*'입력값'!C14*365)*MAX(0,1-'입력값'!C12/100*6)*(1-'입력값'!C13/100)*0.2347</f>
      </c>
      <c r="AJ9" s="48">
        <f>('입력값'!C7*'입력값'!C14*365)*MAX(0,1-'입력값'!C12/100*6)*(1-'입력값'!C13/100)*0.2397</f>
      </c>
      <c r="AK9" s="48">
        <f>('입력값'!C7*'입력값'!C14*365)*MAX(0,1-'입력값'!C12/100*6)*(1-'입력값'!C13/100)*0.3057</f>
      </c>
      <c r="AL9" s="48">
        <f>('입력값'!C7*'입력값'!C14*365)*MAX(0,1-'입력값'!C12/100*6)*(1-'입력값'!C13/100)*0.2199</f>
      </c>
      <c r="AM9" s="48">
        <f>('입력값'!C7*'입력값'!C14*365)*MAX(0,1-'입력값'!C12/100*7)*(1-'입력값'!C13/100)*0.2347</f>
      </c>
      <c r="AN9" s="48">
        <f>('입력값'!C7*'입력값'!C14*365)*MAX(0,1-'입력값'!C12/100*7)*(1-'입력값'!C13/100)*0.2397</f>
      </c>
      <c r="AO9" s="48">
        <f>('입력값'!C7*'입력값'!C14*365)*MAX(0,1-'입력값'!C12/100*7)*(1-'입력값'!C13/100)*0.3057</f>
      </c>
      <c r="AP9" s="48">
        <f>('입력값'!C7*'입력값'!C14*365)*MAX(0,1-'입력값'!C12/100*7)*(1-'입력값'!C13/100)*0.2199</f>
      </c>
      <c r="AQ9" s="48">
        <f>('입력값'!C7*'입력값'!C14*365)*MAX(0,1-'입력값'!C12/100*8)*(1-'입력값'!C13/100)*0.2347</f>
      </c>
      <c r="AR9" s="48">
        <f>('입력값'!C7*'입력값'!C14*365)*MAX(0,1-'입력값'!C12/100*8)*(1-'입력값'!C13/100)*0.2397</f>
      </c>
      <c r="AS9" s="48">
        <f>('입력값'!C7*'입력값'!C14*365)*MAX(0,1-'입력값'!C12/100*8)*(1-'입력값'!C13/100)*0.3057</f>
      </c>
      <c r="AT9" s="48">
        <f>('입력값'!C7*'입력값'!C14*365)*MAX(0,1-'입력값'!C12/100*8)*(1-'입력값'!C13/100)*0.2199</f>
      </c>
      <c r="AU9" s="48">
        <f>('입력값'!C7*'입력값'!C14*365)*MAX(0,1-'입력값'!C12/100*9)*(1-'입력값'!C13/100)*0.2347</f>
      </c>
      <c r="AV9" s="48">
        <f>('입력값'!C7*'입력값'!C14*365)*MAX(0,1-'입력값'!C12/100*9)*(1-'입력값'!C13/100)*0.2397</f>
      </c>
      <c r="AW9" s="48">
        <f>('입력값'!C7*'입력값'!C14*365)*MAX(0,1-'입력값'!C12/100*9)*(1-'입력값'!C13/100)*0.3057</f>
      </c>
      <c r="AX9" s="48">
        <f>('입력값'!C7*'입력값'!C14*365)*MAX(0,1-'입력값'!C12/100*9)*(1-'입력값'!C13/100)*0.2199</f>
      </c>
      <c r="AY9" s="48">
        <f>('입력값'!C7*'입력값'!C14*365)*MAX(0,1-'입력값'!C12/100*10)*(1-'입력값'!C13/100)*0.2347</f>
      </c>
      <c r="AZ9" s="48">
        <f>('입력값'!C7*'입력값'!C14*365)*MAX(0,1-'입력값'!C12/100*10)*(1-'입력값'!C13/100)*0.2397</f>
      </c>
      <c r="BA9" s="48">
        <f>('입력값'!C7*'입력값'!C14*365)*MAX(0,1-'입력값'!C12/100*10)*(1-'입력값'!C13/100)*0.3057</f>
      </c>
      <c r="BB9" s="48">
        <f>('입력값'!C7*'입력값'!C14*365)*MAX(0,1-'입력값'!C12/100*10)*(1-'입력값'!C13/100)*0.2199</f>
      </c>
      <c r="BC9" s="48">
        <f>('입력값'!C7*'입력값'!C14*365)*MAX(0,1-'입력값'!C12/100*11)*(1-'입력값'!C13/100)*0.2347</f>
      </c>
      <c r="BD9" s="48">
        <f>('입력값'!C7*'입력값'!C14*365)*MAX(0,1-'입력값'!C12/100*11)*(1-'입력값'!C13/100)*0.2397</f>
      </c>
      <c r="BE9" s="48">
        <f>('입력값'!C7*'입력값'!C14*365)*MAX(0,1-'입력값'!C12/100*11)*(1-'입력값'!C13/100)*0.3057</f>
      </c>
      <c r="BF9" s="48">
        <f>('입력값'!C7*'입력값'!C14*365)*MAX(0,1-'입력값'!C12/100*11)*(1-'입력값'!C13/100)*0.2199</f>
      </c>
      <c r="BG9" s="48">
        <f>('입력값'!C7*'입력값'!C14*365)*MAX(0,1-'입력값'!C12/100*12)*(1-'입력값'!C13/100)*0.2347</f>
      </c>
      <c r="BH9" s="48">
        <f>('입력값'!C7*'입력값'!C14*365)*MAX(0,1-'입력값'!C12/100*12)*(1-'입력값'!C13/100)*0.2397</f>
      </c>
      <c r="BI9" s="48">
        <f>('입력값'!C7*'입력값'!C14*365)*MAX(0,1-'입력값'!C12/100*12)*(1-'입력값'!C13/100)*0.3057</f>
      </c>
      <c r="BJ9" s="48">
        <f>('입력값'!C7*'입력값'!C14*365)*MAX(0,1-'입력값'!C12/100*12)*(1-'입력값'!C13/100)*0.2199</f>
      </c>
      <c r="BK9" s="48">
        <f>('입력값'!C7*'입력값'!C14*365)*MAX(0,1-'입력값'!C12/100*13)*(1-'입력값'!C13/100)*0.2347</f>
      </c>
      <c r="BL9" s="48">
        <f>('입력값'!C7*'입력값'!C14*365)*MAX(0,1-'입력값'!C12/100*13)*(1-'입력값'!C13/100)*0.2397</f>
      </c>
      <c r="BM9" s="48">
        <f>('입력값'!C7*'입력값'!C14*365)*MAX(0,1-'입력값'!C12/100*13)*(1-'입력값'!C13/100)*0.3057</f>
      </c>
      <c r="BN9" s="48">
        <f>('입력값'!C7*'입력값'!C14*365)*MAX(0,1-'입력값'!C12/100*13)*(1-'입력값'!C13/100)*0.2199</f>
      </c>
      <c r="BO9" s="48">
        <f>('입력값'!C7*'입력값'!C14*365)*MAX(0,1-'입력값'!C12/100*14)*(1-'입력값'!C13/100)*0.2347</f>
      </c>
      <c r="BP9" s="48">
        <f>('입력값'!C7*'입력값'!C14*365)*MAX(0,1-'입력값'!C12/100*14)*(1-'입력값'!C13/100)*0.2397</f>
      </c>
      <c r="BQ9" s="48">
        <f>('입력값'!C7*'입력값'!C14*365)*MAX(0,1-'입력값'!C12/100*14)*(1-'입력값'!C13/100)*0.3057</f>
      </c>
      <c r="BR9" s="48">
        <f>('입력값'!C7*'입력값'!C14*365)*MAX(0,1-'입력값'!C12/100*14)*(1-'입력값'!C13/100)*0.2199</f>
      </c>
      <c r="BS9" s="48">
        <f>('입력값'!C7*'입력값'!C14*365)*MAX(0,1-'입력값'!C12/100*15)*(1-'입력값'!C13/100)*0.2347</f>
      </c>
      <c r="BT9" s="48">
        <f>('입력값'!C7*'입력값'!C14*365)*MAX(0,1-'입력값'!C12/100*15)*(1-'입력값'!C13/100)*0.2397</f>
      </c>
      <c r="BU9" s="48">
        <f>('입력값'!C7*'입력값'!C14*365)*MAX(0,1-'입력값'!C12/100*15)*(1-'입력값'!C13/100)*0.3057</f>
      </c>
      <c r="BV9" s="48">
        <f>('입력값'!C7*'입력값'!C14*365)*MAX(0,1-'입력값'!C12/100*15)*(1-'입력값'!C13/100)*0.2199</f>
      </c>
      <c r="BW9" s="48">
        <f>('입력값'!C7*'입력값'!C14*365)*MAX(0,1-'입력값'!C12/100*16)*(1-'입력값'!C13/100)*0.2347</f>
      </c>
      <c r="BX9" s="48">
        <f>('입력값'!C7*'입력값'!C14*365)*MAX(0,1-'입력값'!C12/100*16)*(1-'입력값'!C13/100)*0.2397</f>
      </c>
      <c r="BY9" s="48">
        <f>('입력값'!C7*'입력값'!C14*365)*MAX(0,1-'입력값'!C12/100*16)*(1-'입력값'!C13/100)*0.3057</f>
      </c>
      <c r="BZ9" s="48">
        <f>('입력값'!C7*'입력값'!C14*365)*MAX(0,1-'입력값'!C12/100*16)*(1-'입력값'!C13/100)*0.2199</f>
      </c>
      <c r="CA9" s="48">
        <f>('입력값'!C7*'입력값'!C14*365)*MAX(0,1-'입력값'!C12/100*17)*(1-'입력값'!C13/100)*0.2347</f>
      </c>
      <c r="CB9" s="48">
        <f>('입력값'!C7*'입력값'!C14*365)*MAX(0,1-'입력값'!C12/100*17)*(1-'입력값'!C13/100)*0.2397</f>
      </c>
      <c r="CC9" s="48">
        <f>('입력값'!C7*'입력값'!C14*365)*MAX(0,1-'입력값'!C12/100*17)*(1-'입력값'!C13/100)*0.3057</f>
      </c>
      <c r="CD9" s="48">
        <f>('입력값'!C7*'입력값'!C14*365)*MAX(0,1-'입력값'!C12/100*17)*(1-'입력값'!C13/100)*0.2199</f>
      </c>
      <c r="CE9" s="48">
        <f>('입력값'!C7*'입력값'!C14*365)*MAX(0,1-'입력값'!C12/100*18)*(1-'입력값'!C13/100)*0.2347</f>
      </c>
      <c r="CF9" s="48">
        <f>('입력값'!C7*'입력값'!C14*365)*MAX(0,1-'입력값'!C12/100*18)*(1-'입력값'!C13/100)*0.2397</f>
      </c>
      <c r="CG9" s="48">
        <f>('입력값'!C7*'입력값'!C14*365)*MAX(0,1-'입력값'!C12/100*18)*(1-'입력값'!C13/100)*0.3057</f>
      </c>
      <c r="CH9" s="48">
        <f>('입력값'!C7*'입력값'!C14*365)*MAX(0,1-'입력값'!C12/100*18)*(1-'입력값'!C13/100)*0.2199</f>
      </c>
      <c r="CI9" s="48">
        <f>('입력값'!C7*'입력값'!C14*365)*MAX(0,1-'입력값'!C12/100*19)*(1-'입력값'!C13/100)*0.2347</f>
      </c>
      <c r="CJ9" s="48">
        <f>('입력값'!C7*'입력값'!C14*365)*MAX(0,1-'입력값'!C12/100*19)*(1-'입력값'!C13/100)*0.2397</f>
      </c>
      <c r="CK9" s="48">
        <f>('입력값'!C7*'입력값'!C14*365)*MAX(0,1-'입력값'!C12/100*19)*(1-'입력값'!C13/100)*0.3057</f>
      </c>
      <c r="CL9" s="48">
        <f>('입력값'!C7*'입력값'!C14*365)*MAX(0,1-'입력값'!C12/100*19)*(1-'입력값'!C13/100)*0.2199</f>
      </c>
    </row>
    <row r="10" spans="2:90" x14ac:dyDescent="0.25">
      <c r="B10" s="31" t="s">
        <v>285</v>
      </c>
      <c r="C10" s="32" t="s">
        <v>226</v>
      </c>
      <c r="E10" s="35"/>
      <c r="F10" s="35"/>
      <c r="G10" s="35"/>
      <c r="H10" s="35"/>
      <c r="I10" s="35"/>
      <c r="J10" s="35"/>
      <c r="K10" s="35">
        <f>'입력값'!K116</f>
      </c>
      <c r="L10" s="35">
        <f>'입력값'!L116</f>
      </c>
      <c r="M10" s="35">
        <f>'입력값'!M116</f>
      </c>
      <c r="N10" s="35">
        <f>'입력값'!N116</f>
      </c>
      <c r="O10" s="35">
        <f>'입력값'!O116</f>
      </c>
      <c r="P10" s="35">
        <f>'입력값'!P116</f>
      </c>
      <c r="Q10" s="35">
        <f>'입력값'!Q116</f>
      </c>
      <c r="R10" s="35">
        <f>'입력값'!R116</f>
      </c>
      <c r="S10" s="35">
        <f>'입력값'!S116</f>
      </c>
      <c r="T10" s="35">
        <f>'입력값'!T116</f>
      </c>
      <c r="U10" s="35">
        <f>'입력값'!U116</f>
      </c>
      <c r="V10" s="35">
        <f>'입력값'!V116</f>
      </c>
      <c r="W10" s="35">
        <f>'입력값'!W116</f>
      </c>
      <c r="X10" s="35">
        <f>'입력값'!X116</f>
      </c>
      <c r="Y10" s="35">
        <f>'입력값'!Y116</f>
      </c>
      <c r="Z10" s="35">
        <f>'입력값'!Z116</f>
      </c>
      <c r="AA10" s="35">
        <f>'입력값'!AA116</f>
      </c>
      <c r="AB10" s="35">
        <f>'입력값'!AB116</f>
      </c>
      <c r="AC10" s="35">
        <f>'입력값'!AC116</f>
      </c>
      <c r="AD10" s="35">
        <f>'입력값'!AD116</f>
      </c>
      <c r="AE10" s="35">
        <f>'입력값'!AE116</f>
      </c>
      <c r="AF10" s="35">
        <f>'입력값'!AF116</f>
      </c>
      <c r="AG10" s="35">
        <f>'입력값'!AG116</f>
      </c>
      <c r="AH10" s="35">
        <f>'입력값'!AH116</f>
      </c>
      <c r="AI10" s="35">
        <f>'입력값'!AI116</f>
      </c>
      <c r="AJ10" s="35">
        <f>'입력값'!AJ116</f>
      </c>
      <c r="AK10" s="35">
        <f>'입력값'!AK116</f>
      </c>
      <c r="AL10" s="35">
        <f>'입력값'!AL116</f>
      </c>
      <c r="AM10" s="35">
        <f>'입력값'!AM116</f>
      </c>
      <c r="AN10" s="35">
        <f>'입력값'!AN116</f>
      </c>
      <c r="AO10" s="35">
        <f>'입력값'!AO116</f>
      </c>
      <c r="AP10" s="35">
        <f>'입력값'!AP116</f>
      </c>
      <c r="AQ10" s="35">
        <f>'입력값'!AQ116</f>
      </c>
      <c r="AR10" s="35">
        <f>'입력값'!AR116</f>
      </c>
      <c r="AS10" s="35">
        <f>'입력값'!AS116</f>
      </c>
      <c r="AT10" s="35">
        <f>'입력값'!AT116</f>
      </c>
      <c r="AU10" s="35">
        <f>'입력값'!AU116</f>
      </c>
      <c r="AV10" s="35">
        <f>'입력값'!AV116</f>
      </c>
      <c r="AW10" s="35">
        <f>'입력값'!AW116</f>
      </c>
      <c r="AX10" s="35">
        <f>'입력값'!AX116</f>
      </c>
      <c r="AY10" s="35">
        <f>'입력값'!AY116</f>
      </c>
      <c r="AZ10" s="35">
        <f>'입력값'!AZ116</f>
      </c>
      <c r="BA10" s="35">
        <f>'입력값'!BA116</f>
      </c>
      <c r="BB10" s="35">
        <f>'입력값'!BB116</f>
      </c>
      <c r="BC10" s="35">
        <f>'입력값'!BC116</f>
      </c>
      <c r="BD10" s="35">
        <f>'입력값'!BD116</f>
      </c>
      <c r="BE10" s="35">
        <f>'입력값'!BE116</f>
      </c>
      <c r="BF10" s="35">
        <f>'입력값'!BF116</f>
      </c>
      <c r="BG10" s="35">
        <f>'입력값'!BG116</f>
      </c>
      <c r="BH10" s="35">
        <f>'입력값'!BH116</f>
      </c>
      <c r="BI10" s="35">
        <f>'입력값'!BI116</f>
      </c>
      <c r="BJ10" s="35">
        <f>'입력값'!BJ116</f>
      </c>
      <c r="BK10" s="35">
        <f>'입력값'!BK116</f>
      </c>
      <c r="BL10" s="35">
        <f>'입력값'!BL116</f>
      </c>
      <c r="BM10" s="35">
        <f>'입력값'!BM116</f>
      </c>
      <c r="BN10" s="35">
        <f>'입력값'!BN116</f>
      </c>
      <c r="BO10" s="35">
        <f>'입력값'!BO116</f>
      </c>
      <c r="BP10" s="35">
        <f>'입력값'!BP116</f>
      </c>
      <c r="BQ10" s="35">
        <f>'입력값'!BQ116</f>
      </c>
      <c r="BR10" s="35">
        <f>'입력값'!BR116</f>
      </c>
      <c r="BS10" s="35">
        <f>'입력값'!BS116</f>
      </c>
      <c r="BT10" s="35">
        <f>'입력값'!BT116</f>
      </c>
      <c r="BU10" s="35">
        <f>'입력값'!BU116</f>
      </c>
      <c r="BV10" s="35">
        <f>'입력값'!BV116</f>
      </c>
      <c r="BW10" s="35">
        <f>'입력값'!BW116</f>
      </c>
      <c r="BX10" s="35">
        <f>'입력값'!BX116</f>
      </c>
      <c r="BY10" s="35">
        <f>'입력값'!BY116</f>
      </c>
      <c r="BZ10" s="35">
        <f>'입력값'!BZ116</f>
      </c>
      <c r="CA10" s="35">
        <f>'입력값'!CA116</f>
      </c>
      <c r="CB10" s="35">
        <f>'입력값'!CB116</f>
      </c>
      <c r="CC10" s="35">
        <f>'입력값'!CC116</f>
      </c>
      <c r="CD10" s="35">
        <f>'입력값'!CD116</f>
      </c>
      <c r="CE10" s="35">
        <f>'입력값'!CE116</f>
      </c>
      <c r="CF10" s="35">
        <f>'입력값'!CF116</f>
      </c>
      <c r="CG10" s="35">
        <f>'입력값'!CG116</f>
      </c>
      <c r="CH10" s="35">
        <f>'입력값'!CH116</f>
      </c>
      <c r="CI10" s="35">
        <f>'입력값'!CI116</f>
      </c>
      <c r="CJ10" s="35">
        <f>'입력값'!CJ116</f>
      </c>
      <c r="CK10" s="35">
        <f>'입력값'!CK116</f>
      </c>
      <c r="CL10" s="35">
        <f>'입력값'!CL116</f>
      </c>
    </row>
    <row r="12" spans="2:91" x14ac:dyDescent="0.25">
      <c r="B12" s="43" t="s">
        <v>286</v>
      </c>
      <c r="C12" s="46" t="s">
        <v>228</v>
      </c>
      <c r="D12" s="41">
        <f>SUM(E12:CL12)</f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f>K9*K10/1000</f>
      </c>
      <c r="L12" s="41">
        <f>L9*L10/1000</f>
      </c>
      <c r="M12" s="41">
        <f>M9*M10/1000</f>
      </c>
      <c r="N12" s="41">
        <f>N9*N10/1000</f>
      </c>
      <c r="O12" s="41">
        <f>O9*O10/1000</f>
      </c>
      <c r="P12" s="41">
        <f>P9*P10/1000</f>
      </c>
      <c r="Q12" s="41">
        <f>Q9*Q10/1000</f>
      </c>
      <c r="R12" s="41">
        <f>R9*R10/1000</f>
      </c>
      <c r="S12" s="41">
        <f>S9*S10/1000</f>
      </c>
      <c r="T12" s="41">
        <f>T9*T10/1000</f>
      </c>
      <c r="U12" s="41">
        <f>U9*U10/1000</f>
      </c>
      <c r="V12" s="41">
        <f>V9*V10/1000</f>
      </c>
      <c r="W12" s="41">
        <f>W9*W10/1000</f>
      </c>
      <c r="X12" s="41">
        <f>X9*X10/1000</f>
      </c>
      <c r="Y12" s="41">
        <f>Y9*Y10/1000</f>
      </c>
      <c r="Z12" s="41">
        <f>Z9*Z10/1000</f>
      </c>
      <c r="AA12" s="41">
        <f>AA9*AA10/1000</f>
      </c>
      <c r="AB12" s="41">
        <f>AB9*AB10/1000</f>
      </c>
      <c r="AC12" s="41">
        <f>AC9*AC10/1000</f>
      </c>
      <c r="AD12" s="41">
        <f>AD9*AD10/1000</f>
      </c>
      <c r="AE12" s="41">
        <f>AE9*AE10/1000</f>
      </c>
      <c r="AF12" s="41">
        <f>AF9*AF10/1000</f>
      </c>
      <c r="AG12" s="41">
        <f>AG9*AG10/1000</f>
      </c>
      <c r="AH12" s="41">
        <f>AH9*AH10/1000</f>
      </c>
      <c r="AI12" s="41">
        <f>AI9*AI10/1000</f>
      </c>
      <c r="AJ12" s="41">
        <f>AJ9*AJ10/1000</f>
      </c>
      <c r="AK12" s="41">
        <f>AK9*AK10/1000</f>
      </c>
      <c r="AL12" s="41">
        <f>AL9*AL10/1000</f>
      </c>
      <c r="AM12" s="41">
        <f>AM9*AM10/1000</f>
      </c>
      <c r="AN12" s="41">
        <f>AN9*AN10/1000</f>
      </c>
      <c r="AO12" s="41">
        <f>AO9*AO10/1000</f>
      </c>
      <c r="AP12" s="41">
        <f>AP9*AP10/1000</f>
      </c>
      <c r="AQ12" s="41">
        <f>AQ9*AQ10/1000</f>
      </c>
      <c r="AR12" s="41">
        <f>AR9*AR10/1000</f>
      </c>
      <c r="AS12" s="41">
        <f>AS9*AS10/1000</f>
      </c>
      <c r="AT12" s="41">
        <f>AT9*AT10/1000</f>
      </c>
      <c r="AU12" s="41">
        <f>AU9*AU10/1000</f>
      </c>
      <c r="AV12" s="41">
        <f>AV9*AV10/1000</f>
      </c>
      <c r="AW12" s="41">
        <f>AW9*AW10/1000</f>
      </c>
      <c r="AX12" s="41">
        <f>AX9*AX10/1000</f>
      </c>
      <c r="AY12" s="41">
        <f>AY9*AY10/1000</f>
      </c>
      <c r="AZ12" s="41">
        <f>AZ9*AZ10/1000</f>
      </c>
      <c r="BA12" s="41">
        <f>BA9*BA10/1000</f>
      </c>
      <c r="BB12" s="41">
        <f>BB9*BB10/1000</f>
      </c>
      <c r="BC12" s="41">
        <f>BC9*BC10/1000</f>
      </c>
      <c r="BD12" s="41">
        <f>BD9*BD10/1000</f>
      </c>
      <c r="BE12" s="41">
        <f>BE9*BE10/1000</f>
      </c>
      <c r="BF12" s="41">
        <f>BF9*BF10/1000</f>
      </c>
      <c r="BG12" s="41">
        <f>BG9*BG10/1000</f>
      </c>
      <c r="BH12" s="41">
        <f>BH9*BH10/1000</f>
      </c>
      <c r="BI12" s="41">
        <f>BI9*BI10/1000</f>
      </c>
      <c r="BJ12" s="41">
        <f>BJ9*BJ10/1000</f>
      </c>
      <c r="BK12" s="41">
        <f>BK9*BK10/1000</f>
      </c>
      <c r="BL12" s="41">
        <f>BL9*BL10/1000</f>
      </c>
      <c r="BM12" s="41">
        <f>BM9*BM10/1000</f>
      </c>
      <c r="BN12" s="41">
        <f>BN9*BN10/1000</f>
      </c>
      <c r="BO12" s="41">
        <f>BO9*BO10/1000</f>
      </c>
      <c r="BP12" s="41">
        <f>BP9*BP10/1000</f>
      </c>
      <c r="BQ12" s="41">
        <f>BQ9*BQ10/1000</f>
      </c>
      <c r="BR12" s="41">
        <f>BR9*BR10/1000</f>
      </c>
      <c r="BS12" s="41">
        <f>BS9*BS10/1000</f>
      </c>
      <c r="BT12" s="41">
        <f>BT9*BT10/1000</f>
      </c>
      <c r="BU12" s="41">
        <f>BU9*BU10/1000</f>
      </c>
      <c r="BV12" s="41">
        <f>BV9*BV10/1000</f>
      </c>
      <c r="BW12" s="41">
        <f>BW9*BW10/1000</f>
      </c>
      <c r="BX12" s="41">
        <f>BX9*BX10/1000</f>
      </c>
      <c r="BY12" s="41">
        <f>BY9*BY10/1000</f>
      </c>
      <c r="BZ12" s="41">
        <f>BZ9*BZ10/1000</f>
      </c>
      <c r="CA12" s="41">
        <f>CA9*CA10/1000</f>
      </c>
      <c r="CB12" s="41">
        <f>CB9*CB10/1000</f>
      </c>
      <c r="CC12" s="41">
        <f>CC9*CC10/1000</f>
      </c>
      <c r="CD12" s="41">
        <f>CD9*CD10/1000</f>
      </c>
      <c r="CE12" s="41">
        <f>CE9*CE10/1000</f>
      </c>
      <c r="CF12" s="41">
        <f>CF9*CF10/1000</f>
      </c>
      <c r="CG12" s="41">
        <f>CG9*CG10/1000</f>
      </c>
      <c r="CH12" s="41">
        <f>CH9*CH10/1000</f>
      </c>
      <c r="CI12" s="41">
        <f>CI9*CI10/1000</f>
      </c>
      <c r="CJ12" s="41">
        <f>CJ9*CJ10/1000</f>
      </c>
      <c r="CK12" s="41">
        <f>CK9*CK10/1000</f>
      </c>
      <c r="CL12" s="41">
        <f>CL9*CL10/1000</f>
      </c>
      <c r="CM12" s="44"/>
    </row>
    <row r="14" spans="2:2" x14ac:dyDescent="0.25">
      <c r="B14" s="36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288</v>
      </c>
    </row>
    <row r="4" spans="2:91" x14ac:dyDescent="0.25">
      <c r="B4" s="9" t="s">
        <v>289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102</v>
      </c>
      <c r="C6" s="26" t="s">
        <v>103</v>
      </c>
      <c r="D6" s="26" t="s">
        <v>104</v>
      </c>
      <c r="E6" s="30" t="s">
        <v>105</v>
      </c>
      <c r="F6" s="30" t="s">
        <v>106</v>
      </c>
      <c r="G6" s="30" t="s">
        <v>107</v>
      </c>
      <c r="H6" s="30" t="s">
        <v>108</v>
      </c>
      <c r="I6" s="30" t="s">
        <v>109</v>
      </c>
      <c r="J6" s="30" t="s">
        <v>110</v>
      </c>
      <c r="K6" s="30" t="s">
        <v>111</v>
      </c>
      <c r="L6" s="30" t="s">
        <v>112</v>
      </c>
      <c r="M6" s="30" t="s">
        <v>113</v>
      </c>
      <c r="N6" s="30" t="s">
        <v>114</v>
      </c>
      <c r="O6" s="30" t="s">
        <v>115</v>
      </c>
      <c r="P6" s="30" t="s">
        <v>116</v>
      </c>
      <c r="Q6" s="30" t="s">
        <v>117</v>
      </c>
      <c r="R6" s="30" t="s">
        <v>118</v>
      </c>
      <c r="S6" s="30" t="s">
        <v>119</v>
      </c>
      <c r="T6" s="30" t="s">
        <v>120</v>
      </c>
      <c r="U6" s="30" t="s">
        <v>121</v>
      </c>
      <c r="V6" s="30" t="s">
        <v>122</v>
      </c>
      <c r="W6" s="30" t="s">
        <v>123</v>
      </c>
      <c r="X6" s="30" t="s">
        <v>124</v>
      </c>
      <c r="Y6" s="30" t="s">
        <v>125</v>
      </c>
      <c r="Z6" s="30" t="s">
        <v>126</v>
      </c>
      <c r="AA6" s="30" t="s">
        <v>127</v>
      </c>
      <c r="AB6" s="30" t="s">
        <v>128</v>
      </c>
      <c r="AC6" s="30" t="s">
        <v>129</v>
      </c>
      <c r="AD6" s="30" t="s">
        <v>130</v>
      </c>
      <c r="AE6" s="30" t="s">
        <v>131</v>
      </c>
      <c r="AF6" s="30" t="s">
        <v>132</v>
      </c>
      <c r="AG6" s="30" t="s">
        <v>133</v>
      </c>
      <c r="AH6" s="30" t="s">
        <v>134</v>
      </c>
      <c r="AI6" s="30" t="s">
        <v>135</v>
      </c>
      <c r="AJ6" s="30" t="s">
        <v>136</v>
      </c>
      <c r="AK6" s="30" t="s">
        <v>137</v>
      </c>
      <c r="AL6" s="30" t="s">
        <v>138</v>
      </c>
      <c r="AM6" s="30" t="s">
        <v>139</v>
      </c>
      <c r="AN6" s="30" t="s">
        <v>140</v>
      </c>
      <c r="AO6" s="30" t="s">
        <v>141</v>
      </c>
      <c r="AP6" s="30" t="s">
        <v>142</v>
      </c>
      <c r="AQ6" s="30" t="s">
        <v>143</v>
      </c>
      <c r="AR6" s="30" t="s">
        <v>144</v>
      </c>
      <c r="AS6" s="30" t="s">
        <v>145</v>
      </c>
      <c r="AT6" s="30" t="s">
        <v>146</v>
      </c>
      <c r="AU6" s="30" t="s">
        <v>147</v>
      </c>
      <c r="AV6" s="30" t="s">
        <v>148</v>
      </c>
      <c r="AW6" s="30" t="s">
        <v>149</v>
      </c>
      <c r="AX6" s="30" t="s">
        <v>150</v>
      </c>
      <c r="AY6" s="30" t="s">
        <v>151</v>
      </c>
      <c r="AZ6" s="30" t="s">
        <v>152</v>
      </c>
      <c r="BA6" s="30" t="s">
        <v>153</v>
      </c>
      <c r="BB6" s="30" t="s">
        <v>154</v>
      </c>
      <c r="BC6" s="30" t="s">
        <v>155</v>
      </c>
      <c r="BD6" s="30" t="s">
        <v>156</v>
      </c>
      <c r="BE6" s="30" t="s">
        <v>157</v>
      </c>
      <c r="BF6" s="30" t="s">
        <v>158</v>
      </c>
      <c r="BG6" s="30" t="s">
        <v>159</v>
      </c>
      <c r="BH6" s="30" t="s">
        <v>160</v>
      </c>
      <c r="BI6" s="30" t="s">
        <v>161</v>
      </c>
      <c r="BJ6" s="30" t="s">
        <v>162</v>
      </c>
      <c r="BK6" s="30" t="s">
        <v>163</v>
      </c>
      <c r="BL6" s="30" t="s">
        <v>164</v>
      </c>
      <c r="BM6" s="30" t="s">
        <v>165</v>
      </c>
      <c r="BN6" s="30" t="s">
        <v>166</v>
      </c>
      <c r="BO6" s="30" t="s">
        <v>167</v>
      </c>
      <c r="BP6" s="30" t="s">
        <v>168</v>
      </c>
      <c r="BQ6" s="30" t="s">
        <v>169</v>
      </c>
      <c r="BR6" s="30" t="s">
        <v>170</v>
      </c>
      <c r="BS6" s="30" t="s">
        <v>171</v>
      </c>
      <c r="BT6" s="30" t="s">
        <v>172</v>
      </c>
      <c r="BU6" s="30" t="s">
        <v>173</v>
      </c>
      <c r="BV6" s="30" t="s">
        <v>174</v>
      </c>
      <c r="BW6" s="30" t="s">
        <v>175</v>
      </c>
      <c r="BX6" s="30" t="s">
        <v>176</v>
      </c>
      <c r="BY6" s="30" t="s">
        <v>177</v>
      </c>
      <c r="BZ6" s="30" t="s">
        <v>178</v>
      </c>
      <c r="CA6" s="30" t="s">
        <v>179</v>
      </c>
      <c r="CB6" s="30" t="s">
        <v>180</v>
      </c>
      <c r="CC6" s="30" t="s">
        <v>181</v>
      </c>
      <c r="CD6" s="30" t="s">
        <v>182</v>
      </c>
      <c r="CE6" s="30" t="s">
        <v>183</v>
      </c>
      <c r="CF6" s="30" t="s">
        <v>184</v>
      </c>
      <c r="CG6" s="30" t="s">
        <v>185</v>
      </c>
      <c r="CH6" s="30" t="s">
        <v>186</v>
      </c>
      <c r="CI6" s="30" t="s">
        <v>187</v>
      </c>
      <c r="CJ6" s="30" t="s">
        <v>188</v>
      </c>
      <c r="CK6" s="30" t="s">
        <v>189</v>
      </c>
      <c r="CL6" s="30" t="s">
        <v>190</v>
      </c>
    </row>
    <row r="8" spans="2:2" x14ac:dyDescent="0.25">
      <c r="B8" s="42" t="s">
        <v>290</v>
      </c>
    </row>
    <row r="9" spans="2:90" x14ac:dyDescent="0.25">
      <c r="B9" s="31" t="s">
        <v>291</v>
      </c>
      <c r="C9" s="32" t="s">
        <v>228</v>
      </c>
      <c r="D9" s="29">
        <f>SUM(E9:CL9)</f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K117+'입력값'!K118)*('입력값'!C98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L9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L117+'입력값'!L118)*('입력값'!C98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M9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M117+'입력값'!M118)*('입력값'!C98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N9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N117+'입력값'!N118)*('입력값'!C98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O9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O117+'입력값'!O118)*('입력값'!C98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P9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P117+'입력값'!P118)*('입력값'!C98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Q9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Q117+'입력값'!Q118)*('입력값'!C98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R9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R117+'입력값'!R118)*('입력값'!C98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S9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S117+'입력값'!S118)*('입력값'!C98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T9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T117+'입력값'!T118)*('입력값'!C98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U9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U117+'입력값'!U118)*('입력값'!C98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V9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V117+'입력값'!V118)*('입력값'!C98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W9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W117+'입력값'!W118)*('입력값'!C98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X9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X117+'입력값'!X118)*('입력값'!C98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Y9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Y117+'입력값'!Y118)*('입력값'!C98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Z9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Z117+'입력값'!Z118)*('입력값'!C98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AA9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A117+'입력값'!AA118)*('입력값'!C98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B9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B117+'입력값'!AB118)*('입력값'!C98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C9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C117+'입력값'!AC118)*('입력값'!C98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D9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D117+'입력값'!AD118)*('입력값'!C98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E9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E117+'입력값'!AE118)*('입력값'!C98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F9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F117+'입력값'!AF118)*('입력값'!C98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G9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G117+'입력값'!AG118)*('입력값'!C98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H9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H117+'입력값'!AH118)*('입력값'!C98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I9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I117+'입력값'!AI118)*('입력값'!C98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J9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J117+'입력값'!AJ118)*('입력값'!C98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K9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K117+'입력값'!AK118)*('입력값'!C98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L9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L117+'입력값'!AL118)*('입력값'!C98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M9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M117+'입력값'!AM118)*('입력값'!C98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N9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N117+'입력값'!AN118)*('입력값'!C98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O9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O117+'입력값'!AO118)*('입력값'!C98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P9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P117+'입력값'!AP118)*('입력값'!C98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Q9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Q117+'입력값'!AQ118)*('입력값'!C98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R9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R117+'입력값'!AR118)*('입력값'!C98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S9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S117+'입력값'!AS118)*('입력값'!C98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T9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T117+'입력값'!AT118)*('입력값'!C98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U9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U117+'입력값'!AU118)*('입력값'!C98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V9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V117+'입력값'!AV118)*('입력값'!C98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W9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W117+'입력값'!AW118)*('입력값'!C98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X9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X117+'입력값'!AX118)*('입력값'!C98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Y9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AY117+'입력값'!AY118)*('입력값'!C98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AZ9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AZ117+'입력값'!AZ118)*('입력값'!C98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A9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BA117+'입력값'!BA118)*('입력값'!C98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B9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BB117+'입력값'!BB118)*('입력값'!C98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C9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C117+'입력값'!BC118)*('입력값'!C98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D9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D117+'입력값'!BD118)*('입력값'!C98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E9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E117+'입력값'!BE118)*('입력값'!C98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F9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F117+'입력값'!BF118)*('입력값'!C98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G9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G117+'입력값'!BG118)*('입력값'!C98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H9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H117+'입력값'!BH118)*('입력값'!C98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I9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I117+'입력값'!BI118)*('입력값'!C98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J9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J117+'입력값'!BJ118)*('입력값'!C98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K9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K117+'입력값'!BK118)*('입력값'!C98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L9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L117+'입력값'!BL118)*('입력값'!C98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M9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M117+'입력값'!BM118)*('입력값'!C98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N9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N117+'입력값'!BN118)*('입력값'!C98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O9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O117+'입력값'!BO118)*('입력값'!C98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P9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P117+'입력값'!BP118)*('입력값'!C98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Q9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Q117+'입력값'!BQ118)*('입력값'!C98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R9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R117+'입력값'!BR118)*('입력값'!C98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S9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S117+'입력값'!BS118)*('입력값'!C98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T9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T117+'입력값'!BT118)*('입력값'!C98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U9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U117+'입력값'!BU118)*('입력값'!C98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V9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V117+'입력값'!BV118)*('입력값'!C98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W9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W117+'입력값'!BW118)*('입력값'!C98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X9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X117+'입력값'!BX118)*('입력값'!C98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Y9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Y117+'입력값'!BY118)*('입력값'!C98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Z9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Z117+'입력값'!BZ118)*('입력값'!C98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CA9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A117+'입력값'!CA118)*('입력값'!C98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B9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B117+'입력값'!CB118)*('입력값'!C98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C9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C117+'입력값'!CC118)*('입력값'!C98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D9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D117+'입력값'!CD118)*('입력값'!C98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E9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E117+'입력값'!CE118)*('입력값'!C98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F9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F117+'입력값'!CF118)*('입력값'!C98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G9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G117+'입력값'!CG118)*('입력값'!C98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H9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H117+'입력값'!CH118)*('입력값'!C98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I9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I117+'입력값'!CI118)*('입력값'!C98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J9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J117+'입력값'!CJ118)*('입력값'!C98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K9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K117+'입력값'!CK118)*('입력값'!C98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L9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L117+'입력값'!CL118)*('입력값'!C98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</row>
    <row r="10" spans="2:90" x14ac:dyDescent="0.25">
      <c r="B10" s="31" t="s">
        <v>292</v>
      </c>
      <c r="C10" s="32" t="s">
        <v>228</v>
      </c>
      <c r="D10" s="29">
        <f>SUM(E10:CL10)</f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K117+'입력값'!K118)*('입력값'!C99*100*(3/12)*(1+'입력값'!D99/100)^0)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L10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L117+'입력값'!L118)*('입력값'!C99*100*(3/12)*(1+'입력값'!D99/100)^0)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M10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M117+'입력값'!M118)*('입력값'!C99*100*(3/12)*(1+'입력값'!D99/100)^0)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N10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N117+'입력값'!N118)*('입력값'!C99*100*(3/12)*(1+'입력값'!D99/100)^0)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O10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O117+'입력값'!O118)*('입력값'!C99*100*(3/12)*(1+'입력값'!D99/100)^1)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P10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P117+'입력값'!P118)*('입력값'!C99*100*(3/12)*(1+'입력값'!D99/100)^1)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Q10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Q117+'입력값'!Q118)*('입력값'!C99*100*(3/12)*(1+'입력값'!D99/100)^1)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R10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R117+'입력값'!R118)*('입력값'!C99*100*(3/12)*(1+'입력값'!D99/100)^1)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S10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S117+'입력값'!S118)*('입력값'!C99*100*(3/12)*(1+'입력값'!D99/100)^2)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T10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T117+'입력값'!T118)*('입력값'!C99*100*(3/12)*(1+'입력값'!D99/100)^2)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U10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U117+'입력값'!U118)*('입력값'!C99*100*(3/12)*(1+'입력값'!D99/100)^2)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V10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V117+'입력값'!V118)*('입력값'!C99*100*(3/12)*(1+'입력값'!D99/100)^2)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W10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W117+'입력값'!W118)*('입력값'!C99*100*(3/12)*(1+'입력값'!D99/100)^3)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X10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X117+'입력값'!X118)*('입력값'!C99*100*(3/12)*(1+'입력값'!D99/100)^3)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Y10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Y117+'입력값'!Y118)*('입력값'!C99*100*(3/12)*(1+'입력값'!D99/100)^3)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Z10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Z117+'입력값'!Z118)*('입력값'!C99*100*(3/12)*(1+'입력값'!D99/100)^3)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AA10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A117+'입력값'!AA118)*('입력값'!C99*100*(3/12)*(1+'입력값'!D99/100)^4)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B10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B117+'입력값'!AB118)*('입력값'!C99*100*(3/12)*(1+'입력값'!D99/100)^4)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C10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C117+'입력값'!AC118)*('입력값'!C99*100*(3/12)*(1+'입력값'!D99/100)^4)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D10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D117+'입력값'!AD118)*('입력값'!C99*100*(3/12)*(1+'입력값'!D99/100)^4)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E10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E117+'입력값'!AE118)*('입력값'!C99*100*(3/12)*(1+'입력값'!D99/100)^5)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F10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F117+'입력값'!AF118)*('입력값'!C99*100*(3/12)*(1+'입력값'!D99/100)^5)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G10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G117+'입력값'!AG118)*('입력값'!C99*100*(3/12)*(1+'입력값'!D99/100)^5)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H10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H117+'입력값'!AH118)*('입력값'!C99*100*(3/12)*(1+'입력값'!D99/100)^5)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I10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I117+'입력값'!AI118)*('입력값'!C99*100*(3/12)*(1+'입력값'!D99/100)^6)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J10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J117+'입력값'!AJ118)*('입력값'!C99*100*(3/12)*(1+'입력값'!D99/100)^6)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K10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K117+'입력값'!AK118)*('입력값'!C99*100*(3/12)*(1+'입력값'!D99/100)^6)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L10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L117+'입력값'!AL118)*('입력값'!C99*100*(3/12)*(1+'입력값'!D99/100)^6)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M10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M117+'입력값'!AM118)*('입력값'!C99*100*(3/12)*(1+'입력값'!D99/100)^7)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N10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N117+'입력값'!AN118)*('입력값'!C99*100*(3/12)*(1+'입력값'!D99/100)^7)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O10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O117+'입력값'!AO118)*('입력값'!C99*100*(3/12)*(1+'입력값'!D99/100)^7)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P10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P117+'입력값'!AP118)*('입력값'!C99*100*(3/12)*(1+'입력값'!D99/100)^7)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Q10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Q117+'입력값'!AQ118)*('입력값'!C99*100*(3/12)*(1+'입력값'!D99/100)^8)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R10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R117+'입력값'!AR118)*('입력값'!C99*100*(3/12)*(1+'입력값'!D99/100)^8)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S10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S117+'입력값'!AS118)*('입력값'!C99*100*(3/12)*(1+'입력값'!D99/100)^8)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T10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T117+'입력값'!AT118)*('입력값'!C99*100*(3/12)*(1+'입력값'!D99/100)^8)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U10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U117+'입력값'!AU118)*('입력값'!C99*100*(3/12)*(1+'입력값'!D99/100)^9)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V10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V117+'입력값'!AV118)*('입력값'!C99*100*(3/12)*(1+'입력값'!D99/100)^9)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W10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W117+'입력값'!AW118)*('입력값'!C99*100*(3/12)*(1+'입력값'!D99/100)^9)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X10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X117+'입력값'!AX118)*('입력값'!C99*100*(3/12)*(1+'입력값'!D99/100)^9)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Y10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AY117+'입력값'!AY118)*('입력값'!C99*100*(3/12)*(1+'입력값'!D99/100)^10)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AZ10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AZ117+'입력값'!AZ118)*('입력값'!C99*100*(3/12)*(1+'입력값'!D99/100)^10)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A10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BA117+'입력값'!BA118)*('입력값'!C99*100*(3/12)*(1+'입력값'!D99/100)^10)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B10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BB117+'입력값'!BB118)*('입력값'!C99*100*(3/12)*(1+'입력값'!D99/100)^10)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C10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C117+'입력값'!BC118)*('입력값'!C99*100*(3/12)*(1+'입력값'!D99/100)^11)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D10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D117+'입력값'!BD118)*('입력값'!C99*100*(3/12)*(1+'입력값'!D99/100)^11)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E10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E117+'입력값'!BE118)*('입력값'!C99*100*(3/12)*(1+'입력값'!D99/100)^11)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F10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F117+'입력값'!BF118)*('입력값'!C99*100*(3/12)*(1+'입력값'!D99/100)^11)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G10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G117+'입력값'!BG118)*('입력값'!C99*100*(3/12)*(1+'입력값'!D99/100)^12)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H10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H117+'입력값'!BH118)*('입력값'!C99*100*(3/12)*(1+'입력값'!D99/100)^12)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I10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I117+'입력값'!BI118)*('입력값'!C99*100*(3/12)*(1+'입력값'!D99/100)^12)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J10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J117+'입력값'!BJ118)*('입력값'!C99*100*(3/12)*(1+'입력값'!D99/100)^12)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K10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K117+'입력값'!BK118)*('입력값'!C99*100*(3/12)*(1+'입력값'!D99/100)^13)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L10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L117+'입력값'!BL118)*('입력값'!C99*100*(3/12)*(1+'입력값'!D99/100)^13)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M10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M117+'입력값'!BM118)*('입력값'!C99*100*(3/12)*(1+'입력값'!D99/100)^13)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N10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N117+'입력값'!BN118)*('입력값'!C99*100*(3/12)*(1+'입력값'!D99/100)^13)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O10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O117+'입력값'!BO118)*('입력값'!C99*100*(3/12)*(1+'입력값'!D99/100)^14)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P10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P117+'입력값'!BP118)*('입력값'!C99*100*(3/12)*(1+'입력값'!D99/100)^14)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Q10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Q117+'입력값'!BQ118)*('입력값'!C99*100*(3/12)*(1+'입력값'!D99/100)^14)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R10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R117+'입력값'!BR118)*('입력값'!C99*100*(3/12)*(1+'입력값'!D99/100)^14)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S10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S117+'입력값'!BS118)*('입력값'!C99*100*(3/12)*(1+'입력값'!D99/100)^15)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T10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T117+'입력값'!BT118)*('입력값'!C99*100*(3/12)*(1+'입력값'!D99/100)^15)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U10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U117+'입력값'!BU118)*('입력값'!C99*100*(3/12)*(1+'입력값'!D99/100)^15)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V10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V117+'입력값'!BV118)*('입력값'!C99*100*(3/12)*(1+'입력값'!D99/100)^15)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W10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W117+'입력값'!BW118)*('입력값'!C99*100*(3/12)*(1+'입력값'!D99/100)^16)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X10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X117+'입력값'!BX118)*('입력값'!C99*100*(3/12)*(1+'입력값'!D99/100)^16)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Y10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Y117+'입력값'!BY118)*('입력값'!C99*100*(3/12)*(1+'입력값'!D99/100)^16)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Z10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Z117+'입력값'!BZ118)*('입력값'!C99*100*(3/12)*(1+'입력값'!D99/100)^16)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CA10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A117+'입력값'!CA118)*('입력값'!C99*100*(3/12)*(1+'입력값'!D99/100)^17)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B10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B117+'입력값'!CB118)*('입력값'!C99*100*(3/12)*(1+'입력값'!D99/100)^17)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C10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C117+'입력값'!CC118)*('입력값'!C99*100*(3/12)*(1+'입력값'!D99/100)^17)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D10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D117+'입력값'!CD118)*('입력값'!C99*100*(3/12)*(1+'입력값'!D99/100)^17)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E10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E117+'입력값'!CE118)*('입력값'!C99*100*(3/12)*(1+'입력값'!D99/100)^18)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F10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F117+'입력값'!CF118)*('입력값'!C99*100*(3/12)*(1+'입력값'!D99/100)^18)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G10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G117+'입력값'!CG118)*('입력값'!C99*100*(3/12)*(1+'입력값'!D99/100)^18)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H10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H117+'입력값'!CH118)*('입력값'!C99*100*(3/12)*(1+'입력값'!D99/100)^18)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I10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I117+'입력값'!CI118)*('입력값'!C99*100*(3/12)*(1+'입력값'!D99/100)^19)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J10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J117+'입력값'!CJ118)*('입력값'!C99*100*(3/12)*(1+'입력값'!D99/100)^19)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K10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K117+'입력값'!CK118)*('입력값'!C99*100*(3/12)*(1+'입력값'!D99/100)^19)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L10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L117+'입력값'!CL118)*('입력값'!C99*100*(3/12)*(1+'입력값'!D99/100)^19)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</row>
    <row r="11" spans="2:90" x14ac:dyDescent="0.25">
      <c r="B11" s="31" t="s">
        <v>293</v>
      </c>
      <c r="C11" s="32" t="s">
        <v>228</v>
      </c>
      <c r="D11" s="29">
        <f>SUM(E11:CL11)</f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K117+'입력값'!K118)*('입력값'!C100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L11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L117+'입력값'!L118)*('입력값'!C100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M11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M117+'입력값'!M118)*('입력값'!C100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N11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N117+'입력값'!N118)*('입력값'!C100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O11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O117+'입력값'!O118)*('입력값'!C100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P11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P117+'입력값'!P118)*('입력값'!C100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Q11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Q117+'입력값'!Q118)*('입력값'!C100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R11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R117+'입력값'!R118)*('입력값'!C100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S11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S117+'입력값'!S118)*('입력값'!C100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T11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T117+'입력값'!T118)*('입력값'!C100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U11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U117+'입력값'!U118)*('입력값'!C100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V11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V117+'입력값'!V118)*('입력값'!C100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W11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W117+'입력값'!W118)*('입력값'!C100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X11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X117+'입력값'!X118)*('입력값'!C100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Y11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Y117+'입력값'!Y118)*('입력값'!C100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Z11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Z117+'입력값'!Z118)*('입력값'!C100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AA11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A117+'입력값'!AA118)*('입력값'!C100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B11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B117+'입력값'!AB118)*('입력값'!C100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C11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C117+'입력값'!AC118)*('입력값'!C100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D11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D117+'입력값'!AD118)*('입력값'!C100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E11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E117+'입력값'!AE118)*('입력값'!C100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F11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F117+'입력값'!AF118)*('입력값'!C100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G11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G117+'입력값'!AG118)*('입력값'!C100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H11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H117+'입력값'!AH118)*('입력값'!C100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I11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I117+'입력값'!AI118)*('입력값'!C100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J11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J117+'입력값'!AJ118)*('입력값'!C100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K11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K117+'입력값'!AK118)*('입력값'!C100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L11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L117+'입력값'!AL118)*('입력값'!C100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M11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M117+'입력값'!AM118)*('입력값'!C100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N11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N117+'입력값'!AN118)*('입력값'!C100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O11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O117+'입력값'!AO118)*('입력값'!C100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P11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P117+'입력값'!AP118)*('입력값'!C100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Q11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Q117+'입력값'!AQ118)*('입력값'!C100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R11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R117+'입력값'!AR118)*('입력값'!C100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S11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S117+'입력값'!AS118)*('입력값'!C100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T11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T117+'입력값'!AT118)*('입력값'!C100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U11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U117+'입력값'!AU118)*('입력값'!C100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V11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V117+'입력값'!AV118)*('입력값'!C100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W11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W117+'입력값'!AW118)*('입력값'!C100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X11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X117+'입력값'!AX118)*('입력값'!C100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Y11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AY117+'입력값'!AY118)*('입력값'!C100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AZ11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AZ117+'입력값'!AZ118)*('입력값'!C100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A11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BA117+'입력값'!BA118)*('입력값'!C100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B11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BB117+'입력값'!BB118)*('입력값'!C100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C11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C117+'입력값'!BC118)*('입력값'!C100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D11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D117+'입력값'!BD118)*('입력값'!C100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E11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E117+'입력값'!BE118)*('입력값'!C100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F11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F117+'입력값'!BF118)*('입력값'!C100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G11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G117+'입력값'!BG118)*('입력값'!C100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H11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H117+'입력값'!BH118)*('입력값'!C100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I11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I117+'입력값'!BI118)*('입력값'!C100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J11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J117+'입력값'!BJ118)*('입력값'!C100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K11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K117+'입력값'!BK118)*('입력값'!C100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L11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L117+'입력값'!BL118)*('입력값'!C100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M11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M117+'입력값'!BM118)*('입력값'!C100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N11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N117+'입력값'!BN118)*('입력값'!C100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O11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O117+'입력값'!BO118)*('입력값'!C100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P11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P117+'입력값'!BP118)*('입력값'!C100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Q11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Q117+'입력값'!BQ118)*('입력값'!C100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R11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R117+'입력값'!BR118)*('입력값'!C100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S11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S117+'입력값'!BS118)*('입력값'!C100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T11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T117+'입력값'!BT118)*('입력값'!C100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U11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U117+'입력값'!BU118)*('입력값'!C100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V11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V117+'입력값'!BV118)*('입력값'!C100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W11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W117+'입력값'!BW118)*('입력값'!C100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X11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X117+'입력값'!BX118)*('입력값'!C100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Y11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Y117+'입력값'!BY118)*('입력값'!C100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Z11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Z117+'입력값'!BZ118)*('입력값'!C100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CA11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A117+'입력값'!CA118)*('입력값'!C100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B11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B117+'입력값'!CB118)*('입력값'!C100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C11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C117+'입력값'!CC118)*('입력값'!C100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D11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D117+'입력값'!CD118)*('입력값'!C100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E11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E117+'입력값'!CE118)*('입력값'!C100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F11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F117+'입력값'!CF118)*('입력값'!C100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G11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G117+'입력값'!CG118)*('입력값'!C100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H11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H117+'입력값'!CH118)*('입력값'!C100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I11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I117+'입력값'!CI118)*('입력값'!C100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J11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J117+'입력값'!CJ118)*('입력값'!C100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K11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K117+'입력값'!CK118)*('입력값'!C100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L11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L117+'입력값'!CL118)*('입력값'!C100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</row>
    <row r="12" spans="2:90" x14ac:dyDescent="0.25">
      <c r="B12" s="31" t="s">
        <v>294</v>
      </c>
      <c r="C12" s="32" t="s">
        <v>228</v>
      </c>
      <c r="D12" s="29">
        <f>SUM(E12:CL12)</f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K117+'입력값'!K118)*('입력값'!C101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L12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L117+'입력값'!L118)*('입력값'!C101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M12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M117+'입력값'!M118)*('입력값'!C101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N12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N117+'입력값'!N118)*('입력값'!C101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O12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O117+'입력값'!O118)*('입력값'!C101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P12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P117+'입력값'!P118)*('입력값'!C101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Q12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Q117+'입력값'!Q118)*('입력값'!C101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R12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R117+'입력값'!R118)*('입력값'!C101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S12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S117+'입력값'!S118)*('입력값'!C101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T12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T117+'입력값'!T118)*('입력값'!C101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U12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U117+'입력값'!U118)*('입력값'!C101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V12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V117+'입력값'!V118)*('입력값'!C101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W12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W117+'입력값'!W118)*('입력값'!C101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X12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X117+'입력값'!X118)*('입력값'!C101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Y12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Y117+'입력값'!Y118)*('입력값'!C101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Z12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Z117+'입력값'!Z118)*('입력값'!C101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AA12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A117+'입력값'!AA118)*('입력값'!C101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B12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B117+'입력값'!AB118)*('입력값'!C101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C12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C117+'입력값'!AC118)*('입력값'!C101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D12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D117+'입력값'!AD118)*('입력값'!C101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E12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E117+'입력값'!AE118)*('입력값'!C101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F12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F117+'입력값'!AF118)*('입력값'!C101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G12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G117+'입력값'!AG118)*('입력값'!C101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H12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H117+'입력값'!AH118)*('입력값'!C101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I12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I117+'입력값'!AI118)*('입력값'!C101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J12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J117+'입력값'!AJ118)*('입력값'!C101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K12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K117+'입력값'!AK118)*('입력값'!C101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L12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L117+'입력값'!AL118)*('입력값'!C101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M12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M117+'입력값'!AM118)*('입력값'!C101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N12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N117+'입력값'!AN118)*('입력값'!C101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O12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O117+'입력값'!AO118)*('입력값'!C101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P12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P117+'입력값'!AP118)*('입력값'!C101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Q12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Q117+'입력값'!AQ118)*('입력값'!C101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R12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R117+'입력값'!AR118)*('입력값'!C101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S12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S117+'입력값'!AS118)*('입력값'!C101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T12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T117+'입력값'!AT118)*('입력값'!C101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U12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U117+'입력값'!AU118)*('입력값'!C101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V12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V117+'입력값'!AV118)*('입력값'!C101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W12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W117+'입력값'!AW118)*('입력값'!C101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X12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X117+'입력값'!AX118)*('입력값'!C101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Y12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AY117+'입력값'!AY118)*('입력값'!C101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AZ12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AZ117+'입력값'!AZ118)*('입력값'!C101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A12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BA117+'입력값'!BA118)*('입력값'!C101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B12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BB117+'입력값'!BB118)*('입력값'!C101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C12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C117+'입력값'!BC118)*('입력값'!C101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D12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D117+'입력값'!BD118)*('입력값'!C101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E12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E117+'입력값'!BE118)*('입력값'!C101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F12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F117+'입력값'!BF118)*('입력값'!C101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G12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G117+'입력값'!BG118)*('입력값'!C101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H12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H117+'입력값'!BH118)*('입력값'!C101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I12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I117+'입력값'!BI118)*('입력값'!C101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J12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J117+'입력값'!BJ118)*('입력값'!C101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K12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K117+'입력값'!BK118)*('입력값'!C101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L12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L117+'입력값'!BL118)*('입력값'!C101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M12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M117+'입력값'!BM118)*('입력값'!C101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N12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N117+'입력값'!BN118)*('입력값'!C101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O12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O117+'입력값'!BO118)*('입력값'!C101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P12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P117+'입력값'!BP118)*('입력값'!C101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Q12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Q117+'입력값'!BQ118)*('입력값'!C101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R12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R117+'입력값'!BR118)*('입력값'!C101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S12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S117+'입력값'!BS118)*('입력값'!C101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T12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T117+'입력값'!BT118)*('입력값'!C101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U12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U117+'입력값'!BU118)*('입력값'!C101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V12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V117+'입력값'!BV118)*('입력값'!C101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W12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W117+'입력값'!BW118)*('입력값'!C101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X12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X117+'입력값'!BX118)*('입력값'!C101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Y12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Y117+'입력값'!BY118)*('입력값'!C101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Z12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Z117+'입력값'!BZ118)*('입력값'!C101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CA12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A117+'입력값'!CA118)*('입력값'!C101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B12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B117+'입력값'!CB118)*('입력값'!C101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C12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C117+'입력값'!CC118)*('입력값'!C101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D12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D117+'입력값'!CD118)*('입력값'!C101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E12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E117+'입력값'!CE118)*('입력값'!C101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F12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F117+'입력값'!CF118)*('입력값'!C101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G12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G117+'입력값'!CG118)*('입력값'!C101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H12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H117+'입력값'!CH118)*('입력값'!C101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I12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I117+'입력값'!CI118)*('입력값'!C101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J12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J117+'입력값'!CJ118)*('입력값'!C101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K12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K117+'입력값'!CK118)*('입력값'!C101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L12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L117+'입력값'!CL118)*('입력값'!C101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</row>
    <row r="13" spans="2:90" x14ac:dyDescent="0.25">
      <c r="B13" s="31" t="s">
        <v>295</v>
      </c>
      <c r="C13" s="32" t="s">
        <v>228</v>
      </c>
      <c r="D13" s="29">
        <f>SUM(E13:CL13)</f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K117+'입력값'!K118)*('입력값'!C102*100*(3/12)*(1+'입력값'!D102/100)^0)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L13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L117+'입력값'!L118)*('입력값'!C102*100*(3/12)*(1+'입력값'!D102/100)^0)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M13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M117+'입력값'!M118)*('입력값'!C102*100*(3/12)*(1+'입력값'!D102/100)^0)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N13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N117+'입력값'!N118)*('입력값'!C102*100*(3/12)*(1+'입력값'!D102/100)^0)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O13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O117+'입력값'!O118)*('입력값'!C102*100*(3/12)*(1+'입력값'!D102/100)^1)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P13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P117+'입력값'!P118)*('입력값'!C102*100*(3/12)*(1+'입력값'!D102/100)^1)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Q13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Q117+'입력값'!Q118)*('입력값'!C102*100*(3/12)*(1+'입력값'!D102/100)^1)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R13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R117+'입력값'!R118)*('입력값'!C102*100*(3/12)*(1+'입력값'!D102/100)^1)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S13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S117+'입력값'!S118)*('입력값'!C102*100*(3/12)*(1+'입력값'!D102/100)^2)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T13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T117+'입력값'!T118)*('입력값'!C102*100*(3/12)*(1+'입력값'!D102/100)^2)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U13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U117+'입력값'!U118)*('입력값'!C102*100*(3/12)*(1+'입력값'!D102/100)^2)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V13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V117+'입력값'!V118)*('입력값'!C102*100*(3/12)*(1+'입력값'!D102/100)^2)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W13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W117+'입력값'!W118)*('입력값'!C102*100*(3/12)*(1+'입력값'!D102/100)^3)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X13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X117+'입력값'!X118)*('입력값'!C102*100*(3/12)*(1+'입력값'!D102/100)^3)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Y13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Y117+'입력값'!Y118)*('입력값'!C102*100*(3/12)*(1+'입력값'!D102/100)^3)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Z13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Z117+'입력값'!Z118)*('입력값'!C102*100*(3/12)*(1+'입력값'!D102/100)^3)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AA13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A117+'입력값'!AA118)*('입력값'!C102*100*(3/12)*(1+'입력값'!D102/100)^4)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B13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B117+'입력값'!AB118)*('입력값'!C102*100*(3/12)*(1+'입력값'!D102/100)^4)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C13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C117+'입력값'!AC118)*('입력값'!C102*100*(3/12)*(1+'입력값'!D102/100)^4)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D13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D117+'입력값'!AD118)*('입력값'!C102*100*(3/12)*(1+'입력값'!D102/100)^4)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E13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E117+'입력값'!AE118)*('입력값'!C102*100*(3/12)*(1+'입력값'!D102/100)^5)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F13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F117+'입력값'!AF118)*('입력값'!C102*100*(3/12)*(1+'입력값'!D102/100)^5)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G13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G117+'입력값'!AG118)*('입력값'!C102*100*(3/12)*(1+'입력값'!D102/100)^5)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H13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H117+'입력값'!AH118)*('입력값'!C102*100*(3/12)*(1+'입력값'!D102/100)^5)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I13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I117+'입력값'!AI118)*('입력값'!C102*100*(3/12)*(1+'입력값'!D102/100)^6)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J13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J117+'입력값'!AJ118)*('입력값'!C102*100*(3/12)*(1+'입력값'!D102/100)^6)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K13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K117+'입력값'!AK118)*('입력값'!C102*100*(3/12)*(1+'입력값'!D102/100)^6)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L13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L117+'입력값'!AL118)*('입력값'!C102*100*(3/12)*(1+'입력값'!D102/100)^6)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M13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M117+'입력값'!AM118)*('입력값'!C102*100*(3/12)*(1+'입력값'!D102/100)^7)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N13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N117+'입력값'!AN118)*('입력값'!C102*100*(3/12)*(1+'입력값'!D102/100)^7)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O13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O117+'입력값'!AO118)*('입력값'!C102*100*(3/12)*(1+'입력값'!D102/100)^7)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P13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P117+'입력값'!AP118)*('입력값'!C102*100*(3/12)*(1+'입력값'!D102/100)^7)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Q13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Q117+'입력값'!AQ118)*('입력값'!C102*100*(3/12)*(1+'입력값'!D102/100)^8)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R13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R117+'입력값'!AR118)*('입력값'!C102*100*(3/12)*(1+'입력값'!D102/100)^8)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S13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S117+'입력값'!AS118)*('입력값'!C102*100*(3/12)*(1+'입력값'!D102/100)^8)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T13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T117+'입력값'!AT118)*('입력값'!C102*100*(3/12)*(1+'입력값'!D102/100)^8)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U13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U117+'입력값'!AU118)*('입력값'!C102*100*(3/12)*(1+'입력값'!D102/100)^9)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V13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V117+'입력값'!AV118)*('입력값'!C102*100*(3/12)*(1+'입력값'!D102/100)^9)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W13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W117+'입력값'!AW118)*('입력값'!C102*100*(3/12)*(1+'입력값'!D102/100)^9)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X13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X117+'입력값'!AX118)*('입력값'!C102*100*(3/12)*(1+'입력값'!D102/100)^9)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Y13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AY117+'입력값'!AY118)*('입력값'!C102*100*(3/12)*(1+'입력값'!D102/100)^10)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AZ13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AZ117+'입력값'!AZ118)*('입력값'!C102*100*(3/12)*(1+'입력값'!D102/100)^10)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A13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BA117+'입력값'!BA118)*('입력값'!C102*100*(3/12)*(1+'입력값'!D102/100)^10)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B13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BB117+'입력값'!BB118)*('입력값'!C102*100*(3/12)*(1+'입력값'!D102/100)^10)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C13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C117+'입력값'!BC118)*('입력값'!C102*100*(3/12)*(1+'입력값'!D102/100)^11)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D13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D117+'입력값'!BD118)*('입력값'!C102*100*(3/12)*(1+'입력값'!D102/100)^11)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E13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E117+'입력값'!BE118)*('입력값'!C102*100*(3/12)*(1+'입력값'!D102/100)^11)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F13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F117+'입력값'!BF118)*('입력값'!C102*100*(3/12)*(1+'입력값'!D102/100)^11)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G13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G117+'입력값'!BG118)*('입력값'!C102*100*(3/12)*(1+'입력값'!D102/100)^12)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H13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H117+'입력값'!BH118)*('입력값'!C102*100*(3/12)*(1+'입력값'!D102/100)^12)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I13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I117+'입력값'!BI118)*('입력값'!C102*100*(3/12)*(1+'입력값'!D102/100)^12)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J13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J117+'입력값'!BJ118)*('입력값'!C102*100*(3/12)*(1+'입력값'!D102/100)^12)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K13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K117+'입력값'!BK118)*('입력값'!C102*100*(3/12)*(1+'입력값'!D102/100)^13)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L13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L117+'입력값'!BL118)*('입력값'!C102*100*(3/12)*(1+'입력값'!D102/100)^13)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M13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M117+'입력값'!BM118)*('입력값'!C102*100*(3/12)*(1+'입력값'!D102/100)^13)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N13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N117+'입력값'!BN118)*('입력값'!C102*100*(3/12)*(1+'입력값'!D102/100)^13)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O13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O117+'입력값'!BO118)*('입력값'!C102*100*(3/12)*(1+'입력값'!D102/100)^14)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P13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P117+'입력값'!BP118)*('입력값'!C102*100*(3/12)*(1+'입력값'!D102/100)^14)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Q13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Q117+'입력값'!BQ118)*('입력값'!C102*100*(3/12)*(1+'입력값'!D102/100)^14)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R13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R117+'입력값'!BR118)*('입력값'!C102*100*(3/12)*(1+'입력값'!D102/100)^14)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S13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S117+'입력값'!BS118)*('입력값'!C102*100*(3/12)*(1+'입력값'!D102/100)^15)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T13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T117+'입력값'!BT118)*('입력값'!C102*100*(3/12)*(1+'입력값'!D102/100)^15)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U13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U117+'입력값'!BU118)*('입력값'!C102*100*(3/12)*(1+'입력값'!D102/100)^15)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V13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V117+'입력값'!BV118)*('입력값'!C102*100*(3/12)*(1+'입력값'!D102/100)^15)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W13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W117+'입력값'!BW118)*('입력값'!C102*100*(3/12)*(1+'입력값'!D102/100)^16)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X13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X117+'입력값'!BX118)*('입력값'!C102*100*(3/12)*(1+'입력값'!D102/100)^16)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Y13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Y117+'입력값'!BY118)*('입력값'!C102*100*(3/12)*(1+'입력값'!D102/100)^16)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Z13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Z117+'입력값'!BZ118)*('입력값'!C102*100*(3/12)*(1+'입력값'!D102/100)^16)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CA13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A117+'입력값'!CA118)*('입력값'!C102*100*(3/12)*(1+'입력값'!D102/100)^17)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B13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B117+'입력값'!CB118)*('입력값'!C102*100*(3/12)*(1+'입력값'!D102/100)^17)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C13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C117+'입력값'!CC118)*('입력값'!C102*100*(3/12)*(1+'입력값'!D102/100)^17)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D13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D117+'입력값'!CD118)*('입력값'!C102*100*(3/12)*(1+'입력값'!D102/100)^17)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E13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E117+'입력값'!CE118)*('입력값'!C102*100*(3/12)*(1+'입력값'!D102/100)^18)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F13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F117+'입력값'!CF118)*('입력값'!C102*100*(3/12)*(1+'입력값'!D102/100)^18)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G13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G117+'입력값'!CG118)*('입력값'!C102*100*(3/12)*(1+'입력값'!D102/100)^18)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H13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H117+'입력값'!CH118)*('입력값'!C102*100*(3/12)*(1+'입력값'!D102/100)^18)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I13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I117+'입력값'!CI118)*('입력값'!C102*100*(3/12)*(1+'입력값'!D102/100)^19)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J13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J117+'입력값'!CJ118)*('입력값'!C102*100*(3/12)*(1+'입력값'!D102/100)^19)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K13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K117+'입력값'!CK118)*('입력값'!C102*100*(3/12)*(1+'입력값'!D102/100)^19)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L13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L117+'입력값'!CL118)*('입력값'!C102*100*(3/12)*(1+'입력값'!D102/100)^19)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</row>
    <row r="14" spans="2:90" x14ac:dyDescent="0.25">
      <c r="B14" s="31" t="s">
        <v>296</v>
      </c>
      <c r="C14" s="32" t="s">
        <v>228</v>
      </c>
      <c r="D14" s="29">
        <f>SUM(E14:CL14)</f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K117+'입력값'!K118)*('입력값'!C103*100*(3/12)*(1+'입력값'!D103/100)^0)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L14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L117+'입력값'!L118)*('입력값'!C103*100*(3/12)*(1+'입력값'!D103/100)^0)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M14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M117+'입력값'!M118)*('입력값'!C103*100*(3/12)*(1+'입력값'!D103/100)^0)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N14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N117+'입력값'!N118)*('입력값'!C103*100*(3/12)*(1+'입력값'!D103/100)^0)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O14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O117+'입력값'!O118)*('입력값'!C103*100*(3/12)*(1+'입력값'!D103/100)^1)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P14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P117+'입력값'!P118)*('입력값'!C103*100*(3/12)*(1+'입력값'!D103/100)^1)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Q14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Q117+'입력값'!Q118)*('입력값'!C103*100*(3/12)*(1+'입력값'!D103/100)^1)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R14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R117+'입력값'!R118)*('입력값'!C103*100*(3/12)*(1+'입력값'!D103/100)^1)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S14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S117+'입력값'!S118)*('입력값'!C103*100*(3/12)*(1+'입력값'!D103/100)^2)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T14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T117+'입력값'!T118)*('입력값'!C103*100*(3/12)*(1+'입력값'!D103/100)^2)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U14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U117+'입력값'!U118)*('입력값'!C103*100*(3/12)*(1+'입력값'!D103/100)^2)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V14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V117+'입력값'!V118)*('입력값'!C103*100*(3/12)*(1+'입력값'!D103/100)^2)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W14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W117+'입력값'!W118)*('입력값'!C103*100*(3/12)*(1+'입력값'!D103/100)^3)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X14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X117+'입력값'!X118)*('입력값'!C103*100*(3/12)*(1+'입력값'!D103/100)^3)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Y14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Y117+'입력값'!Y118)*('입력값'!C103*100*(3/12)*(1+'입력값'!D103/100)^3)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Z14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Z117+'입력값'!Z118)*('입력값'!C103*100*(3/12)*(1+'입력값'!D103/100)^3)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AA14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A117+'입력값'!AA118)*('입력값'!C103*100*(3/12)*(1+'입력값'!D103/100)^4)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B14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B117+'입력값'!AB118)*('입력값'!C103*100*(3/12)*(1+'입력값'!D103/100)^4)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C14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C117+'입력값'!AC118)*('입력값'!C103*100*(3/12)*(1+'입력값'!D103/100)^4)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D14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D117+'입력값'!AD118)*('입력값'!C103*100*(3/12)*(1+'입력값'!D103/100)^4)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E14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E117+'입력값'!AE118)*('입력값'!C103*100*(3/12)*(1+'입력값'!D103/100)^5)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F14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F117+'입력값'!AF118)*('입력값'!C103*100*(3/12)*(1+'입력값'!D103/100)^5)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G14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G117+'입력값'!AG118)*('입력값'!C103*100*(3/12)*(1+'입력값'!D103/100)^5)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H14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H117+'입력값'!AH118)*('입력값'!C103*100*(3/12)*(1+'입력값'!D103/100)^5)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I14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I117+'입력값'!AI118)*('입력값'!C103*100*(3/12)*(1+'입력값'!D103/100)^6)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J14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J117+'입력값'!AJ118)*('입력값'!C103*100*(3/12)*(1+'입력값'!D103/100)^6)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K14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K117+'입력값'!AK118)*('입력값'!C103*100*(3/12)*(1+'입력값'!D103/100)^6)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L14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L117+'입력값'!AL118)*('입력값'!C103*100*(3/12)*(1+'입력값'!D103/100)^6)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M14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M117+'입력값'!AM118)*('입력값'!C103*100*(3/12)*(1+'입력값'!D103/100)^7)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N14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N117+'입력값'!AN118)*('입력값'!C103*100*(3/12)*(1+'입력값'!D103/100)^7)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O14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O117+'입력값'!AO118)*('입력값'!C103*100*(3/12)*(1+'입력값'!D103/100)^7)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P14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P117+'입력값'!AP118)*('입력값'!C103*100*(3/12)*(1+'입력값'!D103/100)^7)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Q14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Q117+'입력값'!AQ118)*('입력값'!C103*100*(3/12)*(1+'입력값'!D103/100)^8)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R14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R117+'입력값'!AR118)*('입력값'!C103*100*(3/12)*(1+'입력값'!D103/100)^8)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S14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S117+'입력값'!AS118)*('입력값'!C103*100*(3/12)*(1+'입력값'!D103/100)^8)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T14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T117+'입력값'!AT118)*('입력값'!C103*100*(3/12)*(1+'입력값'!D103/100)^8)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U14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U117+'입력값'!AU118)*('입력값'!C103*100*(3/12)*(1+'입력값'!D103/100)^9)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V14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V117+'입력값'!AV118)*('입력값'!C103*100*(3/12)*(1+'입력값'!D103/100)^9)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W14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W117+'입력값'!AW118)*('입력값'!C103*100*(3/12)*(1+'입력값'!D103/100)^9)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X14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X117+'입력값'!AX118)*('입력값'!C103*100*(3/12)*(1+'입력값'!D103/100)^9)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Y14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AY117+'입력값'!AY118)*('입력값'!C103*100*(3/12)*(1+'입력값'!D103/100)^10)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AZ14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AZ117+'입력값'!AZ118)*('입력값'!C103*100*(3/12)*(1+'입력값'!D103/100)^10)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A14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BA117+'입력값'!BA118)*('입력값'!C103*100*(3/12)*(1+'입력값'!D103/100)^10)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B14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BB117+'입력값'!BB118)*('입력값'!C103*100*(3/12)*(1+'입력값'!D103/100)^10)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C14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C117+'입력값'!BC118)*('입력값'!C103*100*(3/12)*(1+'입력값'!D103/100)^11)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D14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D117+'입력값'!BD118)*('입력값'!C103*100*(3/12)*(1+'입력값'!D103/100)^11)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E14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E117+'입력값'!BE118)*('입력값'!C103*100*(3/12)*(1+'입력값'!D103/100)^11)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F14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F117+'입력값'!BF118)*('입력값'!C103*100*(3/12)*(1+'입력값'!D103/100)^11)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G14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G117+'입력값'!BG118)*('입력값'!C103*100*(3/12)*(1+'입력값'!D103/100)^12)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H14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H117+'입력값'!BH118)*('입력값'!C103*100*(3/12)*(1+'입력값'!D103/100)^12)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I14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I117+'입력값'!BI118)*('입력값'!C103*100*(3/12)*(1+'입력값'!D103/100)^12)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J14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J117+'입력값'!BJ118)*('입력값'!C103*100*(3/12)*(1+'입력값'!D103/100)^12)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K14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K117+'입력값'!BK118)*('입력값'!C103*100*(3/12)*(1+'입력값'!D103/100)^13)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L14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L117+'입력값'!BL118)*('입력값'!C103*100*(3/12)*(1+'입력값'!D103/100)^13)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M14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M117+'입력값'!BM118)*('입력값'!C103*100*(3/12)*(1+'입력값'!D103/100)^13)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N14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N117+'입력값'!BN118)*('입력값'!C103*100*(3/12)*(1+'입력값'!D103/100)^13)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O14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O117+'입력값'!BO118)*('입력값'!C103*100*(3/12)*(1+'입력값'!D103/100)^14)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P14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P117+'입력값'!BP118)*('입력값'!C103*100*(3/12)*(1+'입력값'!D103/100)^14)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Q14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Q117+'입력값'!BQ118)*('입력값'!C103*100*(3/12)*(1+'입력값'!D103/100)^14)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R14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R117+'입력값'!BR118)*('입력값'!C103*100*(3/12)*(1+'입력값'!D103/100)^14)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S14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S117+'입력값'!BS118)*('입력값'!C103*100*(3/12)*(1+'입력값'!D103/100)^15)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T14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T117+'입력값'!BT118)*('입력값'!C103*100*(3/12)*(1+'입력값'!D103/100)^15)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U14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U117+'입력값'!BU118)*('입력값'!C103*100*(3/12)*(1+'입력값'!D103/100)^15)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V14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V117+'입력값'!BV118)*('입력값'!C103*100*(3/12)*(1+'입력값'!D103/100)^15)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W14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W117+'입력값'!BW118)*('입력값'!C103*100*(3/12)*(1+'입력값'!D103/100)^16)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X14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X117+'입력값'!BX118)*('입력값'!C103*100*(3/12)*(1+'입력값'!D103/100)^16)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Y14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Y117+'입력값'!BY118)*('입력값'!C103*100*(3/12)*(1+'입력값'!D103/100)^16)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Z14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Z117+'입력값'!BZ118)*('입력값'!C103*100*(3/12)*(1+'입력값'!D103/100)^16)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CA14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A117+'입력값'!CA118)*('입력값'!C103*100*(3/12)*(1+'입력값'!D103/100)^17)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B14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B117+'입력값'!CB118)*('입력값'!C103*100*(3/12)*(1+'입력값'!D103/100)^17)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C14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C117+'입력값'!CC118)*('입력값'!C103*100*(3/12)*(1+'입력값'!D103/100)^17)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D14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D117+'입력값'!CD118)*('입력값'!C103*100*(3/12)*(1+'입력값'!D103/100)^17)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E14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E117+'입력값'!CE118)*('입력값'!C103*100*(3/12)*(1+'입력값'!D103/100)^18)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F14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F117+'입력값'!CF118)*('입력값'!C103*100*(3/12)*(1+'입력값'!D103/100)^18)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G14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G117+'입력값'!CG118)*('입력값'!C103*100*(3/12)*(1+'입력값'!D103/100)^18)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H14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H117+'입력값'!CH118)*('입력값'!C103*100*(3/12)*(1+'입력값'!D103/100)^18)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I14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I117+'입력값'!CI118)*('입력값'!C103*100*(3/12)*(1+'입력값'!D103/100)^19)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J14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J117+'입력값'!CJ118)*('입력값'!C103*100*(3/12)*(1+'입력값'!D103/100)^19)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K14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K117+'입력값'!CK118)*('입력값'!C103*100*(3/12)*(1+'입력값'!D103/100)^19)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L14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L117+'입력값'!CL118)*('입력값'!C103*100*(3/12)*(1+'입력값'!D103/100)^19)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</row>
    <row r="15" spans="2:90" x14ac:dyDescent="0.25">
      <c r="B15" s="31" t="s">
        <v>297</v>
      </c>
      <c r="C15" s="32" t="s">
        <v>228</v>
      </c>
      <c r="D15" s="29">
        <f>SUM(E15:CL15)</f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K117+'입력값'!K118)*('입력값'!C104*100*(3/12)*(1+'입력값'!D104/100)^0)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L15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L117+'입력값'!L118)*('입력값'!C104*100*(3/12)*(1+'입력값'!D104/100)^0)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M15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M117+'입력값'!M118)*('입력값'!C104*100*(3/12)*(1+'입력값'!D104/100)^0)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N15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N117+'입력값'!N118)*('입력값'!C104*100*(3/12)*(1+'입력값'!D104/100)^0)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O15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O117+'입력값'!O118)*('입력값'!C104*100*(3/12)*(1+'입력값'!D104/100)^1)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P15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P117+'입력값'!P118)*('입력값'!C104*100*(3/12)*(1+'입력값'!D104/100)^1)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Q15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Q117+'입력값'!Q118)*('입력값'!C104*100*(3/12)*(1+'입력값'!D104/100)^1)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R15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R117+'입력값'!R118)*('입력값'!C104*100*(3/12)*(1+'입력값'!D104/100)^1)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S15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S117+'입력값'!S118)*('입력값'!C104*100*(3/12)*(1+'입력값'!D104/100)^2)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T15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T117+'입력값'!T118)*('입력값'!C104*100*(3/12)*(1+'입력값'!D104/100)^2)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U15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U117+'입력값'!U118)*('입력값'!C104*100*(3/12)*(1+'입력값'!D104/100)^2)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V15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V117+'입력값'!V118)*('입력값'!C104*100*(3/12)*(1+'입력값'!D104/100)^2)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W15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W117+'입력값'!W118)*('입력값'!C104*100*(3/12)*(1+'입력값'!D104/100)^3)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X15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X117+'입력값'!X118)*('입력값'!C104*100*(3/12)*(1+'입력값'!D104/100)^3)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Y15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Y117+'입력값'!Y118)*('입력값'!C104*100*(3/12)*(1+'입력값'!D104/100)^3)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Z15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Z117+'입력값'!Z118)*('입력값'!C104*100*(3/12)*(1+'입력값'!D104/100)^3)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AA15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A117+'입력값'!AA118)*('입력값'!C104*100*(3/12)*(1+'입력값'!D104/100)^4)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B15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B117+'입력값'!AB118)*('입력값'!C104*100*(3/12)*(1+'입력값'!D104/100)^4)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C15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C117+'입력값'!AC118)*('입력값'!C104*100*(3/12)*(1+'입력값'!D104/100)^4)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D15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D117+'입력값'!AD118)*('입력값'!C104*100*(3/12)*(1+'입력값'!D104/100)^4)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E15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E117+'입력값'!AE118)*('입력값'!C104*100*(3/12)*(1+'입력값'!D104/100)^5)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F15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F117+'입력값'!AF118)*('입력값'!C104*100*(3/12)*(1+'입력값'!D104/100)^5)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G15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G117+'입력값'!AG118)*('입력값'!C104*100*(3/12)*(1+'입력값'!D104/100)^5)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H15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H117+'입력값'!AH118)*('입력값'!C104*100*(3/12)*(1+'입력값'!D104/100)^5)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I15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I117+'입력값'!AI118)*('입력값'!C104*100*(3/12)*(1+'입력값'!D104/100)^6)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J15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J117+'입력값'!AJ118)*('입력값'!C104*100*(3/12)*(1+'입력값'!D104/100)^6)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K15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K117+'입력값'!AK118)*('입력값'!C104*100*(3/12)*(1+'입력값'!D104/100)^6)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L15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L117+'입력값'!AL118)*('입력값'!C104*100*(3/12)*(1+'입력값'!D104/100)^6)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M15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M117+'입력값'!AM118)*('입력값'!C104*100*(3/12)*(1+'입력값'!D104/100)^7)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N15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N117+'입력값'!AN118)*('입력값'!C104*100*(3/12)*(1+'입력값'!D104/100)^7)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O15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O117+'입력값'!AO118)*('입력값'!C104*100*(3/12)*(1+'입력값'!D104/100)^7)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P15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P117+'입력값'!AP118)*('입력값'!C104*100*(3/12)*(1+'입력값'!D104/100)^7)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Q15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Q117+'입력값'!AQ118)*('입력값'!C104*100*(3/12)*(1+'입력값'!D104/100)^8)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R15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R117+'입력값'!AR118)*('입력값'!C104*100*(3/12)*(1+'입력값'!D104/100)^8)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S15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S117+'입력값'!AS118)*('입력값'!C104*100*(3/12)*(1+'입력값'!D104/100)^8)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T15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T117+'입력값'!AT118)*('입력값'!C104*100*(3/12)*(1+'입력값'!D104/100)^8)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U15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U117+'입력값'!AU118)*('입력값'!C104*100*(3/12)*(1+'입력값'!D104/100)^9)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V15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V117+'입력값'!AV118)*('입력값'!C104*100*(3/12)*(1+'입력값'!D104/100)^9)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W15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W117+'입력값'!AW118)*('입력값'!C104*100*(3/12)*(1+'입력값'!D104/100)^9)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X15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X117+'입력값'!AX118)*('입력값'!C104*100*(3/12)*(1+'입력값'!D104/100)^9)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Y15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AY117+'입력값'!AY118)*('입력값'!C104*100*(3/12)*(1+'입력값'!D104/100)^10)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AZ15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AZ117+'입력값'!AZ118)*('입력값'!C104*100*(3/12)*(1+'입력값'!D104/100)^10)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A15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BA117+'입력값'!BA118)*('입력값'!C104*100*(3/12)*(1+'입력값'!D104/100)^10)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B15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BB117+'입력값'!BB118)*('입력값'!C104*100*(3/12)*(1+'입력값'!D104/100)^10)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C15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C117+'입력값'!BC118)*('입력값'!C104*100*(3/12)*(1+'입력값'!D104/100)^11)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D15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D117+'입력값'!BD118)*('입력값'!C104*100*(3/12)*(1+'입력값'!D104/100)^11)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E15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E117+'입력값'!BE118)*('입력값'!C104*100*(3/12)*(1+'입력값'!D104/100)^11)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F15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F117+'입력값'!BF118)*('입력값'!C104*100*(3/12)*(1+'입력값'!D104/100)^11)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G15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G117+'입력값'!BG118)*('입력값'!C104*100*(3/12)*(1+'입력값'!D104/100)^12)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H15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H117+'입력값'!BH118)*('입력값'!C104*100*(3/12)*(1+'입력값'!D104/100)^12)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I15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I117+'입력값'!BI118)*('입력값'!C104*100*(3/12)*(1+'입력값'!D104/100)^12)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J15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J117+'입력값'!BJ118)*('입력값'!C104*100*(3/12)*(1+'입력값'!D104/100)^12)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K15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K117+'입력값'!BK118)*('입력값'!C104*100*(3/12)*(1+'입력값'!D104/100)^13)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L15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L117+'입력값'!BL118)*('입력값'!C104*100*(3/12)*(1+'입력값'!D104/100)^13)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M15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M117+'입력값'!BM118)*('입력값'!C104*100*(3/12)*(1+'입력값'!D104/100)^13)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N15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N117+'입력값'!BN118)*('입력값'!C104*100*(3/12)*(1+'입력값'!D104/100)^13)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O15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O117+'입력값'!BO118)*('입력값'!C104*100*(3/12)*(1+'입력값'!D104/100)^14)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P15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P117+'입력값'!BP118)*('입력값'!C104*100*(3/12)*(1+'입력값'!D104/100)^14)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Q15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Q117+'입력값'!BQ118)*('입력값'!C104*100*(3/12)*(1+'입력값'!D104/100)^14)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R15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R117+'입력값'!BR118)*('입력값'!C104*100*(3/12)*(1+'입력값'!D104/100)^14)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S15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S117+'입력값'!BS118)*('입력값'!C104*100*(3/12)*(1+'입력값'!D104/100)^15)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T15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T117+'입력값'!BT118)*('입력값'!C104*100*(3/12)*(1+'입력값'!D104/100)^15)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U15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U117+'입력값'!BU118)*('입력값'!C104*100*(3/12)*(1+'입력값'!D104/100)^15)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V15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V117+'입력값'!BV118)*('입력값'!C104*100*(3/12)*(1+'입력값'!D104/100)^15)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W15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W117+'입력값'!BW118)*('입력값'!C104*100*(3/12)*(1+'입력값'!D104/100)^16)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X15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X117+'입력값'!BX118)*('입력값'!C104*100*(3/12)*(1+'입력값'!D104/100)^16)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Y15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Y117+'입력값'!BY118)*('입력값'!C104*100*(3/12)*(1+'입력값'!D104/100)^16)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Z15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Z117+'입력값'!BZ118)*('입력값'!C104*100*(3/12)*(1+'입력값'!D104/100)^16)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CA15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A117+'입력값'!CA118)*('입력값'!C104*100*(3/12)*(1+'입력값'!D104/100)^17)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B15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B117+'입력값'!CB118)*('입력값'!C104*100*(3/12)*(1+'입력값'!D104/100)^17)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C15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C117+'입력값'!CC118)*('입력값'!C104*100*(3/12)*(1+'입력값'!D104/100)^17)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D15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D117+'입력값'!CD118)*('입력값'!C104*100*(3/12)*(1+'입력값'!D104/100)^17)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E15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E117+'입력값'!CE118)*('입력값'!C104*100*(3/12)*(1+'입력값'!D104/100)^18)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F15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F117+'입력값'!CF118)*('입력값'!C104*100*(3/12)*(1+'입력값'!D104/100)^18)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G15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G117+'입력값'!CG118)*('입력값'!C104*100*(3/12)*(1+'입력값'!D104/100)^18)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H15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H117+'입력값'!CH118)*('입력값'!C104*100*(3/12)*(1+'입력값'!D104/100)^18)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I15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I117+'입력값'!CI118)*('입력값'!C104*100*(3/12)*(1+'입력값'!D104/100)^19)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J15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J117+'입력값'!CJ118)*('입력값'!C104*100*(3/12)*(1+'입력값'!D104/100)^19)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K15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K117+'입력값'!CK118)*('입력값'!C104*100*(3/12)*(1+'입력값'!D104/100)^19)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L15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L117+'입력값'!CL118)*('입력값'!C104*100*(3/12)*(1+'입력값'!D104/100)^19)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</row>
    <row r="16" spans="2:90" x14ac:dyDescent="0.25">
      <c r="B16" s="31" t="s">
        <v>298</v>
      </c>
      <c r="C16" s="32" t="s">
        <v>228</v>
      </c>
      <c r="D16" s="29">
        <f>SUM(E16:CL16)</f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K117+'입력값'!K118)*('입력값'!C105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L16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L117+'입력값'!L118)*('입력값'!C105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M16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M117+'입력값'!M118)*('입력값'!C105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N16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N117+'입력값'!N118)*('입력값'!C105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O16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O117+'입력값'!O118)*('입력값'!C105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P16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P117+'입력값'!P118)*('입력값'!C105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Q16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Q117+'입력값'!Q118)*('입력값'!C105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R16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R117+'입력값'!R118)*('입력값'!C105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S16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S117+'입력값'!S118)*('입력값'!C105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T16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T117+'입력값'!T118)*('입력값'!C105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U16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U117+'입력값'!U118)*('입력값'!C105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V16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V117+'입력값'!V118)*('입력값'!C105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W16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W117+'입력값'!W118)*('입력값'!C105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X16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X117+'입력값'!X118)*('입력값'!C105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Y16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Y117+'입력값'!Y118)*('입력값'!C105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Z16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Z117+'입력값'!Z118)*('입력값'!C105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AA16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A117+'입력값'!AA118)*('입력값'!C105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B16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B117+'입력값'!AB118)*('입력값'!C105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C16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C117+'입력값'!AC118)*('입력값'!C105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D16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D117+'입력값'!AD118)*('입력값'!C105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E16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E117+'입력값'!AE118)*('입력값'!C105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F16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F117+'입력값'!AF118)*('입력값'!C105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G16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G117+'입력값'!AG118)*('입력값'!C105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H16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H117+'입력값'!AH118)*('입력값'!C105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I16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I117+'입력값'!AI118)*('입력값'!C105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J16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J117+'입력값'!AJ118)*('입력값'!C105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K16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K117+'입력값'!AK118)*('입력값'!C105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L16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L117+'입력값'!AL118)*('입력값'!C105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M16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M117+'입력값'!AM118)*('입력값'!C105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N16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N117+'입력값'!AN118)*('입력값'!C105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O16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O117+'입력값'!AO118)*('입력값'!C105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P16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P117+'입력값'!AP118)*('입력값'!C105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Q16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Q117+'입력값'!AQ118)*('입력값'!C105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R16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R117+'입력값'!AR118)*('입력값'!C105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S16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S117+'입력값'!AS118)*('입력값'!C105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T16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T117+'입력값'!AT118)*('입력값'!C105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U16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U117+'입력값'!AU118)*('입력값'!C105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V16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V117+'입력값'!AV118)*('입력값'!C105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W16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W117+'입력값'!AW118)*('입력값'!C105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X16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X117+'입력값'!AX118)*('입력값'!C105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Y16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AY117+'입력값'!AY118)*('입력값'!C105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AZ16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AZ117+'입력값'!AZ118)*('입력값'!C105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A16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BA117+'입력값'!BA118)*('입력값'!C105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B16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BB117+'입력값'!BB118)*('입력값'!C105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C16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C117+'입력값'!BC118)*('입력값'!C105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D16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D117+'입력값'!BD118)*('입력값'!C105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E16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E117+'입력값'!BE118)*('입력값'!C105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F16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F117+'입력값'!BF118)*('입력값'!C105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G16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G117+'입력값'!BG118)*('입력값'!C105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H16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H117+'입력값'!BH118)*('입력값'!C105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I16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I117+'입력값'!BI118)*('입력값'!C105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J16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J117+'입력값'!BJ118)*('입력값'!C105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K16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K117+'입력값'!BK118)*('입력값'!C105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L16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L117+'입력값'!BL118)*('입력값'!C105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M16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M117+'입력값'!BM118)*('입력값'!C105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N16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N117+'입력값'!BN118)*('입력값'!C105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O16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O117+'입력값'!BO118)*('입력값'!C105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P16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P117+'입력값'!BP118)*('입력값'!C105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Q16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Q117+'입력값'!BQ118)*('입력값'!C105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R16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R117+'입력값'!BR118)*('입력값'!C105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S16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S117+'입력값'!BS118)*('입력값'!C105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T16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T117+'입력값'!BT118)*('입력값'!C105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U16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U117+'입력값'!BU118)*('입력값'!C105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V16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V117+'입력값'!BV118)*('입력값'!C105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W16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W117+'입력값'!BW118)*('입력값'!C105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X16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X117+'입력값'!BX118)*('입력값'!C105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Y16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Y117+'입력값'!BY118)*('입력값'!C105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Z16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Z117+'입력값'!BZ118)*('입력값'!C105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CA16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A117+'입력값'!CA118)*('입력값'!C105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B16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B117+'입력값'!CB118)*('입력값'!C105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C16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C117+'입력값'!CC118)*('입력값'!C105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D16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D117+'입력값'!CD118)*('입력값'!C105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E16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E117+'입력값'!CE118)*('입력값'!C105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F16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F117+'입력값'!CF118)*('입력값'!C105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G16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G117+'입력값'!CG118)*('입력값'!C105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H16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H117+'입력값'!CH118)*('입력값'!C105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I16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I117+'입력값'!CI118)*('입력값'!C105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J16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J117+'입력값'!CJ118)*('입력값'!C105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K16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K117+'입력값'!CK118)*('입력값'!C105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L16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L117+'입력값'!CL118)*('입력값'!C105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</row>
    <row r="17" spans="2:90" x14ac:dyDescent="0.25">
      <c r="B17" s="31" t="s">
        <v>299</v>
      </c>
      <c r="C17" s="32" t="s">
        <v>228</v>
      </c>
      <c r="D17" s="29">
        <f>SUM(E17:CL17)</f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K117+'입력값'!K118)*('입력값'!C106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L17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L117+'입력값'!L118)*('입력값'!C106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M17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M117+'입력값'!M118)*('입력값'!C106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N17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N117+'입력값'!N118)*('입력값'!C106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O17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O117+'입력값'!O118)*('입력값'!C106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P17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P117+'입력값'!P118)*('입력값'!C106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Q17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Q117+'입력값'!Q118)*('입력값'!C106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R17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R117+'입력값'!R118)*('입력값'!C106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S17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S117+'입력값'!S118)*('입력값'!C106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T17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T117+'입력값'!T118)*('입력값'!C106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U17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U117+'입력값'!U118)*('입력값'!C106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V17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V117+'입력값'!V118)*('입력값'!C106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W17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W117+'입력값'!W118)*('입력값'!C106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X17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X117+'입력값'!X118)*('입력값'!C106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Y17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Y117+'입력값'!Y118)*('입력값'!C106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Z17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Z117+'입력값'!Z118)*('입력값'!C106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AA17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A117+'입력값'!AA118)*('입력값'!C106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B17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B117+'입력값'!AB118)*('입력값'!C106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C17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C117+'입력값'!AC118)*('입력값'!C106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D17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D117+'입력값'!AD118)*('입력값'!C106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E17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E117+'입력값'!AE118)*('입력값'!C106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F17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F117+'입력값'!AF118)*('입력값'!C106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G17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G117+'입력값'!AG118)*('입력값'!C106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H17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H117+'입력값'!AH118)*('입력값'!C106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I17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I117+'입력값'!AI118)*('입력값'!C106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J17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J117+'입력값'!AJ118)*('입력값'!C106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K17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K117+'입력값'!AK118)*('입력값'!C106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L17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L117+'입력값'!AL118)*('입력값'!C106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M17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M117+'입력값'!AM118)*('입력값'!C106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N17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N117+'입력값'!AN118)*('입력값'!C106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O17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O117+'입력값'!AO118)*('입력값'!C106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P17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P117+'입력값'!AP118)*('입력값'!C106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Q17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Q117+'입력값'!AQ118)*('입력값'!C106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R17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R117+'입력값'!AR118)*('입력값'!C106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S17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S117+'입력값'!AS118)*('입력값'!C106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T17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T117+'입력값'!AT118)*('입력값'!C106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U17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U117+'입력값'!AU118)*('입력값'!C106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V17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V117+'입력값'!AV118)*('입력값'!C106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W17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W117+'입력값'!AW118)*('입력값'!C106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X17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X117+'입력값'!AX118)*('입력값'!C106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Y17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AY117+'입력값'!AY118)*('입력값'!C106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AZ17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AZ117+'입력값'!AZ118)*('입력값'!C106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A17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BA117+'입력값'!BA118)*('입력값'!C106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B17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BB117+'입력값'!BB118)*('입력값'!C106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C17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C117+'입력값'!BC118)*('입력값'!C106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D17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D117+'입력값'!BD118)*('입력값'!C106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E17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E117+'입력값'!BE118)*('입력값'!C106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F17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F117+'입력값'!BF118)*('입력값'!C106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G17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G117+'입력값'!BG118)*('입력값'!C106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H17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H117+'입력값'!BH118)*('입력값'!C106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I17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I117+'입력값'!BI118)*('입력값'!C106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J17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J117+'입력값'!BJ118)*('입력값'!C106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K17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K117+'입력값'!BK118)*('입력값'!C106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L17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L117+'입력값'!BL118)*('입력값'!C106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M17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M117+'입력값'!BM118)*('입력값'!C106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N17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N117+'입력값'!BN118)*('입력값'!C106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O17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O117+'입력값'!BO118)*('입력값'!C106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P17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P117+'입력값'!BP118)*('입력값'!C106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Q17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Q117+'입력값'!BQ118)*('입력값'!C106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R17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R117+'입력값'!BR118)*('입력값'!C106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S17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S117+'입력값'!BS118)*('입력값'!C106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T17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T117+'입력값'!BT118)*('입력값'!C106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U17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U117+'입력값'!BU118)*('입력값'!C106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V17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V117+'입력값'!BV118)*('입력값'!C106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W17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W117+'입력값'!BW118)*('입력값'!C106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X17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X117+'입력값'!BX118)*('입력값'!C106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Y17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Y117+'입력값'!BY118)*('입력값'!C106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Z17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Z117+'입력값'!BZ118)*('입력값'!C106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CA17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A117+'입력값'!CA118)*('입력값'!C106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B17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B117+'입력값'!CB118)*('입력값'!C106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C17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C117+'입력값'!CC118)*('입력값'!C106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D17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D117+'입력값'!CD118)*('입력값'!C106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E17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E117+'입력값'!CE118)*('입력값'!C106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F17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F117+'입력값'!CF118)*('입력값'!C106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G17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G117+'입력값'!CG118)*('입력값'!C106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H17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H117+'입력값'!CH118)*('입력값'!C106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I17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I117+'입력값'!CI118)*('입력값'!C106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J17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J117+'입력값'!CJ118)*('입력값'!C106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K17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K117+'입력값'!CK118)*('입력값'!C106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L17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L117+'입력값'!CL118)*('입력값'!C106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</row>
    <row r="18" spans="2:90" x14ac:dyDescent="0.25">
      <c r="B18" s="31" t="s">
        <v>300</v>
      </c>
      <c r="C18" s="32" t="s">
        <v>228</v>
      </c>
      <c r="D18" s="29">
        <f>SUM(E18:CL18)</f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K117+'입력값'!K118)*('입력값'!C107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L18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L117+'입력값'!L118)*('입력값'!C107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M18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M117+'입력값'!M118)*('입력값'!C107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N18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N117+'입력값'!N118)*('입력값'!C107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O18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O117+'입력값'!O118)*('입력값'!C107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P18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P117+'입력값'!P118)*('입력값'!C107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Q18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Q117+'입력값'!Q118)*('입력값'!C107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R18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R117+'입력값'!R118)*('입력값'!C107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S18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S117+'입력값'!S118)*('입력값'!C107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T18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T117+'입력값'!T118)*('입력값'!C107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U18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U117+'입력값'!U118)*('입력값'!C107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V18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V117+'입력값'!V118)*('입력값'!C107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W18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W117+'입력값'!W118)*('입력값'!C107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X18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X117+'입력값'!X118)*('입력값'!C107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Y18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Y117+'입력값'!Y118)*('입력값'!C107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Z18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Z117+'입력값'!Z118)*('입력값'!C107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AA18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A117+'입력값'!AA118)*('입력값'!C107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B18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B117+'입력값'!AB118)*('입력값'!C107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C18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C117+'입력값'!AC118)*('입력값'!C107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D18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D117+'입력값'!AD118)*('입력값'!C107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E18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E117+'입력값'!AE118)*('입력값'!C107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F18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F117+'입력값'!AF118)*('입력값'!C107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G18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G117+'입력값'!AG118)*('입력값'!C107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H18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H117+'입력값'!AH118)*('입력값'!C107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I18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I117+'입력값'!AI118)*('입력값'!C107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J18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J117+'입력값'!AJ118)*('입력값'!C107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K18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K117+'입력값'!AK118)*('입력값'!C107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L18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L117+'입력값'!AL118)*('입력값'!C107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M18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M117+'입력값'!AM118)*('입력값'!C107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N18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N117+'입력값'!AN118)*('입력값'!C107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O18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O117+'입력값'!AO118)*('입력값'!C107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P18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P117+'입력값'!AP118)*('입력값'!C107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Q18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Q117+'입력값'!AQ118)*('입력값'!C107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R18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R117+'입력값'!AR118)*('입력값'!C107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S18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S117+'입력값'!AS118)*('입력값'!C107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T18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T117+'입력값'!AT118)*('입력값'!C107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U18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U117+'입력값'!AU118)*('입력값'!C107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V18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V117+'입력값'!AV118)*('입력값'!C107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W18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W117+'입력값'!AW118)*('입력값'!C107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X18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X117+'입력값'!AX118)*('입력값'!C107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Y18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AY117+'입력값'!AY118)*('입력값'!C107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AZ18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AZ117+'입력값'!AZ118)*('입력값'!C107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A18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BA117+'입력값'!BA118)*('입력값'!C107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B18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BB117+'입력값'!BB118)*('입력값'!C107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C18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C117+'입력값'!BC118)*('입력값'!C107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D18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D117+'입력값'!BD118)*('입력값'!C107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E18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E117+'입력값'!BE118)*('입력값'!C107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F18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F117+'입력값'!BF118)*('입력값'!C107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G18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G117+'입력값'!BG118)*('입력값'!C107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H18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H117+'입력값'!BH118)*('입력값'!C107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I18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I117+'입력값'!BI118)*('입력값'!C107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J18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J117+'입력값'!BJ118)*('입력값'!C107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K18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K117+'입력값'!BK118)*('입력값'!C107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L18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L117+'입력값'!BL118)*('입력값'!C107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M18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M117+'입력값'!BM118)*('입력값'!C107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N18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N117+'입력값'!BN118)*('입력값'!C107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O18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O117+'입력값'!BO118)*('입력값'!C107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P18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P117+'입력값'!BP118)*('입력값'!C107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Q18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Q117+'입력값'!BQ118)*('입력값'!C107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R18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R117+'입력값'!BR118)*('입력값'!C107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S18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S117+'입력값'!BS118)*('입력값'!C107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T18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T117+'입력값'!BT118)*('입력값'!C107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U18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U117+'입력값'!BU118)*('입력값'!C107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V18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V117+'입력값'!BV118)*('입력값'!C107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W18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W117+'입력값'!BW118)*('입력값'!C107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X18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X117+'입력값'!BX118)*('입력값'!C107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Y18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Y117+'입력값'!BY118)*('입력값'!C107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Z18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Z117+'입력값'!BZ118)*('입력값'!C107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CA18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A117+'입력값'!CA118)*('입력값'!C107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B18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B117+'입력값'!CB118)*('입력값'!C107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C18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C117+'입력값'!CC118)*('입력값'!C107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D18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D117+'입력값'!CD118)*('입력값'!C107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E18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E117+'입력값'!CE118)*('입력값'!C107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F18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F117+'입력값'!CF118)*('입력값'!C107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G18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G117+'입력값'!CG118)*('입력값'!C107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H18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H117+'입력값'!CH118)*('입력값'!C107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I18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I117+'입력값'!CI118)*('입력값'!C107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J18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J117+'입력값'!CJ118)*('입력값'!C107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K18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K117+'입력값'!CK118)*('입력값'!C107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L18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L117+'입력값'!CL118)*('입력값'!C107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</row>
    <row r="19" spans="2:90" x14ac:dyDescent="0.25">
      <c r="B19" s="31" t="s">
        <v>301</v>
      </c>
      <c r="C19" s="32" t="s">
        <v>228</v>
      </c>
      <c r="D19" s="29">
        <f>SUM(E19:CL19)</f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K117+'입력값'!K118)*('입력값'!C108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L19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L117+'입력값'!L118)*('입력값'!C108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M19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M117+'입력값'!M118)*('입력값'!C108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N19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N117+'입력값'!N118)*('입력값'!C108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O19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O117+'입력값'!O118)*('입력값'!C108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P19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P117+'입력값'!P118)*('입력값'!C108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Q19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Q117+'입력값'!Q118)*('입력값'!C108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R19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R117+'입력값'!R118)*('입력값'!C108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S19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S117+'입력값'!S118)*('입력값'!C108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T19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T117+'입력값'!T118)*('입력값'!C108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U19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U117+'입력값'!U118)*('입력값'!C108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V19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V117+'입력값'!V118)*('입력값'!C108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W19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W117+'입력값'!W118)*('입력값'!C108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X19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X117+'입력값'!X118)*('입력값'!C108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Y19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Y117+'입력값'!Y118)*('입력값'!C108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Z19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Z117+'입력값'!Z118)*('입력값'!C108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AA19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A117+'입력값'!AA118)*('입력값'!C108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B19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B117+'입력값'!AB118)*('입력값'!C108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C19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C117+'입력값'!AC118)*('입력값'!C108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D19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D117+'입력값'!AD118)*('입력값'!C108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E19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E117+'입력값'!AE118)*('입력값'!C108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F19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F117+'입력값'!AF118)*('입력값'!C108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G19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G117+'입력값'!AG118)*('입력값'!C108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H19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H117+'입력값'!AH118)*('입력값'!C108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I19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I117+'입력값'!AI118)*('입력값'!C108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J19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J117+'입력값'!AJ118)*('입력값'!C108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K19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K117+'입력값'!AK118)*('입력값'!C108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L19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L117+'입력값'!AL118)*('입력값'!C108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M19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M117+'입력값'!AM118)*('입력값'!C108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N19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N117+'입력값'!AN118)*('입력값'!C108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O19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O117+'입력값'!AO118)*('입력값'!C108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P19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P117+'입력값'!AP118)*('입력값'!C108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Q19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Q117+'입력값'!AQ118)*('입력값'!C108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R19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R117+'입력값'!AR118)*('입력값'!C108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S19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S117+'입력값'!AS118)*('입력값'!C108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T19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T117+'입력값'!AT118)*('입력값'!C108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U19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U117+'입력값'!AU118)*('입력값'!C108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V19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V117+'입력값'!AV118)*('입력값'!C108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W19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W117+'입력값'!AW118)*('입력값'!C108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X19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X117+'입력값'!AX118)*('입력값'!C108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Y19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AY117+'입력값'!AY118)*('입력값'!C108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AZ19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AZ117+'입력값'!AZ118)*('입력값'!C108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A19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BA117+'입력값'!BA118)*('입력값'!C108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B19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BB117+'입력값'!BB118)*('입력값'!C108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C19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C117+'입력값'!BC118)*('입력값'!C108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D19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D117+'입력값'!BD118)*('입력값'!C108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E19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E117+'입력값'!BE118)*('입력값'!C108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F19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F117+'입력값'!BF118)*('입력값'!C108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G19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G117+'입력값'!BG118)*('입력값'!C108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H19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H117+'입력값'!BH118)*('입력값'!C108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I19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I117+'입력값'!BI118)*('입력값'!C108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J19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J117+'입력값'!BJ118)*('입력값'!C108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K19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K117+'입력값'!BK118)*('입력값'!C108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L19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L117+'입력값'!BL118)*('입력값'!C108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M19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M117+'입력값'!BM118)*('입력값'!C108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N19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N117+'입력값'!BN118)*('입력값'!C108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O19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O117+'입력값'!BO118)*('입력값'!C108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P19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P117+'입력값'!BP118)*('입력값'!C108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Q19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Q117+'입력값'!BQ118)*('입력값'!C108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R19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R117+'입력값'!BR118)*('입력값'!C108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S19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S117+'입력값'!BS118)*('입력값'!C108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T19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T117+'입력값'!BT118)*('입력값'!C108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U19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U117+'입력값'!BU118)*('입력값'!C108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V19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V117+'입력값'!BV118)*('입력값'!C108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W19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W117+'입력값'!BW118)*('입력값'!C108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X19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X117+'입력값'!BX118)*('입력값'!C108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Y19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Y117+'입력값'!BY118)*('입력값'!C108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Z19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Z117+'입력값'!BZ118)*('입력값'!C108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CA19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A117+'입력값'!CA118)*('입력값'!C108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B19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B117+'입력값'!CB118)*('입력값'!C108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C19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C117+'입력값'!CC118)*('입력값'!C108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D19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D117+'입력값'!CD118)*('입력값'!C108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E19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E117+'입력값'!CE118)*('입력값'!C108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F19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F117+'입력값'!CF118)*('입력값'!C108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G19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G117+'입력값'!CG118)*('입력값'!C108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H19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H117+'입력값'!CH118)*('입력값'!C108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I19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I117+'입력값'!CI118)*('입력값'!C108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J19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J117+'입력값'!CJ118)*('입력값'!C108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K19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K117+'입력값'!CK118)*('입력값'!C108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L19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L117+'입력값'!CL118)*('입력값'!C108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</row>
    <row r="20" spans="2:90" x14ac:dyDescent="0.25">
      <c r="B20" s="31" t="s">
        <v>302</v>
      </c>
      <c r="C20" s="32" t="s">
        <v>228</v>
      </c>
      <c r="D20" s="29">
        <f>SUM(E20:CL20)</f>
      </c>
      <c r="E20" s="29">
        <v>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K117+'입력값'!K118)*('입력값'!C109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L20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L117+'입력값'!L118)*('입력값'!C109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M20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M117+'입력값'!M118)*('입력값'!C109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N20" s="29">
        <f>-(IF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=0,0,('입력값'!N117+'입력값'!N118)*('입력값'!C109*100*(3/12))/(('입력값'!C98*100*(3/12))+('입력값'!C99*100*(3/12)*(1+'입력값'!D99/100)^0)+('입력값'!C100*100*(3/12))+('입력값'!C101*100*(3/12))+('입력값'!C102*100*(3/12)*(1+'입력값'!D102/100)^0)+('입력값'!C103*100*(3/12)*(1+'입력값'!D103/100)^0)+('입력값'!C104*100*(3/12)*(1+'입력값'!D104/100)^0)+('입력값'!C105*100*(3/12))+('입력값'!C106*100*(3/12))+('입력값'!C107*100*(3/12))+('입력값'!C108*100*(3/12))+('입력값'!C109*100*(3/12)))))</f>
      </c>
      <c r="O20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O117+'입력값'!O118)*('입력값'!C109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P20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P117+'입력값'!P118)*('입력값'!C109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Q20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Q117+'입력값'!Q118)*('입력값'!C109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R20" s="29">
        <f>-(IF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=0,0,('입력값'!R117+'입력값'!R118)*('입력값'!C109*100*(3/12))/(('입력값'!C98*100*(3/12))+('입력값'!C99*100*(3/12)*(1+'입력값'!D99/100)^1)+('입력값'!C100*100*(3/12))+('입력값'!C101*100*(3/12))+('입력값'!C102*100*(3/12)*(1+'입력값'!D102/100)^1)+('입력값'!C103*100*(3/12)*(1+'입력값'!D103/100)^1)+('입력값'!C104*100*(3/12)*(1+'입력값'!D104/100)^1)+('입력값'!C105*100*(3/12))+('입력값'!C106*100*(3/12))+('입력값'!C107*100*(3/12))+('입력값'!C108*100*(3/12))+('입력값'!C109*100*(3/12)))))</f>
      </c>
      <c r="S20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S117+'입력값'!S118)*('입력값'!C109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T20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T117+'입력값'!T118)*('입력값'!C109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U20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U117+'입력값'!U118)*('입력값'!C109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V20" s="29">
        <f>-(IF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=0,0,('입력값'!V117+'입력값'!V118)*('입력값'!C109*100*(3/12))/(('입력값'!C98*100*(3/12))+('입력값'!C99*100*(3/12)*(1+'입력값'!D99/100)^2)+('입력값'!C100*100*(3/12))+('입력값'!C101*100*(3/12))+('입력값'!C102*100*(3/12)*(1+'입력값'!D102/100)^2)+('입력값'!C103*100*(3/12)*(1+'입력값'!D103/100)^2)+('입력값'!C104*100*(3/12)*(1+'입력값'!D104/100)^2)+('입력값'!C105*100*(3/12))+('입력값'!C106*100*(3/12))+('입력값'!C107*100*(3/12))+('입력값'!C108*100*(3/12))+('입력값'!C109*100*(3/12)))))</f>
      </c>
      <c r="W20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W117+'입력값'!W118)*('입력값'!C109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X20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X117+'입력값'!X118)*('입력값'!C109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Y20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Y117+'입력값'!Y118)*('입력값'!C109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Z20" s="29">
        <f>-(IF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=0,0,('입력값'!Z117+'입력값'!Z118)*('입력값'!C109*100*(3/12))/(('입력값'!C98*100*(3/12))+('입력값'!C99*100*(3/12)*(1+'입력값'!D99/100)^3)+('입력값'!C100*100*(3/12))+('입력값'!C101*100*(3/12))+('입력값'!C102*100*(3/12)*(1+'입력값'!D102/100)^3)+('입력값'!C103*100*(3/12)*(1+'입력값'!D103/100)^3)+('입력값'!C104*100*(3/12)*(1+'입력값'!D104/100)^3)+('입력값'!C105*100*(3/12))+('입력값'!C106*100*(3/12))+('입력값'!C107*100*(3/12))+('입력값'!C108*100*(3/12))+('입력값'!C109*100*(3/12)))))</f>
      </c>
      <c r="AA20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A117+'입력값'!AA118)*('입력값'!C109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B20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B117+'입력값'!AB118)*('입력값'!C109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C20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C117+'입력값'!AC118)*('입력값'!C109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D20" s="29">
        <f>-(IF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=0,0,('입력값'!AD117+'입력값'!AD118)*('입력값'!C109*100*(3/12))/(('입력값'!C98*100*(3/12))+('입력값'!C99*100*(3/12)*(1+'입력값'!D99/100)^4)+('입력값'!C100*100*(3/12))+('입력값'!C101*100*(3/12))+('입력값'!C102*100*(3/12)*(1+'입력값'!D102/100)^4)+('입력값'!C103*100*(3/12)*(1+'입력값'!D103/100)^4)+('입력값'!C104*100*(3/12)*(1+'입력값'!D104/100)^4)+('입력값'!C105*100*(3/12))+('입력값'!C106*100*(3/12))+('입력값'!C107*100*(3/12))+('입력값'!C108*100*(3/12))+('입력값'!C109*100*(3/12)))))</f>
      </c>
      <c r="AE20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E117+'입력값'!AE118)*('입력값'!C109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F20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F117+'입력값'!AF118)*('입력값'!C109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G20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G117+'입력값'!AG118)*('입력값'!C109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H20" s="29">
        <f>-(IF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=0,0,('입력값'!AH117+'입력값'!AH118)*('입력값'!C109*100*(3/12))/(('입력값'!C98*100*(3/12))+('입력값'!C99*100*(3/12)*(1+'입력값'!D99/100)^5)+('입력값'!C100*100*(3/12))+('입력값'!C101*100*(3/12))+('입력값'!C102*100*(3/12)*(1+'입력값'!D102/100)^5)+('입력값'!C103*100*(3/12)*(1+'입력값'!D103/100)^5)+('입력값'!C104*100*(3/12)*(1+'입력값'!D104/100)^5)+('입력값'!C105*100*(3/12))+('입력값'!C106*100*(3/12))+('입력값'!C107*100*(3/12))+('입력값'!C108*100*(3/12))+('입력값'!C109*100*(3/12)))))</f>
      </c>
      <c r="AI20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I117+'입력값'!AI118)*('입력값'!C109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J20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J117+'입력값'!AJ118)*('입력값'!C109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K20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K117+'입력값'!AK118)*('입력값'!C109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L20" s="29">
        <f>-(IF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=0,0,('입력값'!AL117+'입력값'!AL118)*('입력값'!C109*100*(3/12))/(('입력값'!C98*100*(3/12))+('입력값'!C99*100*(3/12)*(1+'입력값'!D99/100)^6)+('입력값'!C100*100*(3/12))+('입력값'!C101*100*(3/12))+('입력값'!C102*100*(3/12)*(1+'입력값'!D102/100)^6)+('입력값'!C103*100*(3/12)*(1+'입력값'!D103/100)^6)+('입력값'!C104*100*(3/12)*(1+'입력값'!D104/100)^6)+('입력값'!C105*100*(3/12))+('입력값'!C106*100*(3/12))+('입력값'!C107*100*(3/12))+('입력값'!C108*100*(3/12))+('입력값'!C109*100*(3/12)))))</f>
      </c>
      <c r="AM20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M117+'입력값'!AM118)*('입력값'!C109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N20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N117+'입력값'!AN118)*('입력값'!C109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O20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O117+'입력값'!AO118)*('입력값'!C109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P20" s="29">
        <f>-(IF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=0,0,('입력값'!AP117+'입력값'!AP118)*('입력값'!C109*100*(3/12))/(('입력값'!C98*100*(3/12))+('입력값'!C99*100*(3/12)*(1+'입력값'!D99/100)^7)+('입력값'!C100*100*(3/12))+('입력값'!C101*100*(3/12))+('입력값'!C102*100*(3/12)*(1+'입력값'!D102/100)^7)+('입력값'!C103*100*(3/12)*(1+'입력값'!D103/100)^7)+('입력값'!C104*100*(3/12)*(1+'입력값'!D104/100)^7)+('입력값'!C105*100*(3/12))+('입력값'!C106*100*(3/12))+('입력값'!C107*100*(3/12))+('입력값'!C108*100*(3/12))+('입력값'!C109*100*(3/12)))))</f>
      </c>
      <c r="AQ20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Q117+'입력값'!AQ118)*('입력값'!C109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R20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R117+'입력값'!AR118)*('입력값'!C109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S20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S117+'입력값'!AS118)*('입력값'!C109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T20" s="29">
        <f>-(IF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=0,0,('입력값'!AT117+'입력값'!AT118)*('입력값'!C109*100*(3/12))/(('입력값'!C98*100*(3/12))+('입력값'!C99*100*(3/12)*(1+'입력값'!D99/100)^8)+('입력값'!C100*100*(3/12))+('입력값'!C101*100*(3/12))+('입력값'!C102*100*(3/12)*(1+'입력값'!D102/100)^8)+('입력값'!C103*100*(3/12)*(1+'입력값'!D103/100)^8)+('입력값'!C104*100*(3/12)*(1+'입력값'!D104/100)^8)+('입력값'!C105*100*(3/12))+('입력값'!C106*100*(3/12))+('입력값'!C107*100*(3/12))+('입력값'!C108*100*(3/12))+('입력값'!C109*100*(3/12)))))</f>
      </c>
      <c r="AU20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U117+'입력값'!AU118)*('입력값'!C109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V20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V117+'입력값'!AV118)*('입력값'!C109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W20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W117+'입력값'!AW118)*('입력값'!C109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X20" s="29">
        <f>-(IF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=0,0,('입력값'!AX117+'입력값'!AX118)*('입력값'!C109*100*(3/12))/(('입력값'!C98*100*(3/12))+('입력값'!C99*100*(3/12)*(1+'입력값'!D99/100)^9)+('입력값'!C100*100*(3/12))+('입력값'!C101*100*(3/12))+('입력값'!C102*100*(3/12)*(1+'입력값'!D102/100)^9)+('입력값'!C103*100*(3/12)*(1+'입력값'!D103/100)^9)+('입력값'!C104*100*(3/12)*(1+'입력값'!D104/100)^9)+('입력값'!C105*100*(3/12))+('입력값'!C106*100*(3/12))+('입력값'!C107*100*(3/12))+('입력값'!C108*100*(3/12))+('입력값'!C109*100*(3/12)))))</f>
      </c>
      <c r="AY20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AY117+'입력값'!AY118)*('입력값'!C109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AZ20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AZ117+'입력값'!AZ118)*('입력값'!C109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A20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BA117+'입력값'!BA118)*('입력값'!C109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B20" s="29">
        <f>-(IF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=0,0,('입력값'!BB117+'입력값'!BB118)*('입력값'!C109*100*(3/12))/(('입력값'!C98*100*(3/12))+('입력값'!C99*100*(3/12)*(1+'입력값'!D99/100)^10)+('입력값'!C100*100*(3/12))+('입력값'!C101*100*(3/12))+('입력값'!C102*100*(3/12)*(1+'입력값'!D102/100)^10)+('입력값'!C103*100*(3/12)*(1+'입력값'!D103/100)^10)+('입력값'!C104*100*(3/12)*(1+'입력값'!D104/100)^10)+('입력값'!C105*100*(3/12))+('입력값'!C106*100*(3/12))+('입력값'!C107*100*(3/12))+('입력값'!C108*100*(3/12))+('입력값'!C109*100*(3/12)))))</f>
      </c>
      <c r="BC20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C117+'입력값'!BC118)*('입력값'!C109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D20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D117+'입력값'!BD118)*('입력값'!C109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E20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E117+'입력값'!BE118)*('입력값'!C109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F20" s="29">
        <f>-(IF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=0,0,('입력값'!BF117+'입력값'!BF118)*('입력값'!C109*100*(3/12))/(('입력값'!C98*100*(3/12))+('입력값'!C99*100*(3/12)*(1+'입력값'!D99/100)^11)+('입력값'!C100*100*(3/12))+('입력값'!C101*100*(3/12))+('입력값'!C102*100*(3/12)*(1+'입력값'!D102/100)^11)+('입력값'!C103*100*(3/12)*(1+'입력값'!D103/100)^11)+('입력값'!C104*100*(3/12)*(1+'입력값'!D104/100)^11)+('입력값'!C105*100*(3/12))+('입력값'!C106*100*(3/12))+('입력값'!C107*100*(3/12))+('입력값'!C108*100*(3/12))+('입력값'!C109*100*(3/12)))))</f>
      </c>
      <c r="BG20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G117+'입력값'!BG118)*('입력값'!C109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H20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H117+'입력값'!BH118)*('입력값'!C109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I20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I117+'입력값'!BI118)*('입력값'!C109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J20" s="29">
        <f>-(IF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=0,0,('입력값'!BJ117+'입력값'!BJ118)*('입력값'!C109*100*(3/12))/(('입력값'!C98*100*(3/12))+('입력값'!C99*100*(3/12)*(1+'입력값'!D99/100)^12)+('입력값'!C100*100*(3/12))+('입력값'!C101*100*(3/12))+('입력값'!C102*100*(3/12)*(1+'입력값'!D102/100)^12)+('입력값'!C103*100*(3/12)*(1+'입력값'!D103/100)^12)+('입력값'!C104*100*(3/12)*(1+'입력값'!D104/100)^12)+('입력값'!C105*100*(3/12))+('입력값'!C106*100*(3/12))+('입력값'!C107*100*(3/12))+('입력값'!C108*100*(3/12))+('입력값'!C109*100*(3/12)))))</f>
      </c>
      <c r="BK20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K117+'입력값'!BK118)*('입력값'!C109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L20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L117+'입력값'!BL118)*('입력값'!C109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M20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M117+'입력값'!BM118)*('입력값'!C109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N20" s="29">
        <f>-(IF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=0,0,('입력값'!BN117+'입력값'!BN118)*('입력값'!C109*100*(3/12))/(('입력값'!C98*100*(3/12))+('입력값'!C99*100*(3/12)*(1+'입력값'!D99/100)^13)+('입력값'!C100*100*(3/12))+('입력값'!C101*100*(3/12))+('입력값'!C102*100*(3/12)*(1+'입력값'!D102/100)^13)+('입력값'!C103*100*(3/12)*(1+'입력값'!D103/100)^13)+('입력값'!C104*100*(3/12)*(1+'입력값'!D104/100)^13)+('입력값'!C105*100*(3/12))+('입력값'!C106*100*(3/12))+('입력값'!C107*100*(3/12))+('입력값'!C108*100*(3/12))+('입력값'!C109*100*(3/12)))))</f>
      </c>
      <c r="BO20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O117+'입력값'!BO118)*('입력값'!C109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P20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P117+'입력값'!BP118)*('입력값'!C109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Q20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Q117+'입력값'!BQ118)*('입력값'!C109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R20" s="29">
        <f>-(IF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=0,0,('입력값'!BR117+'입력값'!BR118)*('입력값'!C109*100*(3/12))/(('입력값'!C98*100*(3/12))+('입력값'!C99*100*(3/12)*(1+'입력값'!D99/100)^14)+('입력값'!C100*100*(3/12))+('입력값'!C101*100*(3/12))+('입력값'!C102*100*(3/12)*(1+'입력값'!D102/100)^14)+('입력값'!C103*100*(3/12)*(1+'입력값'!D103/100)^14)+('입력값'!C104*100*(3/12)*(1+'입력값'!D104/100)^14)+('입력값'!C105*100*(3/12))+('입력값'!C106*100*(3/12))+('입력값'!C107*100*(3/12))+('입력값'!C108*100*(3/12))+('입력값'!C109*100*(3/12)))))</f>
      </c>
      <c r="BS20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S117+'입력값'!BS118)*('입력값'!C109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T20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T117+'입력값'!BT118)*('입력값'!C109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U20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U117+'입력값'!BU118)*('입력값'!C109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V20" s="29">
        <f>-(IF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=0,0,('입력값'!BV117+'입력값'!BV118)*('입력값'!C109*100*(3/12))/(('입력값'!C98*100*(3/12))+('입력값'!C99*100*(3/12)*(1+'입력값'!D99/100)^15)+('입력값'!C100*100*(3/12))+('입력값'!C101*100*(3/12))+('입력값'!C102*100*(3/12)*(1+'입력값'!D102/100)^15)+('입력값'!C103*100*(3/12)*(1+'입력값'!D103/100)^15)+('입력값'!C104*100*(3/12)*(1+'입력값'!D104/100)^15)+('입력값'!C105*100*(3/12))+('입력값'!C106*100*(3/12))+('입력값'!C107*100*(3/12))+('입력값'!C108*100*(3/12))+('입력값'!C109*100*(3/12)))))</f>
      </c>
      <c r="BW20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W117+'입력값'!BW118)*('입력값'!C109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X20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X117+'입력값'!BX118)*('입력값'!C109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Y20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Y117+'입력값'!BY118)*('입력값'!C109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BZ20" s="29">
        <f>-(IF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=0,0,('입력값'!BZ117+'입력값'!BZ118)*('입력값'!C109*100*(3/12))/(('입력값'!C98*100*(3/12))+('입력값'!C99*100*(3/12)*(1+'입력값'!D99/100)^16)+('입력값'!C100*100*(3/12))+('입력값'!C101*100*(3/12))+('입력값'!C102*100*(3/12)*(1+'입력값'!D102/100)^16)+('입력값'!C103*100*(3/12)*(1+'입력값'!D103/100)^16)+('입력값'!C104*100*(3/12)*(1+'입력값'!D104/100)^16)+('입력값'!C105*100*(3/12))+('입력값'!C106*100*(3/12))+('입력값'!C107*100*(3/12))+('입력값'!C108*100*(3/12))+('입력값'!C109*100*(3/12)))))</f>
      </c>
      <c r="CA20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A117+'입력값'!CA118)*('입력값'!C109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B20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B117+'입력값'!CB118)*('입력값'!C109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C20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C117+'입력값'!CC118)*('입력값'!C109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D20" s="29">
        <f>-(IF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=0,0,('입력값'!CD117+'입력값'!CD118)*('입력값'!C109*100*(3/12))/(('입력값'!C98*100*(3/12))+('입력값'!C99*100*(3/12)*(1+'입력값'!D99/100)^17)+('입력값'!C100*100*(3/12))+('입력값'!C101*100*(3/12))+('입력값'!C102*100*(3/12)*(1+'입력값'!D102/100)^17)+('입력값'!C103*100*(3/12)*(1+'입력값'!D103/100)^17)+('입력값'!C104*100*(3/12)*(1+'입력값'!D104/100)^17)+('입력값'!C105*100*(3/12))+('입력값'!C106*100*(3/12))+('입력값'!C107*100*(3/12))+('입력값'!C108*100*(3/12))+('입력값'!C109*100*(3/12)))))</f>
      </c>
      <c r="CE20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E117+'입력값'!CE118)*('입력값'!C109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F20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F117+'입력값'!CF118)*('입력값'!C109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G20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G117+'입력값'!CG118)*('입력값'!C109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H20" s="29">
        <f>-(IF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=0,0,('입력값'!CH117+'입력값'!CH118)*('입력값'!C109*100*(3/12))/(('입력값'!C98*100*(3/12))+('입력값'!C99*100*(3/12)*(1+'입력값'!D99/100)^18)+('입력값'!C100*100*(3/12))+('입력값'!C101*100*(3/12))+('입력값'!C102*100*(3/12)*(1+'입력값'!D102/100)^18)+('입력값'!C103*100*(3/12)*(1+'입력값'!D103/100)^18)+('입력값'!C104*100*(3/12)*(1+'입력값'!D104/100)^18)+('입력값'!C105*100*(3/12))+('입력값'!C106*100*(3/12))+('입력값'!C107*100*(3/12))+('입력값'!C108*100*(3/12))+('입력값'!C109*100*(3/12)))))</f>
      </c>
      <c r="CI20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I117+'입력값'!CI118)*('입력값'!C109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J20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J117+'입력값'!CJ118)*('입력값'!C109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K20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K117+'입력값'!CK118)*('입력값'!C109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  <c r="CL20" s="29">
        <f>-(IF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=0,0,('입력값'!CL117+'입력값'!CL118)*('입력값'!C109*100*(3/12))/(('입력값'!C98*100*(3/12))+('입력값'!C99*100*(3/12)*(1+'입력값'!D99/100)^19)+('입력값'!C100*100*(3/12))+('입력값'!C101*100*(3/12))+('입력값'!C102*100*(3/12)*(1+'입력값'!D102/100)^19)+('입력값'!C103*100*(3/12)*(1+'입력값'!D103/100)^19)+('입력값'!C104*100*(3/12)*(1+'입력값'!D104/100)^19)+('입력값'!C105*100*(3/12))+('입력값'!C106*100*(3/12))+('입력값'!C107*100*(3/12))+('입력값'!C108*100*(3/12))+('입력값'!C109*100*(3/12)))))</f>
      </c>
    </row>
    <row r="22" spans="2:90" x14ac:dyDescent="0.25">
      <c r="B22" s="31" t="s">
        <v>303</v>
      </c>
      <c r="C22" s="32" t="s">
        <v>228</v>
      </c>
      <c r="D22" s="29">
        <f>SUM(E22:CL22)</f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f>'입력값'!K117</f>
      </c>
      <c r="L22" s="29">
        <f>'입력값'!L117</f>
      </c>
      <c r="M22" s="29">
        <f>'입력값'!M117</f>
      </c>
      <c r="N22" s="29">
        <f>'입력값'!N117</f>
      </c>
      <c r="O22" s="29">
        <f>'입력값'!O117</f>
      </c>
      <c r="P22" s="29">
        <f>'입력값'!P117</f>
      </c>
      <c r="Q22" s="29">
        <f>'입력값'!Q117</f>
      </c>
      <c r="R22" s="29">
        <f>'입력값'!R117</f>
      </c>
      <c r="S22" s="29">
        <f>'입력값'!S117</f>
      </c>
      <c r="T22" s="29">
        <f>'입력값'!T117</f>
      </c>
      <c r="U22" s="29">
        <f>'입력값'!U117</f>
      </c>
      <c r="V22" s="29">
        <f>'입력값'!V117</f>
      </c>
      <c r="W22" s="29">
        <f>'입력값'!W117</f>
      </c>
      <c r="X22" s="29">
        <f>'입력값'!X117</f>
      </c>
      <c r="Y22" s="29">
        <f>'입력값'!Y117</f>
      </c>
      <c r="Z22" s="29">
        <f>'입력값'!Z117</f>
      </c>
      <c r="AA22" s="29">
        <f>'입력값'!AA117</f>
      </c>
      <c r="AB22" s="29">
        <f>'입력값'!AB117</f>
      </c>
      <c r="AC22" s="29">
        <f>'입력값'!AC117</f>
      </c>
      <c r="AD22" s="29">
        <f>'입력값'!AD117</f>
      </c>
      <c r="AE22" s="29">
        <f>'입력값'!AE117</f>
      </c>
      <c r="AF22" s="29">
        <f>'입력값'!AF117</f>
      </c>
      <c r="AG22" s="29">
        <f>'입력값'!AG117</f>
      </c>
      <c r="AH22" s="29">
        <f>'입력값'!AH117</f>
      </c>
      <c r="AI22" s="29">
        <f>'입력값'!AI117</f>
      </c>
      <c r="AJ22" s="29">
        <f>'입력값'!AJ117</f>
      </c>
      <c r="AK22" s="29">
        <f>'입력값'!AK117</f>
      </c>
      <c r="AL22" s="29">
        <f>'입력값'!AL117</f>
      </c>
      <c r="AM22" s="29">
        <f>'입력값'!AM117</f>
      </c>
      <c r="AN22" s="29">
        <f>'입력값'!AN117</f>
      </c>
      <c r="AO22" s="29">
        <f>'입력값'!AO117</f>
      </c>
      <c r="AP22" s="29">
        <f>'입력값'!AP117</f>
      </c>
      <c r="AQ22" s="29">
        <f>'입력값'!AQ117</f>
      </c>
      <c r="AR22" s="29">
        <f>'입력값'!AR117</f>
      </c>
      <c r="AS22" s="29">
        <f>'입력값'!AS117</f>
      </c>
      <c r="AT22" s="29">
        <f>'입력값'!AT117</f>
      </c>
      <c r="AU22" s="29">
        <f>'입력값'!AU117</f>
      </c>
      <c r="AV22" s="29">
        <f>'입력값'!AV117</f>
      </c>
      <c r="AW22" s="29">
        <f>'입력값'!AW117</f>
      </c>
      <c r="AX22" s="29">
        <f>'입력값'!AX117</f>
      </c>
      <c r="AY22" s="29">
        <f>'입력값'!AY117</f>
      </c>
      <c r="AZ22" s="29">
        <f>'입력값'!AZ117</f>
      </c>
      <c r="BA22" s="29">
        <f>'입력값'!BA117</f>
      </c>
      <c r="BB22" s="29">
        <f>'입력값'!BB117</f>
      </c>
      <c r="BC22" s="29">
        <f>'입력값'!BC117</f>
      </c>
      <c r="BD22" s="29">
        <f>'입력값'!BD117</f>
      </c>
      <c r="BE22" s="29">
        <f>'입력값'!BE117</f>
      </c>
      <c r="BF22" s="29">
        <f>'입력값'!BF117</f>
      </c>
      <c r="BG22" s="29">
        <f>'입력값'!BG117</f>
      </c>
      <c r="BH22" s="29">
        <f>'입력값'!BH117</f>
      </c>
      <c r="BI22" s="29">
        <f>'입력값'!BI117</f>
      </c>
      <c r="BJ22" s="29">
        <f>'입력값'!BJ117</f>
      </c>
      <c r="BK22" s="29">
        <f>'입력값'!BK117</f>
      </c>
      <c r="BL22" s="29">
        <f>'입력값'!BL117</f>
      </c>
      <c r="BM22" s="29">
        <f>'입력값'!BM117</f>
      </c>
      <c r="BN22" s="29">
        <f>'입력값'!BN117</f>
      </c>
      <c r="BO22" s="29">
        <f>'입력값'!BO117</f>
      </c>
      <c r="BP22" s="29">
        <f>'입력값'!BP117</f>
      </c>
      <c r="BQ22" s="29">
        <f>'입력값'!BQ117</f>
      </c>
      <c r="BR22" s="29">
        <f>'입력값'!BR117</f>
      </c>
      <c r="BS22" s="29">
        <f>'입력값'!BS117</f>
      </c>
      <c r="BT22" s="29">
        <f>'입력값'!BT117</f>
      </c>
      <c r="BU22" s="29">
        <f>'입력값'!BU117</f>
      </c>
      <c r="BV22" s="29">
        <f>'입력값'!BV117</f>
      </c>
      <c r="BW22" s="29">
        <f>'입력값'!BW117</f>
      </c>
      <c r="BX22" s="29">
        <f>'입력값'!BX117</f>
      </c>
      <c r="BY22" s="29">
        <f>'입력값'!BY117</f>
      </c>
      <c r="BZ22" s="29">
        <f>'입력값'!BZ117</f>
      </c>
      <c r="CA22" s="29">
        <f>'입력값'!CA117</f>
      </c>
      <c r="CB22" s="29">
        <f>'입력값'!CB117</f>
      </c>
      <c r="CC22" s="29">
        <f>'입력값'!CC117</f>
      </c>
      <c r="CD22" s="29">
        <f>'입력값'!CD117</f>
      </c>
      <c r="CE22" s="29">
        <f>'입력값'!CE117</f>
      </c>
      <c r="CF22" s="29">
        <f>'입력값'!CF117</f>
      </c>
      <c r="CG22" s="29">
        <f>'입력값'!CG117</f>
      </c>
      <c r="CH22" s="29">
        <f>'입력값'!CH117</f>
      </c>
      <c r="CI22" s="29">
        <f>'입력값'!CI117</f>
      </c>
      <c r="CJ22" s="29">
        <f>'입력값'!CJ117</f>
      </c>
      <c r="CK22" s="29">
        <f>'입력값'!CK117</f>
      </c>
      <c r="CL22" s="29">
        <f>'입력값'!CL117</f>
      </c>
    </row>
    <row r="23" spans="2:90" x14ac:dyDescent="0.25">
      <c r="B23" s="31" t="s">
        <v>304</v>
      </c>
      <c r="C23" s="32" t="s">
        <v>228</v>
      </c>
      <c r="D23" s="29">
        <f>SUM(E23:CL23)</f>
      </c>
      <c r="E23" s="29"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f>'입력값'!K118</f>
      </c>
      <c r="L23" s="29">
        <f>'입력값'!L118</f>
      </c>
      <c r="M23" s="29">
        <f>'입력값'!M118</f>
      </c>
      <c r="N23" s="29">
        <f>'입력값'!N118</f>
      </c>
      <c r="O23" s="29">
        <f>'입력값'!O118</f>
      </c>
      <c r="P23" s="29">
        <f>'입력값'!P118</f>
      </c>
      <c r="Q23" s="29">
        <f>'입력값'!Q118</f>
      </c>
      <c r="R23" s="29">
        <f>'입력값'!R118</f>
      </c>
      <c r="S23" s="29">
        <f>'입력값'!S118</f>
      </c>
      <c r="T23" s="29">
        <f>'입력값'!T118</f>
      </c>
      <c r="U23" s="29">
        <f>'입력값'!U118</f>
      </c>
      <c r="V23" s="29">
        <f>'입력값'!V118</f>
      </c>
      <c r="W23" s="29">
        <f>'입력값'!W118</f>
      </c>
      <c r="X23" s="29">
        <f>'입력값'!X118</f>
      </c>
      <c r="Y23" s="29">
        <f>'입력값'!Y118</f>
      </c>
      <c r="Z23" s="29">
        <f>'입력값'!Z118</f>
      </c>
      <c r="AA23" s="29">
        <f>'입력값'!AA118</f>
      </c>
      <c r="AB23" s="29">
        <f>'입력값'!AB118</f>
      </c>
      <c r="AC23" s="29">
        <f>'입력값'!AC118</f>
      </c>
      <c r="AD23" s="29">
        <f>'입력값'!AD118</f>
      </c>
      <c r="AE23" s="29">
        <f>'입력값'!AE118</f>
      </c>
      <c r="AF23" s="29">
        <f>'입력값'!AF118</f>
      </c>
      <c r="AG23" s="29">
        <f>'입력값'!AG118</f>
      </c>
      <c r="AH23" s="29">
        <f>'입력값'!AH118</f>
      </c>
      <c r="AI23" s="29">
        <f>'입력값'!AI118</f>
      </c>
      <c r="AJ23" s="29">
        <f>'입력값'!AJ118</f>
      </c>
      <c r="AK23" s="29">
        <f>'입력값'!AK118</f>
      </c>
      <c r="AL23" s="29">
        <f>'입력값'!AL118</f>
      </c>
      <c r="AM23" s="29">
        <f>'입력값'!AM118</f>
      </c>
      <c r="AN23" s="29">
        <f>'입력값'!AN118</f>
      </c>
      <c r="AO23" s="29">
        <f>'입력값'!AO118</f>
      </c>
      <c r="AP23" s="29">
        <f>'입력값'!AP118</f>
      </c>
      <c r="AQ23" s="29">
        <f>'입력값'!AQ118</f>
      </c>
      <c r="AR23" s="29">
        <f>'입력값'!AR118</f>
      </c>
      <c r="AS23" s="29">
        <f>'입력값'!AS118</f>
      </c>
      <c r="AT23" s="29">
        <f>'입력값'!AT118</f>
      </c>
      <c r="AU23" s="29">
        <f>'입력값'!AU118</f>
      </c>
      <c r="AV23" s="29">
        <f>'입력값'!AV118</f>
      </c>
      <c r="AW23" s="29">
        <f>'입력값'!AW118</f>
      </c>
      <c r="AX23" s="29">
        <f>'입력값'!AX118</f>
      </c>
      <c r="AY23" s="29">
        <f>'입력값'!AY118</f>
      </c>
      <c r="AZ23" s="29">
        <f>'입력값'!AZ118</f>
      </c>
      <c r="BA23" s="29">
        <f>'입력값'!BA118</f>
      </c>
      <c r="BB23" s="29">
        <f>'입력값'!BB118</f>
      </c>
      <c r="BC23" s="29">
        <f>'입력값'!BC118</f>
      </c>
      <c r="BD23" s="29">
        <f>'입력값'!BD118</f>
      </c>
      <c r="BE23" s="29">
        <f>'입력값'!BE118</f>
      </c>
      <c r="BF23" s="29">
        <f>'입력값'!BF118</f>
      </c>
      <c r="BG23" s="29">
        <f>'입력값'!BG118</f>
      </c>
      <c r="BH23" s="29">
        <f>'입력값'!BH118</f>
      </c>
      <c r="BI23" s="29">
        <f>'입력값'!BI118</f>
      </c>
      <c r="BJ23" s="29">
        <f>'입력값'!BJ118</f>
      </c>
      <c r="BK23" s="29">
        <f>'입력값'!BK118</f>
      </c>
      <c r="BL23" s="29">
        <f>'입력값'!BL118</f>
      </c>
      <c r="BM23" s="29">
        <f>'입력값'!BM118</f>
      </c>
      <c r="BN23" s="29">
        <f>'입력값'!BN118</f>
      </c>
      <c r="BO23" s="29">
        <f>'입력값'!BO118</f>
      </c>
      <c r="BP23" s="29">
        <f>'입력값'!BP118</f>
      </c>
      <c r="BQ23" s="29">
        <f>'입력값'!BQ118</f>
      </c>
      <c r="BR23" s="29">
        <f>'입력값'!BR118</f>
      </c>
      <c r="BS23" s="29">
        <f>'입력값'!BS118</f>
      </c>
      <c r="BT23" s="29">
        <f>'입력값'!BT118</f>
      </c>
      <c r="BU23" s="29">
        <f>'입력값'!BU118</f>
      </c>
      <c r="BV23" s="29">
        <f>'입력값'!BV118</f>
      </c>
      <c r="BW23" s="29">
        <f>'입력값'!BW118</f>
      </c>
      <c r="BX23" s="29">
        <f>'입력값'!BX118</f>
      </c>
      <c r="BY23" s="29">
        <f>'입력값'!BY118</f>
      </c>
      <c r="BZ23" s="29">
        <f>'입력값'!BZ118</f>
      </c>
      <c r="CA23" s="29">
        <f>'입력값'!CA118</f>
      </c>
      <c r="CB23" s="29">
        <f>'입력값'!CB118</f>
      </c>
      <c r="CC23" s="29">
        <f>'입력값'!CC118</f>
      </c>
      <c r="CD23" s="29">
        <f>'입력값'!CD118</f>
      </c>
      <c r="CE23" s="29">
        <f>'입력값'!CE118</f>
      </c>
      <c r="CF23" s="29">
        <f>'입력값'!CF118</f>
      </c>
      <c r="CG23" s="29">
        <f>'입력값'!CG118</f>
      </c>
      <c r="CH23" s="29">
        <f>'입력값'!CH118</f>
      </c>
      <c r="CI23" s="29">
        <f>'입력값'!CI118</f>
      </c>
      <c r="CJ23" s="29">
        <f>'입력값'!CJ118</f>
      </c>
      <c r="CK23" s="29">
        <f>'입력값'!CK118</f>
      </c>
      <c r="CL23" s="29">
        <f>'입력값'!CL118</f>
      </c>
    </row>
    <row r="24" spans="2:91" x14ac:dyDescent="0.25">
      <c r="B24" s="43" t="s">
        <v>305</v>
      </c>
      <c r="C24" s="46" t="s">
        <v>228</v>
      </c>
      <c r="D24" s="41">
        <f>SUM(E24:CL24)</f>
      </c>
      <c r="E24" s="41">
        <f>E22+E23</f>
      </c>
      <c r="F24" s="41">
        <f>F22+F23</f>
      </c>
      <c r="G24" s="41">
        <f>G22+G23</f>
      </c>
      <c r="H24" s="41">
        <f>H22+H23</f>
      </c>
      <c r="I24" s="41">
        <f>I22+I23</f>
      </c>
      <c r="J24" s="41">
        <f>J22+J23</f>
      </c>
      <c r="K24" s="41">
        <f>K22+K23</f>
      </c>
      <c r="L24" s="41">
        <f>L22+L23</f>
      </c>
      <c r="M24" s="41">
        <f>M22+M23</f>
      </c>
      <c r="N24" s="41">
        <f>N22+N23</f>
      </c>
      <c r="O24" s="41">
        <f>O22+O23</f>
      </c>
      <c r="P24" s="41">
        <f>P22+P23</f>
      </c>
      <c r="Q24" s="41">
        <f>Q22+Q23</f>
      </c>
      <c r="R24" s="41">
        <f>R22+R23</f>
      </c>
      <c r="S24" s="41">
        <f>S22+S23</f>
      </c>
      <c r="T24" s="41">
        <f>T22+T23</f>
      </c>
      <c r="U24" s="41">
        <f>U22+U23</f>
      </c>
      <c r="V24" s="41">
        <f>V22+V23</f>
      </c>
      <c r="W24" s="41">
        <f>W22+W23</f>
      </c>
      <c r="X24" s="41">
        <f>X22+X23</f>
      </c>
      <c r="Y24" s="41">
        <f>Y22+Y23</f>
      </c>
      <c r="Z24" s="41">
        <f>Z22+Z23</f>
      </c>
      <c r="AA24" s="41">
        <f>AA22+AA23</f>
      </c>
      <c r="AB24" s="41">
        <f>AB22+AB23</f>
      </c>
      <c r="AC24" s="41">
        <f>AC22+AC23</f>
      </c>
      <c r="AD24" s="41">
        <f>AD22+AD23</f>
      </c>
      <c r="AE24" s="41">
        <f>AE22+AE23</f>
      </c>
      <c r="AF24" s="41">
        <f>AF22+AF23</f>
      </c>
      <c r="AG24" s="41">
        <f>AG22+AG23</f>
      </c>
      <c r="AH24" s="41">
        <f>AH22+AH23</f>
      </c>
      <c r="AI24" s="41">
        <f>AI22+AI23</f>
      </c>
      <c r="AJ24" s="41">
        <f>AJ22+AJ23</f>
      </c>
      <c r="AK24" s="41">
        <f>AK22+AK23</f>
      </c>
      <c r="AL24" s="41">
        <f>AL22+AL23</f>
      </c>
      <c r="AM24" s="41">
        <f>AM22+AM23</f>
      </c>
      <c r="AN24" s="41">
        <f>AN22+AN23</f>
      </c>
      <c r="AO24" s="41">
        <f>AO22+AO23</f>
      </c>
      <c r="AP24" s="41">
        <f>AP22+AP23</f>
      </c>
      <c r="AQ24" s="41">
        <f>AQ22+AQ23</f>
      </c>
      <c r="AR24" s="41">
        <f>AR22+AR23</f>
      </c>
      <c r="AS24" s="41">
        <f>AS22+AS23</f>
      </c>
      <c r="AT24" s="41">
        <f>AT22+AT23</f>
      </c>
      <c r="AU24" s="41">
        <f>AU22+AU23</f>
      </c>
      <c r="AV24" s="41">
        <f>AV22+AV23</f>
      </c>
      <c r="AW24" s="41">
        <f>AW22+AW23</f>
      </c>
      <c r="AX24" s="41">
        <f>AX22+AX23</f>
      </c>
      <c r="AY24" s="41">
        <f>AY22+AY23</f>
      </c>
      <c r="AZ24" s="41">
        <f>AZ22+AZ23</f>
      </c>
      <c r="BA24" s="41">
        <f>BA22+BA23</f>
      </c>
      <c r="BB24" s="41">
        <f>BB22+BB23</f>
      </c>
      <c r="BC24" s="41">
        <f>BC22+BC23</f>
      </c>
      <c r="BD24" s="41">
        <f>BD22+BD23</f>
      </c>
      <c r="BE24" s="41">
        <f>BE22+BE23</f>
      </c>
      <c r="BF24" s="41">
        <f>BF22+BF23</f>
      </c>
      <c r="BG24" s="41">
        <f>BG22+BG23</f>
      </c>
      <c r="BH24" s="41">
        <f>BH22+BH23</f>
      </c>
      <c r="BI24" s="41">
        <f>BI22+BI23</f>
      </c>
      <c r="BJ24" s="41">
        <f>BJ22+BJ23</f>
      </c>
      <c r="BK24" s="41">
        <f>BK22+BK23</f>
      </c>
      <c r="BL24" s="41">
        <f>BL22+BL23</f>
      </c>
      <c r="BM24" s="41">
        <f>BM22+BM23</f>
      </c>
      <c r="BN24" s="41">
        <f>BN22+BN23</f>
      </c>
      <c r="BO24" s="41">
        <f>BO22+BO23</f>
      </c>
      <c r="BP24" s="41">
        <f>BP22+BP23</f>
      </c>
      <c r="BQ24" s="41">
        <f>BQ22+BQ23</f>
      </c>
      <c r="BR24" s="41">
        <f>BR22+BR23</f>
      </c>
      <c r="BS24" s="41">
        <f>BS22+BS23</f>
      </c>
      <c r="BT24" s="41">
        <f>BT22+BT23</f>
      </c>
      <c r="BU24" s="41">
        <f>BU22+BU23</f>
      </c>
      <c r="BV24" s="41">
        <f>BV22+BV23</f>
      </c>
      <c r="BW24" s="41">
        <f>BW22+BW23</f>
      </c>
      <c r="BX24" s="41">
        <f>BX22+BX23</f>
      </c>
      <c r="BY24" s="41">
        <f>BY22+BY23</f>
      </c>
      <c r="BZ24" s="41">
        <f>BZ22+BZ23</f>
      </c>
      <c r="CA24" s="41">
        <f>CA22+CA23</f>
      </c>
      <c r="CB24" s="41">
        <f>CB22+CB23</f>
      </c>
      <c r="CC24" s="41">
        <f>CC22+CC23</f>
      </c>
      <c r="CD24" s="41">
        <f>CD22+CD23</f>
      </c>
      <c r="CE24" s="41">
        <f>CE22+CE23</f>
      </c>
      <c r="CF24" s="41">
        <f>CF22+CF23</f>
      </c>
      <c r="CG24" s="41">
        <f>CG22+CG23</f>
      </c>
      <c r="CH24" s="41">
        <f>CH22+CH23</f>
      </c>
      <c r="CI24" s="41">
        <f>CI22+CI23</f>
      </c>
      <c r="CJ24" s="41">
        <f>CJ22+CJ23</f>
      </c>
      <c r="CK24" s="41">
        <f>CK22+CK23</f>
      </c>
      <c r="CL24" s="41">
        <f>CL22+CL23</f>
      </c>
      <c r="CM24" s="44"/>
    </row>
    <row r="26" spans="2:2" x14ac:dyDescent="0.25">
      <c r="B26" s="36" t="s">
        <v>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70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307</v>
      </c>
    </row>
    <row r="4" spans="2:91" x14ac:dyDescent="0.25">
      <c r="B4" s="9" t="s">
        <v>308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102</v>
      </c>
      <c r="C6" s="26" t="s">
        <v>103</v>
      </c>
      <c r="D6" s="26" t="s">
        <v>104</v>
      </c>
      <c r="E6" s="30" t="s">
        <v>105</v>
      </c>
      <c r="F6" s="30" t="s">
        <v>106</v>
      </c>
      <c r="G6" s="30" t="s">
        <v>107</v>
      </c>
      <c r="H6" s="30" t="s">
        <v>108</v>
      </c>
      <c r="I6" s="30" t="s">
        <v>109</v>
      </c>
      <c r="J6" s="30" t="s">
        <v>110</v>
      </c>
      <c r="K6" s="30" t="s">
        <v>111</v>
      </c>
      <c r="L6" s="30" t="s">
        <v>112</v>
      </c>
      <c r="M6" s="30" t="s">
        <v>113</v>
      </c>
      <c r="N6" s="30" t="s">
        <v>114</v>
      </c>
      <c r="O6" s="30" t="s">
        <v>115</v>
      </c>
      <c r="P6" s="30" t="s">
        <v>116</v>
      </c>
      <c r="Q6" s="30" t="s">
        <v>117</v>
      </c>
      <c r="R6" s="30" t="s">
        <v>118</v>
      </c>
      <c r="S6" s="30" t="s">
        <v>119</v>
      </c>
      <c r="T6" s="30" t="s">
        <v>120</v>
      </c>
      <c r="U6" s="30" t="s">
        <v>121</v>
      </c>
      <c r="V6" s="30" t="s">
        <v>122</v>
      </c>
      <c r="W6" s="30" t="s">
        <v>123</v>
      </c>
      <c r="X6" s="30" t="s">
        <v>124</v>
      </c>
      <c r="Y6" s="30" t="s">
        <v>125</v>
      </c>
      <c r="Z6" s="30" t="s">
        <v>126</v>
      </c>
      <c r="AA6" s="30" t="s">
        <v>127</v>
      </c>
      <c r="AB6" s="30" t="s">
        <v>128</v>
      </c>
      <c r="AC6" s="30" t="s">
        <v>129</v>
      </c>
      <c r="AD6" s="30" t="s">
        <v>130</v>
      </c>
      <c r="AE6" s="30" t="s">
        <v>131</v>
      </c>
      <c r="AF6" s="30" t="s">
        <v>132</v>
      </c>
      <c r="AG6" s="30" t="s">
        <v>133</v>
      </c>
      <c r="AH6" s="30" t="s">
        <v>134</v>
      </c>
      <c r="AI6" s="30" t="s">
        <v>135</v>
      </c>
      <c r="AJ6" s="30" t="s">
        <v>136</v>
      </c>
      <c r="AK6" s="30" t="s">
        <v>137</v>
      </c>
      <c r="AL6" s="30" t="s">
        <v>138</v>
      </c>
      <c r="AM6" s="30" t="s">
        <v>139</v>
      </c>
      <c r="AN6" s="30" t="s">
        <v>140</v>
      </c>
      <c r="AO6" s="30" t="s">
        <v>141</v>
      </c>
      <c r="AP6" s="30" t="s">
        <v>142</v>
      </c>
      <c r="AQ6" s="30" t="s">
        <v>143</v>
      </c>
      <c r="AR6" s="30" t="s">
        <v>144</v>
      </c>
      <c r="AS6" s="30" t="s">
        <v>145</v>
      </c>
      <c r="AT6" s="30" t="s">
        <v>146</v>
      </c>
      <c r="AU6" s="30" t="s">
        <v>147</v>
      </c>
      <c r="AV6" s="30" t="s">
        <v>148</v>
      </c>
      <c r="AW6" s="30" t="s">
        <v>149</v>
      </c>
      <c r="AX6" s="30" t="s">
        <v>150</v>
      </c>
      <c r="AY6" s="30" t="s">
        <v>151</v>
      </c>
      <c r="AZ6" s="30" t="s">
        <v>152</v>
      </c>
      <c r="BA6" s="30" t="s">
        <v>153</v>
      </c>
      <c r="BB6" s="30" t="s">
        <v>154</v>
      </c>
      <c r="BC6" s="30" t="s">
        <v>155</v>
      </c>
      <c r="BD6" s="30" t="s">
        <v>156</v>
      </c>
      <c r="BE6" s="30" t="s">
        <v>157</v>
      </c>
      <c r="BF6" s="30" t="s">
        <v>158</v>
      </c>
      <c r="BG6" s="30" t="s">
        <v>159</v>
      </c>
      <c r="BH6" s="30" t="s">
        <v>160</v>
      </c>
      <c r="BI6" s="30" t="s">
        <v>161</v>
      </c>
      <c r="BJ6" s="30" t="s">
        <v>162</v>
      </c>
      <c r="BK6" s="30" t="s">
        <v>163</v>
      </c>
      <c r="BL6" s="30" t="s">
        <v>164</v>
      </c>
      <c r="BM6" s="30" t="s">
        <v>165</v>
      </c>
      <c r="BN6" s="30" t="s">
        <v>166</v>
      </c>
      <c r="BO6" s="30" t="s">
        <v>167</v>
      </c>
      <c r="BP6" s="30" t="s">
        <v>168</v>
      </c>
      <c r="BQ6" s="30" t="s">
        <v>169</v>
      </c>
      <c r="BR6" s="30" t="s">
        <v>170</v>
      </c>
      <c r="BS6" s="30" t="s">
        <v>171</v>
      </c>
      <c r="BT6" s="30" t="s">
        <v>172</v>
      </c>
      <c r="BU6" s="30" t="s">
        <v>173</v>
      </c>
      <c r="BV6" s="30" t="s">
        <v>174</v>
      </c>
      <c r="BW6" s="30" t="s">
        <v>175</v>
      </c>
      <c r="BX6" s="30" t="s">
        <v>176</v>
      </c>
      <c r="BY6" s="30" t="s">
        <v>177</v>
      </c>
      <c r="BZ6" s="30" t="s">
        <v>178</v>
      </c>
      <c r="CA6" s="30" t="s">
        <v>179</v>
      </c>
      <c r="CB6" s="30" t="s">
        <v>180</v>
      </c>
      <c r="CC6" s="30" t="s">
        <v>181</v>
      </c>
      <c r="CD6" s="30" t="s">
        <v>182</v>
      </c>
      <c r="CE6" s="30" t="s">
        <v>183</v>
      </c>
      <c r="CF6" s="30" t="s">
        <v>184</v>
      </c>
      <c r="CG6" s="30" t="s">
        <v>185</v>
      </c>
      <c r="CH6" s="30" t="s">
        <v>186</v>
      </c>
      <c r="CI6" s="30" t="s">
        <v>187</v>
      </c>
      <c r="CJ6" s="30" t="s">
        <v>188</v>
      </c>
      <c r="CK6" s="30" t="s">
        <v>189</v>
      </c>
      <c r="CL6" s="30" t="s">
        <v>190</v>
      </c>
    </row>
    <row r="8" spans="2:90" x14ac:dyDescent="0.25">
      <c r="B8" s="42" t="s">
        <v>286</v>
      </c>
      <c r="C8" s="32" t="s">
        <v>228</v>
      </c>
      <c r="D8" s="14">
        <f>SUM(E8:CL8)</f>
      </c>
      <c r="E8" s="14">
        <f>'Revenue'!E12</f>
      </c>
      <c r="F8" s="14">
        <f>'Revenue'!F12</f>
      </c>
      <c r="G8" s="14">
        <f>'Revenue'!G12</f>
      </c>
      <c r="H8" s="14">
        <f>'Revenue'!H12</f>
      </c>
      <c r="I8" s="14">
        <f>'Revenue'!I12</f>
      </c>
      <c r="J8" s="14">
        <f>'Revenue'!J12</f>
      </c>
      <c r="K8" s="14">
        <f>'Revenue'!K12</f>
      </c>
      <c r="L8" s="14">
        <f>'Revenue'!L12</f>
      </c>
      <c r="M8" s="14">
        <f>'Revenue'!M12</f>
      </c>
      <c r="N8" s="14">
        <f>'Revenue'!N12</f>
      </c>
      <c r="O8" s="14">
        <f>'Revenue'!O12</f>
      </c>
      <c r="P8" s="14">
        <f>'Revenue'!P12</f>
      </c>
      <c r="Q8" s="14">
        <f>'Revenue'!Q12</f>
      </c>
      <c r="R8" s="14">
        <f>'Revenue'!R12</f>
      </c>
      <c r="S8" s="14">
        <f>'Revenue'!S12</f>
      </c>
      <c r="T8" s="14">
        <f>'Revenue'!T12</f>
      </c>
      <c r="U8" s="14">
        <f>'Revenue'!U12</f>
      </c>
      <c r="V8" s="14">
        <f>'Revenue'!V12</f>
      </c>
      <c r="W8" s="14">
        <f>'Revenue'!W12</f>
      </c>
      <c r="X8" s="14">
        <f>'Revenue'!X12</f>
      </c>
      <c r="Y8" s="14">
        <f>'Revenue'!Y12</f>
      </c>
      <c r="Z8" s="14">
        <f>'Revenue'!Z12</f>
      </c>
      <c r="AA8" s="14">
        <f>'Revenue'!AA12</f>
      </c>
      <c r="AB8" s="14">
        <f>'Revenue'!AB12</f>
      </c>
      <c r="AC8" s="14">
        <f>'Revenue'!AC12</f>
      </c>
      <c r="AD8" s="14">
        <f>'Revenue'!AD12</f>
      </c>
      <c r="AE8" s="14">
        <f>'Revenue'!AE12</f>
      </c>
      <c r="AF8" s="14">
        <f>'Revenue'!AF12</f>
      </c>
      <c r="AG8" s="14">
        <f>'Revenue'!AG12</f>
      </c>
      <c r="AH8" s="14">
        <f>'Revenue'!AH12</f>
      </c>
      <c r="AI8" s="14">
        <f>'Revenue'!AI12</f>
      </c>
      <c r="AJ8" s="14">
        <f>'Revenue'!AJ12</f>
      </c>
      <c r="AK8" s="14">
        <f>'Revenue'!AK12</f>
      </c>
      <c r="AL8" s="14">
        <f>'Revenue'!AL12</f>
      </c>
      <c r="AM8" s="14">
        <f>'Revenue'!AM12</f>
      </c>
      <c r="AN8" s="14">
        <f>'Revenue'!AN12</f>
      </c>
      <c r="AO8" s="14">
        <f>'Revenue'!AO12</f>
      </c>
      <c r="AP8" s="14">
        <f>'Revenue'!AP12</f>
      </c>
      <c r="AQ8" s="14">
        <f>'Revenue'!AQ12</f>
      </c>
      <c r="AR8" s="14">
        <f>'Revenue'!AR12</f>
      </c>
      <c r="AS8" s="14">
        <f>'Revenue'!AS12</f>
      </c>
      <c r="AT8" s="14">
        <f>'Revenue'!AT12</f>
      </c>
      <c r="AU8" s="14">
        <f>'Revenue'!AU12</f>
      </c>
      <c r="AV8" s="14">
        <f>'Revenue'!AV12</f>
      </c>
      <c r="AW8" s="14">
        <f>'Revenue'!AW12</f>
      </c>
      <c r="AX8" s="14">
        <f>'Revenue'!AX12</f>
      </c>
      <c r="AY8" s="14">
        <f>'Revenue'!AY12</f>
      </c>
      <c r="AZ8" s="14">
        <f>'Revenue'!AZ12</f>
      </c>
      <c r="BA8" s="14">
        <f>'Revenue'!BA12</f>
      </c>
      <c r="BB8" s="14">
        <f>'Revenue'!BB12</f>
      </c>
      <c r="BC8" s="14">
        <f>'Revenue'!BC12</f>
      </c>
      <c r="BD8" s="14">
        <f>'Revenue'!BD12</f>
      </c>
      <c r="BE8" s="14">
        <f>'Revenue'!BE12</f>
      </c>
      <c r="BF8" s="14">
        <f>'Revenue'!BF12</f>
      </c>
      <c r="BG8" s="14">
        <f>'Revenue'!BG12</f>
      </c>
      <c r="BH8" s="14">
        <f>'Revenue'!BH12</f>
      </c>
      <c r="BI8" s="14">
        <f>'Revenue'!BI12</f>
      </c>
      <c r="BJ8" s="14">
        <f>'Revenue'!BJ12</f>
      </c>
      <c r="BK8" s="14">
        <f>'Revenue'!BK12</f>
      </c>
      <c r="BL8" s="14">
        <f>'Revenue'!BL12</f>
      </c>
      <c r="BM8" s="14">
        <f>'Revenue'!BM12</f>
      </c>
      <c r="BN8" s="14">
        <f>'Revenue'!BN12</f>
      </c>
      <c r="BO8" s="14">
        <f>'Revenue'!BO12</f>
      </c>
      <c r="BP8" s="14">
        <f>'Revenue'!BP12</f>
      </c>
      <c r="BQ8" s="14">
        <f>'Revenue'!BQ12</f>
      </c>
      <c r="BR8" s="14">
        <f>'Revenue'!BR12</f>
      </c>
      <c r="BS8" s="14">
        <f>'Revenue'!BS12</f>
      </c>
      <c r="BT8" s="14">
        <f>'Revenue'!BT12</f>
      </c>
      <c r="BU8" s="14">
        <f>'Revenue'!BU12</f>
      </c>
      <c r="BV8" s="14">
        <f>'Revenue'!BV12</f>
      </c>
      <c r="BW8" s="14">
        <f>'Revenue'!BW12</f>
      </c>
      <c r="BX8" s="14">
        <f>'Revenue'!BX12</f>
      </c>
      <c r="BY8" s="14">
        <f>'Revenue'!BY12</f>
      </c>
      <c r="BZ8" s="14">
        <f>'Revenue'!BZ12</f>
      </c>
      <c r="CA8" s="14">
        <f>'Revenue'!CA12</f>
      </c>
      <c r="CB8" s="14">
        <f>'Revenue'!CB12</f>
      </c>
      <c r="CC8" s="14">
        <f>'Revenue'!CC12</f>
      </c>
      <c r="CD8" s="14">
        <f>'Revenue'!CD12</f>
      </c>
      <c r="CE8" s="14">
        <f>'Revenue'!CE12</f>
      </c>
      <c r="CF8" s="14">
        <f>'Revenue'!CF12</f>
      </c>
      <c r="CG8" s="14">
        <f>'Revenue'!CG12</f>
      </c>
      <c r="CH8" s="14">
        <f>'Revenue'!CH12</f>
      </c>
      <c r="CI8" s="14">
        <f>'Revenue'!CI12</f>
      </c>
      <c r="CJ8" s="14">
        <f>'Revenue'!CJ12</f>
      </c>
      <c r="CK8" s="14">
        <f>'Revenue'!CK12</f>
      </c>
      <c r="CL8" s="14">
        <f>'Revenue'!CL12</f>
      </c>
    </row>
    <row r="10" spans="2:2" x14ac:dyDescent="0.25">
      <c r="B10" s="42" t="s">
        <v>309</v>
      </c>
    </row>
    <row r="11" spans="2:90" x14ac:dyDescent="0.25">
      <c r="B11" s="31" t="s">
        <v>291</v>
      </c>
      <c r="C11" s="32" t="s">
        <v>228</v>
      </c>
      <c r="D11" s="29">
        <f>SUM(E11:CL11)</f>
      </c>
      <c r="E11" s="29">
        <f>'Opex'!E9</f>
      </c>
      <c r="F11" s="29">
        <f>'Opex'!F9</f>
      </c>
      <c r="G11" s="29">
        <f>'Opex'!G9</f>
      </c>
      <c r="H11" s="29">
        <f>'Opex'!H9</f>
      </c>
      <c r="I11" s="29">
        <f>'Opex'!I9</f>
      </c>
      <c r="J11" s="29">
        <f>'Opex'!J9</f>
      </c>
      <c r="K11" s="29">
        <f>'Opex'!K9</f>
      </c>
      <c r="L11" s="29">
        <f>'Opex'!L9</f>
      </c>
      <c r="M11" s="29">
        <f>'Opex'!M9</f>
      </c>
      <c r="N11" s="29">
        <f>'Opex'!N9</f>
      </c>
      <c r="O11" s="29">
        <f>'Opex'!O9</f>
      </c>
      <c r="P11" s="29">
        <f>'Opex'!P9</f>
      </c>
      <c r="Q11" s="29">
        <f>'Opex'!Q9</f>
      </c>
      <c r="R11" s="29">
        <f>'Opex'!R9</f>
      </c>
      <c r="S11" s="29">
        <f>'Opex'!S9</f>
      </c>
      <c r="T11" s="29">
        <f>'Opex'!T9</f>
      </c>
      <c r="U11" s="29">
        <f>'Opex'!U9</f>
      </c>
      <c r="V11" s="29">
        <f>'Opex'!V9</f>
      </c>
      <c r="W11" s="29">
        <f>'Opex'!W9</f>
      </c>
      <c r="X11" s="29">
        <f>'Opex'!X9</f>
      </c>
      <c r="Y11" s="29">
        <f>'Opex'!Y9</f>
      </c>
      <c r="Z11" s="29">
        <f>'Opex'!Z9</f>
      </c>
      <c r="AA11" s="29">
        <f>'Opex'!AA9</f>
      </c>
      <c r="AB11" s="29">
        <f>'Opex'!AB9</f>
      </c>
      <c r="AC11" s="29">
        <f>'Opex'!AC9</f>
      </c>
      <c r="AD11" s="29">
        <f>'Opex'!AD9</f>
      </c>
      <c r="AE11" s="29">
        <f>'Opex'!AE9</f>
      </c>
      <c r="AF11" s="29">
        <f>'Opex'!AF9</f>
      </c>
      <c r="AG11" s="29">
        <f>'Opex'!AG9</f>
      </c>
      <c r="AH11" s="29">
        <f>'Opex'!AH9</f>
      </c>
      <c r="AI11" s="29">
        <f>'Opex'!AI9</f>
      </c>
      <c r="AJ11" s="29">
        <f>'Opex'!AJ9</f>
      </c>
      <c r="AK11" s="29">
        <f>'Opex'!AK9</f>
      </c>
      <c r="AL11" s="29">
        <f>'Opex'!AL9</f>
      </c>
      <c r="AM11" s="29">
        <f>'Opex'!AM9</f>
      </c>
      <c r="AN11" s="29">
        <f>'Opex'!AN9</f>
      </c>
      <c r="AO11" s="29">
        <f>'Opex'!AO9</f>
      </c>
      <c r="AP11" s="29">
        <f>'Opex'!AP9</f>
      </c>
      <c r="AQ11" s="29">
        <f>'Opex'!AQ9</f>
      </c>
      <c r="AR11" s="29">
        <f>'Opex'!AR9</f>
      </c>
      <c r="AS11" s="29">
        <f>'Opex'!AS9</f>
      </c>
      <c r="AT11" s="29">
        <f>'Opex'!AT9</f>
      </c>
      <c r="AU11" s="29">
        <f>'Opex'!AU9</f>
      </c>
      <c r="AV11" s="29">
        <f>'Opex'!AV9</f>
      </c>
      <c r="AW11" s="29">
        <f>'Opex'!AW9</f>
      </c>
      <c r="AX11" s="29">
        <f>'Opex'!AX9</f>
      </c>
      <c r="AY11" s="29">
        <f>'Opex'!AY9</f>
      </c>
      <c r="AZ11" s="29">
        <f>'Opex'!AZ9</f>
      </c>
      <c r="BA11" s="29">
        <f>'Opex'!BA9</f>
      </c>
      <c r="BB11" s="29">
        <f>'Opex'!BB9</f>
      </c>
      <c r="BC11" s="29">
        <f>'Opex'!BC9</f>
      </c>
      <c r="BD11" s="29">
        <f>'Opex'!BD9</f>
      </c>
      <c r="BE11" s="29">
        <f>'Opex'!BE9</f>
      </c>
      <c r="BF11" s="29">
        <f>'Opex'!BF9</f>
      </c>
      <c r="BG11" s="29">
        <f>'Opex'!BG9</f>
      </c>
      <c r="BH11" s="29">
        <f>'Opex'!BH9</f>
      </c>
      <c r="BI11" s="29">
        <f>'Opex'!BI9</f>
      </c>
      <c r="BJ11" s="29">
        <f>'Opex'!BJ9</f>
      </c>
      <c r="BK11" s="29">
        <f>'Opex'!BK9</f>
      </c>
      <c r="BL11" s="29">
        <f>'Opex'!BL9</f>
      </c>
      <c r="BM11" s="29">
        <f>'Opex'!BM9</f>
      </c>
      <c r="BN11" s="29">
        <f>'Opex'!BN9</f>
      </c>
      <c r="BO11" s="29">
        <f>'Opex'!BO9</f>
      </c>
      <c r="BP11" s="29">
        <f>'Opex'!BP9</f>
      </c>
      <c r="BQ11" s="29">
        <f>'Opex'!BQ9</f>
      </c>
      <c r="BR11" s="29">
        <f>'Opex'!BR9</f>
      </c>
      <c r="BS11" s="29">
        <f>'Opex'!BS9</f>
      </c>
      <c r="BT11" s="29">
        <f>'Opex'!BT9</f>
      </c>
      <c r="BU11" s="29">
        <f>'Opex'!BU9</f>
      </c>
      <c r="BV11" s="29">
        <f>'Opex'!BV9</f>
      </c>
      <c r="BW11" s="29">
        <f>'Opex'!BW9</f>
      </c>
      <c r="BX11" s="29">
        <f>'Opex'!BX9</f>
      </c>
      <c r="BY11" s="29">
        <f>'Opex'!BY9</f>
      </c>
      <c r="BZ11" s="29">
        <f>'Opex'!BZ9</f>
      </c>
      <c r="CA11" s="29">
        <f>'Opex'!CA9</f>
      </c>
      <c r="CB11" s="29">
        <f>'Opex'!CB9</f>
      </c>
      <c r="CC11" s="29">
        <f>'Opex'!CC9</f>
      </c>
      <c r="CD11" s="29">
        <f>'Opex'!CD9</f>
      </c>
      <c r="CE11" s="29">
        <f>'Opex'!CE9</f>
      </c>
      <c r="CF11" s="29">
        <f>'Opex'!CF9</f>
      </c>
      <c r="CG11" s="29">
        <f>'Opex'!CG9</f>
      </c>
      <c r="CH11" s="29">
        <f>'Opex'!CH9</f>
      </c>
      <c r="CI11" s="29">
        <f>'Opex'!CI9</f>
      </c>
      <c r="CJ11" s="29">
        <f>'Opex'!CJ9</f>
      </c>
      <c r="CK11" s="29">
        <f>'Opex'!CK9</f>
      </c>
      <c r="CL11" s="29">
        <f>'Opex'!CL9</f>
      </c>
    </row>
    <row r="12" spans="2:90" x14ac:dyDescent="0.25">
      <c r="B12" s="31" t="s">
        <v>292</v>
      </c>
      <c r="C12" s="32" t="s">
        <v>228</v>
      </c>
      <c r="D12" s="29">
        <f>SUM(E12:CL12)</f>
      </c>
      <c r="E12" s="29">
        <f>'Opex'!E10</f>
      </c>
      <c r="F12" s="29">
        <f>'Opex'!F10</f>
      </c>
      <c r="G12" s="29">
        <f>'Opex'!G10</f>
      </c>
      <c r="H12" s="29">
        <f>'Opex'!H10</f>
      </c>
      <c r="I12" s="29">
        <f>'Opex'!I10</f>
      </c>
      <c r="J12" s="29">
        <f>'Opex'!J10</f>
      </c>
      <c r="K12" s="29">
        <f>'Opex'!K10</f>
      </c>
      <c r="L12" s="29">
        <f>'Opex'!L10</f>
      </c>
      <c r="M12" s="29">
        <f>'Opex'!M10</f>
      </c>
      <c r="N12" s="29">
        <f>'Opex'!N10</f>
      </c>
      <c r="O12" s="29">
        <f>'Opex'!O10</f>
      </c>
      <c r="P12" s="29">
        <f>'Opex'!P10</f>
      </c>
      <c r="Q12" s="29">
        <f>'Opex'!Q10</f>
      </c>
      <c r="R12" s="29">
        <f>'Opex'!R10</f>
      </c>
      <c r="S12" s="29">
        <f>'Opex'!S10</f>
      </c>
      <c r="T12" s="29">
        <f>'Opex'!T10</f>
      </c>
      <c r="U12" s="29">
        <f>'Opex'!U10</f>
      </c>
      <c r="V12" s="29">
        <f>'Opex'!V10</f>
      </c>
      <c r="W12" s="29">
        <f>'Opex'!W10</f>
      </c>
      <c r="X12" s="29">
        <f>'Opex'!X10</f>
      </c>
      <c r="Y12" s="29">
        <f>'Opex'!Y10</f>
      </c>
      <c r="Z12" s="29">
        <f>'Opex'!Z10</f>
      </c>
      <c r="AA12" s="29">
        <f>'Opex'!AA10</f>
      </c>
      <c r="AB12" s="29">
        <f>'Opex'!AB10</f>
      </c>
      <c r="AC12" s="29">
        <f>'Opex'!AC10</f>
      </c>
      <c r="AD12" s="29">
        <f>'Opex'!AD10</f>
      </c>
      <c r="AE12" s="29">
        <f>'Opex'!AE10</f>
      </c>
      <c r="AF12" s="29">
        <f>'Opex'!AF10</f>
      </c>
      <c r="AG12" s="29">
        <f>'Opex'!AG10</f>
      </c>
      <c r="AH12" s="29">
        <f>'Opex'!AH10</f>
      </c>
      <c r="AI12" s="29">
        <f>'Opex'!AI10</f>
      </c>
      <c r="AJ12" s="29">
        <f>'Opex'!AJ10</f>
      </c>
      <c r="AK12" s="29">
        <f>'Opex'!AK10</f>
      </c>
      <c r="AL12" s="29">
        <f>'Opex'!AL10</f>
      </c>
      <c r="AM12" s="29">
        <f>'Opex'!AM10</f>
      </c>
      <c r="AN12" s="29">
        <f>'Opex'!AN10</f>
      </c>
      <c r="AO12" s="29">
        <f>'Opex'!AO10</f>
      </c>
      <c r="AP12" s="29">
        <f>'Opex'!AP10</f>
      </c>
      <c r="AQ12" s="29">
        <f>'Opex'!AQ10</f>
      </c>
      <c r="AR12" s="29">
        <f>'Opex'!AR10</f>
      </c>
      <c r="AS12" s="29">
        <f>'Opex'!AS10</f>
      </c>
      <c r="AT12" s="29">
        <f>'Opex'!AT10</f>
      </c>
      <c r="AU12" s="29">
        <f>'Opex'!AU10</f>
      </c>
      <c r="AV12" s="29">
        <f>'Opex'!AV10</f>
      </c>
      <c r="AW12" s="29">
        <f>'Opex'!AW10</f>
      </c>
      <c r="AX12" s="29">
        <f>'Opex'!AX10</f>
      </c>
      <c r="AY12" s="29">
        <f>'Opex'!AY10</f>
      </c>
      <c r="AZ12" s="29">
        <f>'Opex'!AZ10</f>
      </c>
      <c r="BA12" s="29">
        <f>'Opex'!BA10</f>
      </c>
      <c r="BB12" s="29">
        <f>'Opex'!BB10</f>
      </c>
      <c r="BC12" s="29">
        <f>'Opex'!BC10</f>
      </c>
      <c r="BD12" s="29">
        <f>'Opex'!BD10</f>
      </c>
      <c r="BE12" s="29">
        <f>'Opex'!BE10</f>
      </c>
      <c r="BF12" s="29">
        <f>'Opex'!BF10</f>
      </c>
      <c r="BG12" s="29">
        <f>'Opex'!BG10</f>
      </c>
      <c r="BH12" s="29">
        <f>'Opex'!BH10</f>
      </c>
      <c r="BI12" s="29">
        <f>'Opex'!BI10</f>
      </c>
      <c r="BJ12" s="29">
        <f>'Opex'!BJ10</f>
      </c>
      <c r="BK12" s="29">
        <f>'Opex'!BK10</f>
      </c>
      <c r="BL12" s="29">
        <f>'Opex'!BL10</f>
      </c>
      <c r="BM12" s="29">
        <f>'Opex'!BM10</f>
      </c>
      <c r="BN12" s="29">
        <f>'Opex'!BN10</f>
      </c>
      <c r="BO12" s="29">
        <f>'Opex'!BO10</f>
      </c>
      <c r="BP12" s="29">
        <f>'Opex'!BP10</f>
      </c>
      <c r="BQ12" s="29">
        <f>'Opex'!BQ10</f>
      </c>
      <c r="BR12" s="29">
        <f>'Opex'!BR10</f>
      </c>
      <c r="BS12" s="29">
        <f>'Opex'!BS10</f>
      </c>
      <c r="BT12" s="29">
        <f>'Opex'!BT10</f>
      </c>
      <c r="BU12" s="29">
        <f>'Opex'!BU10</f>
      </c>
      <c r="BV12" s="29">
        <f>'Opex'!BV10</f>
      </c>
      <c r="BW12" s="29">
        <f>'Opex'!BW10</f>
      </c>
      <c r="BX12" s="29">
        <f>'Opex'!BX10</f>
      </c>
      <c r="BY12" s="29">
        <f>'Opex'!BY10</f>
      </c>
      <c r="BZ12" s="29">
        <f>'Opex'!BZ10</f>
      </c>
      <c r="CA12" s="29">
        <f>'Opex'!CA10</f>
      </c>
      <c r="CB12" s="29">
        <f>'Opex'!CB10</f>
      </c>
      <c r="CC12" s="29">
        <f>'Opex'!CC10</f>
      </c>
      <c r="CD12" s="29">
        <f>'Opex'!CD10</f>
      </c>
      <c r="CE12" s="29">
        <f>'Opex'!CE10</f>
      </c>
      <c r="CF12" s="29">
        <f>'Opex'!CF10</f>
      </c>
      <c r="CG12" s="29">
        <f>'Opex'!CG10</f>
      </c>
      <c r="CH12" s="29">
        <f>'Opex'!CH10</f>
      </c>
      <c r="CI12" s="29">
        <f>'Opex'!CI10</f>
      </c>
      <c r="CJ12" s="29">
        <f>'Opex'!CJ10</f>
      </c>
      <c r="CK12" s="29">
        <f>'Opex'!CK10</f>
      </c>
      <c r="CL12" s="29">
        <f>'Opex'!CL10</f>
      </c>
    </row>
    <row r="13" spans="2:90" x14ac:dyDescent="0.25">
      <c r="B13" s="31" t="s">
        <v>293</v>
      </c>
      <c r="C13" s="32" t="s">
        <v>228</v>
      </c>
      <c r="D13" s="29">
        <f>SUM(E13:CL13)</f>
      </c>
      <c r="E13" s="29">
        <f>'Opex'!E11</f>
      </c>
      <c r="F13" s="29">
        <f>'Opex'!F11</f>
      </c>
      <c r="G13" s="29">
        <f>'Opex'!G11</f>
      </c>
      <c r="H13" s="29">
        <f>'Opex'!H11</f>
      </c>
      <c r="I13" s="29">
        <f>'Opex'!I11</f>
      </c>
      <c r="J13" s="29">
        <f>'Opex'!J11</f>
      </c>
      <c r="K13" s="29">
        <f>'Opex'!K11</f>
      </c>
      <c r="L13" s="29">
        <f>'Opex'!L11</f>
      </c>
      <c r="M13" s="29">
        <f>'Opex'!M11</f>
      </c>
      <c r="N13" s="29">
        <f>'Opex'!N11</f>
      </c>
      <c r="O13" s="29">
        <f>'Opex'!O11</f>
      </c>
      <c r="P13" s="29">
        <f>'Opex'!P11</f>
      </c>
      <c r="Q13" s="29">
        <f>'Opex'!Q11</f>
      </c>
      <c r="R13" s="29">
        <f>'Opex'!R11</f>
      </c>
      <c r="S13" s="29">
        <f>'Opex'!S11</f>
      </c>
      <c r="T13" s="29">
        <f>'Opex'!T11</f>
      </c>
      <c r="U13" s="29">
        <f>'Opex'!U11</f>
      </c>
      <c r="V13" s="29">
        <f>'Opex'!V11</f>
      </c>
      <c r="W13" s="29">
        <f>'Opex'!W11</f>
      </c>
      <c r="X13" s="29">
        <f>'Opex'!X11</f>
      </c>
      <c r="Y13" s="29">
        <f>'Opex'!Y11</f>
      </c>
      <c r="Z13" s="29">
        <f>'Opex'!Z11</f>
      </c>
      <c r="AA13" s="29">
        <f>'Opex'!AA11</f>
      </c>
      <c r="AB13" s="29">
        <f>'Opex'!AB11</f>
      </c>
      <c r="AC13" s="29">
        <f>'Opex'!AC11</f>
      </c>
      <c r="AD13" s="29">
        <f>'Opex'!AD11</f>
      </c>
      <c r="AE13" s="29">
        <f>'Opex'!AE11</f>
      </c>
      <c r="AF13" s="29">
        <f>'Opex'!AF11</f>
      </c>
      <c r="AG13" s="29">
        <f>'Opex'!AG11</f>
      </c>
      <c r="AH13" s="29">
        <f>'Opex'!AH11</f>
      </c>
      <c r="AI13" s="29">
        <f>'Opex'!AI11</f>
      </c>
      <c r="AJ13" s="29">
        <f>'Opex'!AJ11</f>
      </c>
      <c r="AK13" s="29">
        <f>'Opex'!AK11</f>
      </c>
      <c r="AL13" s="29">
        <f>'Opex'!AL11</f>
      </c>
      <c r="AM13" s="29">
        <f>'Opex'!AM11</f>
      </c>
      <c r="AN13" s="29">
        <f>'Opex'!AN11</f>
      </c>
      <c r="AO13" s="29">
        <f>'Opex'!AO11</f>
      </c>
      <c r="AP13" s="29">
        <f>'Opex'!AP11</f>
      </c>
      <c r="AQ13" s="29">
        <f>'Opex'!AQ11</f>
      </c>
      <c r="AR13" s="29">
        <f>'Opex'!AR11</f>
      </c>
      <c r="AS13" s="29">
        <f>'Opex'!AS11</f>
      </c>
      <c r="AT13" s="29">
        <f>'Opex'!AT11</f>
      </c>
      <c r="AU13" s="29">
        <f>'Opex'!AU11</f>
      </c>
      <c r="AV13" s="29">
        <f>'Opex'!AV11</f>
      </c>
      <c r="AW13" s="29">
        <f>'Opex'!AW11</f>
      </c>
      <c r="AX13" s="29">
        <f>'Opex'!AX11</f>
      </c>
      <c r="AY13" s="29">
        <f>'Opex'!AY11</f>
      </c>
      <c r="AZ13" s="29">
        <f>'Opex'!AZ11</f>
      </c>
      <c r="BA13" s="29">
        <f>'Opex'!BA11</f>
      </c>
      <c r="BB13" s="29">
        <f>'Opex'!BB11</f>
      </c>
      <c r="BC13" s="29">
        <f>'Opex'!BC11</f>
      </c>
      <c r="BD13" s="29">
        <f>'Opex'!BD11</f>
      </c>
      <c r="BE13" s="29">
        <f>'Opex'!BE11</f>
      </c>
      <c r="BF13" s="29">
        <f>'Opex'!BF11</f>
      </c>
      <c r="BG13" s="29">
        <f>'Opex'!BG11</f>
      </c>
      <c r="BH13" s="29">
        <f>'Opex'!BH11</f>
      </c>
      <c r="BI13" s="29">
        <f>'Opex'!BI11</f>
      </c>
      <c r="BJ13" s="29">
        <f>'Opex'!BJ11</f>
      </c>
      <c r="BK13" s="29">
        <f>'Opex'!BK11</f>
      </c>
      <c r="BL13" s="29">
        <f>'Opex'!BL11</f>
      </c>
      <c r="BM13" s="29">
        <f>'Opex'!BM11</f>
      </c>
      <c r="BN13" s="29">
        <f>'Opex'!BN11</f>
      </c>
      <c r="BO13" s="29">
        <f>'Opex'!BO11</f>
      </c>
      <c r="BP13" s="29">
        <f>'Opex'!BP11</f>
      </c>
      <c r="BQ13" s="29">
        <f>'Opex'!BQ11</f>
      </c>
      <c r="BR13" s="29">
        <f>'Opex'!BR11</f>
      </c>
      <c r="BS13" s="29">
        <f>'Opex'!BS11</f>
      </c>
      <c r="BT13" s="29">
        <f>'Opex'!BT11</f>
      </c>
      <c r="BU13" s="29">
        <f>'Opex'!BU11</f>
      </c>
      <c r="BV13" s="29">
        <f>'Opex'!BV11</f>
      </c>
      <c r="BW13" s="29">
        <f>'Opex'!BW11</f>
      </c>
      <c r="BX13" s="29">
        <f>'Opex'!BX11</f>
      </c>
      <c r="BY13" s="29">
        <f>'Opex'!BY11</f>
      </c>
      <c r="BZ13" s="29">
        <f>'Opex'!BZ11</f>
      </c>
      <c r="CA13" s="29">
        <f>'Opex'!CA11</f>
      </c>
      <c r="CB13" s="29">
        <f>'Opex'!CB11</f>
      </c>
      <c r="CC13" s="29">
        <f>'Opex'!CC11</f>
      </c>
      <c r="CD13" s="29">
        <f>'Opex'!CD11</f>
      </c>
      <c r="CE13" s="29">
        <f>'Opex'!CE11</f>
      </c>
      <c r="CF13" s="29">
        <f>'Opex'!CF11</f>
      </c>
      <c r="CG13" s="29">
        <f>'Opex'!CG11</f>
      </c>
      <c r="CH13" s="29">
        <f>'Opex'!CH11</f>
      </c>
      <c r="CI13" s="29">
        <f>'Opex'!CI11</f>
      </c>
      <c r="CJ13" s="29">
        <f>'Opex'!CJ11</f>
      </c>
      <c r="CK13" s="29">
        <f>'Opex'!CK11</f>
      </c>
      <c r="CL13" s="29">
        <f>'Opex'!CL11</f>
      </c>
    </row>
    <row r="14" spans="2:90" x14ac:dyDescent="0.25">
      <c r="B14" s="31" t="s">
        <v>294</v>
      </c>
      <c r="C14" s="32" t="s">
        <v>228</v>
      </c>
      <c r="D14" s="29">
        <f>SUM(E14:CL14)</f>
      </c>
      <c r="E14" s="29">
        <f>'Opex'!E12</f>
      </c>
      <c r="F14" s="29">
        <f>'Opex'!F12</f>
      </c>
      <c r="G14" s="29">
        <f>'Opex'!G12</f>
      </c>
      <c r="H14" s="29">
        <f>'Opex'!H12</f>
      </c>
      <c r="I14" s="29">
        <f>'Opex'!I12</f>
      </c>
      <c r="J14" s="29">
        <f>'Opex'!J12</f>
      </c>
      <c r="K14" s="29">
        <f>'Opex'!K12</f>
      </c>
      <c r="L14" s="29">
        <f>'Opex'!L12</f>
      </c>
      <c r="M14" s="29">
        <f>'Opex'!M12</f>
      </c>
      <c r="N14" s="29">
        <f>'Opex'!N12</f>
      </c>
      <c r="O14" s="29">
        <f>'Opex'!O12</f>
      </c>
      <c r="P14" s="29">
        <f>'Opex'!P12</f>
      </c>
      <c r="Q14" s="29">
        <f>'Opex'!Q12</f>
      </c>
      <c r="R14" s="29">
        <f>'Opex'!R12</f>
      </c>
      <c r="S14" s="29">
        <f>'Opex'!S12</f>
      </c>
      <c r="T14" s="29">
        <f>'Opex'!T12</f>
      </c>
      <c r="U14" s="29">
        <f>'Opex'!U12</f>
      </c>
      <c r="V14" s="29">
        <f>'Opex'!V12</f>
      </c>
      <c r="W14" s="29">
        <f>'Opex'!W12</f>
      </c>
      <c r="X14" s="29">
        <f>'Opex'!X12</f>
      </c>
      <c r="Y14" s="29">
        <f>'Opex'!Y12</f>
      </c>
      <c r="Z14" s="29">
        <f>'Opex'!Z12</f>
      </c>
      <c r="AA14" s="29">
        <f>'Opex'!AA12</f>
      </c>
      <c r="AB14" s="29">
        <f>'Opex'!AB12</f>
      </c>
      <c r="AC14" s="29">
        <f>'Opex'!AC12</f>
      </c>
      <c r="AD14" s="29">
        <f>'Opex'!AD12</f>
      </c>
      <c r="AE14" s="29">
        <f>'Opex'!AE12</f>
      </c>
      <c r="AF14" s="29">
        <f>'Opex'!AF12</f>
      </c>
      <c r="AG14" s="29">
        <f>'Opex'!AG12</f>
      </c>
      <c r="AH14" s="29">
        <f>'Opex'!AH12</f>
      </c>
      <c r="AI14" s="29">
        <f>'Opex'!AI12</f>
      </c>
      <c r="AJ14" s="29">
        <f>'Opex'!AJ12</f>
      </c>
      <c r="AK14" s="29">
        <f>'Opex'!AK12</f>
      </c>
      <c r="AL14" s="29">
        <f>'Opex'!AL12</f>
      </c>
      <c r="AM14" s="29">
        <f>'Opex'!AM12</f>
      </c>
      <c r="AN14" s="29">
        <f>'Opex'!AN12</f>
      </c>
      <c r="AO14" s="29">
        <f>'Opex'!AO12</f>
      </c>
      <c r="AP14" s="29">
        <f>'Opex'!AP12</f>
      </c>
      <c r="AQ14" s="29">
        <f>'Opex'!AQ12</f>
      </c>
      <c r="AR14" s="29">
        <f>'Opex'!AR12</f>
      </c>
      <c r="AS14" s="29">
        <f>'Opex'!AS12</f>
      </c>
      <c r="AT14" s="29">
        <f>'Opex'!AT12</f>
      </c>
      <c r="AU14" s="29">
        <f>'Opex'!AU12</f>
      </c>
      <c r="AV14" s="29">
        <f>'Opex'!AV12</f>
      </c>
      <c r="AW14" s="29">
        <f>'Opex'!AW12</f>
      </c>
      <c r="AX14" s="29">
        <f>'Opex'!AX12</f>
      </c>
      <c r="AY14" s="29">
        <f>'Opex'!AY12</f>
      </c>
      <c r="AZ14" s="29">
        <f>'Opex'!AZ12</f>
      </c>
      <c r="BA14" s="29">
        <f>'Opex'!BA12</f>
      </c>
      <c r="BB14" s="29">
        <f>'Opex'!BB12</f>
      </c>
      <c r="BC14" s="29">
        <f>'Opex'!BC12</f>
      </c>
      <c r="BD14" s="29">
        <f>'Opex'!BD12</f>
      </c>
      <c r="BE14" s="29">
        <f>'Opex'!BE12</f>
      </c>
      <c r="BF14" s="29">
        <f>'Opex'!BF12</f>
      </c>
      <c r="BG14" s="29">
        <f>'Opex'!BG12</f>
      </c>
      <c r="BH14" s="29">
        <f>'Opex'!BH12</f>
      </c>
      <c r="BI14" s="29">
        <f>'Opex'!BI12</f>
      </c>
      <c r="BJ14" s="29">
        <f>'Opex'!BJ12</f>
      </c>
      <c r="BK14" s="29">
        <f>'Opex'!BK12</f>
      </c>
      <c r="BL14" s="29">
        <f>'Opex'!BL12</f>
      </c>
      <c r="BM14" s="29">
        <f>'Opex'!BM12</f>
      </c>
      <c r="BN14" s="29">
        <f>'Opex'!BN12</f>
      </c>
      <c r="BO14" s="29">
        <f>'Opex'!BO12</f>
      </c>
      <c r="BP14" s="29">
        <f>'Opex'!BP12</f>
      </c>
      <c r="BQ14" s="29">
        <f>'Opex'!BQ12</f>
      </c>
      <c r="BR14" s="29">
        <f>'Opex'!BR12</f>
      </c>
      <c r="BS14" s="29">
        <f>'Opex'!BS12</f>
      </c>
      <c r="BT14" s="29">
        <f>'Opex'!BT12</f>
      </c>
      <c r="BU14" s="29">
        <f>'Opex'!BU12</f>
      </c>
      <c r="BV14" s="29">
        <f>'Opex'!BV12</f>
      </c>
      <c r="BW14" s="29">
        <f>'Opex'!BW12</f>
      </c>
      <c r="BX14" s="29">
        <f>'Opex'!BX12</f>
      </c>
      <c r="BY14" s="29">
        <f>'Opex'!BY12</f>
      </c>
      <c r="BZ14" s="29">
        <f>'Opex'!BZ12</f>
      </c>
      <c r="CA14" s="29">
        <f>'Opex'!CA12</f>
      </c>
      <c r="CB14" s="29">
        <f>'Opex'!CB12</f>
      </c>
      <c r="CC14" s="29">
        <f>'Opex'!CC12</f>
      </c>
      <c r="CD14" s="29">
        <f>'Opex'!CD12</f>
      </c>
      <c r="CE14" s="29">
        <f>'Opex'!CE12</f>
      </c>
      <c r="CF14" s="29">
        <f>'Opex'!CF12</f>
      </c>
      <c r="CG14" s="29">
        <f>'Opex'!CG12</f>
      </c>
      <c r="CH14" s="29">
        <f>'Opex'!CH12</f>
      </c>
      <c r="CI14" s="29">
        <f>'Opex'!CI12</f>
      </c>
      <c r="CJ14" s="29">
        <f>'Opex'!CJ12</f>
      </c>
      <c r="CK14" s="29">
        <f>'Opex'!CK12</f>
      </c>
      <c r="CL14" s="29">
        <f>'Opex'!CL12</f>
      </c>
    </row>
    <row r="15" spans="2:90" x14ac:dyDescent="0.25">
      <c r="B15" s="31" t="s">
        <v>295</v>
      </c>
      <c r="C15" s="32" t="s">
        <v>228</v>
      </c>
      <c r="D15" s="29">
        <f>SUM(E15:CL15)</f>
      </c>
      <c r="E15" s="29">
        <f>'Opex'!E13</f>
      </c>
      <c r="F15" s="29">
        <f>'Opex'!F13</f>
      </c>
      <c r="G15" s="29">
        <f>'Opex'!G13</f>
      </c>
      <c r="H15" s="29">
        <f>'Opex'!H13</f>
      </c>
      <c r="I15" s="29">
        <f>'Opex'!I13</f>
      </c>
      <c r="J15" s="29">
        <f>'Opex'!J13</f>
      </c>
      <c r="K15" s="29">
        <f>'Opex'!K13</f>
      </c>
      <c r="L15" s="29">
        <f>'Opex'!L13</f>
      </c>
      <c r="M15" s="29">
        <f>'Opex'!M13</f>
      </c>
      <c r="N15" s="29">
        <f>'Opex'!N13</f>
      </c>
      <c r="O15" s="29">
        <f>'Opex'!O13</f>
      </c>
      <c r="P15" s="29">
        <f>'Opex'!P13</f>
      </c>
      <c r="Q15" s="29">
        <f>'Opex'!Q13</f>
      </c>
      <c r="R15" s="29">
        <f>'Opex'!R13</f>
      </c>
      <c r="S15" s="29">
        <f>'Opex'!S13</f>
      </c>
      <c r="T15" s="29">
        <f>'Opex'!T13</f>
      </c>
      <c r="U15" s="29">
        <f>'Opex'!U13</f>
      </c>
      <c r="V15" s="29">
        <f>'Opex'!V13</f>
      </c>
      <c r="W15" s="29">
        <f>'Opex'!W13</f>
      </c>
      <c r="X15" s="29">
        <f>'Opex'!X13</f>
      </c>
      <c r="Y15" s="29">
        <f>'Opex'!Y13</f>
      </c>
      <c r="Z15" s="29">
        <f>'Opex'!Z13</f>
      </c>
      <c r="AA15" s="29">
        <f>'Opex'!AA13</f>
      </c>
      <c r="AB15" s="29">
        <f>'Opex'!AB13</f>
      </c>
      <c r="AC15" s="29">
        <f>'Opex'!AC13</f>
      </c>
      <c r="AD15" s="29">
        <f>'Opex'!AD13</f>
      </c>
      <c r="AE15" s="29">
        <f>'Opex'!AE13</f>
      </c>
      <c r="AF15" s="29">
        <f>'Opex'!AF13</f>
      </c>
      <c r="AG15" s="29">
        <f>'Opex'!AG13</f>
      </c>
      <c r="AH15" s="29">
        <f>'Opex'!AH13</f>
      </c>
      <c r="AI15" s="29">
        <f>'Opex'!AI13</f>
      </c>
      <c r="AJ15" s="29">
        <f>'Opex'!AJ13</f>
      </c>
      <c r="AK15" s="29">
        <f>'Opex'!AK13</f>
      </c>
      <c r="AL15" s="29">
        <f>'Opex'!AL13</f>
      </c>
      <c r="AM15" s="29">
        <f>'Opex'!AM13</f>
      </c>
      <c r="AN15" s="29">
        <f>'Opex'!AN13</f>
      </c>
      <c r="AO15" s="29">
        <f>'Opex'!AO13</f>
      </c>
      <c r="AP15" s="29">
        <f>'Opex'!AP13</f>
      </c>
      <c r="AQ15" s="29">
        <f>'Opex'!AQ13</f>
      </c>
      <c r="AR15" s="29">
        <f>'Opex'!AR13</f>
      </c>
      <c r="AS15" s="29">
        <f>'Opex'!AS13</f>
      </c>
      <c r="AT15" s="29">
        <f>'Opex'!AT13</f>
      </c>
      <c r="AU15" s="29">
        <f>'Opex'!AU13</f>
      </c>
      <c r="AV15" s="29">
        <f>'Opex'!AV13</f>
      </c>
      <c r="AW15" s="29">
        <f>'Opex'!AW13</f>
      </c>
      <c r="AX15" s="29">
        <f>'Opex'!AX13</f>
      </c>
      <c r="AY15" s="29">
        <f>'Opex'!AY13</f>
      </c>
      <c r="AZ15" s="29">
        <f>'Opex'!AZ13</f>
      </c>
      <c r="BA15" s="29">
        <f>'Opex'!BA13</f>
      </c>
      <c r="BB15" s="29">
        <f>'Opex'!BB13</f>
      </c>
      <c r="BC15" s="29">
        <f>'Opex'!BC13</f>
      </c>
      <c r="BD15" s="29">
        <f>'Opex'!BD13</f>
      </c>
      <c r="BE15" s="29">
        <f>'Opex'!BE13</f>
      </c>
      <c r="BF15" s="29">
        <f>'Opex'!BF13</f>
      </c>
      <c r="BG15" s="29">
        <f>'Opex'!BG13</f>
      </c>
      <c r="BH15" s="29">
        <f>'Opex'!BH13</f>
      </c>
      <c r="BI15" s="29">
        <f>'Opex'!BI13</f>
      </c>
      <c r="BJ15" s="29">
        <f>'Opex'!BJ13</f>
      </c>
      <c r="BK15" s="29">
        <f>'Opex'!BK13</f>
      </c>
      <c r="BL15" s="29">
        <f>'Opex'!BL13</f>
      </c>
      <c r="BM15" s="29">
        <f>'Opex'!BM13</f>
      </c>
      <c r="BN15" s="29">
        <f>'Opex'!BN13</f>
      </c>
      <c r="BO15" s="29">
        <f>'Opex'!BO13</f>
      </c>
      <c r="BP15" s="29">
        <f>'Opex'!BP13</f>
      </c>
      <c r="BQ15" s="29">
        <f>'Opex'!BQ13</f>
      </c>
      <c r="BR15" s="29">
        <f>'Opex'!BR13</f>
      </c>
      <c r="BS15" s="29">
        <f>'Opex'!BS13</f>
      </c>
      <c r="BT15" s="29">
        <f>'Opex'!BT13</f>
      </c>
      <c r="BU15" s="29">
        <f>'Opex'!BU13</f>
      </c>
      <c r="BV15" s="29">
        <f>'Opex'!BV13</f>
      </c>
      <c r="BW15" s="29">
        <f>'Opex'!BW13</f>
      </c>
      <c r="BX15" s="29">
        <f>'Opex'!BX13</f>
      </c>
      <c r="BY15" s="29">
        <f>'Opex'!BY13</f>
      </c>
      <c r="BZ15" s="29">
        <f>'Opex'!BZ13</f>
      </c>
      <c r="CA15" s="29">
        <f>'Opex'!CA13</f>
      </c>
      <c r="CB15" s="29">
        <f>'Opex'!CB13</f>
      </c>
      <c r="CC15" s="29">
        <f>'Opex'!CC13</f>
      </c>
      <c r="CD15" s="29">
        <f>'Opex'!CD13</f>
      </c>
      <c r="CE15" s="29">
        <f>'Opex'!CE13</f>
      </c>
      <c r="CF15" s="29">
        <f>'Opex'!CF13</f>
      </c>
      <c r="CG15" s="29">
        <f>'Opex'!CG13</f>
      </c>
      <c r="CH15" s="29">
        <f>'Opex'!CH13</f>
      </c>
      <c r="CI15" s="29">
        <f>'Opex'!CI13</f>
      </c>
      <c r="CJ15" s="29">
        <f>'Opex'!CJ13</f>
      </c>
      <c r="CK15" s="29">
        <f>'Opex'!CK13</f>
      </c>
      <c r="CL15" s="29">
        <f>'Opex'!CL13</f>
      </c>
    </row>
    <row r="16" spans="2:90" x14ac:dyDescent="0.25">
      <c r="B16" s="31" t="s">
        <v>296</v>
      </c>
      <c r="C16" s="32" t="s">
        <v>228</v>
      </c>
      <c r="D16" s="29">
        <f>SUM(E16:CL16)</f>
      </c>
      <c r="E16" s="29">
        <f>'Opex'!E14</f>
      </c>
      <c r="F16" s="29">
        <f>'Opex'!F14</f>
      </c>
      <c r="G16" s="29">
        <f>'Opex'!G14</f>
      </c>
      <c r="H16" s="29">
        <f>'Opex'!H14</f>
      </c>
      <c r="I16" s="29">
        <f>'Opex'!I14</f>
      </c>
      <c r="J16" s="29">
        <f>'Opex'!J14</f>
      </c>
      <c r="K16" s="29">
        <f>'Opex'!K14</f>
      </c>
      <c r="L16" s="29">
        <f>'Opex'!L14</f>
      </c>
      <c r="M16" s="29">
        <f>'Opex'!M14</f>
      </c>
      <c r="N16" s="29">
        <f>'Opex'!N14</f>
      </c>
      <c r="O16" s="29">
        <f>'Opex'!O14</f>
      </c>
      <c r="P16" s="29">
        <f>'Opex'!P14</f>
      </c>
      <c r="Q16" s="29">
        <f>'Opex'!Q14</f>
      </c>
      <c r="R16" s="29">
        <f>'Opex'!R14</f>
      </c>
      <c r="S16" s="29">
        <f>'Opex'!S14</f>
      </c>
      <c r="T16" s="29">
        <f>'Opex'!T14</f>
      </c>
      <c r="U16" s="29">
        <f>'Opex'!U14</f>
      </c>
      <c r="V16" s="29">
        <f>'Opex'!V14</f>
      </c>
      <c r="W16" s="29">
        <f>'Opex'!W14</f>
      </c>
      <c r="X16" s="29">
        <f>'Opex'!X14</f>
      </c>
      <c r="Y16" s="29">
        <f>'Opex'!Y14</f>
      </c>
      <c r="Z16" s="29">
        <f>'Opex'!Z14</f>
      </c>
      <c r="AA16" s="29">
        <f>'Opex'!AA14</f>
      </c>
      <c r="AB16" s="29">
        <f>'Opex'!AB14</f>
      </c>
      <c r="AC16" s="29">
        <f>'Opex'!AC14</f>
      </c>
      <c r="AD16" s="29">
        <f>'Opex'!AD14</f>
      </c>
      <c r="AE16" s="29">
        <f>'Opex'!AE14</f>
      </c>
      <c r="AF16" s="29">
        <f>'Opex'!AF14</f>
      </c>
      <c r="AG16" s="29">
        <f>'Opex'!AG14</f>
      </c>
      <c r="AH16" s="29">
        <f>'Opex'!AH14</f>
      </c>
      <c r="AI16" s="29">
        <f>'Opex'!AI14</f>
      </c>
      <c r="AJ16" s="29">
        <f>'Opex'!AJ14</f>
      </c>
      <c r="AK16" s="29">
        <f>'Opex'!AK14</f>
      </c>
      <c r="AL16" s="29">
        <f>'Opex'!AL14</f>
      </c>
      <c r="AM16" s="29">
        <f>'Opex'!AM14</f>
      </c>
      <c r="AN16" s="29">
        <f>'Opex'!AN14</f>
      </c>
      <c r="AO16" s="29">
        <f>'Opex'!AO14</f>
      </c>
      <c r="AP16" s="29">
        <f>'Opex'!AP14</f>
      </c>
      <c r="AQ16" s="29">
        <f>'Opex'!AQ14</f>
      </c>
      <c r="AR16" s="29">
        <f>'Opex'!AR14</f>
      </c>
      <c r="AS16" s="29">
        <f>'Opex'!AS14</f>
      </c>
      <c r="AT16" s="29">
        <f>'Opex'!AT14</f>
      </c>
      <c r="AU16" s="29">
        <f>'Opex'!AU14</f>
      </c>
      <c r="AV16" s="29">
        <f>'Opex'!AV14</f>
      </c>
      <c r="AW16" s="29">
        <f>'Opex'!AW14</f>
      </c>
      <c r="AX16" s="29">
        <f>'Opex'!AX14</f>
      </c>
      <c r="AY16" s="29">
        <f>'Opex'!AY14</f>
      </c>
      <c r="AZ16" s="29">
        <f>'Opex'!AZ14</f>
      </c>
      <c r="BA16" s="29">
        <f>'Opex'!BA14</f>
      </c>
      <c r="BB16" s="29">
        <f>'Opex'!BB14</f>
      </c>
      <c r="BC16" s="29">
        <f>'Opex'!BC14</f>
      </c>
      <c r="BD16" s="29">
        <f>'Opex'!BD14</f>
      </c>
      <c r="BE16" s="29">
        <f>'Opex'!BE14</f>
      </c>
      <c r="BF16" s="29">
        <f>'Opex'!BF14</f>
      </c>
      <c r="BG16" s="29">
        <f>'Opex'!BG14</f>
      </c>
      <c r="BH16" s="29">
        <f>'Opex'!BH14</f>
      </c>
      <c r="BI16" s="29">
        <f>'Opex'!BI14</f>
      </c>
      <c r="BJ16" s="29">
        <f>'Opex'!BJ14</f>
      </c>
      <c r="BK16" s="29">
        <f>'Opex'!BK14</f>
      </c>
      <c r="BL16" s="29">
        <f>'Opex'!BL14</f>
      </c>
      <c r="BM16" s="29">
        <f>'Opex'!BM14</f>
      </c>
      <c r="BN16" s="29">
        <f>'Opex'!BN14</f>
      </c>
      <c r="BO16" s="29">
        <f>'Opex'!BO14</f>
      </c>
      <c r="BP16" s="29">
        <f>'Opex'!BP14</f>
      </c>
      <c r="BQ16" s="29">
        <f>'Opex'!BQ14</f>
      </c>
      <c r="BR16" s="29">
        <f>'Opex'!BR14</f>
      </c>
      <c r="BS16" s="29">
        <f>'Opex'!BS14</f>
      </c>
      <c r="BT16" s="29">
        <f>'Opex'!BT14</f>
      </c>
      <c r="BU16" s="29">
        <f>'Opex'!BU14</f>
      </c>
      <c r="BV16" s="29">
        <f>'Opex'!BV14</f>
      </c>
      <c r="BW16" s="29">
        <f>'Opex'!BW14</f>
      </c>
      <c r="BX16" s="29">
        <f>'Opex'!BX14</f>
      </c>
      <c r="BY16" s="29">
        <f>'Opex'!BY14</f>
      </c>
      <c r="BZ16" s="29">
        <f>'Opex'!BZ14</f>
      </c>
      <c r="CA16" s="29">
        <f>'Opex'!CA14</f>
      </c>
      <c r="CB16" s="29">
        <f>'Opex'!CB14</f>
      </c>
      <c r="CC16" s="29">
        <f>'Opex'!CC14</f>
      </c>
      <c r="CD16" s="29">
        <f>'Opex'!CD14</f>
      </c>
      <c r="CE16" s="29">
        <f>'Opex'!CE14</f>
      </c>
      <c r="CF16" s="29">
        <f>'Opex'!CF14</f>
      </c>
      <c r="CG16" s="29">
        <f>'Opex'!CG14</f>
      </c>
      <c r="CH16" s="29">
        <f>'Opex'!CH14</f>
      </c>
      <c r="CI16" s="29">
        <f>'Opex'!CI14</f>
      </c>
      <c r="CJ16" s="29">
        <f>'Opex'!CJ14</f>
      </c>
      <c r="CK16" s="29">
        <f>'Opex'!CK14</f>
      </c>
      <c r="CL16" s="29">
        <f>'Opex'!CL14</f>
      </c>
    </row>
    <row r="17" spans="2:90" x14ac:dyDescent="0.25">
      <c r="B17" s="31" t="s">
        <v>297</v>
      </c>
      <c r="C17" s="32" t="s">
        <v>228</v>
      </c>
      <c r="D17" s="29">
        <f>SUM(E17:CL17)</f>
      </c>
      <c r="E17" s="29">
        <f>'Opex'!E15</f>
      </c>
      <c r="F17" s="29">
        <f>'Opex'!F15</f>
      </c>
      <c r="G17" s="29">
        <f>'Opex'!G15</f>
      </c>
      <c r="H17" s="29">
        <f>'Opex'!H15</f>
      </c>
      <c r="I17" s="29">
        <f>'Opex'!I15</f>
      </c>
      <c r="J17" s="29">
        <f>'Opex'!J15</f>
      </c>
      <c r="K17" s="29">
        <f>'Opex'!K15</f>
      </c>
      <c r="L17" s="29">
        <f>'Opex'!L15</f>
      </c>
      <c r="M17" s="29">
        <f>'Opex'!M15</f>
      </c>
      <c r="N17" s="29">
        <f>'Opex'!N15</f>
      </c>
      <c r="O17" s="29">
        <f>'Opex'!O15</f>
      </c>
      <c r="P17" s="29">
        <f>'Opex'!P15</f>
      </c>
      <c r="Q17" s="29">
        <f>'Opex'!Q15</f>
      </c>
      <c r="R17" s="29">
        <f>'Opex'!R15</f>
      </c>
      <c r="S17" s="29">
        <f>'Opex'!S15</f>
      </c>
      <c r="T17" s="29">
        <f>'Opex'!T15</f>
      </c>
      <c r="U17" s="29">
        <f>'Opex'!U15</f>
      </c>
      <c r="V17" s="29">
        <f>'Opex'!V15</f>
      </c>
      <c r="W17" s="29">
        <f>'Opex'!W15</f>
      </c>
      <c r="X17" s="29">
        <f>'Opex'!X15</f>
      </c>
      <c r="Y17" s="29">
        <f>'Opex'!Y15</f>
      </c>
      <c r="Z17" s="29">
        <f>'Opex'!Z15</f>
      </c>
      <c r="AA17" s="29">
        <f>'Opex'!AA15</f>
      </c>
      <c r="AB17" s="29">
        <f>'Opex'!AB15</f>
      </c>
      <c r="AC17" s="29">
        <f>'Opex'!AC15</f>
      </c>
      <c r="AD17" s="29">
        <f>'Opex'!AD15</f>
      </c>
      <c r="AE17" s="29">
        <f>'Opex'!AE15</f>
      </c>
      <c r="AF17" s="29">
        <f>'Opex'!AF15</f>
      </c>
      <c r="AG17" s="29">
        <f>'Opex'!AG15</f>
      </c>
      <c r="AH17" s="29">
        <f>'Opex'!AH15</f>
      </c>
      <c r="AI17" s="29">
        <f>'Opex'!AI15</f>
      </c>
      <c r="AJ17" s="29">
        <f>'Opex'!AJ15</f>
      </c>
      <c r="AK17" s="29">
        <f>'Opex'!AK15</f>
      </c>
      <c r="AL17" s="29">
        <f>'Opex'!AL15</f>
      </c>
      <c r="AM17" s="29">
        <f>'Opex'!AM15</f>
      </c>
      <c r="AN17" s="29">
        <f>'Opex'!AN15</f>
      </c>
      <c r="AO17" s="29">
        <f>'Opex'!AO15</f>
      </c>
      <c r="AP17" s="29">
        <f>'Opex'!AP15</f>
      </c>
      <c r="AQ17" s="29">
        <f>'Opex'!AQ15</f>
      </c>
      <c r="AR17" s="29">
        <f>'Opex'!AR15</f>
      </c>
      <c r="AS17" s="29">
        <f>'Opex'!AS15</f>
      </c>
      <c r="AT17" s="29">
        <f>'Opex'!AT15</f>
      </c>
      <c r="AU17" s="29">
        <f>'Opex'!AU15</f>
      </c>
      <c r="AV17" s="29">
        <f>'Opex'!AV15</f>
      </c>
      <c r="AW17" s="29">
        <f>'Opex'!AW15</f>
      </c>
      <c r="AX17" s="29">
        <f>'Opex'!AX15</f>
      </c>
      <c r="AY17" s="29">
        <f>'Opex'!AY15</f>
      </c>
      <c r="AZ17" s="29">
        <f>'Opex'!AZ15</f>
      </c>
      <c r="BA17" s="29">
        <f>'Opex'!BA15</f>
      </c>
      <c r="BB17" s="29">
        <f>'Opex'!BB15</f>
      </c>
      <c r="BC17" s="29">
        <f>'Opex'!BC15</f>
      </c>
      <c r="BD17" s="29">
        <f>'Opex'!BD15</f>
      </c>
      <c r="BE17" s="29">
        <f>'Opex'!BE15</f>
      </c>
      <c r="BF17" s="29">
        <f>'Opex'!BF15</f>
      </c>
      <c r="BG17" s="29">
        <f>'Opex'!BG15</f>
      </c>
      <c r="BH17" s="29">
        <f>'Opex'!BH15</f>
      </c>
      <c r="BI17" s="29">
        <f>'Opex'!BI15</f>
      </c>
      <c r="BJ17" s="29">
        <f>'Opex'!BJ15</f>
      </c>
      <c r="BK17" s="29">
        <f>'Opex'!BK15</f>
      </c>
      <c r="BL17" s="29">
        <f>'Opex'!BL15</f>
      </c>
      <c r="BM17" s="29">
        <f>'Opex'!BM15</f>
      </c>
      <c r="BN17" s="29">
        <f>'Opex'!BN15</f>
      </c>
      <c r="BO17" s="29">
        <f>'Opex'!BO15</f>
      </c>
      <c r="BP17" s="29">
        <f>'Opex'!BP15</f>
      </c>
      <c r="BQ17" s="29">
        <f>'Opex'!BQ15</f>
      </c>
      <c r="BR17" s="29">
        <f>'Opex'!BR15</f>
      </c>
      <c r="BS17" s="29">
        <f>'Opex'!BS15</f>
      </c>
      <c r="BT17" s="29">
        <f>'Opex'!BT15</f>
      </c>
      <c r="BU17" s="29">
        <f>'Opex'!BU15</f>
      </c>
      <c r="BV17" s="29">
        <f>'Opex'!BV15</f>
      </c>
      <c r="BW17" s="29">
        <f>'Opex'!BW15</f>
      </c>
      <c r="BX17" s="29">
        <f>'Opex'!BX15</f>
      </c>
      <c r="BY17" s="29">
        <f>'Opex'!BY15</f>
      </c>
      <c r="BZ17" s="29">
        <f>'Opex'!BZ15</f>
      </c>
      <c r="CA17" s="29">
        <f>'Opex'!CA15</f>
      </c>
      <c r="CB17" s="29">
        <f>'Opex'!CB15</f>
      </c>
      <c r="CC17" s="29">
        <f>'Opex'!CC15</f>
      </c>
      <c r="CD17" s="29">
        <f>'Opex'!CD15</f>
      </c>
      <c r="CE17" s="29">
        <f>'Opex'!CE15</f>
      </c>
      <c r="CF17" s="29">
        <f>'Opex'!CF15</f>
      </c>
      <c r="CG17" s="29">
        <f>'Opex'!CG15</f>
      </c>
      <c r="CH17" s="29">
        <f>'Opex'!CH15</f>
      </c>
      <c r="CI17" s="29">
        <f>'Opex'!CI15</f>
      </c>
      <c r="CJ17" s="29">
        <f>'Opex'!CJ15</f>
      </c>
      <c r="CK17" s="29">
        <f>'Opex'!CK15</f>
      </c>
      <c r="CL17" s="29">
        <f>'Opex'!CL15</f>
      </c>
    </row>
    <row r="18" spans="2:90" x14ac:dyDescent="0.25">
      <c r="B18" s="31" t="s">
        <v>298</v>
      </c>
      <c r="C18" s="32" t="s">
        <v>228</v>
      </c>
      <c r="D18" s="29">
        <f>SUM(E18:CL18)</f>
      </c>
      <c r="E18" s="29">
        <f>'Opex'!E16</f>
      </c>
      <c r="F18" s="29">
        <f>'Opex'!F16</f>
      </c>
      <c r="G18" s="29">
        <f>'Opex'!G16</f>
      </c>
      <c r="H18" s="29">
        <f>'Opex'!H16</f>
      </c>
      <c r="I18" s="29">
        <f>'Opex'!I16</f>
      </c>
      <c r="J18" s="29">
        <f>'Opex'!J16</f>
      </c>
      <c r="K18" s="29">
        <f>'Opex'!K16</f>
      </c>
      <c r="L18" s="29">
        <f>'Opex'!L16</f>
      </c>
      <c r="M18" s="29">
        <f>'Opex'!M16</f>
      </c>
      <c r="N18" s="29">
        <f>'Opex'!N16</f>
      </c>
      <c r="O18" s="29">
        <f>'Opex'!O16</f>
      </c>
      <c r="P18" s="29">
        <f>'Opex'!P16</f>
      </c>
      <c r="Q18" s="29">
        <f>'Opex'!Q16</f>
      </c>
      <c r="R18" s="29">
        <f>'Opex'!R16</f>
      </c>
      <c r="S18" s="29">
        <f>'Opex'!S16</f>
      </c>
      <c r="T18" s="29">
        <f>'Opex'!T16</f>
      </c>
      <c r="U18" s="29">
        <f>'Opex'!U16</f>
      </c>
      <c r="V18" s="29">
        <f>'Opex'!V16</f>
      </c>
      <c r="W18" s="29">
        <f>'Opex'!W16</f>
      </c>
      <c r="X18" s="29">
        <f>'Opex'!X16</f>
      </c>
      <c r="Y18" s="29">
        <f>'Opex'!Y16</f>
      </c>
      <c r="Z18" s="29">
        <f>'Opex'!Z16</f>
      </c>
      <c r="AA18" s="29">
        <f>'Opex'!AA16</f>
      </c>
      <c r="AB18" s="29">
        <f>'Opex'!AB16</f>
      </c>
      <c r="AC18" s="29">
        <f>'Opex'!AC16</f>
      </c>
      <c r="AD18" s="29">
        <f>'Opex'!AD16</f>
      </c>
      <c r="AE18" s="29">
        <f>'Opex'!AE16</f>
      </c>
      <c r="AF18" s="29">
        <f>'Opex'!AF16</f>
      </c>
      <c r="AG18" s="29">
        <f>'Opex'!AG16</f>
      </c>
      <c r="AH18" s="29">
        <f>'Opex'!AH16</f>
      </c>
      <c r="AI18" s="29">
        <f>'Opex'!AI16</f>
      </c>
      <c r="AJ18" s="29">
        <f>'Opex'!AJ16</f>
      </c>
      <c r="AK18" s="29">
        <f>'Opex'!AK16</f>
      </c>
      <c r="AL18" s="29">
        <f>'Opex'!AL16</f>
      </c>
      <c r="AM18" s="29">
        <f>'Opex'!AM16</f>
      </c>
      <c r="AN18" s="29">
        <f>'Opex'!AN16</f>
      </c>
      <c r="AO18" s="29">
        <f>'Opex'!AO16</f>
      </c>
      <c r="AP18" s="29">
        <f>'Opex'!AP16</f>
      </c>
      <c r="AQ18" s="29">
        <f>'Opex'!AQ16</f>
      </c>
      <c r="AR18" s="29">
        <f>'Opex'!AR16</f>
      </c>
      <c r="AS18" s="29">
        <f>'Opex'!AS16</f>
      </c>
      <c r="AT18" s="29">
        <f>'Opex'!AT16</f>
      </c>
      <c r="AU18" s="29">
        <f>'Opex'!AU16</f>
      </c>
      <c r="AV18" s="29">
        <f>'Opex'!AV16</f>
      </c>
      <c r="AW18" s="29">
        <f>'Opex'!AW16</f>
      </c>
      <c r="AX18" s="29">
        <f>'Opex'!AX16</f>
      </c>
      <c r="AY18" s="29">
        <f>'Opex'!AY16</f>
      </c>
      <c r="AZ18" s="29">
        <f>'Opex'!AZ16</f>
      </c>
      <c r="BA18" s="29">
        <f>'Opex'!BA16</f>
      </c>
      <c r="BB18" s="29">
        <f>'Opex'!BB16</f>
      </c>
      <c r="BC18" s="29">
        <f>'Opex'!BC16</f>
      </c>
      <c r="BD18" s="29">
        <f>'Opex'!BD16</f>
      </c>
      <c r="BE18" s="29">
        <f>'Opex'!BE16</f>
      </c>
      <c r="BF18" s="29">
        <f>'Opex'!BF16</f>
      </c>
      <c r="BG18" s="29">
        <f>'Opex'!BG16</f>
      </c>
      <c r="BH18" s="29">
        <f>'Opex'!BH16</f>
      </c>
      <c r="BI18" s="29">
        <f>'Opex'!BI16</f>
      </c>
      <c r="BJ18" s="29">
        <f>'Opex'!BJ16</f>
      </c>
      <c r="BK18" s="29">
        <f>'Opex'!BK16</f>
      </c>
      <c r="BL18" s="29">
        <f>'Opex'!BL16</f>
      </c>
      <c r="BM18" s="29">
        <f>'Opex'!BM16</f>
      </c>
      <c r="BN18" s="29">
        <f>'Opex'!BN16</f>
      </c>
      <c r="BO18" s="29">
        <f>'Opex'!BO16</f>
      </c>
      <c r="BP18" s="29">
        <f>'Opex'!BP16</f>
      </c>
      <c r="BQ18" s="29">
        <f>'Opex'!BQ16</f>
      </c>
      <c r="BR18" s="29">
        <f>'Opex'!BR16</f>
      </c>
      <c r="BS18" s="29">
        <f>'Opex'!BS16</f>
      </c>
      <c r="BT18" s="29">
        <f>'Opex'!BT16</f>
      </c>
      <c r="BU18" s="29">
        <f>'Opex'!BU16</f>
      </c>
      <c r="BV18" s="29">
        <f>'Opex'!BV16</f>
      </c>
      <c r="BW18" s="29">
        <f>'Opex'!BW16</f>
      </c>
      <c r="BX18" s="29">
        <f>'Opex'!BX16</f>
      </c>
      <c r="BY18" s="29">
        <f>'Opex'!BY16</f>
      </c>
      <c r="BZ18" s="29">
        <f>'Opex'!BZ16</f>
      </c>
      <c r="CA18" s="29">
        <f>'Opex'!CA16</f>
      </c>
      <c r="CB18" s="29">
        <f>'Opex'!CB16</f>
      </c>
      <c r="CC18" s="29">
        <f>'Opex'!CC16</f>
      </c>
      <c r="CD18" s="29">
        <f>'Opex'!CD16</f>
      </c>
      <c r="CE18" s="29">
        <f>'Opex'!CE16</f>
      </c>
      <c r="CF18" s="29">
        <f>'Opex'!CF16</f>
      </c>
      <c r="CG18" s="29">
        <f>'Opex'!CG16</f>
      </c>
      <c r="CH18" s="29">
        <f>'Opex'!CH16</f>
      </c>
      <c r="CI18" s="29">
        <f>'Opex'!CI16</f>
      </c>
      <c r="CJ18" s="29">
        <f>'Opex'!CJ16</f>
      </c>
      <c r="CK18" s="29">
        <f>'Opex'!CK16</f>
      </c>
      <c r="CL18" s="29">
        <f>'Opex'!CL16</f>
      </c>
    </row>
    <row r="19" spans="2:90" x14ac:dyDescent="0.25">
      <c r="B19" s="31" t="s">
        <v>299</v>
      </c>
      <c r="C19" s="32" t="s">
        <v>228</v>
      </c>
      <c r="D19" s="29">
        <f>SUM(E19:CL19)</f>
      </c>
      <c r="E19" s="29">
        <f>'Opex'!E17</f>
      </c>
      <c r="F19" s="29">
        <f>'Opex'!F17</f>
      </c>
      <c r="G19" s="29">
        <f>'Opex'!G17</f>
      </c>
      <c r="H19" s="29">
        <f>'Opex'!H17</f>
      </c>
      <c r="I19" s="29">
        <f>'Opex'!I17</f>
      </c>
      <c r="J19" s="29">
        <f>'Opex'!J17</f>
      </c>
      <c r="K19" s="29">
        <f>'Opex'!K17</f>
      </c>
      <c r="L19" s="29">
        <f>'Opex'!L17</f>
      </c>
      <c r="M19" s="29">
        <f>'Opex'!M17</f>
      </c>
      <c r="N19" s="29">
        <f>'Opex'!N17</f>
      </c>
      <c r="O19" s="29">
        <f>'Opex'!O17</f>
      </c>
      <c r="P19" s="29">
        <f>'Opex'!P17</f>
      </c>
      <c r="Q19" s="29">
        <f>'Opex'!Q17</f>
      </c>
      <c r="R19" s="29">
        <f>'Opex'!R17</f>
      </c>
      <c r="S19" s="29">
        <f>'Opex'!S17</f>
      </c>
      <c r="T19" s="29">
        <f>'Opex'!T17</f>
      </c>
      <c r="U19" s="29">
        <f>'Opex'!U17</f>
      </c>
      <c r="V19" s="29">
        <f>'Opex'!V17</f>
      </c>
      <c r="W19" s="29">
        <f>'Opex'!W17</f>
      </c>
      <c r="X19" s="29">
        <f>'Opex'!X17</f>
      </c>
      <c r="Y19" s="29">
        <f>'Opex'!Y17</f>
      </c>
      <c r="Z19" s="29">
        <f>'Opex'!Z17</f>
      </c>
      <c r="AA19" s="29">
        <f>'Opex'!AA17</f>
      </c>
      <c r="AB19" s="29">
        <f>'Opex'!AB17</f>
      </c>
      <c r="AC19" s="29">
        <f>'Opex'!AC17</f>
      </c>
      <c r="AD19" s="29">
        <f>'Opex'!AD17</f>
      </c>
      <c r="AE19" s="29">
        <f>'Opex'!AE17</f>
      </c>
      <c r="AF19" s="29">
        <f>'Opex'!AF17</f>
      </c>
      <c r="AG19" s="29">
        <f>'Opex'!AG17</f>
      </c>
      <c r="AH19" s="29">
        <f>'Opex'!AH17</f>
      </c>
      <c r="AI19" s="29">
        <f>'Opex'!AI17</f>
      </c>
      <c r="AJ19" s="29">
        <f>'Opex'!AJ17</f>
      </c>
      <c r="AK19" s="29">
        <f>'Opex'!AK17</f>
      </c>
      <c r="AL19" s="29">
        <f>'Opex'!AL17</f>
      </c>
      <c r="AM19" s="29">
        <f>'Opex'!AM17</f>
      </c>
      <c r="AN19" s="29">
        <f>'Opex'!AN17</f>
      </c>
      <c r="AO19" s="29">
        <f>'Opex'!AO17</f>
      </c>
      <c r="AP19" s="29">
        <f>'Opex'!AP17</f>
      </c>
      <c r="AQ19" s="29">
        <f>'Opex'!AQ17</f>
      </c>
      <c r="AR19" s="29">
        <f>'Opex'!AR17</f>
      </c>
      <c r="AS19" s="29">
        <f>'Opex'!AS17</f>
      </c>
      <c r="AT19" s="29">
        <f>'Opex'!AT17</f>
      </c>
      <c r="AU19" s="29">
        <f>'Opex'!AU17</f>
      </c>
      <c r="AV19" s="29">
        <f>'Opex'!AV17</f>
      </c>
      <c r="AW19" s="29">
        <f>'Opex'!AW17</f>
      </c>
      <c r="AX19" s="29">
        <f>'Opex'!AX17</f>
      </c>
      <c r="AY19" s="29">
        <f>'Opex'!AY17</f>
      </c>
      <c r="AZ19" s="29">
        <f>'Opex'!AZ17</f>
      </c>
      <c r="BA19" s="29">
        <f>'Opex'!BA17</f>
      </c>
      <c r="BB19" s="29">
        <f>'Opex'!BB17</f>
      </c>
      <c r="BC19" s="29">
        <f>'Opex'!BC17</f>
      </c>
      <c r="BD19" s="29">
        <f>'Opex'!BD17</f>
      </c>
      <c r="BE19" s="29">
        <f>'Opex'!BE17</f>
      </c>
      <c r="BF19" s="29">
        <f>'Opex'!BF17</f>
      </c>
      <c r="BG19" s="29">
        <f>'Opex'!BG17</f>
      </c>
      <c r="BH19" s="29">
        <f>'Opex'!BH17</f>
      </c>
      <c r="BI19" s="29">
        <f>'Opex'!BI17</f>
      </c>
      <c r="BJ19" s="29">
        <f>'Opex'!BJ17</f>
      </c>
      <c r="BK19" s="29">
        <f>'Opex'!BK17</f>
      </c>
      <c r="BL19" s="29">
        <f>'Opex'!BL17</f>
      </c>
      <c r="BM19" s="29">
        <f>'Opex'!BM17</f>
      </c>
      <c r="BN19" s="29">
        <f>'Opex'!BN17</f>
      </c>
      <c r="BO19" s="29">
        <f>'Opex'!BO17</f>
      </c>
      <c r="BP19" s="29">
        <f>'Opex'!BP17</f>
      </c>
      <c r="BQ19" s="29">
        <f>'Opex'!BQ17</f>
      </c>
      <c r="BR19" s="29">
        <f>'Opex'!BR17</f>
      </c>
      <c r="BS19" s="29">
        <f>'Opex'!BS17</f>
      </c>
      <c r="BT19" s="29">
        <f>'Opex'!BT17</f>
      </c>
      <c r="BU19" s="29">
        <f>'Opex'!BU17</f>
      </c>
      <c r="BV19" s="29">
        <f>'Opex'!BV17</f>
      </c>
      <c r="BW19" s="29">
        <f>'Opex'!BW17</f>
      </c>
      <c r="BX19" s="29">
        <f>'Opex'!BX17</f>
      </c>
      <c r="BY19" s="29">
        <f>'Opex'!BY17</f>
      </c>
      <c r="BZ19" s="29">
        <f>'Opex'!BZ17</f>
      </c>
      <c r="CA19" s="29">
        <f>'Opex'!CA17</f>
      </c>
      <c r="CB19" s="29">
        <f>'Opex'!CB17</f>
      </c>
      <c r="CC19" s="29">
        <f>'Opex'!CC17</f>
      </c>
      <c r="CD19" s="29">
        <f>'Opex'!CD17</f>
      </c>
      <c r="CE19" s="29">
        <f>'Opex'!CE17</f>
      </c>
      <c r="CF19" s="29">
        <f>'Opex'!CF17</f>
      </c>
      <c r="CG19" s="29">
        <f>'Opex'!CG17</f>
      </c>
      <c r="CH19" s="29">
        <f>'Opex'!CH17</f>
      </c>
      <c r="CI19" s="29">
        <f>'Opex'!CI17</f>
      </c>
      <c r="CJ19" s="29">
        <f>'Opex'!CJ17</f>
      </c>
      <c r="CK19" s="29">
        <f>'Opex'!CK17</f>
      </c>
      <c r="CL19" s="29">
        <f>'Opex'!CL17</f>
      </c>
    </row>
    <row r="20" spans="2:90" x14ac:dyDescent="0.25">
      <c r="B20" s="31" t="s">
        <v>300</v>
      </c>
      <c r="C20" s="32" t="s">
        <v>228</v>
      </c>
      <c r="D20" s="29">
        <f>SUM(E20:CL20)</f>
      </c>
      <c r="E20" s="29">
        <f>'Opex'!E18</f>
      </c>
      <c r="F20" s="29">
        <f>'Opex'!F18</f>
      </c>
      <c r="G20" s="29">
        <f>'Opex'!G18</f>
      </c>
      <c r="H20" s="29">
        <f>'Opex'!H18</f>
      </c>
      <c r="I20" s="29">
        <f>'Opex'!I18</f>
      </c>
      <c r="J20" s="29">
        <f>'Opex'!J18</f>
      </c>
      <c r="K20" s="29">
        <f>'Opex'!K18</f>
      </c>
      <c r="L20" s="29">
        <f>'Opex'!L18</f>
      </c>
      <c r="M20" s="29">
        <f>'Opex'!M18</f>
      </c>
      <c r="N20" s="29">
        <f>'Opex'!N18</f>
      </c>
      <c r="O20" s="29">
        <f>'Opex'!O18</f>
      </c>
      <c r="P20" s="29">
        <f>'Opex'!P18</f>
      </c>
      <c r="Q20" s="29">
        <f>'Opex'!Q18</f>
      </c>
      <c r="R20" s="29">
        <f>'Opex'!R18</f>
      </c>
      <c r="S20" s="29">
        <f>'Opex'!S18</f>
      </c>
      <c r="T20" s="29">
        <f>'Opex'!T18</f>
      </c>
      <c r="U20" s="29">
        <f>'Opex'!U18</f>
      </c>
      <c r="V20" s="29">
        <f>'Opex'!V18</f>
      </c>
      <c r="W20" s="29">
        <f>'Opex'!W18</f>
      </c>
      <c r="X20" s="29">
        <f>'Opex'!X18</f>
      </c>
      <c r="Y20" s="29">
        <f>'Opex'!Y18</f>
      </c>
      <c r="Z20" s="29">
        <f>'Opex'!Z18</f>
      </c>
      <c r="AA20" s="29">
        <f>'Opex'!AA18</f>
      </c>
      <c r="AB20" s="29">
        <f>'Opex'!AB18</f>
      </c>
      <c r="AC20" s="29">
        <f>'Opex'!AC18</f>
      </c>
      <c r="AD20" s="29">
        <f>'Opex'!AD18</f>
      </c>
      <c r="AE20" s="29">
        <f>'Opex'!AE18</f>
      </c>
      <c r="AF20" s="29">
        <f>'Opex'!AF18</f>
      </c>
      <c r="AG20" s="29">
        <f>'Opex'!AG18</f>
      </c>
      <c r="AH20" s="29">
        <f>'Opex'!AH18</f>
      </c>
      <c r="AI20" s="29">
        <f>'Opex'!AI18</f>
      </c>
      <c r="AJ20" s="29">
        <f>'Opex'!AJ18</f>
      </c>
      <c r="AK20" s="29">
        <f>'Opex'!AK18</f>
      </c>
      <c r="AL20" s="29">
        <f>'Opex'!AL18</f>
      </c>
      <c r="AM20" s="29">
        <f>'Opex'!AM18</f>
      </c>
      <c r="AN20" s="29">
        <f>'Opex'!AN18</f>
      </c>
      <c r="AO20" s="29">
        <f>'Opex'!AO18</f>
      </c>
      <c r="AP20" s="29">
        <f>'Opex'!AP18</f>
      </c>
      <c r="AQ20" s="29">
        <f>'Opex'!AQ18</f>
      </c>
      <c r="AR20" s="29">
        <f>'Opex'!AR18</f>
      </c>
      <c r="AS20" s="29">
        <f>'Opex'!AS18</f>
      </c>
      <c r="AT20" s="29">
        <f>'Opex'!AT18</f>
      </c>
      <c r="AU20" s="29">
        <f>'Opex'!AU18</f>
      </c>
      <c r="AV20" s="29">
        <f>'Opex'!AV18</f>
      </c>
      <c r="AW20" s="29">
        <f>'Opex'!AW18</f>
      </c>
      <c r="AX20" s="29">
        <f>'Opex'!AX18</f>
      </c>
      <c r="AY20" s="29">
        <f>'Opex'!AY18</f>
      </c>
      <c r="AZ20" s="29">
        <f>'Opex'!AZ18</f>
      </c>
      <c r="BA20" s="29">
        <f>'Opex'!BA18</f>
      </c>
      <c r="BB20" s="29">
        <f>'Opex'!BB18</f>
      </c>
      <c r="BC20" s="29">
        <f>'Opex'!BC18</f>
      </c>
      <c r="BD20" s="29">
        <f>'Opex'!BD18</f>
      </c>
      <c r="BE20" s="29">
        <f>'Opex'!BE18</f>
      </c>
      <c r="BF20" s="29">
        <f>'Opex'!BF18</f>
      </c>
      <c r="BG20" s="29">
        <f>'Opex'!BG18</f>
      </c>
      <c r="BH20" s="29">
        <f>'Opex'!BH18</f>
      </c>
      <c r="BI20" s="29">
        <f>'Opex'!BI18</f>
      </c>
      <c r="BJ20" s="29">
        <f>'Opex'!BJ18</f>
      </c>
      <c r="BK20" s="29">
        <f>'Opex'!BK18</f>
      </c>
      <c r="BL20" s="29">
        <f>'Opex'!BL18</f>
      </c>
      <c r="BM20" s="29">
        <f>'Opex'!BM18</f>
      </c>
      <c r="BN20" s="29">
        <f>'Opex'!BN18</f>
      </c>
      <c r="BO20" s="29">
        <f>'Opex'!BO18</f>
      </c>
      <c r="BP20" s="29">
        <f>'Opex'!BP18</f>
      </c>
      <c r="BQ20" s="29">
        <f>'Opex'!BQ18</f>
      </c>
      <c r="BR20" s="29">
        <f>'Opex'!BR18</f>
      </c>
      <c r="BS20" s="29">
        <f>'Opex'!BS18</f>
      </c>
      <c r="BT20" s="29">
        <f>'Opex'!BT18</f>
      </c>
      <c r="BU20" s="29">
        <f>'Opex'!BU18</f>
      </c>
      <c r="BV20" s="29">
        <f>'Opex'!BV18</f>
      </c>
      <c r="BW20" s="29">
        <f>'Opex'!BW18</f>
      </c>
      <c r="BX20" s="29">
        <f>'Opex'!BX18</f>
      </c>
      <c r="BY20" s="29">
        <f>'Opex'!BY18</f>
      </c>
      <c r="BZ20" s="29">
        <f>'Opex'!BZ18</f>
      </c>
      <c r="CA20" s="29">
        <f>'Opex'!CA18</f>
      </c>
      <c r="CB20" s="29">
        <f>'Opex'!CB18</f>
      </c>
      <c r="CC20" s="29">
        <f>'Opex'!CC18</f>
      </c>
      <c r="CD20" s="29">
        <f>'Opex'!CD18</f>
      </c>
      <c r="CE20" s="29">
        <f>'Opex'!CE18</f>
      </c>
      <c r="CF20" s="29">
        <f>'Opex'!CF18</f>
      </c>
      <c r="CG20" s="29">
        <f>'Opex'!CG18</f>
      </c>
      <c r="CH20" s="29">
        <f>'Opex'!CH18</f>
      </c>
      <c r="CI20" s="29">
        <f>'Opex'!CI18</f>
      </c>
      <c r="CJ20" s="29">
        <f>'Opex'!CJ18</f>
      </c>
      <c r="CK20" s="29">
        <f>'Opex'!CK18</f>
      </c>
      <c r="CL20" s="29">
        <f>'Opex'!CL18</f>
      </c>
    </row>
    <row r="21" spans="2:90" x14ac:dyDescent="0.25">
      <c r="B21" s="31" t="s">
        <v>301</v>
      </c>
      <c r="C21" s="32" t="s">
        <v>228</v>
      </c>
      <c r="D21" s="29">
        <f>SUM(E21:CL21)</f>
      </c>
      <c r="E21" s="29">
        <f>'Opex'!E19</f>
      </c>
      <c r="F21" s="29">
        <f>'Opex'!F19</f>
      </c>
      <c r="G21" s="29">
        <f>'Opex'!G19</f>
      </c>
      <c r="H21" s="29">
        <f>'Opex'!H19</f>
      </c>
      <c r="I21" s="29">
        <f>'Opex'!I19</f>
      </c>
      <c r="J21" s="29">
        <f>'Opex'!J19</f>
      </c>
      <c r="K21" s="29">
        <f>'Opex'!K19</f>
      </c>
      <c r="L21" s="29">
        <f>'Opex'!L19</f>
      </c>
      <c r="M21" s="29">
        <f>'Opex'!M19</f>
      </c>
      <c r="N21" s="29">
        <f>'Opex'!N19</f>
      </c>
      <c r="O21" s="29">
        <f>'Opex'!O19</f>
      </c>
      <c r="P21" s="29">
        <f>'Opex'!P19</f>
      </c>
      <c r="Q21" s="29">
        <f>'Opex'!Q19</f>
      </c>
      <c r="R21" s="29">
        <f>'Opex'!R19</f>
      </c>
      <c r="S21" s="29">
        <f>'Opex'!S19</f>
      </c>
      <c r="T21" s="29">
        <f>'Opex'!T19</f>
      </c>
      <c r="U21" s="29">
        <f>'Opex'!U19</f>
      </c>
      <c r="V21" s="29">
        <f>'Opex'!V19</f>
      </c>
      <c r="W21" s="29">
        <f>'Opex'!W19</f>
      </c>
      <c r="X21" s="29">
        <f>'Opex'!X19</f>
      </c>
      <c r="Y21" s="29">
        <f>'Opex'!Y19</f>
      </c>
      <c r="Z21" s="29">
        <f>'Opex'!Z19</f>
      </c>
      <c r="AA21" s="29">
        <f>'Opex'!AA19</f>
      </c>
      <c r="AB21" s="29">
        <f>'Opex'!AB19</f>
      </c>
      <c r="AC21" s="29">
        <f>'Opex'!AC19</f>
      </c>
      <c r="AD21" s="29">
        <f>'Opex'!AD19</f>
      </c>
      <c r="AE21" s="29">
        <f>'Opex'!AE19</f>
      </c>
      <c r="AF21" s="29">
        <f>'Opex'!AF19</f>
      </c>
      <c r="AG21" s="29">
        <f>'Opex'!AG19</f>
      </c>
      <c r="AH21" s="29">
        <f>'Opex'!AH19</f>
      </c>
      <c r="AI21" s="29">
        <f>'Opex'!AI19</f>
      </c>
      <c r="AJ21" s="29">
        <f>'Opex'!AJ19</f>
      </c>
      <c r="AK21" s="29">
        <f>'Opex'!AK19</f>
      </c>
      <c r="AL21" s="29">
        <f>'Opex'!AL19</f>
      </c>
      <c r="AM21" s="29">
        <f>'Opex'!AM19</f>
      </c>
      <c r="AN21" s="29">
        <f>'Opex'!AN19</f>
      </c>
      <c r="AO21" s="29">
        <f>'Opex'!AO19</f>
      </c>
      <c r="AP21" s="29">
        <f>'Opex'!AP19</f>
      </c>
      <c r="AQ21" s="29">
        <f>'Opex'!AQ19</f>
      </c>
      <c r="AR21" s="29">
        <f>'Opex'!AR19</f>
      </c>
      <c r="AS21" s="29">
        <f>'Opex'!AS19</f>
      </c>
      <c r="AT21" s="29">
        <f>'Opex'!AT19</f>
      </c>
      <c r="AU21" s="29">
        <f>'Opex'!AU19</f>
      </c>
      <c r="AV21" s="29">
        <f>'Opex'!AV19</f>
      </c>
      <c r="AW21" s="29">
        <f>'Opex'!AW19</f>
      </c>
      <c r="AX21" s="29">
        <f>'Opex'!AX19</f>
      </c>
      <c r="AY21" s="29">
        <f>'Opex'!AY19</f>
      </c>
      <c r="AZ21" s="29">
        <f>'Opex'!AZ19</f>
      </c>
      <c r="BA21" s="29">
        <f>'Opex'!BA19</f>
      </c>
      <c r="BB21" s="29">
        <f>'Opex'!BB19</f>
      </c>
      <c r="BC21" s="29">
        <f>'Opex'!BC19</f>
      </c>
      <c r="BD21" s="29">
        <f>'Opex'!BD19</f>
      </c>
      <c r="BE21" s="29">
        <f>'Opex'!BE19</f>
      </c>
      <c r="BF21" s="29">
        <f>'Opex'!BF19</f>
      </c>
      <c r="BG21" s="29">
        <f>'Opex'!BG19</f>
      </c>
      <c r="BH21" s="29">
        <f>'Opex'!BH19</f>
      </c>
      <c r="BI21" s="29">
        <f>'Opex'!BI19</f>
      </c>
      <c r="BJ21" s="29">
        <f>'Opex'!BJ19</f>
      </c>
      <c r="BK21" s="29">
        <f>'Opex'!BK19</f>
      </c>
      <c r="BL21" s="29">
        <f>'Opex'!BL19</f>
      </c>
      <c r="BM21" s="29">
        <f>'Opex'!BM19</f>
      </c>
      <c r="BN21" s="29">
        <f>'Opex'!BN19</f>
      </c>
      <c r="BO21" s="29">
        <f>'Opex'!BO19</f>
      </c>
      <c r="BP21" s="29">
        <f>'Opex'!BP19</f>
      </c>
      <c r="BQ21" s="29">
        <f>'Opex'!BQ19</f>
      </c>
      <c r="BR21" s="29">
        <f>'Opex'!BR19</f>
      </c>
      <c r="BS21" s="29">
        <f>'Opex'!BS19</f>
      </c>
      <c r="BT21" s="29">
        <f>'Opex'!BT19</f>
      </c>
      <c r="BU21" s="29">
        <f>'Opex'!BU19</f>
      </c>
      <c r="BV21" s="29">
        <f>'Opex'!BV19</f>
      </c>
      <c r="BW21" s="29">
        <f>'Opex'!BW19</f>
      </c>
      <c r="BX21" s="29">
        <f>'Opex'!BX19</f>
      </c>
      <c r="BY21" s="29">
        <f>'Opex'!BY19</f>
      </c>
      <c r="BZ21" s="29">
        <f>'Opex'!BZ19</f>
      </c>
      <c r="CA21" s="29">
        <f>'Opex'!CA19</f>
      </c>
      <c r="CB21" s="29">
        <f>'Opex'!CB19</f>
      </c>
      <c r="CC21" s="29">
        <f>'Opex'!CC19</f>
      </c>
      <c r="CD21" s="29">
        <f>'Opex'!CD19</f>
      </c>
      <c r="CE21" s="29">
        <f>'Opex'!CE19</f>
      </c>
      <c r="CF21" s="29">
        <f>'Opex'!CF19</f>
      </c>
      <c r="CG21" s="29">
        <f>'Opex'!CG19</f>
      </c>
      <c r="CH21" s="29">
        <f>'Opex'!CH19</f>
      </c>
      <c r="CI21" s="29">
        <f>'Opex'!CI19</f>
      </c>
      <c r="CJ21" s="29">
        <f>'Opex'!CJ19</f>
      </c>
      <c r="CK21" s="29">
        <f>'Opex'!CK19</f>
      </c>
      <c r="CL21" s="29">
        <f>'Opex'!CL19</f>
      </c>
    </row>
    <row r="22" spans="2:90" x14ac:dyDescent="0.25">
      <c r="B22" s="31" t="s">
        <v>302</v>
      </c>
      <c r="C22" s="32" t="s">
        <v>228</v>
      </c>
      <c r="D22" s="29">
        <f>SUM(E22:CL22)</f>
      </c>
      <c r="E22" s="29">
        <f>'Opex'!E20</f>
      </c>
      <c r="F22" s="29">
        <f>'Opex'!F20</f>
      </c>
      <c r="G22" s="29">
        <f>'Opex'!G20</f>
      </c>
      <c r="H22" s="29">
        <f>'Opex'!H20</f>
      </c>
      <c r="I22" s="29">
        <f>'Opex'!I20</f>
      </c>
      <c r="J22" s="29">
        <f>'Opex'!J20</f>
      </c>
      <c r="K22" s="29">
        <f>'Opex'!K20</f>
      </c>
      <c r="L22" s="29">
        <f>'Opex'!L20</f>
      </c>
      <c r="M22" s="29">
        <f>'Opex'!M20</f>
      </c>
      <c r="N22" s="29">
        <f>'Opex'!N20</f>
      </c>
      <c r="O22" s="29">
        <f>'Opex'!O20</f>
      </c>
      <c r="P22" s="29">
        <f>'Opex'!P20</f>
      </c>
      <c r="Q22" s="29">
        <f>'Opex'!Q20</f>
      </c>
      <c r="R22" s="29">
        <f>'Opex'!R20</f>
      </c>
      <c r="S22" s="29">
        <f>'Opex'!S20</f>
      </c>
      <c r="T22" s="29">
        <f>'Opex'!T20</f>
      </c>
      <c r="U22" s="29">
        <f>'Opex'!U20</f>
      </c>
      <c r="V22" s="29">
        <f>'Opex'!V20</f>
      </c>
      <c r="W22" s="29">
        <f>'Opex'!W20</f>
      </c>
      <c r="X22" s="29">
        <f>'Opex'!X20</f>
      </c>
      <c r="Y22" s="29">
        <f>'Opex'!Y20</f>
      </c>
      <c r="Z22" s="29">
        <f>'Opex'!Z20</f>
      </c>
      <c r="AA22" s="29">
        <f>'Opex'!AA20</f>
      </c>
      <c r="AB22" s="29">
        <f>'Opex'!AB20</f>
      </c>
      <c r="AC22" s="29">
        <f>'Opex'!AC20</f>
      </c>
      <c r="AD22" s="29">
        <f>'Opex'!AD20</f>
      </c>
      <c r="AE22" s="29">
        <f>'Opex'!AE20</f>
      </c>
      <c r="AF22" s="29">
        <f>'Opex'!AF20</f>
      </c>
      <c r="AG22" s="29">
        <f>'Opex'!AG20</f>
      </c>
      <c r="AH22" s="29">
        <f>'Opex'!AH20</f>
      </c>
      <c r="AI22" s="29">
        <f>'Opex'!AI20</f>
      </c>
      <c r="AJ22" s="29">
        <f>'Opex'!AJ20</f>
      </c>
      <c r="AK22" s="29">
        <f>'Opex'!AK20</f>
      </c>
      <c r="AL22" s="29">
        <f>'Opex'!AL20</f>
      </c>
      <c r="AM22" s="29">
        <f>'Opex'!AM20</f>
      </c>
      <c r="AN22" s="29">
        <f>'Opex'!AN20</f>
      </c>
      <c r="AO22" s="29">
        <f>'Opex'!AO20</f>
      </c>
      <c r="AP22" s="29">
        <f>'Opex'!AP20</f>
      </c>
      <c r="AQ22" s="29">
        <f>'Opex'!AQ20</f>
      </c>
      <c r="AR22" s="29">
        <f>'Opex'!AR20</f>
      </c>
      <c r="AS22" s="29">
        <f>'Opex'!AS20</f>
      </c>
      <c r="AT22" s="29">
        <f>'Opex'!AT20</f>
      </c>
      <c r="AU22" s="29">
        <f>'Opex'!AU20</f>
      </c>
      <c r="AV22" s="29">
        <f>'Opex'!AV20</f>
      </c>
      <c r="AW22" s="29">
        <f>'Opex'!AW20</f>
      </c>
      <c r="AX22" s="29">
        <f>'Opex'!AX20</f>
      </c>
      <c r="AY22" s="29">
        <f>'Opex'!AY20</f>
      </c>
      <c r="AZ22" s="29">
        <f>'Opex'!AZ20</f>
      </c>
      <c r="BA22" s="29">
        <f>'Opex'!BA20</f>
      </c>
      <c r="BB22" s="29">
        <f>'Opex'!BB20</f>
      </c>
      <c r="BC22" s="29">
        <f>'Opex'!BC20</f>
      </c>
      <c r="BD22" s="29">
        <f>'Opex'!BD20</f>
      </c>
      <c r="BE22" s="29">
        <f>'Opex'!BE20</f>
      </c>
      <c r="BF22" s="29">
        <f>'Opex'!BF20</f>
      </c>
      <c r="BG22" s="29">
        <f>'Opex'!BG20</f>
      </c>
      <c r="BH22" s="29">
        <f>'Opex'!BH20</f>
      </c>
      <c r="BI22" s="29">
        <f>'Opex'!BI20</f>
      </c>
      <c r="BJ22" s="29">
        <f>'Opex'!BJ20</f>
      </c>
      <c r="BK22" s="29">
        <f>'Opex'!BK20</f>
      </c>
      <c r="BL22" s="29">
        <f>'Opex'!BL20</f>
      </c>
      <c r="BM22" s="29">
        <f>'Opex'!BM20</f>
      </c>
      <c r="BN22" s="29">
        <f>'Opex'!BN20</f>
      </c>
      <c r="BO22" s="29">
        <f>'Opex'!BO20</f>
      </c>
      <c r="BP22" s="29">
        <f>'Opex'!BP20</f>
      </c>
      <c r="BQ22" s="29">
        <f>'Opex'!BQ20</f>
      </c>
      <c r="BR22" s="29">
        <f>'Opex'!BR20</f>
      </c>
      <c r="BS22" s="29">
        <f>'Opex'!BS20</f>
      </c>
      <c r="BT22" s="29">
        <f>'Opex'!BT20</f>
      </c>
      <c r="BU22" s="29">
        <f>'Opex'!BU20</f>
      </c>
      <c r="BV22" s="29">
        <f>'Opex'!BV20</f>
      </c>
      <c r="BW22" s="29">
        <f>'Opex'!BW20</f>
      </c>
      <c r="BX22" s="29">
        <f>'Opex'!BX20</f>
      </c>
      <c r="BY22" s="29">
        <f>'Opex'!BY20</f>
      </c>
      <c r="BZ22" s="29">
        <f>'Opex'!BZ20</f>
      </c>
      <c r="CA22" s="29">
        <f>'Opex'!CA20</f>
      </c>
      <c r="CB22" s="29">
        <f>'Opex'!CB20</f>
      </c>
      <c r="CC22" s="29">
        <f>'Opex'!CC20</f>
      </c>
      <c r="CD22" s="29">
        <f>'Opex'!CD20</f>
      </c>
      <c r="CE22" s="29">
        <f>'Opex'!CE20</f>
      </c>
      <c r="CF22" s="29">
        <f>'Opex'!CF20</f>
      </c>
      <c r="CG22" s="29">
        <f>'Opex'!CG20</f>
      </c>
      <c r="CH22" s="29">
        <f>'Opex'!CH20</f>
      </c>
      <c r="CI22" s="29">
        <f>'Opex'!CI20</f>
      </c>
      <c r="CJ22" s="29">
        <f>'Opex'!CJ20</f>
      </c>
      <c r="CK22" s="29">
        <f>'Opex'!CK20</f>
      </c>
      <c r="CL22" s="29">
        <f>'Opex'!CL20</f>
      </c>
    </row>
    <row r="23" spans="2:90" x14ac:dyDescent="0.25">
      <c r="B23" s="42" t="s">
        <v>305</v>
      </c>
      <c r="C23" s="32" t="s">
        <v>228</v>
      </c>
      <c r="D23" s="14">
        <f>SUM(E23:CL23)</f>
      </c>
      <c r="E23" s="14">
        <f>-'Opex'!E24</f>
      </c>
      <c r="F23" s="14">
        <f>-'Opex'!F24</f>
      </c>
      <c r="G23" s="14">
        <f>-'Opex'!G24</f>
      </c>
      <c r="H23" s="14">
        <f>-'Opex'!H24</f>
      </c>
      <c r="I23" s="14">
        <f>-'Opex'!I24</f>
      </c>
      <c r="J23" s="14">
        <f>-'Opex'!J24</f>
      </c>
      <c r="K23" s="14">
        <f>-'Opex'!K24</f>
      </c>
      <c r="L23" s="14">
        <f>-'Opex'!L24</f>
      </c>
      <c r="M23" s="14">
        <f>-'Opex'!M24</f>
      </c>
      <c r="N23" s="14">
        <f>-'Opex'!N24</f>
      </c>
      <c r="O23" s="14">
        <f>-'Opex'!O24</f>
      </c>
      <c r="P23" s="14">
        <f>-'Opex'!P24</f>
      </c>
      <c r="Q23" s="14">
        <f>-'Opex'!Q24</f>
      </c>
      <c r="R23" s="14">
        <f>-'Opex'!R24</f>
      </c>
      <c r="S23" s="14">
        <f>-'Opex'!S24</f>
      </c>
      <c r="T23" s="14">
        <f>-'Opex'!T24</f>
      </c>
      <c r="U23" s="14">
        <f>-'Opex'!U24</f>
      </c>
      <c r="V23" s="14">
        <f>-'Opex'!V24</f>
      </c>
      <c r="W23" s="14">
        <f>-'Opex'!W24</f>
      </c>
      <c r="X23" s="14">
        <f>-'Opex'!X24</f>
      </c>
      <c r="Y23" s="14">
        <f>-'Opex'!Y24</f>
      </c>
      <c r="Z23" s="14">
        <f>-'Opex'!Z24</f>
      </c>
      <c r="AA23" s="14">
        <f>-'Opex'!AA24</f>
      </c>
      <c r="AB23" s="14">
        <f>-'Opex'!AB24</f>
      </c>
      <c r="AC23" s="14">
        <f>-'Opex'!AC24</f>
      </c>
      <c r="AD23" s="14">
        <f>-'Opex'!AD24</f>
      </c>
      <c r="AE23" s="14">
        <f>-'Opex'!AE24</f>
      </c>
      <c r="AF23" s="14">
        <f>-'Opex'!AF24</f>
      </c>
      <c r="AG23" s="14">
        <f>-'Opex'!AG24</f>
      </c>
      <c r="AH23" s="14">
        <f>-'Opex'!AH24</f>
      </c>
      <c r="AI23" s="14">
        <f>-'Opex'!AI24</f>
      </c>
      <c r="AJ23" s="14">
        <f>-'Opex'!AJ24</f>
      </c>
      <c r="AK23" s="14">
        <f>-'Opex'!AK24</f>
      </c>
      <c r="AL23" s="14">
        <f>-'Opex'!AL24</f>
      </c>
      <c r="AM23" s="14">
        <f>-'Opex'!AM24</f>
      </c>
      <c r="AN23" s="14">
        <f>-'Opex'!AN24</f>
      </c>
      <c r="AO23" s="14">
        <f>-'Opex'!AO24</f>
      </c>
      <c r="AP23" s="14">
        <f>-'Opex'!AP24</f>
      </c>
      <c r="AQ23" s="14">
        <f>-'Opex'!AQ24</f>
      </c>
      <c r="AR23" s="14">
        <f>-'Opex'!AR24</f>
      </c>
      <c r="AS23" s="14">
        <f>-'Opex'!AS24</f>
      </c>
      <c r="AT23" s="14">
        <f>-'Opex'!AT24</f>
      </c>
      <c r="AU23" s="14">
        <f>-'Opex'!AU24</f>
      </c>
      <c r="AV23" s="14">
        <f>-'Opex'!AV24</f>
      </c>
      <c r="AW23" s="14">
        <f>-'Opex'!AW24</f>
      </c>
      <c r="AX23" s="14">
        <f>-'Opex'!AX24</f>
      </c>
      <c r="AY23" s="14">
        <f>-'Opex'!AY24</f>
      </c>
      <c r="AZ23" s="14">
        <f>-'Opex'!AZ24</f>
      </c>
      <c r="BA23" s="14">
        <f>-'Opex'!BA24</f>
      </c>
      <c r="BB23" s="14">
        <f>-'Opex'!BB24</f>
      </c>
      <c r="BC23" s="14">
        <f>-'Opex'!BC24</f>
      </c>
      <c r="BD23" s="14">
        <f>-'Opex'!BD24</f>
      </c>
      <c r="BE23" s="14">
        <f>-'Opex'!BE24</f>
      </c>
      <c r="BF23" s="14">
        <f>-'Opex'!BF24</f>
      </c>
      <c r="BG23" s="14">
        <f>-'Opex'!BG24</f>
      </c>
      <c r="BH23" s="14">
        <f>-'Opex'!BH24</f>
      </c>
      <c r="BI23" s="14">
        <f>-'Opex'!BI24</f>
      </c>
      <c r="BJ23" s="14">
        <f>-'Opex'!BJ24</f>
      </c>
      <c r="BK23" s="14">
        <f>-'Opex'!BK24</f>
      </c>
      <c r="BL23" s="14">
        <f>-'Opex'!BL24</f>
      </c>
      <c r="BM23" s="14">
        <f>-'Opex'!BM24</f>
      </c>
      <c r="BN23" s="14">
        <f>-'Opex'!BN24</f>
      </c>
      <c r="BO23" s="14">
        <f>-'Opex'!BO24</f>
      </c>
      <c r="BP23" s="14">
        <f>-'Opex'!BP24</f>
      </c>
      <c r="BQ23" s="14">
        <f>-'Opex'!BQ24</f>
      </c>
      <c r="BR23" s="14">
        <f>-'Opex'!BR24</f>
      </c>
      <c r="BS23" s="14">
        <f>-'Opex'!BS24</f>
      </c>
      <c r="BT23" s="14">
        <f>-'Opex'!BT24</f>
      </c>
      <c r="BU23" s="14">
        <f>-'Opex'!BU24</f>
      </c>
      <c r="BV23" s="14">
        <f>-'Opex'!BV24</f>
      </c>
      <c r="BW23" s="14">
        <f>-'Opex'!BW24</f>
      </c>
      <c r="BX23" s="14">
        <f>-'Opex'!BX24</f>
      </c>
      <c r="BY23" s="14">
        <f>-'Opex'!BY24</f>
      </c>
      <c r="BZ23" s="14">
        <f>-'Opex'!BZ24</f>
      </c>
      <c r="CA23" s="14">
        <f>-'Opex'!CA24</f>
      </c>
      <c r="CB23" s="14">
        <f>-'Opex'!CB24</f>
      </c>
      <c r="CC23" s="14">
        <f>-'Opex'!CC24</f>
      </c>
      <c r="CD23" s="14">
        <f>-'Opex'!CD24</f>
      </c>
      <c r="CE23" s="14">
        <f>-'Opex'!CE24</f>
      </c>
      <c r="CF23" s="14">
        <f>-'Opex'!CF24</f>
      </c>
      <c r="CG23" s="14">
        <f>-'Opex'!CG24</f>
      </c>
      <c r="CH23" s="14">
        <f>-'Opex'!CH24</f>
      </c>
      <c r="CI23" s="14">
        <f>-'Opex'!CI24</f>
      </c>
      <c r="CJ23" s="14">
        <f>-'Opex'!CJ24</f>
      </c>
      <c r="CK23" s="14">
        <f>-'Opex'!CK24</f>
      </c>
      <c r="CL23" s="14">
        <f>-'Opex'!CL24</f>
      </c>
    </row>
    <row r="25" spans="2:91" x14ac:dyDescent="0.25">
      <c r="B25" s="43" t="s">
        <v>310</v>
      </c>
      <c r="C25" s="46" t="s">
        <v>228</v>
      </c>
      <c r="D25" s="41">
        <f>SUM(E25:CL25)</f>
      </c>
      <c r="E25" s="41">
        <f>E8+E23</f>
      </c>
      <c r="F25" s="41">
        <f>F8+F23</f>
      </c>
      <c r="G25" s="41">
        <f>G8+G23</f>
      </c>
      <c r="H25" s="41">
        <f>H8+H23</f>
      </c>
      <c r="I25" s="41">
        <f>I8+I23</f>
      </c>
      <c r="J25" s="41">
        <f>J8+J23</f>
      </c>
      <c r="K25" s="41">
        <f>K8+K23</f>
      </c>
      <c r="L25" s="41">
        <f>L8+L23</f>
      </c>
      <c r="M25" s="41">
        <f>M8+M23</f>
      </c>
      <c r="N25" s="41">
        <f>N8+N23</f>
      </c>
      <c r="O25" s="41">
        <f>O8+O23</f>
      </c>
      <c r="P25" s="41">
        <f>P8+P23</f>
      </c>
      <c r="Q25" s="41">
        <f>Q8+Q23</f>
      </c>
      <c r="R25" s="41">
        <f>R8+R23</f>
      </c>
      <c r="S25" s="41">
        <f>S8+S23</f>
      </c>
      <c r="T25" s="41">
        <f>T8+T23</f>
      </c>
      <c r="U25" s="41">
        <f>U8+U23</f>
      </c>
      <c r="V25" s="41">
        <f>V8+V23</f>
      </c>
      <c r="W25" s="41">
        <f>W8+W23</f>
      </c>
      <c r="X25" s="41">
        <f>X8+X23</f>
      </c>
      <c r="Y25" s="41">
        <f>Y8+Y23</f>
      </c>
      <c r="Z25" s="41">
        <f>Z8+Z23</f>
      </c>
      <c r="AA25" s="41">
        <f>AA8+AA23</f>
      </c>
      <c r="AB25" s="41">
        <f>AB8+AB23</f>
      </c>
      <c r="AC25" s="41">
        <f>AC8+AC23</f>
      </c>
      <c r="AD25" s="41">
        <f>AD8+AD23</f>
      </c>
      <c r="AE25" s="41">
        <f>AE8+AE23</f>
      </c>
      <c r="AF25" s="41">
        <f>AF8+AF23</f>
      </c>
      <c r="AG25" s="41">
        <f>AG8+AG23</f>
      </c>
      <c r="AH25" s="41">
        <f>AH8+AH23</f>
      </c>
      <c r="AI25" s="41">
        <f>AI8+AI23</f>
      </c>
      <c r="AJ25" s="41">
        <f>AJ8+AJ23</f>
      </c>
      <c r="AK25" s="41">
        <f>AK8+AK23</f>
      </c>
      <c r="AL25" s="41">
        <f>AL8+AL23</f>
      </c>
      <c r="AM25" s="41">
        <f>AM8+AM23</f>
      </c>
      <c r="AN25" s="41">
        <f>AN8+AN23</f>
      </c>
      <c r="AO25" s="41">
        <f>AO8+AO23</f>
      </c>
      <c r="AP25" s="41">
        <f>AP8+AP23</f>
      </c>
      <c r="AQ25" s="41">
        <f>AQ8+AQ23</f>
      </c>
      <c r="AR25" s="41">
        <f>AR8+AR23</f>
      </c>
      <c r="AS25" s="41">
        <f>AS8+AS23</f>
      </c>
      <c r="AT25" s="41">
        <f>AT8+AT23</f>
      </c>
      <c r="AU25" s="41">
        <f>AU8+AU23</f>
      </c>
      <c r="AV25" s="41">
        <f>AV8+AV23</f>
      </c>
      <c r="AW25" s="41">
        <f>AW8+AW23</f>
      </c>
      <c r="AX25" s="41">
        <f>AX8+AX23</f>
      </c>
      <c r="AY25" s="41">
        <f>AY8+AY23</f>
      </c>
      <c r="AZ25" s="41">
        <f>AZ8+AZ23</f>
      </c>
      <c r="BA25" s="41">
        <f>BA8+BA23</f>
      </c>
      <c r="BB25" s="41">
        <f>BB8+BB23</f>
      </c>
      <c r="BC25" s="41">
        <f>BC8+BC23</f>
      </c>
      <c r="BD25" s="41">
        <f>BD8+BD23</f>
      </c>
      <c r="BE25" s="41">
        <f>BE8+BE23</f>
      </c>
      <c r="BF25" s="41">
        <f>BF8+BF23</f>
      </c>
      <c r="BG25" s="41">
        <f>BG8+BG23</f>
      </c>
      <c r="BH25" s="41">
        <f>BH8+BH23</f>
      </c>
      <c r="BI25" s="41">
        <f>BI8+BI23</f>
      </c>
      <c r="BJ25" s="41">
        <f>BJ8+BJ23</f>
      </c>
      <c r="BK25" s="41">
        <f>BK8+BK23</f>
      </c>
      <c r="BL25" s="41">
        <f>BL8+BL23</f>
      </c>
      <c r="BM25" s="41">
        <f>BM8+BM23</f>
      </c>
      <c r="BN25" s="41">
        <f>BN8+BN23</f>
      </c>
      <c r="BO25" s="41">
        <f>BO8+BO23</f>
      </c>
      <c r="BP25" s="41">
        <f>BP8+BP23</f>
      </c>
      <c r="BQ25" s="41">
        <f>BQ8+BQ23</f>
      </c>
      <c r="BR25" s="41">
        <f>BR8+BR23</f>
      </c>
      <c r="BS25" s="41">
        <f>BS8+BS23</f>
      </c>
      <c r="BT25" s="41">
        <f>BT8+BT23</f>
      </c>
      <c r="BU25" s="41">
        <f>BU8+BU23</f>
      </c>
      <c r="BV25" s="41">
        <f>BV8+BV23</f>
      </c>
      <c r="BW25" s="41">
        <f>BW8+BW23</f>
      </c>
      <c r="BX25" s="41">
        <f>BX8+BX23</f>
      </c>
      <c r="BY25" s="41">
        <f>BY8+BY23</f>
      </c>
      <c r="BZ25" s="41">
        <f>BZ8+BZ23</f>
      </c>
      <c r="CA25" s="41">
        <f>CA8+CA23</f>
      </c>
      <c r="CB25" s="41">
        <f>CB8+CB23</f>
      </c>
      <c r="CC25" s="41">
        <f>CC8+CC23</f>
      </c>
      <c r="CD25" s="41">
        <f>CD8+CD23</f>
      </c>
      <c r="CE25" s="41">
        <f>CE8+CE23</f>
      </c>
      <c r="CF25" s="41">
        <f>CF8+CF23</f>
      </c>
      <c r="CG25" s="41">
        <f>CG8+CG23</f>
      </c>
      <c r="CH25" s="41">
        <f>CH8+CH23</f>
      </c>
      <c r="CI25" s="41">
        <f>CI8+CI23</f>
      </c>
      <c r="CJ25" s="41">
        <f>CJ8+CJ23</f>
      </c>
      <c r="CK25" s="41">
        <f>CK8+CK23</f>
      </c>
      <c r="CL25" s="41">
        <f>CL8+CL23</f>
      </c>
      <c r="CM25" s="44"/>
    </row>
    <row r="26" spans="2:90" x14ac:dyDescent="0.25">
      <c r="B26" s="31" t="s">
        <v>311</v>
      </c>
      <c r="C26" s="32" t="s">
        <v>312</v>
      </c>
      <c r="E26" s="38">
        <f>IF(E8&lt;=0,"",E25/E8)</f>
      </c>
      <c r="F26" s="38">
        <f>IF(F8&lt;=0,"",F25/F8)</f>
      </c>
      <c r="G26" s="38">
        <f>IF(G8&lt;=0,"",G25/G8)</f>
      </c>
      <c r="H26" s="38">
        <f>IF(H8&lt;=0,"",H25/H8)</f>
      </c>
      <c r="I26" s="38">
        <f>IF(I8&lt;=0,"",I25/I8)</f>
      </c>
      <c r="J26" s="38">
        <f>IF(J8&lt;=0,"",J25/J8)</f>
      </c>
      <c r="K26" s="38">
        <f>IF(K8&lt;=0,"",K25/K8)</f>
      </c>
      <c r="L26" s="38">
        <f>IF(L8&lt;=0,"",L25/L8)</f>
      </c>
      <c r="M26" s="38">
        <f>IF(M8&lt;=0,"",M25/M8)</f>
      </c>
      <c r="N26" s="38">
        <f>IF(N8&lt;=0,"",N25/N8)</f>
      </c>
      <c r="O26" s="38">
        <f>IF(O8&lt;=0,"",O25/O8)</f>
      </c>
      <c r="P26" s="38">
        <f>IF(P8&lt;=0,"",P25/P8)</f>
      </c>
      <c r="Q26" s="38">
        <f>IF(Q8&lt;=0,"",Q25/Q8)</f>
      </c>
      <c r="R26" s="38">
        <f>IF(R8&lt;=0,"",R25/R8)</f>
      </c>
      <c r="S26" s="38">
        <f>IF(S8&lt;=0,"",S25/S8)</f>
      </c>
      <c r="T26" s="38">
        <f>IF(T8&lt;=0,"",T25/T8)</f>
      </c>
      <c r="U26" s="38">
        <f>IF(U8&lt;=0,"",U25/U8)</f>
      </c>
      <c r="V26" s="38">
        <f>IF(V8&lt;=0,"",V25/V8)</f>
      </c>
      <c r="W26" s="38">
        <f>IF(W8&lt;=0,"",W25/W8)</f>
      </c>
      <c r="X26" s="38">
        <f>IF(X8&lt;=0,"",X25/X8)</f>
      </c>
      <c r="Y26" s="38">
        <f>IF(Y8&lt;=0,"",Y25/Y8)</f>
      </c>
      <c r="Z26" s="38">
        <f>IF(Z8&lt;=0,"",Z25/Z8)</f>
      </c>
      <c r="AA26" s="38">
        <f>IF(AA8&lt;=0,"",AA25/AA8)</f>
      </c>
      <c r="AB26" s="38">
        <f>IF(AB8&lt;=0,"",AB25/AB8)</f>
      </c>
      <c r="AC26" s="38">
        <f>IF(AC8&lt;=0,"",AC25/AC8)</f>
      </c>
      <c r="AD26" s="38">
        <f>IF(AD8&lt;=0,"",AD25/AD8)</f>
      </c>
      <c r="AE26" s="38">
        <f>IF(AE8&lt;=0,"",AE25/AE8)</f>
      </c>
      <c r="AF26" s="38">
        <f>IF(AF8&lt;=0,"",AF25/AF8)</f>
      </c>
      <c r="AG26" s="38">
        <f>IF(AG8&lt;=0,"",AG25/AG8)</f>
      </c>
      <c r="AH26" s="38">
        <f>IF(AH8&lt;=0,"",AH25/AH8)</f>
      </c>
      <c r="AI26" s="38">
        <f>IF(AI8&lt;=0,"",AI25/AI8)</f>
      </c>
      <c r="AJ26" s="38">
        <f>IF(AJ8&lt;=0,"",AJ25/AJ8)</f>
      </c>
      <c r="AK26" s="38">
        <f>IF(AK8&lt;=0,"",AK25/AK8)</f>
      </c>
      <c r="AL26" s="38">
        <f>IF(AL8&lt;=0,"",AL25/AL8)</f>
      </c>
      <c r="AM26" s="38">
        <f>IF(AM8&lt;=0,"",AM25/AM8)</f>
      </c>
      <c r="AN26" s="38">
        <f>IF(AN8&lt;=0,"",AN25/AN8)</f>
      </c>
      <c r="AO26" s="38">
        <f>IF(AO8&lt;=0,"",AO25/AO8)</f>
      </c>
      <c r="AP26" s="38">
        <f>IF(AP8&lt;=0,"",AP25/AP8)</f>
      </c>
      <c r="AQ26" s="38">
        <f>IF(AQ8&lt;=0,"",AQ25/AQ8)</f>
      </c>
      <c r="AR26" s="38">
        <f>IF(AR8&lt;=0,"",AR25/AR8)</f>
      </c>
      <c r="AS26" s="38">
        <f>IF(AS8&lt;=0,"",AS25/AS8)</f>
      </c>
      <c r="AT26" s="38">
        <f>IF(AT8&lt;=0,"",AT25/AT8)</f>
      </c>
      <c r="AU26" s="38">
        <f>IF(AU8&lt;=0,"",AU25/AU8)</f>
      </c>
      <c r="AV26" s="38">
        <f>IF(AV8&lt;=0,"",AV25/AV8)</f>
      </c>
      <c r="AW26" s="38">
        <f>IF(AW8&lt;=0,"",AW25/AW8)</f>
      </c>
      <c r="AX26" s="38">
        <f>IF(AX8&lt;=0,"",AX25/AX8)</f>
      </c>
      <c r="AY26" s="38">
        <f>IF(AY8&lt;=0,"",AY25/AY8)</f>
      </c>
      <c r="AZ26" s="38">
        <f>IF(AZ8&lt;=0,"",AZ25/AZ8)</f>
      </c>
      <c r="BA26" s="38">
        <f>IF(BA8&lt;=0,"",BA25/BA8)</f>
      </c>
      <c r="BB26" s="38">
        <f>IF(BB8&lt;=0,"",BB25/BB8)</f>
      </c>
      <c r="BC26" s="38">
        <f>IF(BC8&lt;=0,"",BC25/BC8)</f>
      </c>
      <c r="BD26" s="38">
        <f>IF(BD8&lt;=0,"",BD25/BD8)</f>
      </c>
      <c r="BE26" s="38">
        <f>IF(BE8&lt;=0,"",BE25/BE8)</f>
      </c>
      <c r="BF26" s="38">
        <f>IF(BF8&lt;=0,"",BF25/BF8)</f>
      </c>
      <c r="BG26" s="38">
        <f>IF(BG8&lt;=0,"",BG25/BG8)</f>
      </c>
      <c r="BH26" s="38">
        <f>IF(BH8&lt;=0,"",BH25/BH8)</f>
      </c>
      <c r="BI26" s="38">
        <f>IF(BI8&lt;=0,"",BI25/BI8)</f>
      </c>
      <c r="BJ26" s="38">
        <f>IF(BJ8&lt;=0,"",BJ25/BJ8)</f>
      </c>
      <c r="BK26" s="38">
        <f>IF(BK8&lt;=0,"",BK25/BK8)</f>
      </c>
      <c r="BL26" s="38">
        <f>IF(BL8&lt;=0,"",BL25/BL8)</f>
      </c>
      <c r="BM26" s="38">
        <f>IF(BM8&lt;=0,"",BM25/BM8)</f>
      </c>
      <c r="BN26" s="38">
        <f>IF(BN8&lt;=0,"",BN25/BN8)</f>
      </c>
      <c r="BO26" s="38">
        <f>IF(BO8&lt;=0,"",BO25/BO8)</f>
      </c>
      <c r="BP26" s="38">
        <f>IF(BP8&lt;=0,"",BP25/BP8)</f>
      </c>
      <c r="BQ26" s="38">
        <f>IF(BQ8&lt;=0,"",BQ25/BQ8)</f>
      </c>
      <c r="BR26" s="38">
        <f>IF(BR8&lt;=0,"",BR25/BR8)</f>
      </c>
      <c r="BS26" s="38">
        <f>IF(BS8&lt;=0,"",BS25/BS8)</f>
      </c>
      <c r="BT26" s="38">
        <f>IF(BT8&lt;=0,"",BT25/BT8)</f>
      </c>
      <c r="BU26" s="38">
        <f>IF(BU8&lt;=0,"",BU25/BU8)</f>
      </c>
      <c r="BV26" s="38">
        <f>IF(BV8&lt;=0,"",BV25/BV8)</f>
      </c>
      <c r="BW26" s="38">
        <f>IF(BW8&lt;=0,"",BW25/BW8)</f>
      </c>
      <c r="BX26" s="38">
        <f>IF(BX8&lt;=0,"",BX25/BX8)</f>
      </c>
      <c r="BY26" s="38">
        <f>IF(BY8&lt;=0,"",BY25/BY8)</f>
      </c>
      <c r="BZ26" s="38">
        <f>IF(BZ8&lt;=0,"",BZ25/BZ8)</f>
      </c>
      <c r="CA26" s="38">
        <f>IF(CA8&lt;=0,"",CA25/CA8)</f>
      </c>
      <c r="CB26" s="38">
        <f>IF(CB8&lt;=0,"",CB25/CB8)</f>
      </c>
      <c r="CC26" s="38">
        <f>IF(CC8&lt;=0,"",CC25/CC8)</f>
      </c>
      <c r="CD26" s="38">
        <f>IF(CD8&lt;=0,"",CD25/CD8)</f>
      </c>
      <c r="CE26" s="38">
        <f>IF(CE8&lt;=0,"",CE25/CE8)</f>
      </c>
      <c r="CF26" s="38">
        <f>IF(CF8&lt;=0,"",CF25/CF8)</f>
      </c>
      <c r="CG26" s="38">
        <f>IF(CG8&lt;=0,"",CG25/CG8)</f>
      </c>
      <c r="CH26" s="38">
        <f>IF(CH8&lt;=0,"",CH25/CH8)</f>
      </c>
      <c r="CI26" s="38">
        <f>IF(CI8&lt;=0,"",CI25/CI8)</f>
      </c>
      <c r="CJ26" s="38">
        <f>IF(CJ8&lt;=0,"",CJ25/CJ8)</f>
      </c>
      <c r="CK26" s="38">
        <f>IF(CK8&lt;=0,"",CK25/CK8)</f>
      </c>
      <c r="CL26" s="38">
        <f>IF(CL8&lt;=0,"",CL25/CL8)</f>
      </c>
    </row>
    <row r="28" spans="2:90" x14ac:dyDescent="0.25">
      <c r="B28" s="31" t="s">
        <v>313</v>
      </c>
      <c r="C28" s="32" t="s">
        <v>228</v>
      </c>
      <c r="D28" s="29">
        <f>SUM(E28:CL28)</f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f>-(('입력값'!C15)/'입력값'!C16*(3/12))</f>
      </c>
      <c r="L28" s="29">
        <f>-(('입력값'!C15)/'입력값'!C16*(3/12))</f>
      </c>
      <c r="M28" s="29">
        <f>-(('입력값'!C15)/'입력값'!C16*(3/12))</f>
      </c>
      <c r="N28" s="29">
        <f>-(('입력값'!C15)/'입력값'!C16*(3/12))</f>
      </c>
      <c r="O28" s="29">
        <f>-(('입력값'!C15)/'입력값'!C16*(3/12))</f>
      </c>
      <c r="P28" s="29">
        <f>-(('입력값'!C15)/'입력값'!C16*(3/12))</f>
      </c>
      <c r="Q28" s="29">
        <f>-(('입력값'!C15)/'입력값'!C16*(3/12))</f>
      </c>
      <c r="R28" s="29">
        <f>-(('입력값'!C15)/'입력값'!C16*(3/12))</f>
      </c>
      <c r="S28" s="29">
        <f>-(('입력값'!C15)/'입력값'!C16*(3/12))</f>
      </c>
      <c r="T28" s="29">
        <f>-(('입력값'!C15)/'입력값'!C16*(3/12))</f>
      </c>
      <c r="U28" s="29">
        <f>-(('입력값'!C15)/'입력값'!C16*(3/12))</f>
      </c>
      <c r="V28" s="29">
        <f>-(('입력값'!C15)/'입력값'!C16*(3/12))</f>
      </c>
      <c r="W28" s="29">
        <f>-(('입력값'!C15)/'입력값'!C16*(3/12))</f>
      </c>
      <c r="X28" s="29">
        <f>-(('입력값'!C15)/'입력값'!C16*(3/12))</f>
      </c>
      <c r="Y28" s="29">
        <f>-(('입력값'!C15)/'입력값'!C16*(3/12))</f>
      </c>
      <c r="Z28" s="29">
        <f>-(('입력값'!C15)/'입력값'!C16*(3/12))</f>
      </c>
      <c r="AA28" s="29">
        <f>-(('입력값'!C15)/'입력값'!C16*(3/12))</f>
      </c>
      <c r="AB28" s="29">
        <f>-(('입력값'!C15)/'입력값'!C16*(3/12))</f>
      </c>
      <c r="AC28" s="29">
        <f>-(('입력값'!C15)/'입력값'!C16*(3/12))</f>
      </c>
      <c r="AD28" s="29">
        <f>-(('입력값'!C15)/'입력값'!C16*(3/12))</f>
      </c>
      <c r="AE28" s="29">
        <f>-(('입력값'!C15)/'입력값'!C16*(3/12))</f>
      </c>
      <c r="AF28" s="29">
        <f>-(('입력값'!C15)/'입력값'!C16*(3/12))</f>
      </c>
      <c r="AG28" s="29">
        <f>-(('입력값'!C15)/'입력값'!C16*(3/12))</f>
      </c>
      <c r="AH28" s="29">
        <f>-(('입력값'!C15)/'입력값'!C16*(3/12))</f>
      </c>
      <c r="AI28" s="29">
        <f>-(('입력값'!C15)/'입력값'!C16*(3/12))</f>
      </c>
      <c r="AJ28" s="29">
        <f>-(('입력값'!C15)/'입력값'!C16*(3/12))</f>
      </c>
      <c r="AK28" s="29">
        <f>-(('입력값'!C15)/'입력값'!C16*(3/12))</f>
      </c>
      <c r="AL28" s="29">
        <f>-(('입력값'!C15)/'입력값'!C16*(3/12))</f>
      </c>
      <c r="AM28" s="29">
        <f>-(('입력값'!C15)/'입력값'!C16*(3/12))</f>
      </c>
      <c r="AN28" s="29">
        <f>-(('입력값'!C15)/'입력값'!C16*(3/12))</f>
      </c>
      <c r="AO28" s="29">
        <f>-(('입력값'!C15)/'입력값'!C16*(3/12))</f>
      </c>
      <c r="AP28" s="29">
        <f>-(('입력값'!C15)/'입력값'!C16*(3/12))</f>
      </c>
      <c r="AQ28" s="29">
        <f>-(('입력값'!C15)/'입력값'!C16*(3/12))</f>
      </c>
      <c r="AR28" s="29">
        <f>-(('입력값'!C15)/'입력값'!C16*(3/12))</f>
      </c>
      <c r="AS28" s="29">
        <f>-(('입력값'!C15)/'입력값'!C16*(3/12))</f>
      </c>
      <c r="AT28" s="29">
        <f>-(('입력값'!C15)/'입력값'!C16*(3/12))</f>
      </c>
      <c r="AU28" s="29">
        <f>-(('입력값'!C15)/'입력값'!C16*(3/12))</f>
      </c>
      <c r="AV28" s="29">
        <f>-(('입력값'!C15)/'입력값'!C16*(3/12))</f>
      </c>
      <c r="AW28" s="29">
        <f>-(('입력값'!C15)/'입력값'!C16*(3/12))</f>
      </c>
      <c r="AX28" s="29">
        <f>-(('입력값'!C15)/'입력값'!C16*(3/12))</f>
      </c>
      <c r="AY28" s="29">
        <f>-(('입력값'!C15)/'입력값'!C16*(3/12))</f>
      </c>
      <c r="AZ28" s="29">
        <f>-(('입력값'!C15)/'입력값'!C16*(3/12))</f>
      </c>
      <c r="BA28" s="29">
        <f>-(('입력값'!C15)/'입력값'!C16*(3/12))</f>
      </c>
      <c r="BB28" s="29">
        <f>-(('입력값'!C15)/'입력값'!C16*(3/12))</f>
      </c>
      <c r="BC28" s="29">
        <f>-(('입력값'!C15)/'입력값'!C16*(3/12))</f>
      </c>
      <c r="BD28" s="29">
        <f>-(('입력값'!C15)/'입력값'!C16*(3/12))</f>
      </c>
      <c r="BE28" s="29">
        <f>-(('입력값'!C15)/'입력값'!C16*(3/12))</f>
      </c>
      <c r="BF28" s="29">
        <f>-(('입력값'!C15)/'입력값'!C16*(3/12))</f>
      </c>
      <c r="BG28" s="29">
        <f>-(('입력값'!C15)/'입력값'!C16*(3/12))</f>
      </c>
      <c r="BH28" s="29">
        <f>-(('입력값'!C15)/'입력값'!C16*(3/12))</f>
      </c>
      <c r="BI28" s="29">
        <f>-(('입력값'!C15)/'입력값'!C16*(3/12))</f>
      </c>
      <c r="BJ28" s="29">
        <f>-(('입력값'!C15)/'입력값'!C16*(3/12))</f>
      </c>
      <c r="BK28" s="29">
        <f>-(('입력값'!C15)/'입력값'!C16*(3/12))</f>
      </c>
      <c r="BL28" s="29">
        <f>-(('입력값'!C15)/'입력값'!C16*(3/12))</f>
      </c>
      <c r="BM28" s="29">
        <f>-(('입력값'!C15)/'입력값'!C16*(3/12))</f>
      </c>
      <c r="BN28" s="29">
        <f>-(('입력값'!C15)/'입력값'!C16*(3/12))</f>
      </c>
      <c r="BO28" s="29">
        <f>-(('입력값'!C15)/'입력값'!C16*(3/12))</f>
      </c>
      <c r="BP28" s="29">
        <f>-(('입력값'!C15)/'입력값'!C16*(3/12))</f>
      </c>
      <c r="BQ28" s="29">
        <f>-(('입력값'!C15)/'입력값'!C16*(3/12))</f>
      </c>
      <c r="BR28" s="29">
        <f>-(('입력값'!C15)/'입력값'!C16*(3/12))</f>
      </c>
      <c r="BS28" s="29">
        <f>-(('입력값'!C15)/'입력값'!C16*(3/12))</f>
      </c>
      <c r="BT28" s="29">
        <f>-(('입력값'!C15)/'입력값'!C16*(3/12))</f>
      </c>
      <c r="BU28" s="29">
        <f>-(('입력값'!C15)/'입력값'!C16*(3/12))</f>
      </c>
      <c r="BV28" s="29">
        <f>-(('입력값'!C15)/'입력값'!C16*(3/12))</f>
      </c>
      <c r="BW28" s="29">
        <f>-(('입력값'!C15)/'입력값'!C16*(3/12))</f>
      </c>
      <c r="BX28" s="29">
        <f>-(('입력값'!C15)/'입력값'!C16*(3/12))</f>
      </c>
      <c r="BY28" s="29">
        <f>-(('입력값'!C15)/'입력값'!C16*(3/12))</f>
      </c>
      <c r="BZ28" s="29">
        <f>-(('입력값'!C15)/'입력값'!C16*(3/12))</f>
      </c>
      <c r="CA28" s="29">
        <f>-(('입력값'!C15)/'입력값'!C16*(3/12))</f>
      </c>
      <c r="CB28" s="29">
        <f>-(('입력값'!C15)/'입력값'!C16*(3/12))</f>
      </c>
      <c r="CC28" s="29">
        <f>-(('입력값'!C15)/'입력값'!C16*(3/12))</f>
      </c>
      <c r="CD28" s="29">
        <f>-(('입력값'!C15)/'입력값'!C16*(3/12))</f>
      </c>
      <c r="CE28" s="29">
        <f>-(('입력값'!C15)/'입력값'!C16*(3/12))</f>
      </c>
      <c r="CF28" s="29">
        <f>-(('입력값'!C15)/'입력값'!C16*(3/12))</f>
      </c>
      <c r="CG28" s="29">
        <f>-(('입력값'!C15)/'입력값'!C16*(3/12))</f>
      </c>
      <c r="CH28" s="29">
        <f>-(('입력값'!C15)/'입력값'!C16*(3/12))</f>
      </c>
      <c r="CI28" s="29">
        <f>-(('입력값'!C15)/'입력값'!C16*(3/12))</f>
      </c>
      <c r="CJ28" s="29">
        <f>-(('입력값'!C15)/'입력값'!C16*(3/12))</f>
      </c>
      <c r="CK28" s="29">
        <f>-(('입력값'!C15)/'입력값'!C16*(3/12))</f>
      </c>
      <c r="CL28" s="29">
        <f>-(('입력값'!C15)/'입력값'!C16*(3/12))</f>
      </c>
    </row>
    <row r="29" spans="2:90" x14ac:dyDescent="0.25">
      <c r="B29" s="31" t="s">
        <v>314</v>
      </c>
      <c r="C29" s="32" t="s">
        <v>228</v>
      </c>
      <c r="D29" s="29">
        <f>SUM(E29:CL29)</f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f>-'입력값'!K119</f>
      </c>
      <c r="L29" s="29">
        <f>-'입력값'!L119</f>
      </c>
      <c r="M29" s="29">
        <f>-'입력값'!M119</f>
      </c>
      <c r="N29" s="29">
        <f>-'입력값'!N119</f>
      </c>
      <c r="O29" s="29">
        <f>-'입력값'!O119</f>
      </c>
      <c r="P29" s="29">
        <f>-'입력값'!P119</f>
      </c>
      <c r="Q29" s="29">
        <f>-'입력값'!Q119</f>
      </c>
      <c r="R29" s="29">
        <f>-'입력값'!R119</f>
      </c>
      <c r="S29" s="29">
        <f>-'입력값'!S119</f>
      </c>
      <c r="T29" s="29">
        <f>-'입력값'!T119</f>
      </c>
      <c r="U29" s="29">
        <f>-'입력값'!U119</f>
      </c>
      <c r="V29" s="29">
        <f>-'입력값'!V119</f>
      </c>
      <c r="W29" s="29">
        <f>-'입력값'!W119</f>
      </c>
      <c r="X29" s="29">
        <f>-'입력값'!X119</f>
      </c>
      <c r="Y29" s="29">
        <f>-'입력값'!Y119</f>
      </c>
      <c r="Z29" s="29">
        <f>-'입력값'!Z119</f>
      </c>
      <c r="AA29" s="29">
        <f>-'입력값'!AA119</f>
      </c>
      <c r="AB29" s="29">
        <f>-'입력값'!AB119</f>
      </c>
      <c r="AC29" s="29">
        <f>-'입력값'!AC119</f>
      </c>
      <c r="AD29" s="29">
        <f>-'입력값'!AD119</f>
      </c>
      <c r="AE29" s="29">
        <f>-'입력값'!AE119</f>
      </c>
      <c r="AF29" s="29">
        <f>-'입력값'!AF119</f>
      </c>
      <c r="AG29" s="29">
        <f>-'입력값'!AG119</f>
      </c>
      <c r="AH29" s="29">
        <f>-'입력값'!AH119</f>
      </c>
      <c r="AI29" s="29">
        <f>-'입력값'!AI119</f>
      </c>
      <c r="AJ29" s="29">
        <f>-'입력값'!AJ119</f>
      </c>
      <c r="AK29" s="29">
        <f>-'입력값'!AK119</f>
      </c>
      <c r="AL29" s="29">
        <f>-'입력값'!AL119</f>
      </c>
      <c r="AM29" s="29">
        <f>-'입력값'!AM119</f>
      </c>
      <c r="AN29" s="29">
        <f>-'입력값'!AN119</f>
      </c>
      <c r="AO29" s="29">
        <f>-'입력값'!AO119</f>
      </c>
      <c r="AP29" s="29">
        <f>-'입력값'!AP119</f>
      </c>
      <c r="AQ29" s="29">
        <f>-'입력값'!AQ119</f>
      </c>
      <c r="AR29" s="29">
        <f>-'입력값'!AR119</f>
      </c>
      <c r="AS29" s="29">
        <f>-'입력값'!AS119</f>
      </c>
      <c r="AT29" s="29">
        <f>-'입력값'!AT119</f>
      </c>
      <c r="AU29" s="29">
        <f>-'입력값'!AU119</f>
      </c>
      <c r="AV29" s="29">
        <f>-'입력값'!AV119</f>
      </c>
      <c r="AW29" s="29">
        <f>-'입력값'!AW119</f>
      </c>
      <c r="AX29" s="29">
        <f>-'입력값'!AX119</f>
      </c>
      <c r="AY29" s="29">
        <f>-'입력값'!AY119</f>
      </c>
      <c r="AZ29" s="29">
        <f>-'입력값'!AZ119</f>
      </c>
      <c r="BA29" s="29">
        <f>-'입력값'!BA119</f>
      </c>
      <c r="BB29" s="29">
        <f>-'입력값'!BB119</f>
      </c>
      <c r="BC29" s="29">
        <f>-'입력값'!BC119</f>
      </c>
      <c r="BD29" s="29">
        <f>-'입력값'!BD119</f>
      </c>
      <c r="BE29" s="29">
        <f>-'입력값'!BE119</f>
      </c>
      <c r="BF29" s="29">
        <f>-'입력값'!BF119</f>
      </c>
      <c r="BG29" s="29">
        <f>-'입력값'!BG119</f>
      </c>
      <c r="BH29" s="29">
        <f>-'입력값'!BH119</f>
      </c>
      <c r="BI29" s="29">
        <f>-'입력값'!BI119</f>
      </c>
      <c r="BJ29" s="29">
        <f>-'입력값'!BJ119</f>
      </c>
      <c r="BK29" s="29">
        <f>-'입력값'!BK119</f>
      </c>
      <c r="BL29" s="29">
        <f>-'입력값'!BL119</f>
      </c>
      <c r="BM29" s="29">
        <f>-'입력값'!BM119</f>
      </c>
      <c r="BN29" s="29">
        <f>-'입력값'!BN119</f>
      </c>
      <c r="BO29" s="29">
        <f>-'입력값'!BO119</f>
      </c>
      <c r="BP29" s="29">
        <f>-'입력값'!BP119</f>
      </c>
      <c r="BQ29" s="29">
        <f>-'입력값'!BQ119</f>
      </c>
      <c r="BR29" s="29">
        <f>-'입력값'!BR119</f>
      </c>
      <c r="BS29" s="29">
        <f>-'입력값'!BS119</f>
      </c>
      <c r="BT29" s="29">
        <f>-'입력값'!BT119</f>
      </c>
      <c r="BU29" s="29">
        <f>-'입력값'!BU119</f>
      </c>
      <c r="BV29" s="29">
        <f>-'입력값'!BV119</f>
      </c>
      <c r="BW29" s="29">
        <f>-'입력값'!BW119</f>
      </c>
      <c r="BX29" s="29">
        <f>-'입력값'!BX119</f>
      </c>
      <c r="BY29" s="29">
        <f>-'입력값'!BY119</f>
      </c>
      <c r="BZ29" s="29">
        <f>-'입력값'!BZ119</f>
      </c>
      <c r="CA29" s="29">
        <f>-'입력값'!CA119</f>
      </c>
      <c r="CB29" s="29">
        <f>-'입력값'!CB119</f>
      </c>
      <c r="CC29" s="29">
        <f>-'입력값'!CC119</f>
      </c>
      <c r="CD29" s="29">
        <f>-'입력값'!CD119</f>
      </c>
      <c r="CE29" s="29">
        <f>-'입력값'!CE119</f>
      </c>
      <c r="CF29" s="29">
        <f>-'입력값'!CF119</f>
      </c>
      <c r="CG29" s="29">
        <f>-'입력값'!CG119</f>
      </c>
      <c r="CH29" s="29">
        <f>-'입력값'!CH119</f>
      </c>
      <c r="CI29" s="29">
        <f>-'입력값'!CI119</f>
      </c>
      <c r="CJ29" s="29">
        <f>-'입력값'!CJ119</f>
      </c>
      <c r="CK29" s="29">
        <f>-'입력값'!CK119</f>
      </c>
      <c r="CL29" s="29">
        <f>-'입력값'!CL119</f>
      </c>
    </row>
    <row r="30" spans="2:90" x14ac:dyDescent="0.25">
      <c r="B30" s="31" t="s">
        <v>315</v>
      </c>
      <c r="C30" s="32" t="s">
        <v>228</v>
      </c>
      <c r="D30" s="29">
        <f>SUM(E30:CL30)</f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f>-'입력값'!K121</f>
      </c>
      <c r="L30" s="29">
        <f>-'입력값'!L121</f>
      </c>
      <c r="M30" s="29">
        <f>-'입력값'!M121</f>
      </c>
      <c r="N30" s="29">
        <f>-'입력값'!N121</f>
      </c>
      <c r="O30" s="29">
        <f>-'입력값'!O121</f>
      </c>
      <c r="P30" s="29">
        <f>-'입력값'!P121</f>
      </c>
      <c r="Q30" s="29">
        <f>-'입력값'!Q121</f>
      </c>
      <c r="R30" s="29">
        <f>-'입력값'!R121</f>
      </c>
      <c r="S30" s="29">
        <f>-'입력값'!S121</f>
      </c>
      <c r="T30" s="29">
        <f>-'입력값'!T121</f>
      </c>
      <c r="U30" s="29">
        <f>-'입력값'!U121</f>
      </c>
      <c r="V30" s="29">
        <f>-'입력값'!V121</f>
      </c>
      <c r="W30" s="29">
        <f>-'입력값'!W121</f>
      </c>
      <c r="X30" s="29">
        <f>-'입력값'!X121</f>
      </c>
      <c r="Y30" s="29">
        <f>-'입력값'!Y121</f>
      </c>
      <c r="Z30" s="29">
        <f>-'입력값'!Z121</f>
      </c>
      <c r="AA30" s="29">
        <f>-'입력값'!AA121</f>
      </c>
      <c r="AB30" s="29">
        <f>-'입력값'!AB121</f>
      </c>
      <c r="AC30" s="29">
        <f>-'입력값'!AC121</f>
      </c>
      <c r="AD30" s="29">
        <f>-'입력값'!AD121</f>
      </c>
      <c r="AE30" s="29">
        <f>-'입력값'!AE121</f>
      </c>
      <c r="AF30" s="29">
        <f>-'입력값'!AF121</f>
      </c>
      <c r="AG30" s="29">
        <f>-'입력값'!AG121</f>
      </c>
      <c r="AH30" s="29">
        <f>-'입력값'!AH121</f>
      </c>
      <c r="AI30" s="29">
        <f>-'입력값'!AI121</f>
      </c>
      <c r="AJ30" s="29">
        <f>-'입력값'!AJ121</f>
      </c>
      <c r="AK30" s="29">
        <f>-'입력값'!AK121</f>
      </c>
      <c r="AL30" s="29">
        <f>-'입력값'!AL121</f>
      </c>
      <c r="AM30" s="29">
        <f>-'입력값'!AM121</f>
      </c>
      <c r="AN30" s="29">
        <f>-'입력값'!AN121</f>
      </c>
      <c r="AO30" s="29">
        <f>-'입력값'!AO121</f>
      </c>
      <c r="AP30" s="29">
        <f>-'입력값'!AP121</f>
      </c>
      <c r="AQ30" s="29">
        <f>-'입력값'!AQ121</f>
      </c>
      <c r="AR30" s="29">
        <f>-'입력값'!AR121</f>
      </c>
      <c r="AS30" s="29">
        <f>-'입력값'!AS121</f>
      </c>
      <c r="AT30" s="29">
        <f>-'입력값'!AT121</f>
      </c>
      <c r="AU30" s="29">
        <f>-'입력값'!AU121</f>
      </c>
      <c r="AV30" s="29">
        <f>-'입력값'!AV121</f>
      </c>
      <c r="AW30" s="29">
        <f>-'입력값'!AW121</f>
      </c>
      <c r="AX30" s="29">
        <f>-'입력값'!AX121</f>
      </c>
      <c r="AY30" s="29">
        <f>-'입력값'!AY121</f>
      </c>
      <c r="AZ30" s="29">
        <f>-'입력값'!AZ121</f>
      </c>
      <c r="BA30" s="29">
        <f>-'입력값'!BA121</f>
      </c>
      <c r="BB30" s="29">
        <f>-'입력값'!BB121</f>
      </c>
      <c r="BC30" s="29">
        <f>-'입력값'!BC121</f>
      </c>
      <c r="BD30" s="29">
        <f>-'입력값'!BD121</f>
      </c>
      <c r="BE30" s="29">
        <f>-'입력값'!BE121</f>
      </c>
      <c r="BF30" s="29">
        <f>-'입력값'!BF121</f>
      </c>
      <c r="BG30" s="29">
        <f>-'입력값'!BG121</f>
      </c>
      <c r="BH30" s="29">
        <f>-'입력값'!BH121</f>
      </c>
      <c r="BI30" s="29">
        <f>-'입력값'!BI121</f>
      </c>
      <c r="BJ30" s="29">
        <f>-'입력값'!BJ121</f>
      </c>
      <c r="BK30" s="29">
        <f>-'입력값'!BK121</f>
      </c>
      <c r="BL30" s="29">
        <f>-'입력값'!BL121</f>
      </c>
      <c r="BM30" s="29">
        <f>-'입력값'!BM121</f>
      </c>
      <c r="BN30" s="29">
        <f>-'입력값'!BN121</f>
      </c>
      <c r="BO30" s="29">
        <f>-'입력값'!BO121</f>
      </c>
      <c r="BP30" s="29">
        <f>-'입력값'!BP121</f>
      </c>
      <c r="BQ30" s="29">
        <f>-'입력값'!BQ121</f>
      </c>
      <c r="BR30" s="29">
        <f>-'입력값'!BR121</f>
      </c>
      <c r="BS30" s="29">
        <f>-'입력값'!BS121</f>
      </c>
      <c r="BT30" s="29">
        <f>-'입력값'!BT121</f>
      </c>
      <c r="BU30" s="29">
        <f>-'입력값'!BU121</f>
      </c>
      <c r="BV30" s="29">
        <f>-'입력값'!BV121</f>
      </c>
      <c r="BW30" s="29">
        <f>-'입력값'!BW121</f>
      </c>
      <c r="BX30" s="29">
        <f>-'입력값'!BX121</f>
      </c>
      <c r="BY30" s="29">
        <f>-'입력값'!BY121</f>
      </c>
      <c r="BZ30" s="29">
        <f>-'입력값'!BZ121</f>
      </c>
      <c r="CA30" s="29">
        <f>-'입력값'!CA121</f>
      </c>
      <c r="CB30" s="29">
        <f>-'입력값'!CB121</f>
      </c>
      <c r="CC30" s="29">
        <f>-'입력값'!CC121</f>
      </c>
      <c r="CD30" s="29">
        <f>-'입력값'!CD121</f>
      </c>
      <c r="CE30" s="29">
        <f>-'입력값'!CE121</f>
      </c>
      <c r="CF30" s="29">
        <f>-'입력값'!CF121</f>
      </c>
      <c r="CG30" s="29">
        <f>-'입력값'!CG121</f>
      </c>
      <c r="CH30" s="29">
        <f>-'입력값'!CH121</f>
      </c>
      <c r="CI30" s="29">
        <f>-'입력값'!CI121</f>
      </c>
      <c r="CJ30" s="29">
        <f>-'입력값'!CJ121</f>
      </c>
      <c r="CK30" s="29">
        <f>-'입력값'!CK121</f>
      </c>
      <c r="CL30" s="29">
        <f>-'입력값'!CL121</f>
      </c>
    </row>
    <row r="31" spans="2:90" x14ac:dyDescent="0.25">
      <c r="B31" s="31" t="s">
        <v>316</v>
      </c>
      <c r="C31" s="32" t="s">
        <v>228</v>
      </c>
      <c r="D31" s="29">
        <f>SUM(E31:CL31)</f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f>-'입력값'!K120</f>
      </c>
      <c r="L31" s="29">
        <f>-'입력값'!L120</f>
      </c>
      <c r="M31" s="29">
        <f>-'입력값'!M120</f>
      </c>
      <c r="N31" s="29">
        <f>-'입력값'!N120</f>
      </c>
      <c r="O31" s="29">
        <f>-'입력값'!O120</f>
      </c>
      <c r="P31" s="29">
        <f>-'입력값'!P120</f>
      </c>
      <c r="Q31" s="29">
        <f>-'입력값'!Q120</f>
      </c>
      <c r="R31" s="29">
        <f>-'입력값'!R120</f>
      </c>
      <c r="S31" s="29">
        <f>-'입력값'!S120</f>
      </c>
      <c r="T31" s="29">
        <f>-'입력값'!T120</f>
      </c>
      <c r="U31" s="29">
        <f>-'입력값'!U120</f>
      </c>
      <c r="V31" s="29">
        <f>-'입력값'!V120</f>
      </c>
      <c r="W31" s="29">
        <f>-'입력값'!W120</f>
      </c>
      <c r="X31" s="29">
        <f>-'입력값'!X120</f>
      </c>
      <c r="Y31" s="29">
        <f>-'입력값'!Y120</f>
      </c>
      <c r="Z31" s="29">
        <f>-'입력값'!Z120</f>
      </c>
      <c r="AA31" s="29">
        <f>-'입력값'!AA120</f>
      </c>
      <c r="AB31" s="29">
        <f>-'입력값'!AB120</f>
      </c>
      <c r="AC31" s="29">
        <f>-'입력값'!AC120</f>
      </c>
      <c r="AD31" s="29">
        <f>-'입력값'!AD120</f>
      </c>
      <c r="AE31" s="29">
        <f>-'입력값'!AE120</f>
      </c>
      <c r="AF31" s="29">
        <f>-'입력값'!AF120</f>
      </c>
      <c r="AG31" s="29">
        <f>-'입력값'!AG120</f>
      </c>
      <c r="AH31" s="29">
        <f>-'입력값'!AH120</f>
      </c>
      <c r="AI31" s="29">
        <f>-'입력값'!AI120</f>
      </c>
      <c r="AJ31" s="29">
        <f>-'입력값'!AJ120</f>
      </c>
      <c r="AK31" s="29">
        <f>-'입력값'!AK120</f>
      </c>
      <c r="AL31" s="29">
        <f>-'입력값'!AL120</f>
      </c>
      <c r="AM31" s="29">
        <f>-'입력값'!AM120</f>
      </c>
      <c r="AN31" s="29">
        <f>-'입력값'!AN120</f>
      </c>
      <c r="AO31" s="29">
        <f>-'입력값'!AO120</f>
      </c>
      <c r="AP31" s="29">
        <f>-'입력값'!AP120</f>
      </c>
      <c r="AQ31" s="29">
        <f>-'입력값'!AQ120</f>
      </c>
      <c r="AR31" s="29">
        <f>-'입력값'!AR120</f>
      </c>
      <c r="AS31" s="29">
        <f>-'입력값'!AS120</f>
      </c>
      <c r="AT31" s="29">
        <f>-'입력값'!AT120</f>
      </c>
      <c r="AU31" s="29">
        <f>-'입력값'!AU120</f>
      </c>
      <c r="AV31" s="29">
        <f>-'입력값'!AV120</f>
      </c>
      <c r="AW31" s="29">
        <f>-'입력값'!AW120</f>
      </c>
      <c r="AX31" s="29">
        <f>-'입력값'!AX120</f>
      </c>
      <c r="AY31" s="29">
        <f>-'입력값'!AY120</f>
      </c>
      <c r="AZ31" s="29">
        <f>-'입력값'!AZ120</f>
      </c>
      <c r="BA31" s="29">
        <f>-'입력값'!BA120</f>
      </c>
      <c r="BB31" s="29">
        <f>-'입력값'!BB120</f>
      </c>
      <c r="BC31" s="29">
        <f>-'입력값'!BC120</f>
      </c>
      <c r="BD31" s="29">
        <f>-'입력값'!BD120</f>
      </c>
      <c r="BE31" s="29">
        <f>-'입력값'!BE120</f>
      </c>
      <c r="BF31" s="29">
        <f>-'입력값'!BF120</f>
      </c>
      <c r="BG31" s="29">
        <f>-'입력값'!BG120</f>
      </c>
      <c r="BH31" s="29">
        <f>-'입력값'!BH120</f>
      </c>
      <c r="BI31" s="29">
        <f>-'입력값'!BI120</f>
      </c>
      <c r="BJ31" s="29">
        <f>-'입력값'!BJ120</f>
      </c>
      <c r="BK31" s="29">
        <f>-'입력값'!BK120</f>
      </c>
      <c r="BL31" s="29">
        <f>-'입력값'!BL120</f>
      </c>
      <c r="BM31" s="29">
        <f>-'입력값'!BM120</f>
      </c>
      <c r="BN31" s="29">
        <f>-'입력값'!BN120</f>
      </c>
      <c r="BO31" s="29">
        <f>-'입력값'!BO120</f>
      </c>
      <c r="BP31" s="29">
        <f>-'입력값'!BP120</f>
      </c>
      <c r="BQ31" s="29">
        <f>-'입력값'!BQ120</f>
      </c>
      <c r="BR31" s="29">
        <f>-'입력값'!BR120</f>
      </c>
      <c r="BS31" s="29">
        <f>-'입력값'!BS120</f>
      </c>
      <c r="BT31" s="29">
        <f>-'입력값'!BT120</f>
      </c>
      <c r="BU31" s="29">
        <f>-'입력값'!BU120</f>
      </c>
      <c r="BV31" s="29">
        <f>-'입력값'!BV120</f>
      </c>
      <c r="BW31" s="29">
        <f>-'입력값'!BW120</f>
      </c>
      <c r="BX31" s="29">
        <f>-'입력값'!BX120</f>
      </c>
      <c r="BY31" s="29">
        <f>-'입력값'!BY120</f>
      </c>
      <c r="BZ31" s="29">
        <f>-'입력값'!BZ120</f>
      </c>
      <c r="CA31" s="29">
        <f>-'입력값'!CA120</f>
      </c>
      <c r="CB31" s="29">
        <f>-'입력값'!CB120</f>
      </c>
      <c r="CC31" s="29">
        <f>-'입력값'!CC120</f>
      </c>
      <c r="CD31" s="29">
        <f>-'입력값'!CD120</f>
      </c>
      <c r="CE31" s="29">
        <f>-'입력값'!CE120</f>
      </c>
      <c r="CF31" s="29">
        <f>-'입력값'!CF120</f>
      </c>
      <c r="CG31" s="29">
        <f>-'입력값'!CG120</f>
      </c>
      <c r="CH31" s="29">
        <f>-'입력값'!CH120</f>
      </c>
      <c r="CI31" s="29">
        <f>-'입력값'!CI120</f>
      </c>
      <c r="CJ31" s="29">
        <f>-'입력값'!CJ120</f>
      </c>
      <c r="CK31" s="29">
        <f>-'입력값'!CK120</f>
      </c>
      <c r="CL31" s="29">
        <f>-'입력값'!CL120</f>
      </c>
    </row>
    <row r="32" spans="2:90" x14ac:dyDescent="0.25">
      <c r="B32" s="42" t="s">
        <v>317</v>
      </c>
      <c r="C32" s="32" t="s">
        <v>228</v>
      </c>
      <c r="D32" s="14">
        <f>SUM(E32:CL32)</f>
      </c>
      <c r="E32" s="14">
        <f>E25+E28+E29+E30+E31</f>
      </c>
      <c r="F32" s="14">
        <f>F25+F28+F29+F30+F31</f>
      </c>
      <c r="G32" s="14">
        <f>G25+G28+G29+G30+G31</f>
      </c>
      <c r="H32" s="14">
        <f>H25+H28+H29+H30+H31</f>
      </c>
      <c r="I32" s="14">
        <f>I25+I28+I29+I30+I31</f>
      </c>
      <c r="J32" s="14">
        <f>J25+J28+J29+J30+J31</f>
      </c>
      <c r="K32" s="14">
        <f>K25+K28+K29+K30+K31</f>
      </c>
      <c r="L32" s="14">
        <f>L25+L28+L29+L30+L31</f>
      </c>
      <c r="M32" s="14">
        <f>M25+M28+M29+M30+M31</f>
      </c>
      <c r="N32" s="14">
        <f>N25+N28+N29+N30+N31</f>
      </c>
      <c r="O32" s="14">
        <f>O25+O28+O29+O30+O31</f>
      </c>
      <c r="P32" s="14">
        <f>P25+P28+P29+P30+P31</f>
      </c>
      <c r="Q32" s="14">
        <f>Q25+Q28+Q29+Q30+Q31</f>
      </c>
      <c r="R32" s="14">
        <f>R25+R28+R29+R30+R31</f>
      </c>
      <c r="S32" s="14">
        <f>S25+S28+S29+S30+S31</f>
      </c>
      <c r="T32" s="14">
        <f>T25+T28+T29+T30+T31</f>
      </c>
      <c r="U32" s="14">
        <f>U25+U28+U29+U30+U31</f>
      </c>
      <c r="V32" s="14">
        <f>V25+V28+V29+V30+V31</f>
      </c>
      <c r="W32" s="14">
        <f>W25+W28+W29+W30+W31</f>
      </c>
      <c r="X32" s="14">
        <f>X25+X28+X29+X30+X31</f>
      </c>
      <c r="Y32" s="14">
        <f>Y25+Y28+Y29+Y30+Y31</f>
      </c>
      <c r="Z32" s="14">
        <f>Z25+Z28+Z29+Z30+Z31</f>
      </c>
      <c r="AA32" s="14">
        <f>AA25+AA28+AA29+AA30+AA31</f>
      </c>
      <c r="AB32" s="14">
        <f>AB25+AB28+AB29+AB30+AB31</f>
      </c>
      <c r="AC32" s="14">
        <f>AC25+AC28+AC29+AC30+AC31</f>
      </c>
      <c r="AD32" s="14">
        <f>AD25+AD28+AD29+AD30+AD31</f>
      </c>
      <c r="AE32" s="14">
        <f>AE25+AE28+AE29+AE30+AE31</f>
      </c>
      <c r="AF32" s="14">
        <f>AF25+AF28+AF29+AF30+AF31</f>
      </c>
      <c r="AG32" s="14">
        <f>AG25+AG28+AG29+AG30+AG31</f>
      </c>
      <c r="AH32" s="14">
        <f>AH25+AH28+AH29+AH30+AH31</f>
      </c>
      <c r="AI32" s="14">
        <f>AI25+AI28+AI29+AI30+AI31</f>
      </c>
      <c r="AJ32" s="14">
        <f>AJ25+AJ28+AJ29+AJ30+AJ31</f>
      </c>
      <c r="AK32" s="14">
        <f>AK25+AK28+AK29+AK30+AK31</f>
      </c>
      <c r="AL32" s="14">
        <f>AL25+AL28+AL29+AL30+AL31</f>
      </c>
      <c r="AM32" s="14">
        <f>AM25+AM28+AM29+AM30+AM31</f>
      </c>
      <c r="AN32" s="14">
        <f>AN25+AN28+AN29+AN30+AN31</f>
      </c>
      <c r="AO32" s="14">
        <f>AO25+AO28+AO29+AO30+AO31</f>
      </c>
      <c r="AP32" s="14">
        <f>AP25+AP28+AP29+AP30+AP31</f>
      </c>
      <c r="AQ32" s="14">
        <f>AQ25+AQ28+AQ29+AQ30+AQ31</f>
      </c>
      <c r="AR32" s="14">
        <f>AR25+AR28+AR29+AR30+AR31</f>
      </c>
      <c r="AS32" s="14">
        <f>AS25+AS28+AS29+AS30+AS31</f>
      </c>
      <c r="AT32" s="14">
        <f>AT25+AT28+AT29+AT30+AT31</f>
      </c>
      <c r="AU32" s="14">
        <f>AU25+AU28+AU29+AU30+AU31</f>
      </c>
      <c r="AV32" s="14">
        <f>AV25+AV28+AV29+AV30+AV31</f>
      </c>
      <c r="AW32" s="14">
        <f>AW25+AW28+AW29+AW30+AW31</f>
      </c>
      <c r="AX32" s="14">
        <f>AX25+AX28+AX29+AX30+AX31</f>
      </c>
      <c r="AY32" s="14">
        <f>AY25+AY28+AY29+AY30+AY31</f>
      </c>
      <c r="AZ32" s="14">
        <f>AZ25+AZ28+AZ29+AZ30+AZ31</f>
      </c>
      <c r="BA32" s="14">
        <f>BA25+BA28+BA29+BA30+BA31</f>
      </c>
      <c r="BB32" s="14">
        <f>BB25+BB28+BB29+BB30+BB31</f>
      </c>
      <c r="BC32" s="14">
        <f>BC25+BC28+BC29+BC30+BC31</f>
      </c>
      <c r="BD32" s="14">
        <f>BD25+BD28+BD29+BD30+BD31</f>
      </c>
      <c r="BE32" s="14">
        <f>BE25+BE28+BE29+BE30+BE31</f>
      </c>
      <c r="BF32" s="14">
        <f>BF25+BF28+BF29+BF30+BF31</f>
      </c>
      <c r="BG32" s="14">
        <f>BG25+BG28+BG29+BG30+BG31</f>
      </c>
      <c r="BH32" s="14">
        <f>BH25+BH28+BH29+BH30+BH31</f>
      </c>
      <c r="BI32" s="14">
        <f>BI25+BI28+BI29+BI30+BI31</f>
      </c>
      <c r="BJ32" s="14">
        <f>BJ25+BJ28+BJ29+BJ30+BJ31</f>
      </c>
      <c r="BK32" s="14">
        <f>BK25+BK28+BK29+BK30+BK31</f>
      </c>
      <c r="BL32" s="14">
        <f>BL25+BL28+BL29+BL30+BL31</f>
      </c>
      <c r="BM32" s="14">
        <f>BM25+BM28+BM29+BM30+BM31</f>
      </c>
      <c r="BN32" s="14">
        <f>BN25+BN28+BN29+BN30+BN31</f>
      </c>
      <c r="BO32" s="14">
        <f>BO25+BO28+BO29+BO30+BO31</f>
      </c>
      <c r="BP32" s="14">
        <f>BP25+BP28+BP29+BP30+BP31</f>
      </c>
      <c r="BQ32" s="14">
        <f>BQ25+BQ28+BQ29+BQ30+BQ31</f>
      </c>
      <c r="BR32" s="14">
        <f>BR25+BR28+BR29+BR30+BR31</f>
      </c>
      <c r="BS32" s="14">
        <f>BS25+BS28+BS29+BS30+BS31</f>
      </c>
      <c r="BT32" s="14">
        <f>BT25+BT28+BT29+BT30+BT31</f>
      </c>
      <c r="BU32" s="14">
        <f>BU25+BU28+BU29+BU30+BU31</f>
      </c>
      <c r="BV32" s="14">
        <f>BV25+BV28+BV29+BV30+BV31</f>
      </c>
      <c r="BW32" s="14">
        <f>BW25+BW28+BW29+BW30+BW31</f>
      </c>
      <c r="BX32" s="14">
        <f>BX25+BX28+BX29+BX30+BX31</f>
      </c>
      <c r="BY32" s="14">
        <f>BY25+BY28+BY29+BY30+BY31</f>
      </c>
      <c r="BZ32" s="14">
        <f>BZ25+BZ28+BZ29+BZ30+BZ31</f>
      </c>
      <c r="CA32" s="14">
        <f>CA25+CA28+CA29+CA30+CA31</f>
      </c>
      <c r="CB32" s="14">
        <f>CB25+CB28+CB29+CB30+CB31</f>
      </c>
      <c r="CC32" s="14">
        <f>CC25+CC28+CC29+CC30+CC31</f>
      </c>
      <c r="CD32" s="14">
        <f>CD25+CD28+CD29+CD30+CD31</f>
      </c>
      <c r="CE32" s="14">
        <f>CE25+CE28+CE29+CE30+CE31</f>
      </c>
      <c r="CF32" s="14">
        <f>CF25+CF28+CF29+CF30+CF31</f>
      </c>
      <c r="CG32" s="14">
        <f>CG25+CG28+CG29+CG30+CG31</f>
      </c>
      <c r="CH32" s="14">
        <f>CH25+CH28+CH29+CH30+CH31</f>
      </c>
      <c r="CI32" s="14">
        <f>CI25+CI28+CI29+CI30+CI31</f>
      </c>
      <c r="CJ32" s="14">
        <f>CJ25+CJ28+CJ29+CJ30+CJ31</f>
      </c>
      <c r="CK32" s="14">
        <f>CK25+CK28+CK29+CK30+CK31</f>
      </c>
      <c r="CL32" s="14">
        <f>CL25+CL28+CL29+CL30+CL31</f>
      </c>
    </row>
    <row r="33" spans="2:90" x14ac:dyDescent="0.25">
      <c r="B33" s="31" t="s">
        <v>318</v>
      </c>
      <c r="C33" s="32" t="s">
        <v>312</v>
      </c>
      <c r="E33" s="38">
        <f>IF(E8&lt;=0,"",E32/E8)</f>
      </c>
      <c r="F33" s="38">
        <f>IF(F8&lt;=0,"",F32/F8)</f>
      </c>
      <c r="G33" s="38">
        <f>IF(G8&lt;=0,"",G32/G8)</f>
      </c>
      <c r="H33" s="38">
        <f>IF(H8&lt;=0,"",H32/H8)</f>
      </c>
      <c r="I33" s="38">
        <f>IF(I8&lt;=0,"",I32/I8)</f>
      </c>
      <c r="J33" s="38">
        <f>IF(J8&lt;=0,"",J32/J8)</f>
      </c>
      <c r="K33" s="38">
        <f>IF(K8&lt;=0,"",K32/K8)</f>
      </c>
      <c r="L33" s="38">
        <f>IF(L8&lt;=0,"",L32/L8)</f>
      </c>
      <c r="M33" s="38">
        <f>IF(M8&lt;=0,"",M32/M8)</f>
      </c>
      <c r="N33" s="38">
        <f>IF(N8&lt;=0,"",N32/N8)</f>
      </c>
      <c r="O33" s="38">
        <f>IF(O8&lt;=0,"",O32/O8)</f>
      </c>
      <c r="P33" s="38">
        <f>IF(P8&lt;=0,"",P32/P8)</f>
      </c>
      <c r="Q33" s="38">
        <f>IF(Q8&lt;=0,"",Q32/Q8)</f>
      </c>
      <c r="R33" s="38">
        <f>IF(R8&lt;=0,"",R32/R8)</f>
      </c>
      <c r="S33" s="38">
        <f>IF(S8&lt;=0,"",S32/S8)</f>
      </c>
      <c r="T33" s="38">
        <f>IF(T8&lt;=0,"",T32/T8)</f>
      </c>
      <c r="U33" s="38">
        <f>IF(U8&lt;=0,"",U32/U8)</f>
      </c>
      <c r="V33" s="38">
        <f>IF(V8&lt;=0,"",V32/V8)</f>
      </c>
      <c r="W33" s="38">
        <f>IF(W8&lt;=0,"",W32/W8)</f>
      </c>
      <c r="X33" s="38">
        <f>IF(X8&lt;=0,"",X32/X8)</f>
      </c>
      <c r="Y33" s="38">
        <f>IF(Y8&lt;=0,"",Y32/Y8)</f>
      </c>
      <c r="Z33" s="38">
        <f>IF(Z8&lt;=0,"",Z32/Z8)</f>
      </c>
      <c r="AA33" s="38">
        <f>IF(AA8&lt;=0,"",AA32/AA8)</f>
      </c>
      <c r="AB33" s="38">
        <f>IF(AB8&lt;=0,"",AB32/AB8)</f>
      </c>
      <c r="AC33" s="38">
        <f>IF(AC8&lt;=0,"",AC32/AC8)</f>
      </c>
      <c r="AD33" s="38">
        <f>IF(AD8&lt;=0,"",AD32/AD8)</f>
      </c>
      <c r="AE33" s="38">
        <f>IF(AE8&lt;=0,"",AE32/AE8)</f>
      </c>
      <c r="AF33" s="38">
        <f>IF(AF8&lt;=0,"",AF32/AF8)</f>
      </c>
      <c r="AG33" s="38">
        <f>IF(AG8&lt;=0,"",AG32/AG8)</f>
      </c>
      <c r="AH33" s="38">
        <f>IF(AH8&lt;=0,"",AH32/AH8)</f>
      </c>
      <c r="AI33" s="38">
        <f>IF(AI8&lt;=0,"",AI32/AI8)</f>
      </c>
      <c r="AJ33" s="38">
        <f>IF(AJ8&lt;=0,"",AJ32/AJ8)</f>
      </c>
      <c r="AK33" s="38">
        <f>IF(AK8&lt;=0,"",AK32/AK8)</f>
      </c>
      <c r="AL33" s="38">
        <f>IF(AL8&lt;=0,"",AL32/AL8)</f>
      </c>
      <c r="AM33" s="38">
        <f>IF(AM8&lt;=0,"",AM32/AM8)</f>
      </c>
      <c r="AN33" s="38">
        <f>IF(AN8&lt;=0,"",AN32/AN8)</f>
      </c>
      <c r="AO33" s="38">
        <f>IF(AO8&lt;=0,"",AO32/AO8)</f>
      </c>
      <c r="AP33" s="38">
        <f>IF(AP8&lt;=0,"",AP32/AP8)</f>
      </c>
      <c r="AQ33" s="38">
        <f>IF(AQ8&lt;=0,"",AQ32/AQ8)</f>
      </c>
      <c r="AR33" s="38">
        <f>IF(AR8&lt;=0,"",AR32/AR8)</f>
      </c>
      <c r="AS33" s="38">
        <f>IF(AS8&lt;=0,"",AS32/AS8)</f>
      </c>
      <c r="AT33" s="38">
        <f>IF(AT8&lt;=0,"",AT32/AT8)</f>
      </c>
      <c r="AU33" s="38">
        <f>IF(AU8&lt;=0,"",AU32/AU8)</f>
      </c>
      <c r="AV33" s="38">
        <f>IF(AV8&lt;=0,"",AV32/AV8)</f>
      </c>
      <c r="AW33" s="38">
        <f>IF(AW8&lt;=0,"",AW32/AW8)</f>
      </c>
      <c r="AX33" s="38">
        <f>IF(AX8&lt;=0,"",AX32/AX8)</f>
      </c>
      <c r="AY33" s="38">
        <f>IF(AY8&lt;=0,"",AY32/AY8)</f>
      </c>
      <c r="AZ33" s="38">
        <f>IF(AZ8&lt;=0,"",AZ32/AZ8)</f>
      </c>
      <c r="BA33" s="38">
        <f>IF(BA8&lt;=0,"",BA32/BA8)</f>
      </c>
      <c r="BB33" s="38">
        <f>IF(BB8&lt;=0,"",BB32/BB8)</f>
      </c>
      <c r="BC33" s="38">
        <f>IF(BC8&lt;=0,"",BC32/BC8)</f>
      </c>
      <c r="BD33" s="38">
        <f>IF(BD8&lt;=0,"",BD32/BD8)</f>
      </c>
      <c r="BE33" s="38">
        <f>IF(BE8&lt;=0,"",BE32/BE8)</f>
      </c>
      <c r="BF33" s="38">
        <f>IF(BF8&lt;=0,"",BF32/BF8)</f>
      </c>
      <c r="BG33" s="38">
        <f>IF(BG8&lt;=0,"",BG32/BG8)</f>
      </c>
      <c r="BH33" s="38">
        <f>IF(BH8&lt;=0,"",BH32/BH8)</f>
      </c>
      <c r="BI33" s="38">
        <f>IF(BI8&lt;=0,"",BI32/BI8)</f>
      </c>
      <c r="BJ33" s="38">
        <f>IF(BJ8&lt;=0,"",BJ32/BJ8)</f>
      </c>
      <c r="BK33" s="38">
        <f>IF(BK8&lt;=0,"",BK32/BK8)</f>
      </c>
      <c r="BL33" s="38">
        <f>IF(BL8&lt;=0,"",BL32/BL8)</f>
      </c>
      <c r="BM33" s="38">
        <f>IF(BM8&lt;=0,"",BM32/BM8)</f>
      </c>
      <c r="BN33" s="38">
        <f>IF(BN8&lt;=0,"",BN32/BN8)</f>
      </c>
      <c r="BO33" s="38">
        <f>IF(BO8&lt;=0,"",BO32/BO8)</f>
      </c>
      <c r="BP33" s="38">
        <f>IF(BP8&lt;=0,"",BP32/BP8)</f>
      </c>
      <c r="BQ33" s="38">
        <f>IF(BQ8&lt;=0,"",BQ32/BQ8)</f>
      </c>
      <c r="BR33" s="38">
        <f>IF(BR8&lt;=0,"",BR32/BR8)</f>
      </c>
      <c r="BS33" s="38">
        <f>IF(BS8&lt;=0,"",BS32/BS8)</f>
      </c>
      <c r="BT33" s="38">
        <f>IF(BT8&lt;=0,"",BT32/BT8)</f>
      </c>
      <c r="BU33" s="38">
        <f>IF(BU8&lt;=0,"",BU32/BU8)</f>
      </c>
      <c r="BV33" s="38">
        <f>IF(BV8&lt;=0,"",BV32/BV8)</f>
      </c>
      <c r="BW33" s="38">
        <f>IF(BW8&lt;=0,"",BW32/BW8)</f>
      </c>
      <c r="BX33" s="38">
        <f>IF(BX8&lt;=0,"",BX32/BX8)</f>
      </c>
      <c r="BY33" s="38">
        <f>IF(BY8&lt;=0,"",BY32/BY8)</f>
      </c>
      <c r="BZ33" s="38">
        <f>IF(BZ8&lt;=0,"",BZ32/BZ8)</f>
      </c>
      <c r="CA33" s="38">
        <f>IF(CA8&lt;=0,"",CA32/CA8)</f>
      </c>
      <c r="CB33" s="38">
        <f>IF(CB8&lt;=0,"",CB32/CB8)</f>
      </c>
      <c r="CC33" s="38">
        <f>IF(CC8&lt;=0,"",CC32/CC8)</f>
      </c>
      <c r="CD33" s="38">
        <f>IF(CD8&lt;=0,"",CD32/CD8)</f>
      </c>
      <c r="CE33" s="38">
        <f>IF(CE8&lt;=0,"",CE32/CE8)</f>
      </c>
      <c r="CF33" s="38">
        <f>IF(CF8&lt;=0,"",CF32/CF8)</f>
      </c>
      <c r="CG33" s="38">
        <f>IF(CG8&lt;=0,"",CG32/CG8)</f>
      </c>
      <c r="CH33" s="38">
        <f>IF(CH8&lt;=0,"",CH32/CH8)</f>
      </c>
      <c r="CI33" s="38">
        <f>IF(CI8&lt;=0,"",CI32/CI8)</f>
      </c>
      <c r="CJ33" s="38">
        <f>IF(CJ8&lt;=0,"",CJ32/CJ8)</f>
      </c>
      <c r="CK33" s="38">
        <f>IF(CK8&lt;=0,"",CK32/CK8)</f>
      </c>
      <c r="CL33" s="38">
        <f>IF(CL8&lt;=0,"",CL32/CL8)</f>
      </c>
    </row>
    <row r="35" spans="2:2" x14ac:dyDescent="0.25">
      <c r="B35" s="42" t="s">
        <v>319</v>
      </c>
    </row>
    <row r="36" spans="2:90" x14ac:dyDescent="0.25">
      <c r="B36" s="31" t="s">
        <v>320</v>
      </c>
      <c r="C36" s="32" t="s">
        <v>228</v>
      </c>
      <c r="D36" s="29">
        <f>SUM(E36:CL36)</f>
      </c>
      <c r="E36" s="29">
        <f>-'Debt'!E33</f>
      </c>
      <c r="F36" s="29">
        <f>-'Debt'!F33</f>
      </c>
      <c r="G36" s="29">
        <f>-'Debt'!G33</f>
      </c>
      <c r="H36" s="29">
        <f>-'Debt'!H33</f>
      </c>
      <c r="I36" s="29">
        <f>-'Debt'!I33</f>
      </c>
      <c r="J36" s="29">
        <f>-'Debt'!J33</f>
      </c>
      <c r="K36" s="29">
        <f>-'Debt'!K33</f>
      </c>
      <c r="L36" s="29">
        <f>-'Debt'!L33</f>
      </c>
      <c r="M36" s="29">
        <f>-'Debt'!M33</f>
      </c>
      <c r="N36" s="29">
        <f>-'Debt'!N33</f>
      </c>
      <c r="O36" s="29">
        <f>-'Debt'!O33</f>
      </c>
      <c r="P36" s="29">
        <f>-'Debt'!P33</f>
      </c>
      <c r="Q36" s="29">
        <f>-'Debt'!Q33</f>
      </c>
      <c r="R36" s="29">
        <f>-'Debt'!R33</f>
      </c>
      <c r="S36" s="29">
        <f>-'Debt'!S33</f>
      </c>
      <c r="T36" s="29">
        <f>-'Debt'!T33</f>
      </c>
      <c r="U36" s="29">
        <f>-'Debt'!U33</f>
      </c>
      <c r="V36" s="29">
        <f>-'Debt'!V33</f>
      </c>
      <c r="W36" s="29">
        <f>-'Debt'!W33</f>
      </c>
      <c r="X36" s="29">
        <f>-'Debt'!X33</f>
      </c>
      <c r="Y36" s="29">
        <f>-'Debt'!Y33</f>
      </c>
      <c r="Z36" s="29">
        <f>-'Debt'!Z33</f>
      </c>
      <c r="AA36" s="29">
        <f>-'Debt'!AA33</f>
      </c>
      <c r="AB36" s="29">
        <f>-'Debt'!AB33</f>
      </c>
      <c r="AC36" s="29">
        <f>-'Debt'!AC33</f>
      </c>
      <c r="AD36" s="29">
        <f>-'Debt'!AD33</f>
      </c>
      <c r="AE36" s="29">
        <f>-'Debt'!AE33</f>
      </c>
      <c r="AF36" s="29">
        <f>-'Debt'!AF33</f>
      </c>
      <c r="AG36" s="29">
        <f>-'Debt'!AG33</f>
      </c>
      <c r="AH36" s="29">
        <f>-'Debt'!AH33</f>
      </c>
      <c r="AI36" s="29">
        <f>-'Debt'!AI33</f>
      </c>
      <c r="AJ36" s="29">
        <f>-'Debt'!AJ33</f>
      </c>
      <c r="AK36" s="29">
        <f>-'Debt'!AK33</f>
      </c>
      <c r="AL36" s="29">
        <f>-'Debt'!AL33</f>
      </c>
      <c r="AM36" s="29">
        <f>-'Debt'!AM33</f>
      </c>
      <c r="AN36" s="29">
        <f>-'Debt'!AN33</f>
      </c>
      <c r="AO36" s="29">
        <f>-'Debt'!AO33</f>
      </c>
      <c r="AP36" s="29">
        <f>-'Debt'!AP33</f>
      </c>
      <c r="AQ36" s="29">
        <f>-'Debt'!AQ33</f>
      </c>
      <c r="AR36" s="29">
        <f>-'Debt'!AR33</f>
      </c>
      <c r="AS36" s="29">
        <f>-'Debt'!AS33</f>
      </c>
      <c r="AT36" s="29">
        <f>-'Debt'!AT33</f>
      </c>
      <c r="AU36" s="29">
        <f>-'Debt'!AU33</f>
      </c>
      <c r="AV36" s="29">
        <f>-'Debt'!AV33</f>
      </c>
      <c r="AW36" s="29">
        <f>-'Debt'!AW33</f>
      </c>
      <c r="AX36" s="29">
        <f>-'Debt'!AX33</f>
      </c>
      <c r="AY36" s="29">
        <f>-'Debt'!AY33</f>
      </c>
      <c r="AZ36" s="29">
        <f>-'Debt'!AZ33</f>
      </c>
      <c r="BA36" s="29">
        <f>-'Debt'!BA33</f>
      </c>
      <c r="BB36" s="29">
        <f>-'Debt'!BB33</f>
      </c>
      <c r="BC36" s="29">
        <f>-'Debt'!BC33</f>
      </c>
      <c r="BD36" s="29">
        <f>-'Debt'!BD33</f>
      </c>
      <c r="BE36" s="29">
        <f>-'Debt'!BE33</f>
      </c>
      <c r="BF36" s="29">
        <f>-'Debt'!BF33</f>
      </c>
      <c r="BG36" s="29">
        <f>-'Debt'!BG33</f>
      </c>
      <c r="BH36" s="29">
        <f>-'Debt'!BH33</f>
      </c>
      <c r="BI36" s="29">
        <f>-'Debt'!BI33</f>
      </c>
      <c r="BJ36" s="29">
        <f>-'Debt'!BJ33</f>
      </c>
      <c r="BK36" s="29">
        <f>-'Debt'!BK33</f>
      </c>
      <c r="BL36" s="29">
        <f>-'Debt'!BL33</f>
      </c>
      <c r="BM36" s="29">
        <f>-'Debt'!BM33</f>
      </c>
      <c r="BN36" s="29">
        <f>-'Debt'!BN33</f>
      </c>
      <c r="BO36" s="29">
        <f>-'Debt'!BO33</f>
      </c>
      <c r="BP36" s="29">
        <f>-'Debt'!BP33</f>
      </c>
      <c r="BQ36" s="29">
        <f>-'Debt'!BQ33</f>
      </c>
      <c r="BR36" s="29">
        <f>-'Debt'!BR33</f>
      </c>
      <c r="BS36" s="29">
        <f>-'Debt'!BS33</f>
      </c>
      <c r="BT36" s="29">
        <f>-'Debt'!BT33</f>
      </c>
      <c r="BU36" s="29">
        <f>-'Debt'!BU33</f>
      </c>
      <c r="BV36" s="29">
        <f>-'Debt'!BV33</f>
      </c>
      <c r="BW36" s="29">
        <f>-'Debt'!BW33</f>
      </c>
      <c r="BX36" s="29">
        <f>-'Debt'!BX33</f>
      </c>
      <c r="BY36" s="29">
        <f>-'Debt'!BY33</f>
      </c>
      <c r="BZ36" s="29">
        <f>-'Debt'!BZ33</f>
      </c>
      <c r="CA36" s="29">
        <f>-'Debt'!CA33</f>
      </c>
      <c r="CB36" s="29">
        <f>-'Debt'!CB33</f>
      </c>
      <c r="CC36" s="29">
        <f>-'Debt'!CC33</f>
      </c>
      <c r="CD36" s="29">
        <f>-'Debt'!CD33</f>
      </c>
      <c r="CE36" s="29">
        <f>-'Debt'!CE33</f>
      </c>
      <c r="CF36" s="29">
        <f>-'Debt'!CF33</f>
      </c>
      <c r="CG36" s="29">
        <f>-'Debt'!CG33</f>
      </c>
      <c r="CH36" s="29">
        <f>-'Debt'!CH33</f>
      </c>
      <c r="CI36" s="29">
        <f>-'Debt'!CI33</f>
      </c>
      <c r="CJ36" s="29">
        <f>-'Debt'!CJ33</f>
      </c>
      <c r="CK36" s="29">
        <f>-'Debt'!CK33</f>
      </c>
      <c r="CL36" s="29">
        <f>-'Debt'!CL33</f>
      </c>
    </row>
    <row r="37" spans="2:90" x14ac:dyDescent="0.25">
      <c r="B37" s="31" t="s">
        <v>321</v>
      </c>
      <c r="C37" s="32" t="s">
        <v>228</v>
      </c>
      <c r="D37" s="29">
        <f>SUM(E37:CL37)</f>
      </c>
      <c r="E37" s="29">
        <f>-'Debt'!E42</f>
      </c>
      <c r="F37" s="29">
        <f>-'Debt'!F42</f>
      </c>
      <c r="G37" s="29">
        <f>-'Debt'!G42</f>
      </c>
      <c r="H37" s="29">
        <f>-'Debt'!H42</f>
      </c>
      <c r="I37" s="29">
        <f>-'Debt'!I42</f>
      </c>
      <c r="J37" s="29">
        <f>-'Debt'!J42</f>
      </c>
      <c r="K37" s="29">
        <f>-'Debt'!K42</f>
      </c>
      <c r="L37" s="29">
        <f>-'Debt'!L42</f>
      </c>
      <c r="M37" s="29">
        <f>-'Debt'!M42</f>
      </c>
      <c r="N37" s="29">
        <f>-'Debt'!N42</f>
      </c>
      <c r="O37" s="29">
        <f>-'Debt'!O42</f>
      </c>
      <c r="P37" s="29">
        <f>-'Debt'!P42</f>
      </c>
      <c r="Q37" s="29">
        <f>-'Debt'!Q42</f>
      </c>
      <c r="R37" s="29">
        <f>-'Debt'!R42</f>
      </c>
      <c r="S37" s="29">
        <f>-'Debt'!S42</f>
      </c>
      <c r="T37" s="29">
        <f>-'Debt'!T42</f>
      </c>
      <c r="U37" s="29">
        <f>-'Debt'!U42</f>
      </c>
      <c r="V37" s="29">
        <f>-'Debt'!V42</f>
      </c>
      <c r="W37" s="29">
        <f>-'Debt'!W42</f>
      </c>
      <c r="X37" s="29">
        <f>-'Debt'!X42</f>
      </c>
      <c r="Y37" s="29">
        <f>-'Debt'!Y42</f>
      </c>
      <c r="Z37" s="29">
        <f>-'Debt'!Z42</f>
      </c>
      <c r="AA37" s="29">
        <f>-'Debt'!AA42</f>
      </c>
      <c r="AB37" s="29">
        <f>-'Debt'!AB42</f>
      </c>
      <c r="AC37" s="29">
        <f>-'Debt'!AC42</f>
      </c>
      <c r="AD37" s="29">
        <f>-'Debt'!AD42</f>
      </c>
      <c r="AE37" s="29">
        <f>-'Debt'!AE42</f>
      </c>
      <c r="AF37" s="29">
        <f>-'Debt'!AF42</f>
      </c>
      <c r="AG37" s="29">
        <f>-'Debt'!AG42</f>
      </c>
      <c r="AH37" s="29">
        <f>-'Debt'!AH42</f>
      </c>
      <c r="AI37" s="29">
        <f>-'Debt'!AI42</f>
      </c>
      <c r="AJ37" s="29">
        <f>-'Debt'!AJ42</f>
      </c>
      <c r="AK37" s="29">
        <f>-'Debt'!AK42</f>
      </c>
      <c r="AL37" s="29">
        <f>-'Debt'!AL42</f>
      </c>
      <c r="AM37" s="29">
        <f>-'Debt'!AM42</f>
      </c>
      <c r="AN37" s="29">
        <f>-'Debt'!AN42</f>
      </c>
      <c r="AO37" s="29">
        <f>-'Debt'!AO42</f>
      </c>
      <c r="AP37" s="29">
        <f>-'Debt'!AP42</f>
      </c>
      <c r="AQ37" s="29">
        <f>-'Debt'!AQ42</f>
      </c>
      <c r="AR37" s="29">
        <f>-'Debt'!AR42</f>
      </c>
      <c r="AS37" s="29">
        <f>-'Debt'!AS42</f>
      </c>
      <c r="AT37" s="29">
        <f>-'Debt'!AT42</f>
      </c>
      <c r="AU37" s="29">
        <f>-'Debt'!AU42</f>
      </c>
      <c r="AV37" s="29">
        <f>-'Debt'!AV42</f>
      </c>
      <c r="AW37" s="29">
        <f>-'Debt'!AW42</f>
      </c>
      <c r="AX37" s="29">
        <f>-'Debt'!AX42</f>
      </c>
      <c r="AY37" s="29">
        <f>-'Debt'!AY42</f>
      </c>
      <c r="AZ37" s="29">
        <f>-'Debt'!AZ42</f>
      </c>
      <c r="BA37" s="29">
        <f>-'Debt'!BA42</f>
      </c>
      <c r="BB37" s="29">
        <f>-'Debt'!BB42</f>
      </c>
      <c r="BC37" s="29">
        <f>-'Debt'!BC42</f>
      </c>
      <c r="BD37" s="29">
        <f>-'Debt'!BD42</f>
      </c>
      <c r="BE37" s="29">
        <f>-'Debt'!BE42</f>
      </c>
      <c r="BF37" s="29">
        <f>-'Debt'!BF42</f>
      </c>
      <c r="BG37" s="29">
        <f>-'Debt'!BG42</f>
      </c>
      <c r="BH37" s="29">
        <f>-'Debt'!BH42</f>
      </c>
      <c r="BI37" s="29">
        <f>-'Debt'!BI42</f>
      </c>
      <c r="BJ37" s="29">
        <f>-'Debt'!BJ42</f>
      </c>
      <c r="BK37" s="29">
        <f>-'Debt'!BK42</f>
      </c>
      <c r="BL37" s="29">
        <f>-'Debt'!BL42</f>
      </c>
      <c r="BM37" s="29">
        <f>-'Debt'!BM42</f>
      </c>
      <c r="BN37" s="29">
        <f>-'Debt'!BN42</f>
      </c>
      <c r="BO37" s="29">
        <f>-'Debt'!BO42</f>
      </c>
      <c r="BP37" s="29">
        <f>-'Debt'!BP42</f>
      </c>
      <c r="BQ37" s="29">
        <f>-'Debt'!BQ42</f>
      </c>
      <c r="BR37" s="29">
        <f>-'Debt'!BR42</f>
      </c>
      <c r="BS37" s="29">
        <f>-'Debt'!BS42</f>
      </c>
      <c r="BT37" s="29">
        <f>-'Debt'!BT42</f>
      </c>
      <c r="BU37" s="29">
        <f>-'Debt'!BU42</f>
      </c>
      <c r="BV37" s="29">
        <f>-'Debt'!BV42</f>
      </c>
      <c r="BW37" s="29">
        <f>-'Debt'!BW42</f>
      </c>
      <c r="BX37" s="29">
        <f>-'Debt'!BX42</f>
      </c>
      <c r="BY37" s="29">
        <f>-'Debt'!BY42</f>
      </c>
      <c r="BZ37" s="29">
        <f>-'Debt'!BZ42</f>
      </c>
      <c r="CA37" s="29">
        <f>-'Debt'!CA42</f>
      </c>
      <c r="CB37" s="29">
        <f>-'Debt'!CB42</f>
      </c>
      <c r="CC37" s="29">
        <f>-'Debt'!CC42</f>
      </c>
      <c r="CD37" s="29">
        <f>-'Debt'!CD42</f>
      </c>
      <c r="CE37" s="29">
        <f>-'Debt'!CE42</f>
      </c>
      <c r="CF37" s="29">
        <f>-'Debt'!CF42</f>
      </c>
      <c r="CG37" s="29">
        <f>-'Debt'!CG42</f>
      </c>
      <c r="CH37" s="29">
        <f>-'Debt'!CH42</f>
      </c>
      <c r="CI37" s="29">
        <f>-'Debt'!CI42</f>
      </c>
      <c r="CJ37" s="29">
        <f>-'Debt'!CJ42</f>
      </c>
      <c r="CK37" s="29">
        <f>-'Debt'!CK42</f>
      </c>
      <c r="CL37" s="29">
        <f>-'Debt'!CL42</f>
      </c>
    </row>
    <row r="38" spans="2:90" x14ac:dyDescent="0.25">
      <c r="B38" s="31" t="s">
        <v>322</v>
      </c>
      <c r="C38" s="32" t="s">
        <v>228</v>
      </c>
      <c r="D38" s="29">
        <f>SUM(E38:CL38)</f>
      </c>
      <c r="E38" s="29">
        <f>-'Debt'!E51</f>
      </c>
      <c r="F38" s="29">
        <f>-'Debt'!F51</f>
      </c>
      <c r="G38" s="29">
        <f>-'Debt'!G51</f>
      </c>
      <c r="H38" s="29">
        <f>-'Debt'!H51</f>
      </c>
      <c r="I38" s="29">
        <f>-'Debt'!I51</f>
      </c>
      <c r="J38" s="29">
        <f>-'Debt'!J51</f>
      </c>
      <c r="K38" s="29">
        <f>-'Debt'!K51</f>
      </c>
      <c r="L38" s="29">
        <f>-'Debt'!L51</f>
      </c>
      <c r="M38" s="29">
        <f>-'Debt'!M51</f>
      </c>
      <c r="N38" s="29">
        <f>-'Debt'!N51</f>
      </c>
      <c r="O38" s="29">
        <f>-'Debt'!O51</f>
      </c>
      <c r="P38" s="29">
        <f>-'Debt'!P51</f>
      </c>
      <c r="Q38" s="29">
        <f>-'Debt'!Q51</f>
      </c>
      <c r="R38" s="29">
        <f>-'Debt'!R51</f>
      </c>
      <c r="S38" s="29">
        <f>-'Debt'!S51</f>
      </c>
      <c r="T38" s="29">
        <f>-'Debt'!T51</f>
      </c>
      <c r="U38" s="29">
        <f>-'Debt'!U51</f>
      </c>
      <c r="V38" s="29">
        <f>-'Debt'!V51</f>
      </c>
      <c r="W38" s="29">
        <f>-'Debt'!W51</f>
      </c>
      <c r="X38" s="29">
        <f>-'Debt'!X51</f>
      </c>
      <c r="Y38" s="29">
        <f>-'Debt'!Y51</f>
      </c>
      <c r="Z38" s="29">
        <f>-'Debt'!Z51</f>
      </c>
      <c r="AA38" s="29">
        <f>-'Debt'!AA51</f>
      </c>
      <c r="AB38" s="29">
        <f>-'Debt'!AB51</f>
      </c>
      <c r="AC38" s="29">
        <f>-'Debt'!AC51</f>
      </c>
      <c r="AD38" s="29">
        <f>-'Debt'!AD51</f>
      </c>
      <c r="AE38" s="29">
        <f>-'Debt'!AE51</f>
      </c>
      <c r="AF38" s="29">
        <f>-'Debt'!AF51</f>
      </c>
      <c r="AG38" s="29">
        <f>-'Debt'!AG51</f>
      </c>
      <c r="AH38" s="29">
        <f>-'Debt'!AH51</f>
      </c>
      <c r="AI38" s="29">
        <f>-'Debt'!AI51</f>
      </c>
      <c r="AJ38" s="29">
        <f>-'Debt'!AJ51</f>
      </c>
      <c r="AK38" s="29">
        <f>-'Debt'!AK51</f>
      </c>
      <c r="AL38" s="29">
        <f>-'Debt'!AL51</f>
      </c>
      <c r="AM38" s="29">
        <f>-'Debt'!AM51</f>
      </c>
      <c r="AN38" s="29">
        <f>-'Debt'!AN51</f>
      </c>
      <c r="AO38" s="29">
        <f>-'Debt'!AO51</f>
      </c>
      <c r="AP38" s="29">
        <f>-'Debt'!AP51</f>
      </c>
      <c r="AQ38" s="29">
        <f>-'Debt'!AQ51</f>
      </c>
      <c r="AR38" s="29">
        <f>-'Debt'!AR51</f>
      </c>
      <c r="AS38" s="29">
        <f>-'Debt'!AS51</f>
      </c>
      <c r="AT38" s="29">
        <f>-'Debt'!AT51</f>
      </c>
      <c r="AU38" s="29">
        <f>-'Debt'!AU51</f>
      </c>
      <c r="AV38" s="29">
        <f>-'Debt'!AV51</f>
      </c>
      <c r="AW38" s="29">
        <f>-'Debt'!AW51</f>
      </c>
      <c r="AX38" s="29">
        <f>-'Debt'!AX51</f>
      </c>
      <c r="AY38" s="29">
        <f>-'Debt'!AY51</f>
      </c>
      <c r="AZ38" s="29">
        <f>-'Debt'!AZ51</f>
      </c>
      <c r="BA38" s="29">
        <f>-'Debt'!BA51</f>
      </c>
      <c r="BB38" s="29">
        <f>-'Debt'!BB51</f>
      </c>
      <c r="BC38" s="29">
        <f>-'Debt'!BC51</f>
      </c>
      <c r="BD38" s="29">
        <f>-'Debt'!BD51</f>
      </c>
      <c r="BE38" s="29">
        <f>-'Debt'!BE51</f>
      </c>
      <c r="BF38" s="29">
        <f>-'Debt'!BF51</f>
      </c>
      <c r="BG38" s="29">
        <f>-'Debt'!BG51</f>
      </c>
      <c r="BH38" s="29">
        <f>-'Debt'!BH51</f>
      </c>
      <c r="BI38" s="29">
        <f>-'Debt'!BI51</f>
      </c>
      <c r="BJ38" s="29">
        <f>-'Debt'!BJ51</f>
      </c>
      <c r="BK38" s="29">
        <f>-'Debt'!BK51</f>
      </c>
      <c r="BL38" s="29">
        <f>-'Debt'!BL51</f>
      </c>
      <c r="BM38" s="29">
        <f>-'Debt'!BM51</f>
      </c>
      <c r="BN38" s="29">
        <f>-'Debt'!BN51</f>
      </c>
      <c r="BO38" s="29">
        <f>-'Debt'!BO51</f>
      </c>
      <c r="BP38" s="29">
        <f>-'Debt'!BP51</f>
      </c>
      <c r="BQ38" s="29">
        <f>-'Debt'!BQ51</f>
      </c>
      <c r="BR38" s="29">
        <f>-'Debt'!BR51</f>
      </c>
      <c r="BS38" s="29">
        <f>-'Debt'!BS51</f>
      </c>
      <c r="BT38" s="29">
        <f>-'Debt'!BT51</f>
      </c>
      <c r="BU38" s="29">
        <f>-'Debt'!BU51</f>
      </c>
      <c r="BV38" s="29">
        <f>-'Debt'!BV51</f>
      </c>
      <c r="BW38" s="29">
        <f>-'Debt'!BW51</f>
      </c>
      <c r="BX38" s="29">
        <f>-'Debt'!BX51</f>
      </c>
      <c r="BY38" s="29">
        <f>-'Debt'!BY51</f>
      </c>
      <c r="BZ38" s="29">
        <f>-'Debt'!BZ51</f>
      </c>
      <c r="CA38" s="29">
        <f>-'Debt'!CA51</f>
      </c>
      <c r="CB38" s="29">
        <f>-'Debt'!CB51</f>
      </c>
      <c r="CC38" s="29">
        <f>-'Debt'!CC51</f>
      </c>
      <c r="CD38" s="29">
        <f>-'Debt'!CD51</f>
      </c>
      <c r="CE38" s="29">
        <f>-'Debt'!CE51</f>
      </c>
      <c r="CF38" s="29">
        <f>-'Debt'!CF51</f>
      </c>
      <c r="CG38" s="29">
        <f>-'Debt'!CG51</f>
      </c>
      <c r="CH38" s="29">
        <f>-'Debt'!CH51</f>
      </c>
      <c r="CI38" s="29">
        <f>-'Debt'!CI51</f>
      </c>
      <c r="CJ38" s="29">
        <f>-'Debt'!CJ51</f>
      </c>
      <c r="CK38" s="29">
        <f>-'Debt'!CK51</f>
      </c>
      <c r="CL38" s="29">
        <f>-'Debt'!CL51</f>
      </c>
    </row>
    <row r="39" spans="2:90" x14ac:dyDescent="0.25">
      <c r="B39" s="31" t="s">
        <v>323</v>
      </c>
      <c r="C39" s="32" t="s">
        <v>228</v>
      </c>
      <c r="D39" s="29">
        <f>SUM(E39:CL39)</f>
      </c>
      <c r="E39" s="29">
        <f>-'Debt'!E60</f>
      </c>
      <c r="F39" s="29">
        <f>-'Debt'!F60</f>
      </c>
      <c r="G39" s="29">
        <f>-'Debt'!G60</f>
      </c>
      <c r="H39" s="29">
        <f>-'Debt'!H60</f>
      </c>
      <c r="I39" s="29">
        <f>-'Debt'!I60</f>
      </c>
      <c r="J39" s="29">
        <f>-'Debt'!J60</f>
      </c>
      <c r="K39" s="29">
        <f>-'Debt'!K60</f>
      </c>
      <c r="L39" s="29">
        <f>-'Debt'!L60</f>
      </c>
      <c r="M39" s="29">
        <f>-'Debt'!M60</f>
      </c>
      <c r="N39" s="29">
        <f>-'Debt'!N60</f>
      </c>
      <c r="O39" s="29">
        <f>-'Debt'!O60</f>
      </c>
      <c r="P39" s="29">
        <f>-'Debt'!P60</f>
      </c>
      <c r="Q39" s="29">
        <f>-'Debt'!Q60</f>
      </c>
      <c r="R39" s="29">
        <f>-'Debt'!R60</f>
      </c>
      <c r="S39" s="29">
        <f>-'Debt'!S60</f>
      </c>
      <c r="T39" s="29">
        <f>-'Debt'!T60</f>
      </c>
      <c r="U39" s="29">
        <f>-'Debt'!U60</f>
      </c>
      <c r="V39" s="29">
        <f>-'Debt'!V60</f>
      </c>
      <c r="W39" s="29">
        <f>-'Debt'!W60</f>
      </c>
      <c r="X39" s="29">
        <f>-'Debt'!X60</f>
      </c>
      <c r="Y39" s="29">
        <f>-'Debt'!Y60</f>
      </c>
      <c r="Z39" s="29">
        <f>-'Debt'!Z60</f>
      </c>
      <c r="AA39" s="29">
        <f>-'Debt'!AA60</f>
      </c>
      <c r="AB39" s="29">
        <f>-'Debt'!AB60</f>
      </c>
      <c r="AC39" s="29">
        <f>-'Debt'!AC60</f>
      </c>
      <c r="AD39" s="29">
        <f>-'Debt'!AD60</f>
      </c>
      <c r="AE39" s="29">
        <f>-'Debt'!AE60</f>
      </c>
      <c r="AF39" s="29">
        <f>-'Debt'!AF60</f>
      </c>
      <c r="AG39" s="29">
        <f>-'Debt'!AG60</f>
      </c>
      <c r="AH39" s="29">
        <f>-'Debt'!AH60</f>
      </c>
      <c r="AI39" s="29">
        <f>-'Debt'!AI60</f>
      </c>
      <c r="AJ39" s="29">
        <f>-'Debt'!AJ60</f>
      </c>
      <c r="AK39" s="29">
        <f>-'Debt'!AK60</f>
      </c>
      <c r="AL39" s="29">
        <f>-'Debt'!AL60</f>
      </c>
      <c r="AM39" s="29">
        <f>-'Debt'!AM60</f>
      </c>
      <c r="AN39" s="29">
        <f>-'Debt'!AN60</f>
      </c>
      <c r="AO39" s="29">
        <f>-'Debt'!AO60</f>
      </c>
      <c r="AP39" s="29">
        <f>-'Debt'!AP60</f>
      </c>
      <c r="AQ39" s="29">
        <f>-'Debt'!AQ60</f>
      </c>
      <c r="AR39" s="29">
        <f>-'Debt'!AR60</f>
      </c>
      <c r="AS39" s="29">
        <f>-'Debt'!AS60</f>
      </c>
      <c r="AT39" s="29">
        <f>-'Debt'!AT60</f>
      </c>
      <c r="AU39" s="29">
        <f>-'Debt'!AU60</f>
      </c>
      <c r="AV39" s="29">
        <f>-'Debt'!AV60</f>
      </c>
      <c r="AW39" s="29">
        <f>-'Debt'!AW60</f>
      </c>
      <c r="AX39" s="29">
        <f>-'Debt'!AX60</f>
      </c>
      <c r="AY39" s="29">
        <f>-'Debt'!AY60</f>
      </c>
      <c r="AZ39" s="29">
        <f>-'Debt'!AZ60</f>
      </c>
      <c r="BA39" s="29">
        <f>-'Debt'!BA60</f>
      </c>
      <c r="BB39" s="29">
        <f>-'Debt'!BB60</f>
      </c>
      <c r="BC39" s="29">
        <f>-'Debt'!BC60</f>
      </c>
      <c r="BD39" s="29">
        <f>-'Debt'!BD60</f>
      </c>
      <c r="BE39" s="29">
        <f>-'Debt'!BE60</f>
      </c>
      <c r="BF39" s="29">
        <f>-'Debt'!BF60</f>
      </c>
      <c r="BG39" s="29">
        <f>-'Debt'!BG60</f>
      </c>
      <c r="BH39" s="29">
        <f>-'Debt'!BH60</f>
      </c>
      <c r="BI39" s="29">
        <f>-'Debt'!BI60</f>
      </c>
      <c r="BJ39" s="29">
        <f>-'Debt'!BJ60</f>
      </c>
      <c r="BK39" s="29">
        <f>-'Debt'!BK60</f>
      </c>
      <c r="BL39" s="29">
        <f>-'Debt'!BL60</f>
      </c>
      <c r="BM39" s="29">
        <f>-'Debt'!BM60</f>
      </c>
      <c r="BN39" s="29">
        <f>-'Debt'!BN60</f>
      </c>
      <c r="BO39" s="29">
        <f>-'Debt'!BO60</f>
      </c>
      <c r="BP39" s="29">
        <f>-'Debt'!BP60</f>
      </c>
      <c r="BQ39" s="29">
        <f>-'Debt'!BQ60</f>
      </c>
      <c r="BR39" s="29">
        <f>-'Debt'!BR60</f>
      </c>
      <c r="BS39" s="29">
        <f>-'Debt'!BS60</f>
      </c>
      <c r="BT39" s="29">
        <f>-'Debt'!BT60</f>
      </c>
      <c r="BU39" s="29">
        <f>-'Debt'!BU60</f>
      </c>
      <c r="BV39" s="29">
        <f>-'Debt'!BV60</f>
      </c>
      <c r="BW39" s="29">
        <f>-'Debt'!BW60</f>
      </c>
      <c r="BX39" s="29">
        <f>-'Debt'!BX60</f>
      </c>
      <c r="BY39" s="29">
        <f>-'Debt'!BY60</f>
      </c>
      <c r="BZ39" s="29">
        <f>-'Debt'!BZ60</f>
      </c>
      <c r="CA39" s="29">
        <f>-'Debt'!CA60</f>
      </c>
      <c r="CB39" s="29">
        <f>-'Debt'!CB60</f>
      </c>
      <c r="CC39" s="29">
        <f>-'Debt'!CC60</f>
      </c>
      <c r="CD39" s="29">
        <f>-'Debt'!CD60</f>
      </c>
      <c r="CE39" s="29">
        <f>-'Debt'!CE60</f>
      </c>
      <c r="CF39" s="29">
        <f>-'Debt'!CF60</f>
      </c>
      <c r="CG39" s="29">
        <f>-'Debt'!CG60</f>
      </c>
      <c r="CH39" s="29">
        <f>-'Debt'!CH60</f>
      </c>
      <c r="CI39" s="29">
        <f>-'Debt'!CI60</f>
      </c>
      <c r="CJ39" s="29">
        <f>-'Debt'!CJ60</f>
      </c>
      <c r="CK39" s="29">
        <f>-'Debt'!CK60</f>
      </c>
      <c r="CL39" s="29">
        <f>-'Debt'!CL60</f>
      </c>
    </row>
    <row r="40" spans="2:90" x14ac:dyDescent="0.25">
      <c r="B40" s="31" t="s">
        <v>324</v>
      </c>
      <c r="C40" s="32" t="s">
        <v>228</v>
      </c>
      <c r="D40" s="29">
        <f>SUM(E40:CL40)</f>
      </c>
      <c r="E40" s="29">
        <f>-'Debt'!E69</f>
      </c>
      <c r="F40" s="29">
        <f>-'Debt'!F69</f>
      </c>
      <c r="G40" s="29">
        <f>-'Debt'!G69</f>
      </c>
      <c r="H40" s="29">
        <f>-'Debt'!H69</f>
      </c>
      <c r="I40" s="29">
        <f>-'Debt'!I69</f>
      </c>
      <c r="J40" s="29">
        <f>-'Debt'!J69</f>
      </c>
      <c r="K40" s="29">
        <f>-'Debt'!K69</f>
      </c>
      <c r="L40" s="29">
        <f>-'Debt'!L69</f>
      </c>
      <c r="M40" s="29">
        <f>-'Debt'!M69</f>
      </c>
      <c r="N40" s="29">
        <f>-'Debt'!N69</f>
      </c>
      <c r="O40" s="29">
        <f>-'Debt'!O69</f>
      </c>
      <c r="P40" s="29">
        <f>-'Debt'!P69</f>
      </c>
      <c r="Q40" s="29">
        <f>-'Debt'!Q69</f>
      </c>
      <c r="R40" s="29">
        <f>-'Debt'!R69</f>
      </c>
      <c r="S40" s="29">
        <f>-'Debt'!S69</f>
      </c>
      <c r="T40" s="29">
        <f>-'Debt'!T69</f>
      </c>
      <c r="U40" s="29">
        <f>-'Debt'!U69</f>
      </c>
      <c r="V40" s="29">
        <f>-'Debt'!V69</f>
      </c>
      <c r="W40" s="29">
        <f>-'Debt'!W69</f>
      </c>
      <c r="X40" s="29">
        <f>-'Debt'!X69</f>
      </c>
      <c r="Y40" s="29">
        <f>-'Debt'!Y69</f>
      </c>
      <c r="Z40" s="29">
        <f>-'Debt'!Z69</f>
      </c>
      <c r="AA40" s="29">
        <f>-'Debt'!AA69</f>
      </c>
      <c r="AB40" s="29">
        <f>-'Debt'!AB69</f>
      </c>
      <c r="AC40" s="29">
        <f>-'Debt'!AC69</f>
      </c>
      <c r="AD40" s="29">
        <f>-'Debt'!AD69</f>
      </c>
      <c r="AE40" s="29">
        <f>-'Debt'!AE69</f>
      </c>
      <c r="AF40" s="29">
        <f>-'Debt'!AF69</f>
      </c>
      <c r="AG40" s="29">
        <f>-'Debt'!AG69</f>
      </c>
      <c r="AH40" s="29">
        <f>-'Debt'!AH69</f>
      </c>
      <c r="AI40" s="29">
        <f>-'Debt'!AI69</f>
      </c>
      <c r="AJ40" s="29">
        <f>-'Debt'!AJ69</f>
      </c>
      <c r="AK40" s="29">
        <f>-'Debt'!AK69</f>
      </c>
      <c r="AL40" s="29">
        <f>-'Debt'!AL69</f>
      </c>
      <c r="AM40" s="29">
        <f>-'Debt'!AM69</f>
      </c>
      <c r="AN40" s="29">
        <f>-'Debt'!AN69</f>
      </c>
      <c r="AO40" s="29">
        <f>-'Debt'!AO69</f>
      </c>
      <c r="AP40" s="29">
        <f>-'Debt'!AP69</f>
      </c>
      <c r="AQ40" s="29">
        <f>-'Debt'!AQ69</f>
      </c>
      <c r="AR40" s="29">
        <f>-'Debt'!AR69</f>
      </c>
      <c r="AS40" s="29">
        <f>-'Debt'!AS69</f>
      </c>
      <c r="AT40" s="29">
        <f>-'Debt'!AT69</f>
      </c>
      <c r="AU40" s="29">
        <f>-'Debt'!AU69</f>
      </c>
      <c r="AV40" s="29">
        <f>-'Debt'!AV69</f>
      </c>
      <c r="AW40" s="29">
        <f>-'Debt'!AW69</f>
      </c>
      <c r="AX40" s="29">
        <f>-'Debt'!AX69</f>
      </c>
      <c r="AY40" s="29">
        <f>-'Debt'!AY69</f>
      </c>
      <c r="AZ40" s="29">
        <f>-'Debt'!AZ69</f>
      </c>
      <c r="BA40" s="29">
        <f>-'Debt'!BA69</f>
      </c>
      <c r="BB40" s="29">
        <f>-'Debt'!BB69</f>
      </c>
      <c r="BC40" s="29">
        <f>-'Debt'!BC69</f>
      </c>
      <c r="BD40" s="29">
        <f>-'Debt'!BD69</f>
      </c>
      <c r="BE40" s="29">
        <f>-'Debt'!BE69</f>
      </c>
      <c r="BF40" s="29">
        <f>-'Debt'!BF69</f>
      </c>
      <c r="BG40" s="29">
        <f>-'Debt'!BG69</f>
      </c>
      <c r="BH40" s="29">
        <f>-'Debt'!BH69</f>
      </c>
      <c r="BI40" s="29">
        <f>-'Debt'!BI69</f>
      </c>
      <c r="BJ40" s="29">
        <f>-'Debt'!BJ69</f>
      </c>
      <c r="BK40" s="29">
        <f>-'Debt'!BK69</f>
      </c>
      <c r="BL40" s="29">
        <f>-'Debt'!BL69</f>
      </c>
      <c r="BM40" s="29">
        <f>-'Debt'!BM69</f>
      </c>
      <c r="BN40" s="29">
        <f>-'Debt'!BN69</f>
      </c>
      <c r="BO40" s="29">
        <f>-'Debt'!BO69</f>
      </c>
      <c r="BP40" s="29">
        <f>-'Debt'!BP69</f>
      </c>
      <c r="BQ40" s="29">
        <f>-'Debt'!BQ69</f>
      </c>
      <c r="BR40" s="29">
        <f>-'Debt'!BR69</f>
      </c>
      <c r="BS40" s="29">
        <f>-'Debt'!BS69</f>
      </c>
      <c r="BT40" s="29">
        <f>-'Debt'!BT69</f>
      </c>
      <c r="BU40" s="29">
        <f>-'Debt'!BU69</f>
      </c>
      <c r="BV40" s="29">
        <f>-'Debt'!BV69</f>
      </c>
      <c r="BW40" s="29">
        <f>-'Debt'!BW69</f>
      </c>
      <c r="BX40" s="29">
        <f>-'Debt'!BX69</f>
      </c>
      <c r="BY40" s="29">
        <f>-'Debt'!BY69</f>
      </c>
      <c r="BZ40" s="29">
        <f>-'Debt'!BZ69</f>
      </c>
      <c r="CA40" s="29">
        <f>-'Debt'!CA69</f>
      </c>
      <c r="CB40" s="29">
        <f>-'Debt'!CB69</f>
      </c>
      <c r="CC40" s="29">
        <f>-'Debt'!CC69</f>
      </c>
      <c r="CD40" s="29">
        <f>-'Debt'!CD69</f>
      </c>
      <c r="CE40" s="29">
        <f>-'Debt'!CE69</f>
      </c>
      <c r="CF40" s="29">
        <f>-'Debt'!CF69</f>
      </c>
      <c r="CG40" s="29">
        <f>-'Debt'!CG69</f>
      </c>
      <c r="CH40" s="29">
        <f>-'Debt'!CH69</f>
      </c>
      <c r="CI40" s="29">
        <f>-'Debt'!CI69</f>
      </c>
      <c r="CJ40" s="29">
        <f>-'Debt'!CJ69</f>
      </c>
      <c r="CK40" s="29">
        <f>-'Debt'!CK69</f>
      </c>
      <c r="CL40" s="29">
        <f>-'Debt'!CL69</f>
      </c>
    </row>
    <row r="41" spans="2:90" x14ac:dyDescent="0.25">
      <c r="B41" s="42" t="s">
        <v>325</v>
      </c>
      <c r="C41" s="32" t="s">
        <v>228</v>
      </c>
      <c r="D41" s="14">
        <f>SUM(E41:CL41)</f>
      </c>
      <c r="E41" s="14">
        <f>E36+E37+E38+E39+E40</f>
      </c>
      <c r="F41" s="14">
        <f>F36+F37+F38+F39+F40</f>
      </c>
      <c r="G41" s="14">
        <f>G36+G37+G38+G39+G40</f>
      </c>
      <c r="H41" s="14">
        <f>H36+H37+H38+H39+H40</f>
      </c>
      <c r="I41" s="14">
        <f>I36+I37+I38+I39+I40</f>
      </c>
      <c r="J41" s="14">
        <f>J36+J37+J38+J39+J40</f>
      </c>
      <c r="K41" s="14">
        <f>K36+K37+K38+K39+K40</f>
      </c>
      <c r="L41" s="14">
        <f>L36+L37+L38+L39+L40</f>
      </c>
      <c r="M41" s="14">
        <f>M36+M37+M38+M39+M40</f>
      </c>
      <c r="N41" s="14">
        <f>N36+N37+N38+N39+N40</f>
      </c>
      <c r="O41" s="14">
        <f>O36+O37+O38+O39+O40</f>
      </c>
      <c r="P41" s="14">
        <f>P36+P37+P38+P39+P40</f>
      </c>
      <c r="Q41" s="14">
        <f>Q36+Q37+Q38+Q39+Q40</f>
      </c>
      <c r="R41" s="14">
        <f>R36+R37+R38+R39+R40</f>
      </c>
      <c r="S41" s="14">
        <f>S36+S37+S38+S39+S40</f>
      </c>
      <c r="T41" s="14">
        <f>T36+T37+T38+T39+T40</f>
      </c>
      <c r="U41" s="14">
        <f>U36+U37+U38+U39+U40</f>
      </c>
      <c r="V41" s="14">
        <f>V36+V37+V38+V39+V40</f>
      </c>
      <c r="W41" s="14">
        <f>W36+W37+W38+W39+W40</f>
      </c>
      <c r="X41" s="14">
        <f>X36+X37+X38+X39+X40</f>
      </c>
      <c r="Y41" s="14">
        <f>Y36+Y37+Y38+Y39+Y40</f>
      </c>
      <c r="Z41" s="14">
        <f>Z36+Z37+Z38+Z39+Z40</f>
      </c>
      <c r="AA41" s="14">
        <f>AA36+AA37+AA38+AA39+AA40</f>
      </c>
      <c r="AB41" s="14">
        <f>AB36+AB37+AB38+AB39+AB40</f>
      </c>
      <c r="AC41" s="14">
        <f>AC36+AC37+AC38+AC39+AC40</f>
      </c>
      <c r="AD41" s="14">
        <f>AD36+AD37+AD38+AD39+AD40</f>
      </c>
      <c r="AE41" s="14">
        <f>AE36+AE37+AE38+AE39+AE40</f>
      </c>
      <c r="AF41" s="14">
        <f>AF36+AF37+AF38+AF39+AF40</f>
      </c>
      <c r="AG41" s="14">
        <f>AG36+AG37+AG38+AG39+AG40</f>
      </c>
      <c r="AH41" s="14">
        <f>AH36+AH37+AH38+AH39+AH40</f>
      </c>
      <c r="AI41" s="14">
        <f>AI36+AI37+AI38+AI39+AI40</f>
      </c>
      <c r="AJ41" s="14">
        <f>AJ36+AJ37+AJ38+AJ39+AJ40</f>
      </c>
      <c r="AK41" s="14">
        <f>AK36+AK37+AK38+AK39+AK40</f>
      </c>
      <c r="AL41" s="14">
        <f>AL36+AL37+AL38+AL39+AL40</f>
      </c>
      <c r="AM41" s="14">
        <f>AM36+AM37+AM38+AM39+AM40</f>
      </c>
      <c r="AN41" s="14">
        <f>AN36+AN37+AN38+AN39+AN40</f>
      </c>
      <c r="AO41" s="14">
        <f>AO36+AO37+AO38+AO39+AO40</f>
      </c>
      <c r="AP41" s="14">
        <f>AP36+AP37+AP38+AP39+AP40</f>
      </c>
      <c r="AQ41" s="14">
        <f>AQ36+AQ37+AQ38+AQ39+AQ40</f>
      </c>
      <c r="AR41" s="14">
        <f>AR36+AR37+AR38+AR39+AR40</f>
      </c>
      <c r="AS41" s="14">
        <f>AS36+AS37+AS38+AS39+AS40</f>
      </c>
      <c r="AT41" s="14">
        <f>AT36+AT37+AT38+AT39+AT40</f>
      </c>
      <c r="AU41" s="14">
        <f>AU36+AU37+AU38+AU39+AU40</f>
      </c>
      <c r="AV41" s="14">
        <f>AV36+AV37+AV38+AV39+AV40</f>
      </c>
      <c r="AW41" s="14">
        <f>AW36+AW37+AW38+AW39+AW40</f>
      </c>
      <c r="AX41" s="14">
        <f>AX36+AX37+AX38+AX39+AX40</f>
      </c>
      <c r="AY41" s="14">
        <f>AY36+AY37+AY38+AY39+AY40</f>
      </c>
      <c r="AZ41" s="14">
        <f>AZ36+AZ37+AZ38+AZ39+AZ40</f>
      </c>
      <c r="BA41" s="14">
        <f>BA36+BA37+BA38+BA39+BA40</f>
      </c>
      <c r="BB41" s="14">
        <f>BB36+BB37+BB38+BB39+BB40</f>
      </c>
      <c r="BC41" s="14">
        <f>BC36+BC37+BC38+BC39+BC40</f>
      </c>
      <c r="BD41" s="14">
        <f>BD36+BD37+BD38+BD39+BD40</f>
      </c>
      <c r="BE41" s="14">
        <f>BE36+BE37+BE38+BE39+BE40</f>
      </c>
      <c r="BF41" s="14">
        <f>BF36+BF37+BF38+BF39+BF40</f>
      </c>
      <c r="BG41" s="14">
        <f>BG36+BG37+BG38+BG39+BG40</f>
      </c>
      <c r="BH41" s="14">
        <f>BH36+BH37+BH38+BH39+BH40</f>
      </c>
      <c r="BI41" s="14">
        <f>BI36+BI37+BI38+BI39+BI40</f>
      </c>
      <c r="BJ41" s="14">
        <f>BJ36+BJ37+BJ38+BJ39+BJ40</f>
      </c>
      <c r="BK41" s="14">
        <f>BK36+BK37+BK38+BK39+BK40</f>
      </c>
      <c r="BL41" s="14">
        <f>BL36+BL37+BL38+BL39+BL40</f>
      </c>
      <c r="BM41" s="14">
        <f>BM36+BM37+BM38+BM39+BM40</f>
      </c>
      <c r="BN41" s="14">
        <f>BN36+BN37+BN38+BN39+BN40</f>
      </c>
      <c r="BO41" s="14">
        <f>BO36+BO37+BO38+BO39+BO40</f>
      </c>
      <c r="BP41" s="14">
        <f>BP36+BP37+BP38+BP39+BP40</f>
      </c>
      <c r="BQ41" s="14">
        <f>BQ36+BQ37+BQ38+BQ39+BQ40</f>
      </c>
      <c r="BR41" s="14">
        <f>BR36+BR37+BR38+BR39+BR40</f>
      </c>
      <c r="BS41" s="14">
        <f>BS36+BS37+BS38+BS39+BS40</f>
      </c>
      <c r="BT41" s="14">
        <f>BT36+BT37+BT38+BT39+BT40</f>
      </c>
      <c r="BU41" s="14">
        <f>BU36+BU37+BU38+BU39+BU40</f>
      </c>
      <c r="BV41" s="14">
        <f>BV36+BV37+BV38+BV39+BV40</f>
      </c>
      <c r="BW41" s="14">
        <f>BW36+BW37+BW38+BW39+BW40</f>
      </c>
      <c r="BX41" s="14">
        <f>BX36+BX37+BX38+BX39+BX40</f>
      </c>
      <c r="BY41" s="14">
        <f>BY36+BY37+BY38+BY39+BY40</f>
      </c>
      <c r="BZ41" s="14">
        <f>BZ36+BZ37+BZ38+BZ39+BZ40</f>
      </c>
      <c r="CA41" s="14">
        <f>CA36+CA37+CA38+CA39+CA40</f>
      </c>
      <c r="CB41" s="14">
        <f>CB36+CB37+CB38+CB39+CB40</f>
      </c>
      <c r="CC41" s="14">
        <f>CC36+CC37+CC38+CC39+CC40</f>
      </c>
      <c r="CD41" s="14">
        <f>CD36+CD37+CD38+CD39+CD40</f>
      </c>
      <c r="CE41" s="14">
        <f>CE36+CE37+CE38+CE39+CE40</f>
      </c>
      <c r="CF41" s="14">
        <f>CF36+CF37+CF38+CF39+CF40</f>
      </c>
      <c r="CG41" s="14">
        <f>CG36+CG37+CG38+CG39+CG40</f>
      </c>
      <c r="CH41" s="14">
        <f>CH36+CH37+CH38+CH39+CH40</f>
      </c>
      <c r="CI41" s="14">
        <f>CI36+CI37+CI38+CI39+CI40</f>
      </c>
      <c r="CJ41" s="14">
        <f>CJ36+CJ37+CJ38+CJ39+CJ40</f>
      </c>
      <c r="CK41" s="14">
        <f>CK36+CK37+CK38+CK39+CK40</f>
      </c>
      <c r="CL41" s="14">
        <f>CL36+CL37+CL38+CL39+CL40</f>
      </c>
    </row>
    <row r="43" spans="2:90" x14ac:dyDescent="0.25">
      <c r="B43" s="42" t="s">
        <v>326</v>
      </c>
      <c r="C43" s="32" t="s">
        <v>228</v>
      </c>
      <c r="D43" s="14">
        <f>SUM(E43:CL43)</f>
      </c>
      <c r="E43" s="14">
        <f>E32+E41</f>
      </c>
      <c r="F43" s="14">
        <f>F32+F41</f>
      </c>
      <c r="G43" s="14">
        <f>G32+G41</f>
      </c>
      <c r="H43" s="14">
        <f>H32+H41</f>
      </c>
      <c r="I43" s="14">
        <f>I32+I41</f>
      </c>
      <c r="J43" s="14">
        <f>J32+J41</f>
      </c>
      <c r="K43" s="14">
        <f>K32+K41</f>
      </c>
      <c r="L43" s="14">
        <f>L32+L41</f>
      </c>
      <c r="M43" s="14">
        <f>M32+M41</f>
      </c>
      <c r="N43" s="14">
        <f>N32+N41</f>
      </c>
      <c r="O43" s="14">
        <f>O32+O41</f>
      </c>
      <c r="P43" s="14">
        <f>P32+P41</f>
      </c>
      <c r="Q43" s="14">
        <f>Q32+Q41</f>
      </c>
      <c r="R43" s="14">
        <f>R32+R41</f>
      </c>
      <c r="S43" s="14">
        <f>S32+S41</f>
      </c>
      <c r="T43" s="14">
        <f>T32+T41</f>
      </c>
      <c r="U43" s="14">
        <f>U32+U41</f>
      </c>
      <c r="V43" s="14">
        <f>V32+V41</f>
      </c>
      <c r="W43" s="14">
        <f>W32+W41</f>
      </c>
      <c r="X43" s="14">
        <f>X32+X41</f>
      </c>
      <c r="Y43" s="14">
        <f>Y32+Y41</f>
      </c>
      <c r="Z43" s="14">
        <f>Z32+Z41</f>
      </c>
      <c r="AA43" s="14">
        <f>AA32+AA41</f>
      </c>
      <c r="AB43" s="14">
        <f>AB32+AB41</f>
      </c>
      <c r="AC43" s="14">
        <f>AC32+AC41</f>
      </c>
      <c r="AD43" s="14">
        <f>AD32+AD41</f>
      </c>
      <c r="AE43" s="14">
        <f>AE32+AE41</f>
      </c>
      <c r="AF43" s="14">
        <f>AF32+AF41</f>
      </c>
      <c r="AG43" s="14">
        <f>AG32+AG41</f>
      </c>
      <c r="AH43" s="14">
        <f>AH32+AH41</f>
      </c>
      <c r="AI43" s="14">
        <f>AI32+AI41</f>
      </c>
      <c r="AJ43" s="14">
        <f>AJ32+AJ41</f>
      </c>
      <c r="AK43" s="14">
        <f>AK32+AK41</f>
      </c>
      <c r="AL43" s="14">
        <f>AL32+AL41</f>
      </c>
      <c r="AM43" s="14">
        <f>AM32+AM41</f>
      </c>
      <c r="AN43" s="14">
        <f>AN32+AN41</f>
      </c>
      <c r="AO43" s="14">
        <f>AO32+AO41</f>
      </c>
      <c r="AP43" s="14">
        <f>AP32+AP41</f>
      </c>
      <c r="AQ43" s="14">
        <f>AQ32+AQ41</f>
      </c>
      <c r="AR43" s="14">
        <f>AR32+AR41</f>
      </c>
      <c r="AS43" s="14">
        <f>AS32+AS41</f>
      </c>
      <c r="AT43" s="14">
        <f>AT32+AT41</f>
      </c>
      <c r="AU43" s="14">
        <f>AU32+AU41</f>
      </c>
      <c r="AV43" s="14">
        <f>AV32+AV41</f>
      </c>
      <c r="AW43" s="14">
        <f>AW32+AW41</f>
      </c>
      <c r="AX43" s="14">
        <f>AX32+AX41</f>
      </c>
      <c r="AY43" s="14">
        <f>AY32+AY41</f>
      </c>
      <c r="AZ43" s="14">
        <f>AZ32+AZ41</f>
      </c>
      <c r="BA43" s="14">
        <f>BA32+BA41</f>
      </c>
      <c r="BB43" s="14">
        <f>BB32+BB41</f>
      </c>
      <c r="BC43" s="14">
        <f>BC32+BC41</f>
      </c>
      <c r="BD43" s="14">
        <f>BD32+BD41</f>
      </c>
      <c r="BE43" s="14">
        <f>BE32+BE41</f>
      </c>
      <c r="BF43" s="14">
        <f>BF32+BF41</f>
      </c>
      <c r="BG43" s="14">
        <f>BG32+BG41</f>
      </c>
      <c r="BH43" s="14">
        <f>BH32+BH41</f>
      </c>
      <c r="BI43" s="14">
        <f>BI32+BI41</f>
      </c>
      <c r="BJ43" s="14">
        <f>BJ32+BJ41</f>
      </c>
      <c r="BK43" s="14">
        <f>BK32+BK41</f>
      </c>
      <c r="BL43" s="14">
        <f>BL32+BL41</f>
      </c>
      <c r="BM43" s="14">
        <f>BM32+BM41</f>
      </c>
      <c r="BN43" s="14">
        <f>BN32+BN41</f>
      </c>
      <c r="BO43" s="14">
        <f>BO32+BO41</f>
      </c>
      <c r="BP43" s="14">
        <f>BP32+BP41</f>
      </c>
      <c r="BQ43" s="14">
        <f>BQ32+BQ41</f>
      </c>
      <c r="BR43" s="14">
        <f>BR32+BR41</f>
      </c>
      <c r="BS43" s="14">
        <f>BS32+BS41</f>
      </c>
      <c r="BT43" s="14">
        <f>BT32+BT41</f>
      </c>
      <c r="BU43" s="14">
        <f>BU32+BU41</f>
      </c>
      <c r="BV43" s="14">
        <f>BV32+BV41</f>
      </c>
      <c r="BW43" s="14">
        <f>BW32+BW41</f>
      </c>
      <c r="BX43" s="14">
        <f>BX32+BX41</f>
      </c>
      <c r="BY43" s="14">
        <f>BY32+BY41</f>
      </c>
      <c r="BZ43" s="14">
        <f>BZ32+BZ41</f>
      </c>
      <c r="CA43" s="14">
        <f>CA32+CA41</f>
      </c>
      <c r="CB43" s="14">
        <f>CB32+CB41</f>
      </c>
      <c r="CC43" s="14">
        <f>CC32+CC41</f>
      </c>
      <c r="CD43" s="14">
        <f>CD32+CD41</f>
      </c>
      <c r="CE43" s="14">
        <f>CE32+CE41</f>
      </c>
      <c r="CF43" s="14">
        <f>CF32+CF41</f>
      </c>
      <c r="CG43" s="14">
        <f>CG32+CG41</f>
      </c>
      <c r="CH43" s="14">
        <f>CH32+CH41</f>
      </c>
      <c r="CI43" s="14">
        <f>CI32+CI41</f>
      </c>
      <c r="CJ43" s="14">
        <f>CJ32+CJ41</f>
      </c>
      <c r="CK43" s="14">
        <f>CK32+CK41</f>
      </c>
      <c r="CL43" s="14">
        <f>CL32+CL41</f>
      </c>
    </row>
    <row r="44" spans="2:90" x14ac:dyDescent="0.25">
      <c r="B44" s="31" t="s">
        <v>327</v>
      </c>
      <c r="C44" s="32" t="s">
        <v>228</v>
      </c>
      <c r="D44" s="29">
        <f>SUM(E44:CL44)</f>
      </c>
      <c r="E44" s="29">
        <f>IF(AND(E43&gt;0,E67&gt;0),-E66*E43/E67,0)</f>
      </c>
      <c r="F44" s="29">
        <f>IF(AND(F43&gt;0,E67&gt;0),-E66*F43/E67,0)</f>
      </c>
      <c r="G44" s="29">
        <f>IF(AND(G43&gt;0,E67&gt;0),-E66*G43/E67,0)</f>
      </c>
      <c r="H44" s="29">
        <f>IF(AND(H43&gt;0,F67&gt;0),-F66*H43/F67,0)</f>
      </c>
      <c r="I44" s="29">
        <f>IF(AND(I43&gt;0,F67&gt;0),-F66*I43/F67,0)</f>
      </c>
      <c r="J44" s="29">
        <f>IF(AND(J43&gt;0,F67&gt;0),-F66*J43/F67,0)</f>
      </c>
      <c r="K44" s="29">
        <f>IF(AND(K43&gt;0,F67&gt;0),-F66*K43/F67,0)</f>
      </c>
      <c r="L44" s="29">
        <f>IF(AND(L43&gt;0,G67&gt;0),-G66*L43/G67,0)</f>
      </c>
      <c r="M44" s="29">
        <f>IF(AND(M43&gt;0,G67&gt;0),-G66*M43/G67,0)</f>
      </c>
      <c r="N44" s="29">
        <f>IF(AND(N43&gt;0,G67&gt;0),-G66*N43/G67,0)</f>
      </c>
      <c r="O44" s="29">
        <f>IF(AND(O43&gt;0,G67&gt;0),-G66*O43/G67,0)</f>
      </c>
      <c r="P44" s="29">
        <f>IF(AND(P43&gt;0,H67&gt;0),-H66*P43/H67,0)</f>
      </c>
      <c r="Q44" s="29">
        <f>IF(AND(Q43&gt;0,H67&gt;0),-H66*Q43/H67,0)</f>
      </c>
      <c r="R44" s="29">
        <f>IF(AND(R43&gt;0,H67&gt;0),-H66*R43/H67,0)</f>
      </c>
      <c r="S44" s="29">
        <f>IF(AND(S43&gt;0,H67&gt;0),-H66*S43/H67,0)</f>
      </c>
      <c r="T44" s="29">
        <f>IF(AND(T43&gt;0,I67&gt;0),-I66*T43/I67,0)</f>
      </c>
      <c r="U44" s="29">
        <f>IF(AND(U43&gt;0,I67&gt;0),-I66*U43/I67,0)</f>
      </c>
      <c r="V44" s="29">
        <f>IF(AND(V43&gt;0,I67&gt;0),-I66*V43/I67,0)</f>
      </c>
      <c r="W44" s="29">
        <f>IF(AND(W43&gt;0,I67&gt;0),-I66*W43/I67,0)</f>
      </c>
      <c r="X44" s="29">
        <f>IF(AND(X43&gt;0,J67&gt;0),-J66*X43/J67,0)</f>
      </c>
      <c r="Y44" s="29">
        <f>IF(AND(Y43&gt;0,J67&gt;0),-J66*Y43/J67,0)</f>
      </c>
      <c r="Z44" s="29">
        <f>IF(AND(Z43&gt;0,J67&gt;0),-J66*Z43/J67,0)</f>
      </c>
      <c r="AA44" s="29">
        <f>IF(AND(AA43&gt;0,J67&gt;0),-J66*AA43/J67,0)</f>
      </c>
      <c r="AB44" s="29">
        <f>IF(AND(AB43&gt;0,K67&gt;0),-K66*AB43/K67,0)</f>
      </c>
      <c r="AC44" s="29">
        <f>IF(AND(AC43&gt;0,K67&gt;0),-K66*AC43/K67,0)</f>
      </c>
      <c r="AD44" s="29">
        <f>IF(AND(AD43&gt;0,K67&gt;0),-K66*AD43/K67,0)</f>
      </c>
      <c r="AE44" s="29">
        <f>IF(AND(AE43&gt;0,K67&gt;0),-K66*AE43/K67,0)</f>
      </c>
      <c r="AF44" s="29">
        <f>IF(AND(AF43&gt;0,L67&gt;0),-L66*AF43/L67,0)</f>
      </c>
      <c r="AG44" s="29">
        <f>IF(AND(AG43&gt;0,L67&gt;0),-L66*AG43/L67,0)</f>
      </c>
      <c r="AH44" s="29">
        <f>IF(AND(AH43&gt;0,L67&gt;0),-L66*AH43/L67,0)</f>
      </c>
      <c r="AI44" s="29">
        <f>IF(AND(AI43&gt;0,L67&gt;0),-L66*AI43/L67,0)</f>
      </c>
      <c r="AJ44" s="29">
        <f>IF(AND(AJ43&gt;0,M67&gt;0),-M66*AJ43/M67,0)</f>
      </c>
      <c r="AK44" s="29">
        <f>IF(AND(AK43&gt;0,M67&gt;0),-M66*AK43/M67,0)</f>
      </c>
      <c r="AL44" s="29">
        <f>IF(AND(AL43&gt;0,M67&gt;0),-M66*AL43/M67,0)</f>
      </c>
      <c r="AM44" s="29">
        <f>IF(AND(AM43&gt;0,M67&gt;0),-M66*AM43/M67,0)</f>
      </c>
      <c r="AN44" s="29">
        <f>IF(AND(AN43&gt;0,N67&gt;0),-N66*AN43/N67,0)</f>
      </c>
      <c r="AO44" s="29">
        <f>IF(AND(AO43&gt;0,N67&gt;0),-N66*AO43/N67,0)</f>
      </c>
      <c r="AP44" s="29">
        <f>IF(AND(AP43&gt;0,N67&gt;0),-N66*AP43/N67,0)</f>
      </c>
      <c r="AQ44" s="29">
        <f>IF(AND(AQ43&gt;0,N67&gt;0),-N66*AQ43/N67,0)</f>
      </c>
      <c r="AR44" s="29">
        <f>IF(AND(AR43&gt;0,O67&gt;0),-O66*AR43/O67,0)</f>
      </c>
      <c r="AS44" s="29">
        <f>IF(AND(AS43&gt;0,O67&gt;0),-O66*AS43/O67,0)</f>
      </c>
      <c r="AT44" s="29">
        <f>IF(AND(AT43&gt;0,O67&gt;0),-O66*AT43/O67,0)</f>
      </c>
      <c r="AU44" s="29">
        <f>IF(AND(AU43&gt;0,O67&gt;0),-O66*AU43/O67,0)</f>
      </c>
      <c r="AV44" s="29">
        <f>IF(AND(AV43&gt;0,P67&gt;0),-P66*AV43/P67,0)</f>
      </c>
      <c r="AW44" s="29">
        <f>IF(AND(AW43&gt;0,P67&gt;0),-P66*AW43/P67,0)</f>
      </c>
      <c r="AX44" s="29">
        <f>IF(AND(AX43&gt;0,P67&gt;0),-P66*AX43/P67,0)</f>
      </c>
      <c r="AY44" s="29">
        <f>IF(AND(AY43&gt;0,P67&gt;0),-P66*AY43/P67,0)</f>
      </c>
      <c r="AZ44" s="29">
        <f>IF(AND(AZ43&gt;0,Q67&gt;0),-Q66*AZ43/Q67,0)</f>
      </c>
      <c r="BA44" s="29">
        <f>IF(AND(BA43&gt;0,Q67&gt;0),-Q66*BA43/Q67,0)</f>
      </c>
      <c r="BB44" s="29">
        <f>IF(AND(BB43&gt;0,Q67&gt;0),-Q66*BB43/Q67,0)</f>
      </c>
      <c r="BC44" s="29">
        <f>IF(AND(BC43&gt;0,Q67&gt;0),-Q66*BC43/Q67,0)</f>
      </c>
      <c r="BD44" s="29">
        <f>IF(AND(BD43&gt;0,R67&gt;0),-R66*BD43/R67,0)</f>
      </c>
      <c r="BE44" s="29">
        <f>IF(AND(BE43&gt;0,R67&gt;0),-R66*BE43/R67,0)</f>
      </c>
      <c r="BF44" s="29">
        <f>IF(AND(BF43&gt;0,R67&gt;0),-R66*BF43/R67,0)</f>
      </c>
      <c r="BG44" s="29">
        <f>IF(AND(BG43&gt;0,R67&gt;0),-R66*BG43/R67,0)</f>
      </c>
      <c r="BH44" s="29">
        <f>IF(AND(BH43&gt;0,S67&gt;0),-S66*BH43/S67,0)</f>
      </c>
      <c r="BI44" s="29">
        <f>IF(AND(BI43&gt;0,S67&gt;0),-S66*BI43/S67,0)</f>
      </c>
      <c r="BJ44" s="29">
        <f>IF(AND(BJ43&gt;0,S67&gt;0),-S66*BJ43/S67,0)</f>
      </c>
      <c r="BK44" s="29">
        <f>IF(AND(BK43&gt;0,S67&gt;0),-S66*BK43/S67,0)</f>
      </c>
      <c r="BL44" s="29">
        <f>IF(AND(BL43&gt;0,T67&gt;0),-T66*BL43/T67,0)</f>
      </c>
      <c r="BM44" s="29">
        <f>IF(AND(BM43&gt;0,T67&gt;0),-T66*BM43/T67,0)</f>
      </c>
      <c r="BN44" s="29">
        <f>IF(AND(BN43&gt;0,T67&gt;0),-T66*BN43/T67,0)</f>
      </c>
      <c r="BO44" s="29">
        <f>IF(AND(BO43&gt;0,T67&gt;0),-T66*BO43/T67,0)</f>
      </c>
      <c r="BP44" s="29">
        <f>IF(AND(BP43&gt;0,U67&gt;0),-U66*BP43/U67,0)</f>
      </c>
      <c r="BQ44" s="29">
        <f>IF(AND(BQ43&gt;0,U67&gt;0),-U66*BQ43/U67,0)</f>
      </c>
      <c r="BR44" s="29">
        <f>IF(AND(BR43&gt;0,U67&gt;0),-U66*BR43/U67,0)</f>
      </c>
      <c r="BS44" s="29">
        <f>IF(AND(BS43&gt;0,U67&gt;0),-U66*BS43/U67,0)</f>
      </c>
      <c r="BT44" s="29">
        <f>IF(AND(BT43&gt;0,V67&gt;0),-V66*BT43/V67,0)</f>
      </c>
      <c r="BU44" s="29">
        <f>IF(AND(BU43&gt;0,V67&gt;0),-V66*BU43/V67,0)</f>
      </c>
      <c r="BV44" s="29">
        <f>IF(AND(BV43&gt;0,V67&gt;0),-V66*BV43/V67,0)</f>
      </c>
      <c r="BW44" s="29">
        <f>IF(AND(BW43&gt;0,V67&gt;0),-V66*BW43/V67,0)</f>
      </c>
      <c r="BX44" s="29">
        <f>IF(AND(BX43&gt;0,W67&gt;0),-W66*BX43/W67,0)</f>
      </c>
      <c r="BY44" s="29">
        <f>IF(AND(BY43&gt;0,W67&gt;0),-W66*BY43/W67,0)</f>
      </c>
      <c r="BZ44" s="29">
        <f>IF(AND(BZ43&gt;0,W67&gt;0),-W66*BZ43/W67,0)</f>
      </c>
      <c r="CA44" s="29">
        <f>IF(AND(CA43&gt;0,W67&gt;0),-W66*CA43/W67,0)</f>
      </c>
      <c r="CB44" s="29">
        <f>IF(AND(CB43&gt;0,X67&gt;0),-X66*CB43/X67,0)</f>
      </c>
      <c r="CC44" s="29">
        <f>IF(AND(CC43&gt;0,X67&gt;0),-X66*CC43/X67,0)</f>
      </c>
      <c r="CD44" s="29">
        <f>IF(AND(CD43&gt;0,X67&gt;0),-X66*CD43/X67,0)</f>
      </c>
      <c r="CE44" s="29">
        <f>IF(AND(CE43&gt;0,X67&gt;0),-X66*CE43/X67,0)</f>
      </c>
      <c r="CF44" s="29">
        <f>IF(AND(CF43&gt;0,Y67&gt;0),-Y66*CF43/Y67,0)</f>
      </c>
      <c r="CG44" s="29">
        <f>IF(AND(CG43&gt;0,Y67&gt;0),-Y66*CG43/Y67,0)</f>
      </c>
      <c r="CH44" s="29">
        <f>IF(AND(CH43&gt;0,Y67&gt;0),-Y66*CH43/Y67,0)</f>
      </c>
      <c r="CI44" s="29">
        <f>IF(AND(CI43&gt;0,Y67&gt;0),-Y66*CI43/Y67,0)</f>
      </c>
      <c r="CJ44" s="29">
        <f>IF(AND(CJ43&gt;0,Z67&gt;0),-Z66*CJ43/Z67,0)</f>
      </c>
      <c r="CK44" s="29">
        <f>IF(AND(CK43&gt;0,Z67&gt;0),-Z66*CK43/Z67,0)</f>
      </c>
      <c r="CL44" s="29">
        <f>IF(AND(CL43&gt;0,Z67&gt;0),-Z66*CL43/Z67,0)</f>
      </c>
    </row>
    <row r="45" spans="2:91" x14ac:dyDescent="0.25">
      <c r="B45" s="43" t="s">
        <v>328</v>
      </c>
      <c r="C45" s="46" t="s">
        <v>228</v>
      </c>
      <c r="D45" s="41">
        <f>SUM(E45:CL45)</f>
      </c>
      <c r="E45" s="41">
        <f>E43+E44</f>
      </c>
      <c r="F45" s="41">
        <f>F43+F44</f>
      </c>
      <c r="G45" s="41">
        <f>G43+G44</f>
      </c>
      <c r="H45" s="41">
        <f>H43+H44</f>
      </c>
      <c r="I45" s="41">
        <f>I43+I44</f>
      </c>
      <c r="J45" s="41">
        <f>J43+J44</f>
      </c>
      <c r="K45" s="41">
        <f>K43+K44</f>
      </c>
      <c r="L45" s="41">
        <f>L43+L44</f>
      </c>
      <c r="M45" s="41">
        <f>M43+M44</f>
      </c>
      <c r="N45" s="41">
        <f>N43+N44</f>
      </c>
      <c r="O45" s="41">
        <f>O43+O44</f>
      </c>
      <c r="P45" s="41">
        <f>P43+P44</f>
      </c>
      <c r="Q45" s="41">
        <f>Q43+Q44</f>
      </c>
      <c r="R45" s="41">
        <f>R43+R44</f>
      </c>
      <c r="S45" s="41">
        <f>S43+S44</f>
      </c>
      <c r="T45" s="41">
        <f>T43+T44</f>
      </c>
      <c r="U45" s="41">
        <f>U43+U44</f>
      </c>
      <c r="V45" s="41">
        <f>V43+V44</f>
      </c>
      <c r="W45" s="41">
        <f>W43+W44</f>
      </c>
      <c r="X45" s="41">
        <f>X43+X44</f>
      </c>
      <c r="Y45" s="41">
        <f>Y43+Y44</f>
      </c>
      <c r="Z45" s="41">
        <f>Z43+Z44</f>
      </c>
      <c r="AA45" s="41">
        <f>AA43+AA44</f>
      </c>
      <c r="AB45" s="41">
        <f>AB43+AB44</f>
      </c>
      <c r="AC45" s="41">
        <f>AC43+AC44</f>
      </c>
      <c r="AD45" s="41">
        <f>AD43+AD44</f>
      </c>
      <c r="AE45" s="41">
        <f>AE43+AE44</f>
      </c>
      <c r="AF45" s="41">
        <f>AF43+AF44</f>
      </c>
      <c r="AG45" s="41">
        <f>AG43+AG44</f>
      </c>
      <c r="AH45" s="41">
        <f>AH43+AH44</f>
      </c>
      <c r="AI45" s="41">
        <f>AI43+AI44</f>
      </c>
      <c r="AJ45" s="41">
        <f>AJ43+AJ44</f>
      </c>
      <c r="AK45" s="41">
        <f>AK43+AK44</f>
      </c>
      <c r="AL45" s="41">
        <f>AL43+AL44</f>
      </c>
      <c r="AM45" s="41">
        <f>AM43+AM44</f>
      </c>
      <c r="AN45" s="41">
        <f>AN43+AN44</f>
      </c>
      <c r="AO45" s="41">
        <f>AO43+AO44</f>
      </c>
      <c r="AP45" s="41">
        <f>AP43+AP44</f>
      </c>
      <c r="AQ45" s="41">
        <f>AQ43+AQ44</f>
      </c>
      <c r="AR45" s="41">
        <f>AR43+AR44</f>
      </c>
      <c r="AS45" s="41">
        <f>AS43+AS44</f>
      </c>
      <c r="AT45" s="41">
        <f>AT43+AT44</f>
      </c>
      <c r="AU45" s="41">
        <f>AU43+AU44</f>
      </c>
      <c r="AV45" s="41">
        <f>AV43+AV44</f>
      </c>
      <c r="AW45" s="41">
        <f>AW43+AW44</f>
      </c>
      <c r="AX45" s="41">
        <f>AX43+AX44</f>
      </c>
      <c r="AY45" s="41">
        <f>AY43+AY44</f>
      </c>
      <c r="AZ45" s="41">
        <f>AZ43+AZ44</f>
      </c>
      <c r="BA45" s="41">
        <f>BA43+BA44</f>
      </c>
      <c r="BB45" s="41">
        <f>BB43+BB44</f>
      </c>
      <c r="BC45" s="41">
        <f>BC43+BC44</f>
      </c>
      <c r="BD45" s="41">
        <f>BD43+BD44</f>
      </c>
      <c r="BE45" s="41">
        <f>BE43+BE44</f>
      </c>
      <c r="BF45" s="41">
        <f>BF43+BF44</f>
      </c>
      <c r="BG45" s="41">
        <f>BG43+BG44</f>
      </c>
      <c r="BH45" s="41">
        <f>BH43+BH44</f>
      </c>
      <c r="BI45" s="41">
        <f>BI43+BI44</f>
      </c>
      <c r="BJ45" s="41">
        <f>BJ43+BJ44</f>
      </c>
      <c r="BK45" s="41">
        <f>BK43+BK44</f>
      </c>
      <c r="BL45" s="41">
        <f>BL43+BL44</f>
      </c>
      <c r="BM45" s="41">
        <f>BM43+BM44</f>
      </c>
      <c r="BN45" s="41">
        <f>BN43+BN44</f>
      </c>
      <c r="BO45" s="41">
        <f>BO43+BO44</f>
      </c>
      <c r="BP45" s="41">
        <f>BP43+BP44</f>
      </c>
      <c r="BQ45" s="41">
        <f>BQ43+BQ44</f>
      </c>
      <c r="BR45" s="41">
        <f>BR43+BR44</f>
      </c>
      <c r="BS45" s="41">
        <f>BS43+BS44</f>
      </c>
      <c r="BT45" s="41">
        <f>BT43+BT44</f>
      </c>
      <c r="BU45" s="41">
        <f>BU43+BU44</f>
      </c>
      <c r="BV45" s="41">
        <f>BV43+BV44</f>
      </c>
      <c r="BW45" s="41">
        <f>BW43+BW44</f>
      </c>
      <c r="BX45" s="41">
        <f>BX43+BX44</f>
      </c>
      <c r="BY45" s="41">
        <f>BY43+BY44</f>
      </c>
      <c r="BZ45" s="41">
        <f>BZ43+BZ44</f>
      </c>
      <c r="CA45" s="41">
        <f>CA43+CA44</f>
      </c>
      <c r="CB45" s="41">
        <f>CB43+CB44</f>
      </c>
      <c r="CC45" s="41">
        <f>CC43+CC44</f>
      </c>
      <c r="CD45" s="41">
        <f>CD43+CD44</f>
      </c>
      <c r="CE45" s="41">
        <f>CE43+CE44</f>
      </c>
      <c r="CF45" s="41">
        <f>CF43+CF44</f>
      </c>
      <c r="CG45" s="41">
        <f>CG43+CG44</f>
      </c>
      <c r="CH45" s="41">
        <f>CH43+CH44</f>
      </c>
      <c r="CI45" s="41">
        <f>CI43+CI44</f>
      </c>
      <c r="CJ45" s="41">
        <f>CJ43+CJ44</f>
      </c>
      <c r="CK45" s="41">
        <f>CK43+CK44</f>
      </c>
      <c r="CL45" s="41">
        <f>CL43+CL44</f>
      </c>
      <c r="CM45" s="44"/>
    </row>
    <row r="48" spans="2:91" x14ac:dyDescent="0.25">
      <c r="B48" s="9" t="s">
        <v>329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</row>
    <row r="50" spans="2:90" x14ac:dyDescent="0.25">
      <c r="B50" s="31" t="s">
        <v>330</v>
      </c>
      <c r="C50" s="32" t="s">
        <v>228</v>
      </c>
      <c r="D50" s="29">
        <f>SUM(E50:CL50)</f>
      </c>
      <c r="E50" s="29">
        <f>E43-E29-(0)</f>
      </c>
      <c r="F50" s="29">
        <f>F43-F29-(0)</f>
      </c>
      <c r="G50" s="29">
        <f>G43-G29-(0)</f>
      </c>
      <c r="H50" s="29">
        <f>H43-H29-(0)</f>
      </c>
      <c r="I50" s="29">
        <f>I43-I29-(0)</f>
      </c>
      <c r="J50" s="29">
        <f>J43-J29-(0)</f>
      </c>
      <c r="K50" s="29">
        <f>K43-K29-(0)</f>
      </c>
      <c r="L50" s="29">
        <f>L43-L29-(0)</f>
      </c>
      <c r="M50" s="29">
        <f>M43-M29-(0)</f>
      </c>
      <c r="N50" s="29">
        <f>N43-N29-(0)</f>
      </c>
      <c r="O50" s="29">
        <f>O43-O29-(0)</f>
      </c>
      <c r="P50" s="29">
        <f>P43-P29-(0)</f>
      </c>
      <c r="Q50" s="29">
        <f>Q43-Q29-(0)</f>
      </c>
      <c r="R50" s="29">
        <f>R43-R29-(0)</f>
      </c>
      <c r="S50" s="29">
        <f>S43-S29-(0)</f>
      </c>
      <c r="T50" s="29">
        <f>T43-T29-(0)</f>
      </c>
      <c r="U50" s="29">
        <f>U43-U29-(0)</f>
      </c>
      <c r="V50" s="29">
        <f>V43-V29-(0)</f>
      </c>
      <c r="W50" s="29">
        <f>W43-W29-(0)</f>
      </c>
      <c r="X50" s="29">
        <f>X43-X29-(0)</f>
      </c>
      <c r="Y50" s="29">
        <f>Y43-Y29-(0)</f>
      </c>
      <c r="Z50" s="29">
        <f>Z43-Z29-(0)</f>
      </c>
      <c r="AA50" s="29">
        <f>AA43-AA29-(0)</f>
      </c>
      <c r="AB50" s="29">
        <f>AB43-AB29-(0)</f>
      </c>
      <c r="AC50" s="29">
        <f>AC43-AC29-(0)</f>
      </c>
      <c r="AD50" s="29">
        <f>AD43-AD29-(0)</f>
      </c>
      <c r="AE50" s="29">
        <f>AE43-AE29-(0)</f>
      </c>
      <c r="AF50" s="29">
        <f>AF43-AF29-(0)</f>
      </c>
      <c r="AG50" s="29">
        <f>AG43-AG29-(0)</f>
      </c>
      <c r="AH50" s="29">
        <f>AH43-AH29-(0)</f>
      </c>
      <c r="AI50" s="29">
        <f>AI43-AI29-(0)</f>
      </c>
      <c r="AJ50" s="29">
        <f>AJ43-AJ29-(0)</f>
      </c>
      <c r="AK50" s="29">
        <f>AK43-AK29-(0)</f>
      </c>
      <c r="AL50" s="29">
        <f>AL43-AL29-(0)</f>
      </c>
      <c r="AM50" s="29">
        <f>AM43-AM29-(0)</f>
      </c>
      <c r="AN50" s="29">
        <f>AN43-AN29-(0)</f>
      </c>
      <c r="AO50" s="29">
        <f>AO43-AO29-(0)</f>
      </c>
      <c r="AP50" s="29">
        <f>AP43-AP29-(0)</f>
      </c>
      <c r="AQ50" s="29">
        <f>AQ43-AQ29-(0)</f>
      </c>
      <c r="AR50" s="29">
        <f>AR43-AR29-(0)</f>
      </c>
      <c r="AS50" s="29">
        <f>AS43-AS29-(0)</f>
      </c>
      <c r="AT50" s="29">
        <f>AT43-AT29-(0)</f>
      </c>
      <c r="AU50" s="29">
        <f>AU43-AU29-(0)</f>
      </c>
      <c r="AV50" s="29">
        <f>AV43-AV29-(0)</f>
      </c>
      <c r="AW50" s="29">
        <f>AW43-AW29-(0)</f>
      </c>
      <c r="AX50" s="29">
        <f>AX43-AX29-(0)</f>
      </c>
      <c r="AY50" s="29">
        <f>AY43-AY29-(0)</f>
      </c>
      <c r="AZ50" s="29">
        <f>AZ43-AZ29-(0)</f>
      </c>
      <c r="BA50" s="29">
        <f>BA43-BA29-(0)</f>
      </c>
      <c r="BB50" s="29">
        <f>BB43-BB29-(0)</f>
      </c>
      <c r="BC50" s="29">
        <f>BC43-BC29-(0)</f>
      </c>
      <c r="BD50" s="29">
        <f>BD43-BD29-(0)</f>
      </c>
      <c r="BE50" s="29">
        <f>BE43-BE29-(0)</f>
      </c>
      <c r="BF50" s="29">
        <f>BF43-BF29-(0)</f>
      </c>
      <c r="BG50" s="29">
        <f>BG43-BG29-(0)</f>
      </c>
      <c r="BH50" s="29">
        <f>BH43-BH29-(0)</f>
      </c>
      <c r="BI50" s="29">
        <f>BI43-BI29-(0)</f>
      </c>
      <c r="BJ50" s="29">
        <f>BJ43-BJ29-(0)</f>
      </c>
      <c r="BK50" s="29">
        <f>BK43-BK29-(0)</f>
      </c>
      <c r="BL50" s="29">
        <f>BL43-BL29-(0)</f>
      </c>
      <c r="BM50" s="29">
        <f>BM43-BM29-(0)</f>
      </c>
      <c r="BN50" s="29">
        <f>BN43-BN29-(0)</f>
      </c>
      <c r="BO50" s="29">
        <f>BO43-BO29-(0)</f>
      </c>
      <c r="BP50" s="29">
        <f>BP43-BP29-(0)</f>
      </c>
      <c r="BQ50" s="29">
        <f>BQ43-BQ29-(0)</f>
      </c>
      <c r="BR50" s="29">
        <f>BR43-BR29-(0)</f>
      </c>
      <c r="BS50" s="29">
        <f>BS43-BS29-(0)</f>
      </c>
      <c r="BT50" s="29">
        <f>BT43-BT29-(0)</f>
      </c>
      <c r="BU50" s="29">
        <f>BU43-BU29-(0)</f>
      </c>
      <c r="BV50" s="29">
        <f>BV43-BV29-(0)</f>
      </c>
      <c r="BW50" s="29">
        <f>BW43-BW29-(0)</f>
      </c>
      <c r="BX50" s="29">
        <f>BX43-BX29-(0)</f>
      </c>
      <c r="BY50" s="29">
        <f>BY43-BY29-(0)</f>
      </c>
      <c r="BZ50" s="29">
        <f>BZ43-BZ29-(0)</f>
      </c>
      <c r="CA50" s="29">
        <f>CA43-CA29-(0)</f>
      </c>
      <c r="CB50" s="29">
        <f>CB43-CB29-(0)</f>
      </c>
      <c r="CC50" s="29">
        <f>CC43-CC29-(0)</f>
      </c>
      <c r="CD50" s="29">
        <f>CD43-CD29-(0)</f>
      </c>
      <c r="CE50" s="29">
        <f>CE43-CE29-(0)</f>
      </c>
      <c r="CF50" s="29">
        <f>CF43-CF29-(0)</f>
      </c>
      <c r="CG50" s="29">
        <f>CG43-CG29-(0)</f>
      </c>
      <c r="CH50" s="29">
        <f>CH43-CH29-(0)</f>
      </c>
      <c r="CI50" s="29">
        <f>CI43-CI29-(0)</f>
      </c>
      <c r="CJ50" s="29">
        <f>CJ43-CJ29-(0)</f>
      </c>
      <c r="CK50" s="29">
        <f>CK43-CK29-(0)</f>
      </c>
      <c r="CL50" s="29">
        <f>CL43-CL29-('입력값'!C17*100)</f>
      </c>
    </row>
    <row r="52" spans="2:26" x14ac:dyDescent="0.25">
      <c r="B52" s="31" t="s">
        <v>75</v>
      </c>
      <c r="E52" s="13">
        <v>2024</v>
      </c>
      <c r="F52" s="13">
        <v>2025</v>
      </c>
      <c r="G52" s="13">
        <v>2026</v>
      </c>
      <c r="H52" s="13">
        <v>2027</v>
      </c>
      <c r="I52" s="13">
        <v>2028</v>
      </c>
      <c r="J52" s="13">
        <v>2029</v>
      </c>
      <c r="K52" s="13">
        <v>2030</v>
      </c>
      <c r="L52" s="13">
        <v>2031</v>
      </c>
      <c r="M52" s="13">
        <v>2032</v>
      </c>
      <c r="N52" s="13">
        <v>2033</v>
      </c>
      <c r="O52" s="13">
        <v>2034</v>
      </c>
      <c r="P52" s="13">
        <v>2035</v>
      </c>
      <c r="Q52" s="13">
        <v>2036</v>
      </c>
      <c r="R52" s="13">
        <v>2037</v>
      </c>
      <c r="S52" s="13">
        <v>2038</v>
      </c>
      <c r="T52" s="13">
        <v>2039</v>
      </c>
      <c r="U52" s="13">
        <v>2040</v>
      </c>
      <c r="V52" s="13">
        <v>2041</v>
      </c>
      <c r="W52" s="13">
        <v>2042</v>
      </c>
      <c r="X52" s="13">
        <v>2043</v>
      </c>
      <c r="Y52" s="13">
        <v>2044</v>
      </c>
      <c r="Z52" s="13">
        <v>2045</v>
      </c>
    </row>
    <row r="53" spans="2:26" x14ac:dyDescent="0.25">
      <c r="B53" s="31" t="s">
        <v>331</v>
      </c>
      <c r="C53" s="32" t="s">
        <v>228</v>
      </c>
      <c r="E53" s="29">
        <f>E50+F50+G50-'입력값'!C39</f>
      </c>
      <c r="F53" s="29">
        <f>H50+I50+J50+K50-'입력값'!C40</f>
      </c>
      <c r="G53" s="29">
        <f>L50+M50+N50+O50</f>
      </c>
      <c r="H53" s="29">
        <f>P50+Q50+R50+S50</f>
      </c>
      <c r="I53" s="29">
        <f>T50+U50+V50+W50</f>
      </c>
      <c r="J53" s="29">
        <f>X50+Y50+Z50+AA50</f>
      </c>
      <c r="K53" s="29">
        <f>AB50+AC50+AD50+AE50</f>
      </c>
      <c r="L53" s="29">
        <f>AF50+AG50+AH50+AI50</f>
      </c>
      <c r="M53" s="29">
        <f>AJ50+AK50+AL50+AM50</f>
      </c>
      <c r="N53" s="29">
        <f>AN50+AO50+AP50+AQ50</f>
      </c>
      <c r="O53" s="29">
        <f>AR50+AS50+AT50+AU50</f>
      </c>
      <c r="P53" s="29">
        <f>AV50+AW50+AX50+AY50</f>
      </c>
      <c r="Q53" s="29">
        <f>AZ50+BA50+BB50+BC50</f>
      </c>
      <c r="R53" s="29">
        <f>BD50+BE50+BF50+BG50</f>
      </c>
      <c r="S53" s="29">
        <f>BH50+BI50+BJ50+BK50</f>
      </c>
      <c r="T53" s="29">
        <f>BL50+BM50+BN50+BO50</f>
      </c>
      <c r="U53" s="29">
        <f>BP50+BQ50+BR50+BS50</f>
      </c>
      <c r="V53" s="29">
        <f>BT50+BU50+BV50+BW50</f>
      </c>
      <c r="W53" s="29">
        <f>BX50+BY50+BZ50+CA50</f>
      </c>
      <c r="X53" s="29">
        <f>CB50+CC50+CD50+CE50</f>
      </c>
      <c r="Y53" s="29">
        <f>CF50+CG50+CH50+CI50</f>
      </c>
      <c r="Z53" s="29">
        <f>CJ50+CK50+CL50</f>
      </c>
    </row>
    <row r="54" spans="2:26" x14ac:dyDescent="0.25">
      <c r="B54" s="31" t="s">
        <v>332</v>
      </c>
      <c r="C54" s="32" t="s">
        <v>228</v>
      </c>
      <c r="E54" s="29">
        <f>0</f>
      </c>
      <c r="F54" s="29">
        <f>E56</f>
      </c>
      <c r="G54" s="29">
        <f>F56</f>
      </c>
      <c r="H54" s="29">
        <f>G56</f>
      </c>
      <c r="I54" s="29">
        <f>H56</f>
      </c>
      <c r="J54" s="29">
        <f>I56</f>
      </c>
      <c r="K54" s="29">
        <f>J56</f>
      </c>
      <c r="L54" s="29">
        <f>K56</f>
      </c>
      <c r="M54" s="29">
        <f>L56</f>
      </c>
      <c r="N54" s="29">
        <f>M56</f>
      </c>
      <c r="O54" s="29">
        <f>N56</f>
      </c>
      <c r="P54" s="29">
        <f>O56</f>
      </c>
      <c r="Q54" s="29">
        <f>P56</f>
      </c>
      <c r="R54" s="29">
        <f>Q56</f>
      </c>
      <c r="S54" s="29">
        <f>R56</f>
      </c>
      <c r="T54" s="29">
        <f>S56</f>
      </c>
      <c r="U54" s="29">
        <f>T56</f>
      </c>
      <c r="V54" s="29">
        <f>U56</f>
      </c>
      <c r="W54" s="29">
        <f>V56</f>
      </c>
      <c r="X54" s="29">
        <f>W56</f>
      </c>
      <c r="Y54" s="29">
        <f>X56</f>
      </c>
      <c r="Z54" s="29">
        <f>Y56</f>
      </c>
    </row>
    <row r="55" spans="2:26" x14ac:dyDescent="0.25">
      <c r="B55" s="31" t="s">
        <v>333</v>
      </c>
      <c r="C55" s="32" t="s">
        <v>228</v>
      </c>
      <c r="E55" s="29">
        <f>IF(E53&lt;=0,0,MIN(E54,E53*'입력값'!C30/100))</f>
      </c>
      <c r="F55" s="29">
        <f>IF(F53&lt;=0,0,MIN(F54,F53*'입력값'!C30/100))</f>
      </c>
      <c r="G55" s="29">
        <f>IF(G53&lt;=0,0,MIN(G54,G53*'입력값'!C30/100))</f>
      </c>
      <c r="H55" s="29">
        <f>IF(H53&lt;=0,0,MIN(H54,H53*'입력값'!C30/100))</f>
      </c>
      <c r="I55" s="29">
        <f>IF(I53&lt;=0,0,MIN(I54,I53*'입력값'!C30/100))</f>
      </c>
      <c r="J55" s="29">
        <f>IF(J53&lt;=0,0,MIN(J54,J53*'입력값'!C30/100))</f>
      </c>
      <c r="K55" s="29">
        <f>IF(K53&lt;=0,0,MIN(K54,K53*'입력값'!C30/100))</f>
      </c>
      <c r="L55" s="29">
        <f>IF(L53&lt;=0,0,MIN(L54,L53*'입력값'!C30/100))</f>
      </c>
      <c r="M55" s="29">
        <f>IF(M53&lt;=0,0,MIN(M54,M53*'입력값'!C30/100))</f>
      </c>
      <c r="N55" s="29">
        <f>IF(N53&lt;=0,0,MIN(N54,N53*'입력값'!C30/100))</f>
      </c>
      <c r="O55" s="29">
        <f>IF(O53&lt;=0,0,MIN(O54,O53*'입력값'!C30/100))</f>
      </c>
      <c r="P55" s="29">
        <f>IF(P53&lt;=0,0,MIN(P54,P53*'입력값'!C30/100))</f>
      </c>
      <c r="Q55" s="29">
        <f>IF(Q53&lt;=0,0,MIN(Q54,Q53*'입력값'!C30/100))</f>
      </c>
      <c r="R55" s="29">
        <f>IF(R53&lt;=0,0,MIN(R54,R53*'입력값'!C30/100))</f>
      </c>
      <c r="S55" s="29">
        <f>IF(S53&lt;=0,0,MIN(S54,S53*'입력값'!C30/100))</f>
      </c>
      <c r="T55" s="29">
        <f>IF(T53&lt;=0,0,MIN(T54,T53*'입력값'!C30/100))</f>
      </c>
      <c r="U55" s="29">
        <f>IF(U53&lt;=0,0,MIN(U54,U53*'입력값'!C30/100))</f>
      </c>
      <c r="V55" s="29">
        <f>IF(V53&lt;=0,0,MIN(V54,V53*'입력값'!C30/100))</f>
      </c>
      <c r="W55" s="29">
        <f>IF(W53&lt;=0,0,MIN(W54,W53*'입력값'!C30/100))</f>
      </c>
      <c r="X55" s="29">
        <f>IF(X53&lt;=0,0,MIN(X54,X53*'입력값'!C30/100))</f>
      </c>
      <c r="Y55" s="29">
        <f>IF(Y53&lt;=0,0,MIN(Y54,Y53*'입력값'!C30/100))</f>
      </c>
      <c r="Z55" s="29">
        <f>IF(Z53&lt;=0,0,MIN(Z54,Z53*'입력값'!C30/100))</f>
      </c>
    </row>
    <row r="56" spans="2:26" x14ac:dyDescent="0.25">
      <c r="B56" s="31" t="s">
        <v>334</v>
      </c>
      <c r="C56" s="32" t="s">
        <v>228</v>
      </c>
      <c r="E56" s="29">
        <f>IF(E53&lt;=0,E54-E53,E54-E55)</f>
      </c>
      <c r="F56" s="29">
        <f>IF(F53&lt;=0,F54-F53,F54-F55)</f>
      </c>
      <c r="G56" s="29">
        <f>IF(G53&lt;=0,G54-G53,G54-G55)</f>
      </c>
      <c r="H56" s="29">
        <f>IF(H53&lt;=0,H54-H53,H54-H55)</f>
      </c>
      <c r="I56" s="29">
        <f>IF(I53&lt;=0,I54-I53,I54-I55)</f>
      </c>
      <c r="J56" s="29">
        <f>IF(J53&lt;=0,J54-J53,J54-J55)</f>
      </c>
      <c r="K56" s="29">
        <f>IF(K53&lt;=0,K54-K53,K54-K55)</f>
      </c>
      <c r="L56" s="29">
        <f>IF(L53&lt;=0,L54-L53,L54-L55)</f>
      </c>
      <c r="M56" s="29">
        <f>IF(M53&lt;=0,M54-M53,M54-M55)</f>
      </c>
      <c r="N56" s="29">
        <f>IF(N53&lt;=0,N54-N53,N54-N55)</f>
      </c>
      <c r="O56" s="29">
        <f>IF(O53&lt;=0,O54-O53,O54-O55)</f>
      </c>
      <c r="P56" s="29">
        <f>IF(P53&lt;=0,P54-P53,P54-P55)</f>
      </c>
      <c r="Q56" s="29">
        <f>IF(Q53&lt;=0,Q54-Q53,Q54-Q55)</f>
      </c>
      <c r="R56" s="29">
        <f>IF(R53&lt;=0,R54-R53,R54-R55)</f>
      </c>
      <c r="S56" s="29">
        <f>IF(S53&lt;=0,S54-S53,S54-S55)</f>
      </c>
      <c r="T56" s="29">
        <f>IF(T53&lt;=0,T54-T53,T54-T55)</f>
      </c>
      <c r="U56" s="29">
        <f>IF(U53&lt;=0,U54-U53,U54-U55)</f>
      </c>
      <c r="V56" s="29">
        <f>IF(V53&lt;=0,V54-V53,V54-V55)</f>
      </c>
      <c r="W56" s="29">
        <f>IF(W53&lt;=0,W54-W53,W54-W55)</f>
      </c>
      <c r="X56" s="29">
        <f>IF(X53&lt;=0,X54-X53,X54-X55)</f>
      </c>
      <c r="Y56" s="29">
        <f>IF(Y53&lt;=0,Y54-Y53,Y54-Y55)</f>
      </c>
      <c r="Z56" s="29">
        <f>IF(Z53&lt;=0,Z54-Z53,Z54-Z55)</f>
      </c>
    </row>
    <row r="57" spans="2:26" x14ac:dyDescent="0.25">
      <c r="B57" s="31" t="s">
        <v>335</v>
      </c>
      <c r="C57" s="32" t="s">
        <v>228</v>
      </c>
      <c r="E57" s="29">
        <f>MAX(0,E53-E55)</f>
      </c>
      <c r="F57" s="29">
        <f>MAX(0,F53-F55)</f>
      </c>
      <c r="G57" s="29">
        <f>MAX(0,G53-G55)</f>
      </c>
      <c r="H57" s="29">
        <f>MAX(0,H53-H55)</f>
      </c>
      <c r="I57" s="29">
        <f>MAX(0,I53-I55)</f>
      </c>
      <c r="J57" s="29">
        <f>MAX(0,J53-J55)</f>
      </c>
      <c r="K57" s="29">
        <f>MAX(0,K53-K55)</f>
      </c>
      <c r="L57" s="29">
        <f>MAX(0,L53-L55)</f>
      </c>
      <c r="M57" s="29">
        <f>MAX(0,M53-M55)</f>
      </c>
      <c r="N57" s="29">
        <f>MAX(0,N53-N55)</f>
      </c>
      <c r="O57" s="29">
        <f>MAX(0,O53-O55)</f>
      </c>
      <c r="P57" s="29">
        <f>MAX(0,P53-P55)</f>
      </c>
      <c r="Q57" s="29">
        <f>MAX(0,Q53-Q55)</f>
      </c>
      <c r="R57" s="29">
        <f>MAX(0,R53-R55)</f>
      </c>
      <c r="S57" s="29">
        <f>MAX(0,S53-S55)</f>
      </c>
      <c r="T57" s="29">
        <f>MAX(0,T53-T55)</f>
      </c>
      <c r="U57" s="29">
        <f>MAX(0,U53-U55)</f>
      </c>
      <c r="V57" s="29">
        <f>MAX(0,V53-V55)</f>
      </c>
      <c r="W57" s="29">
        <f>MAX(0,W53-W55)</f>
      </c>
      <c r="X57" s="29">
        <f>MAX(0,X53-X55)</f>
      </c>
      <c r="Y57" s="29">
        <f>MAX(0,Y53-Y55)</f>
      </c>
      <c r="Z57" s="29">
        <f>MAX(0,Z53-Z55)</f>
      </c>
    </row>
    <row r="58" spans="2:26" x14ac:dyDescent="0.25">
      <c r="B58" s="31" t="s">
        <v>336</v>
      </c>
      <c r="C58" s="32" t="s">
        <v>228</v>
      </c>
      <c r="E58" s="29">
        <f>IF(E53&lt;=0,0,MIN(MAX(E57,0),200)*0.09+MIN(MAX(E57-200,0),19800)*0.19+MIN(MAX(E57-20000,0),280000)*0.21+MAX(E57-300000,0)*0.24)</f>
      </c>
      <c r="F58" s="29">
        <f>IF(F53&lt;=0,0,MIN(MAX(F57,0),200)*0.09+MIN(MAX(F57-200,0),19800)*0.19+MIN(MAX(F57-20000,0),280000)*0.21+MAX(F57-300000,0)*0.24)</f>
      </c>
      <c r="G58" s="29">
        <f>IF(G53&lt;=0,0,MIN(MAX(G57,0),200)*0.09+MIN(MAX(G57-200,0),19800)*0.19+MIN(MAX(G57-20000,0),280000)*0.21+MAX(G57-300000,0)*0.24)</f>
      </c>
      <c r="H58" s="29">
        <f>IF(H53&lt;=0,0,MIN(MAX(H57,0),200)*0.09+MIN(MAX(H57-200,0),19800)*0.19+MIN(MAX(H57-20000,0),280000)*0.21+MAX(H57-300000,0)*0.24)</f>
      </c>
      <c r="I58" s="29">
        <f>IF(I53&lt;=0,0,MIN(MAX(I57,0),200)*0.09+MIN(MAX(I57-200,0),19800)*0.19+MIN(MAX(I57-20000,0),280000)*0.21+MAX(I57-300000,0)*0.24)</f>
      </c>
      <c r="J58" s="29">
        <f>IF(J53&lt;=0,0,MIN(MAX(J57,0),200)*0.09+MIN(MAX(J57-200,0),19800)*0.19+MIN(MAX(J57-20000,0),280000)*0.21+MAX(J57-300000,0)*0.24)</f>
      </c>
      <c r="K58" s="29">
        <f>IF(K53&lt;=0,0,MIN(MAX(K57,0),200)*0.09+MIN(MAX(K57-200,0),19800)*0.19+MIN(MAX(K57-20000,0),280000)*0.21+MAX(K57-300000,0)*0.24)</f>
      </c>
      <c r="L58" s="29">
        <f>IF(L53&lt;=0,0,MIN(MAX(L57,0),200)*0.09+MIN(MAX(L57-200,0),19800)*0.19+MIN(MAX(L57-20000,0),280000)*0.21+MAX(L57-300000,0)*0.24)</f>
      </c>
      <c r="M58" s="29">
        <f>IF(M53&lt;=0,0,MIN(MAX(M57,0),200)*0.09+MIN(MAX(M57-200,0),19800)*0.19+MIN(MAX(M57-20000,0),280000)*0.21+MAX(M57-300000,0)*0.24)</f>
      </c>
      <c r="N58" s="29">
        <f>IF(N53&lt;=0,0,MIN(MAX(N57,0),200)*0.09+MIN(MAX(N57-200,0),19800)*0.19+MIN(MAX(N57-20000,0),280000)*0.21+MAX(N57-300000,0)*0.24)</f>
      </c>
      <c r="O58" s="29">
        <f>IF(O53&lt;=0,0,MIN(MAX(O57,0),200)*0.09+MIN(MAX(O57-200,0),19800)*0.19+MIN(MAX(O57-20000,0),280000)*0.21+MAX(O57-300000,0)*0.24)</f>
      </c>
      <c r="P58" s="29">
        <f>IF(P53&lt;=0,0,MIN(MAX(P57,0),200)*0.09+MIN(MAX(P57-200,0),19800)*0.19+MIN(MAX(P57-20000,0),280000)*0.21+MAX(P57-300000,0)*0.24)</f>
      </c>
      <c r="Q58" s="29">
        <f>IF(Q53&lt;=0,0,MIN(MAX(Q57,0),200)*0.09+MIN(MAX(Q57-200,0),19800)*0.19+MIN(MAX(Q57-20000,0),280000)*0.21+MAX(Q57-300000,0)*0.24)</f>
      </c>
      <c r="R58" s="29">
        <f>IF(R53&lt;=0,0,MIN(MAX(R57,0),200)*0.09+MIN(MAX(R57-200,0),19800)*0.19+MIN(MAX(R57-20000,0),280000)*0.21+MAX(R57-300000,0)*0.24)</f>
      </c>
      <c r="S58" s="29">
        <f>IF(S53&lt;=0,0,MIN(MAX(S57,0),200)*0.09+MIN(MAX(S57-200,0),19800)*0.19+MIN(MAX(S57-20000,0),280000)*0.21+MAX(S57-300000,0)*0.24)</f>
      </c>
      <c r="T58" s="29">
        <f>IF(T53&lt;=0,0,MIN(MAX(T57,0),200)*0.09+MIN(MAX(T57-200,0),19800)*0.19+MIN(MAX(T57-20000,0),280000)*0.21+MAX(T57-300000,0)*0.24)</f>
      </c>
      <c r="U58" s="29">
        <f>IF(U53&lt;=0,0,MIN(MAX(U57,0),200)*0.09+MIN(MAX(U57-200,0),19800)*0.19+MIN(MAX(U57-20000,0),280000)*0.21+MAX(U57-300000,0)*0.24)</f>
      </c>
      <c r="V58" s="29">
        <f>IF(V53&lt;=0,0,MIN(MAX(V57,0),200)*0.09+MIN(MAX(V57-200,0),19800)*0.19+MIN(MAX(V57-20000,0),280000)*0.21+MAX(V57-300000,0)*0.24)</f>
      </c>
      <c r="W58" s="29">
        <f>IF(W53&lt;=0,0,MIN(MAX(W57,0),200)*0.09+MIN(MAX(W57-200,0),19800)*0.19+MIN(MAX(W57-20000,0),280000)*0.21+MAX(W57-300000,0)*0.24)</f>
      </c>
      <c r="X58" s="29">
        <f>IF(X53&lt;=0,0,MIN(MAX(X57,0),200)*0.09+MIN(MAX(X57-200,0),19800)*0.19+MIN(MAX(X57-20000,0),280000)*0.21+MAX(X57-300000,0)*0.24)</f>
      </c>
      <c r="Y58" s="29">
        <f>IF(Y53&lt;=0,0,MIN(MAX(Y57,0),200)*0.09+MIN(MAX(Y57-200,0),19800)*0.19+MIN(MAX(Y57-20000,0),280000)*0.21+MAX(Y57-300000,0)*0.24)</f>
      </c>
      <c r="Z58" s="29">
        <f>IF(Z53&lt;=0,0,MIN(MAX(Z57,0),200)*0.09+MIN(MAX(Z57-200,0),19800)*0.19+MIN(MAX(Z57-20000,0),280000)*0.21+MAX(Z57-300000,0)*0.24)</f>
      </c>
    </row>
    <row r="59" spans="2:26" x14ac:dyDescent="0.25">
      <c r="B59" s="31" t="s">
        <v>337</v>
      </c>
      <c r="C59" s="32" t="s">
        <v>228</v>
      </c>
      <c r="E59" s="29">
        <f>E57*'입력값'!C31/100</f>
      </c>
      <c r="F59" s="29">
        <f>F57*'입력값'!C31/100</f>
      </c>
      <c r="G59" s="29">
        <f>G57*'입력값'!C31/100</f>
      </c>
      <c r="H59" s="29">
        <f>H57*'입력값'!C31/100</f>
      </c>
      <c r="I59" s="29">
        <f>I57*'입력값'!C31/100</f>
      </c>
      <c r="J59" s="29">
        <f>J57*'입력값'!C31/100</f>
      </c>
      <c r="K59" s="29">
        <f>K57*'입력값'!C31/100</f>
      </c>
      <c r="L59" s="29">
        <f>L57*'입력값'!C31/100</f>
      </c>
      <c r="M59" s="29">
        <f>M57*'입력값'!C31/100</f>
      </c>
      <c r="N59" s="29">
        <f>N57*'입력값'!C31/100</f>
      </c>
      <c r="O59" s="29">
        <f>O57*'입력값'!C31/100</f>
      </c>
      <c r="P59" s="29">
        <f>P57*'입력값'!C31/100</f>
      </c>
      <c r="Q59" s="29">
        <f>Q57*'입력값'!C31/100</f>
      </c>
      <c r="R59" s="29">
        <f>R57*'입력값'!C31/100</f>
      </c>
      <c r="S59" s="29">
        <f>S57*'입력값'!C31/100</f>
      </c>
      <c r="T59" s="29">
        <f>T57*'입력값'!C31/100</f>
      </c>
      <c r="U59" s="29">
        <f>U57*'입력값'!C31/100</f>
      </c>
      <c r="V59" s="29">
        <f>V57*'입력값'!C31/100</f>
      </c>
      <c r="W59" s="29">
        <f>W57*'입력값'!C31/100</f>
      </c>
      <c r="X59" s="29">
        <f>X57*'입력값'!C31/100</f>
      </c>
      <c r="Y59" s="29">
        <f>Y57*'입력값'!C31/100</f>
      </c>
      <c r="Z59" s="29">
        <f>Z57*'입력값'!C31/100</f>
      </c>
    </row>
    <row r="60" spans="2:26" x14ac:dyDescent="0.25">
      <c r="B60" s="31" t="s">
        <v>338</v>
      </c>
      <c r="C60" s="32" t="s">
        <v>228</v>
      </c>
      <c r="E60" s="29">
        <f>0</f>
      </c>
      <c r="F60" s="29">
        <f>E65</f>
      </c>
      <c r="G60" s="29">
        <f>F65</f>
      </c>
      <c r="H60" s="29">
        <f>G65</f>
      </c>
      <c r="I60" s="29">
        <f>H65</f>
      </c>
      <c r="J60" s="29">
        <f>I65</f>
      </c>
      <c r="K60" s="29">
        <f>J65</f>
      </c>
      <c r="L60" s="29">
        <f>K65</f>
      </c>
      <c r="M60" s="29">
        <f>L65</f>
      </c>
      <c r="N60" s="29">
        <f>M65</f>
      </c>
      <c r="O60" s="29">
        <f>N65</f>
      </c>
      <c r="P60" s="29">
        <f>O65</f>
      </c>
      <c r="Q60" s="29">
        <f>P65</f>
      </c>
      <c r="R60" s="29">
        <f>Q65</f>
      </c>
      <c r="S60" s="29">
        <f>R65</f>
      </c>
      <c r="T60" s="29">
        <f>S65</f>
      </c>
      <c r="U60" s="29">
        <f>T65</f>
      </c>
      <c r="V60" s="29">
        <f>U65</f>
      </c>
      <c r="W60" s="29">
        <f>V65</f>
      </c>
      <c r="X60" s="29">
        <f>W65</f>
      </c>
      <c r="Y60" s="29">
        <f>X65</f>
      </c>
      <c r="Z60" s="29">
        <f>Y65</f>
      </c>
    </row>
    <row r="61" spans="2:26" x14ac:dyDescent="0.25">
      <c r="B61" s="31" t="s">
        <v>339</v>
      </c>
      <c r="C61" s="32" t="s">
        <v>228</v>
      </c>
      <c r="E61" s="29">
        <f>('입력값'!C45)*'입력값'!C32/100</f>
      </c>
      <c r="F61" s="29">
        <f>('입력값'!C46)*'입력값'!C32/100</f>
      </c>
      <c r="G61" s="29">
        <f>(0)*'입력값'!C32/100</f>
      </c>
      <c r="H61" s="29">
        <f>(0)*'입력값'!C32/100</f>
      </c>
      <c r="I61" s="29">
        <f>(0)*'입력값'!C32/100</f>
      </c>
      <c r="J61" s="29">
        <f>(0)*'입력값'!C32/100</f>
      </c>
      <c r="K61" s="29">
        <f>(0)*'입력값'!C32/100</f>
      </c>
      <c r="L61" s="29">
        <f>(0)*'입력값'!C32/100</f>
      </c>
      <c r="M61" s="29">
        <f>(0)*'입력값'!C32/100</f>
      </c>
      <c r="N61" s="29">
        <f>(0)*'입력값'!C32/100</f>
      </c>
      <c r="O61" s="29">
        <f>(0)*'입력값'!C32/100</f>
      </c>
      <c r="P61" s="29">
        <f>(0)*'입력값'!C32/100</f>
      </c>
      <c r="Q61" s="29">
        <f>(0)*'입력값'!C32/100</f>
      </c>
      <c r="R61" s="29">
        <f>(0)*'입력값'!C32/100</f>
      </c>
      <c r="S61" s="29">
        <f>(0)*'입력값'!C32/100</f>
      </c>
      <c r="T61" s="29">
        <f>(0)*'입력값'!C32/100</f>
      </c>
      <c r="U61" s="29">
        <f>(0)*'입력값'!C32/100</f>
      </c>
      <c r="V61" s="29">
        <f>(0)*'입력값'!C32/100</f>
      </c>
      <c r="W61" s="29">
        <f>(0)*'입력값'!C32/100</f>
      </c>
      <c r="X61" s="29">
        <f>(0)*'입력값'!C32/100</f>
      </c>
      <c r="Y61" s="29">
        <f>(0)*'입력값'!C32/100</f>
      </c>
      <c r="Z61" s="29">
        <f>(0)*'입력값'!C32/100</f>
      </c>
    </row>
    <row r="62" spans="2:26" x14ac:dyDescent="0.25">
      <c r="B62" s="31" t="s">
        <v>340</v>
      </c>
      <c r="C62" s="32" t="s">
        <v>228</v>
      </c>
      <c r="E62" s="29">
        <f>MAX(0,E58-(E60+E61))</f>
      </c>
      <c r="F62" s="29">
        <f>MAX(0,F58-(F60+F61))</f>
      </c>
      <c r="G62" s="29">
        <f>MAX(0,G58-(G60+G61))</f>
      </c>
      <c r="H62" s="29">
        <f>MAX(0,H58-(H60+H61))</f>
      </c>
      <c r="I62" s="29">
        <f>MAX(0,I58-(I60+I61))</f>
      </c>
      <c r="J62" s="29">
        <f>MAX(0,J58-(J60+J61))</f>
      </c>
      <c r="K62" s="29">
        <f>MAX(0,K58-(K60+K61))</f>
      </c>
      <c r="L62" s="29">
        <f>MAX(0,L58-(L60+L61))</f>
      </c>
      <c r="M62" s="29">
        <f>MAX(0,M58-(M60+M61))</f>
      </c>
      <c r="N62" s="29">
        <f>MAX(0,N58-(N60+N61))</f>
      </c>
      <c r="O62" s="29">
        <f>MAX(0,O58-(O60+O61))</f>
      </c>
      <c r="P62" s="29">
        <f>MAX(0,P58-(P60+P61))</f>
      </c>
      <c r="Q62" s="29">
        <f>MAX(0,Q58-(Q60+Q61))</f>
      </c>
      <c r="R62" s="29">
        <f>MAX(0,R58-(R60+R61))</f>
      </c>
      <c r="S62" s="29">
        <f>MAX(0,S58-(S60+S61))</f>
      </c>
      <c r="T62" s="29">
        <f>MAX(0,T58-(T60+T61))</f>
      </c>
      <c r="U62" s="29">
        <f>MAX(0,U58-(U60+U61))</f>
      </c>
      <c r="V62" s="29">
        <f>MAX(0,V58-(V60+V61))</f>
      </c>
      <c r="W62" s="29">
        <f>MAX(0,W58-(W60+W61))</f>
      </c>
      <c r="X62" s="29">
        <f>MAX(0,X58-(X60+X61))</f>
      </c>
      <c r="Y62" s="29">
        <f>MAX(0,Y58-(Y60+Y61))</f>
      </c>
      <c r="Z62" s="29">
        <f>MAX(0,Z58-(Z60+Z61))</f>
      </c>
    </row>
    <row r="63" spans="2:26" x14ac:dyDescent="0.25">
      <c r="B63" s="31" t="s">
        <v>341</v>
      </c>
      <c r="C63" s="32" t="s">
        <v>228</v>
      </c>
      <c r="E63" s="29">
        <f>IF(E53&lt;=0,0,MAX(E59,E62))</f>
      </c>
      <c r="F63" s="29">
        <f>IF(F53&lt;=0,0,MAX(F59,F62))</f>
      </c>
      <c r="G63" s="29">
        <f>IF(G53&lt;=0,0,MAX(G59,G62))</f>
      </c>
      <c r="H63" s="29">
        <f>IF(H53&lt;=0,0,MAX(H59,H62))</f>
      </c>
      <c r="I63" s="29">
        <f>IF(I53&lt;=0,0,MAX(I59,I62))</f>
      </c>
      <c r="J63" s="29">
        <f>IF(J53&lt;=0,0,MAX(J59,J62))</f>
      </c>
      <c r="K63" s="29">
        <f>IF(K53&lt;=0,0,MAX(K59,K62))</f>
      </c>
      <c r="L63" s="29">
        <f>IF(L53&lt;=0,0,MAX(L59,L62))</f>
      </c>
      <c r="M63" s="29">
        <f>IF(M53&lt;=0,0,MAX(M59,M62))</f>
      </c>
      <c r="N63" s="29">
        <f>IF(N53&lt;=0,0,MAX(N59,N62))</f>
      </c>
      <c r="O63" s="29">
        <f>IF(O53&lt;=0,0,MAX(O59,O62))</f>
      </c>
      <c r="P63" s="29">
        <f>IF(P53&lt;=0,0,MAX(P59,P62))</f>
      </c>
      <c r="Q63" s="29">
        <f>IF(Q53&lt;=0,0,MAX(Q59,Q62))</f>
      </c>
      <c r="R63" s="29">
        <f>IF(R53&lt;=0,0,MAX(R59,R62))</f>
      </c>
      <c r="S63" s="29">
        <f>IF(S53&lt;=0,0,MAX(S59,S62))</f>
      </c>
      <c r="T63" s="29">
        <f>IF(T53&lt;=0,0,MAX(T59,T62))</f>
      </c>
      <c r="U63" s="29">
        <f>IF(U53&lt;=0,0,MAX(U59,U62))</f>
      </c>
      <c r="V63" s="29">
        <f>IF(V53&lt;=0,0,MAX(V59,V62))</f>
      </c>
      <c r="W63" s="29">
        <f>IF(W53&lt;=0,0,MAX(W59,W62))</f>
      </c>
      <c r="X63" s="29">
        <f>IF(X53&lt;=0,0,MAX(X59,X62))</f>
      </c>
      <c r="Y63" s="29">
        <f>IF(Y53&lt;=0,0,MAX(Y59,Y62))</f>
      </c>
      <c r="Z63" s="29">
        <f>IF(Z53&lt;=0,0,MAX(Z59,Z62))</f>
      </c>
    </row>
    <row r="64" spans="2:26" x14ac:dyDescent="0.25">
      <c r="B64" s="31" t="s">
        <v>342</v>
      </c>
      <c r="C64" s="32" t="s">
        <v>228</v>
      </c>
      <c r="E64" s="29">
        <f>E58-E63</f>
      </c>
      <c r="F64" s="29">
        <f>F58-F63</f>
      </c>
      <c r="G64" s="29">
        <f>G58-G63</f>
      </c>
      <c r="H64" s="29">
        <f>H58-H63</f>
      </c>
      <c r="I64" s="29">
        <f>I58-I63</f>
      </c>
      <c r="J64" s="29">
        <f>J58-J63</f>
      </c>
      <c r="K64" s="29">
        <f>K58-K63</f>
      </c>
      <c r="L64" s="29">
        <f>L58-L63</f>
      </c>
      <c r="M64" s="29">
        <f>M58-M63</f>
      </c>
      <c r="N64" s="29">
        <f>N58-N63</f>
      </c>
      <c r="O64" s="29">
        <f>O58-O63</f>
      </c>
      <c r="P64" s="29">
        <f>P58-P63</f>
      </c>
      <c r="Q64" s="29">
        <f>Q58-Q63</f>
      </c>
      <c r="R64" s="29">
        <f>R58-R63</f>
      </c>
      <c r="S64" s="29">
        <f>S58-S63</f>
      </c>
      <c r="T64" s="29">
        <f>T58-T63</f>
      </c>
      <c r="U64" s="29">
        <f>U58-U63</f>
      </c>
      <c r="V64" s="29">
        <f>V58-V63</f>
      </c>
      <c r="W64" s="29">
        <f>W58-W63</f>
      </c>
      <c r="X64" s="29">
        <f>X58-X63</f>
      </c>
      <c r="Y64" s="29">
        <f>Y58-Y63</f>
      </c>
      <c r="Z64" s="29">
        <f>Z58-Z63</f>
      </c>
    </row>
    <row r="65" spans="2:26" x14ac:dyDescent="0.25">
      <c r="B65" s="31" t="s">
        <v>343</v>
      </c>
      <c r="C65" s="32" t="s">
        <v>228</v>
      </c>
      <c r="E65" s="29">
        <f>E60+E61-E64</f>
      </c>
      <c r="F65" s="29">
        <f>F60+F61-F64</f>
      </c>
      <c r="G65" s="29">
        <f>G60+G61-G64</f>
      </c>
      <c r="H65" s="29">
        <f>H60+H61-H64</f>
      </c>
      <c r="I65" s="29">
        <f>I60+I61-I64</f>
      </c>
      <c r="J65" s="29">
        <f>J60+J61-J64</f>
      </c>
      <c r="K65" s="29">
        <f>K60+K61-K64</f>
      </c>
      <c r="L65" s="29">
        <f>L60+L61-L64</f>
      </c>
      <c r="M65" s="29">
        <f>M60+M61-M64</f>
      </c>
      <c r="N65" s="29">
        <f>N60+N61-N64</f>
      </c>
      <c r="O65" s="29">
        <f>O60+O61-O64</f>
      </c>
      <c r="P65" s="29">
        <f>P60+P61-P64</f>
      </c>
      <c r="Q65" s="29">
        <f>Q60+Q61-Q64</f>
      </c>
      <c r="R65" s="29">
        <f>R60+R61-R64</f>
      </c>
      <c r="S65" s="29">
        <f>S60+S61-S64</f>
      </c>
      <c r="T65" s="29">
        <f>T60+T61-T64</f>
      </c>
      <c r="U65" s="29">
        <f>U60+U61-U64</f>
      </c>
      <c r="V65" s="29">
        <f>V60+V61-V64</f>
      </c>
      <c r="W65" s="29">
        <f>W60+W61-W64</f>
      </c>
      <c r="X65" s="29">
        <f>X60+X61-X64</f>
      </c>
      <c r="Y65" s="29">
        <f>Y60+Y61-Y64</f>
      </c>
      <c r="Z65" s="29">
        <f>Z60+Z61-Z64</f>
      </c>
    </row>
    <row r="66" spans="2:26" x14ac:dyDescent="0.25">
      <c r="B66" s="42" t="s">
        <v>344</v>
      </c>
      <c r="C66" s="32" t="s">
        <v>228</v>
      </c>
      <c r="E66" s="14">
        <f>E63*(1+'입력값'!C33/100)+E64*'입력값'!C34/100</f>
      </c>
      <c r="F66" s="14">
        <f>F63*(1+'입력값'!C33/100)+F64*'입력값'!C34/100</f>
      </c>
      <c r="G66" s="14">
        <f>G63*(1+'입력값'!C33/100)+G64*'입력값'!C34/100</f>
      </c>
      <c r="H66" s="14">
        <f>H63*(1+'입력값'!C33/100)+H64*'입력값'!C34/100</f>
      </c>
      <c r="I66" s="14">
        <f>I63*(1+'입력값'!C33/100)+I64*'입력값'!C34/100</f>
      </c>
      <c r="J66" s="14">
        <f>J63*(1+'입력값'!C33/100)+J64*'입력값'!C34/100</f>
      </c>
      <c r="K66" s="14">
        <f>K63*(1+'입력값'!C33/100)+K64*'입력값'!C34/100</f>
      </c>
      <c r="L66" s="14">
        <f>L63*(1+'입력값'!C33/100)+L64*'입력값'!C34/100</f>
      </c>
      <c r="M66" s="14">
        <f>M63*(1+'입력값'!C33/100)+M64*'입력값'!C34/100</f>
      </c>
      <c r="N66" s="14">
        <f>N63*(1+'입력값'!C33/100)+N64*'입력값'!C34/100</f>
      </c>
      <c r="O66" s="14">
        <f>O63*(1+'입력값'!C33/100)+O64*'입력값'!C34/100</f>
      </c>
      <c r="P66" s="14">
        <f>P63*(1+'입력값'!C33/100)+P64*'입력값'!C34/100</f>
      </c>
      <c r="Q66" s="14">
        <f>Q63*(1+'입력값'!C33/100)+Q64*'입력값'!C34/100</f>
      </c>
      <c r="R66" s="14">
        <f>R63*(1+'입력값'!C33/100)+R64*'입력값'!C34/100</f>
      </c>
      <c r="S66" s="14">
        <f>S63*(1+'입력값'!C33/100)+S64*'입력값'!C34/100</f>
      </c>
      <c r="T66" s="14">
        <f>T63*(1+'입력값'!C33/100)+T64*'입력값'!C34/100</f>
      </c>
      <c r="U66" s="14">
        <f>U63*(1+'입력값'!C33/100)+U64*'입력값'!C34/100</f>
      </c>
      <c r="V66" s="14">
        <f>V63*(1+'입력값'!C33/100)+V64*'입력값'!C34/100</f>
      </c>
      <c r="W66" s="14">
        <f>W63*(1+'입력값'!C33/100)+W64*'입력값'!C34/100</f>
      </c>
      <c r="X66" s="14">
        <f>X63*(1+'입력값'!C33/100)+X64*'입력값'!C34/100</f>
      </c>
      <c r="Y66" s="14">
        <f>Y63*(1+'입력값'!C33/100)+Y64*'입력값'!C34/100</f>
      </c>
      <c r="Z66" s="14">
        <f>Z63*(1+'입력값'!C33/100)+Z64*'입력값'!C34/100</f>
      </c>
    </row>
    <row r="67" spans="2:26" x14ac:dyDescent="0.25">
      <c r="B67" s="31" t="s">
        <v>345</v>
      </c>
      <c r="C67" s="32" t="s">
        <v>228</v>
      </c>
      <c r="E67" s="29">
        <f>MAX(0,E43)+MAX(0,F43)+MAX(0,G43)</f>
      </c>
      <c r="F67" s="29">
        <f>MAX(0,H43)+MAX(0,I43)+MAX(0,J43)+MAX(0,K43)</f>
      </c>
      <c r="G67" s="29">
        <f>MAX(0,L43)+MAX(0,M43)+MAX(0,N43)+MAX(0,O43)</f>
      </c>
      <c r="H67" s="29">
        <f>MAX(0,P43)+MAX(0,Q43)+MAX(0,R43)+MAX(0,S43)</f>
      </c>
      <c r="I67" s="29">
        <f>MAX(0,T43)+MAX(0,U43)+MAX(0,V43)+MAX(0,W43)</f>
      </c>
      <c r="J67" s="29">
        <f>MAX(0,X43)+MAX(0,Y43)+MAX(0,Z43)+MAX(0,AA43)</f>
      </c>
      <c r="K67" s="29">
        <f>MAX(0,AB43)+MAX(0,AC43)+MAX(0,AD43)+MAX(0,AE43)</f>
      </c>
      <c r="L67" s="29">
        <f>MAX(0,AF43)+MAX(0,AG43)+MAX(0,AH43)+MAX(0,AI43)</f>
      </c>
      <c r="M67" s="29">
        <f>MAX(0,AJ43)+MAX(0,AK43)+MAX(0,AL43)+MAX(0,AM43)</f>
      </c>
      <c r="N67" s="29">
        <f>MAX(0,AN43)+MAX(0,AO43)+MAX(0,AP43)+MAX(0,AQ43)</f>
      </c>
      <c r="O67" s="29">
        <f>MAX(0,AR43)+MAX(0,AS43)+MAX(0,AT43)+MAX(0,AU43)</f>
      </c>
      <c r="P67" s="29">
        <f>MAX(0,AV43)+MAX(0,AW43)+MAX(0,AX43)+MAX(0,AY43)</f>
      </c>
      <c r="Q67" s="29">
        <f>MAX(0,AZ43)+MAX(0,BA43)+MAX(0,BB43)+MAX(0,BC43)</f>
      </c>
      <c r="R67" s="29">
        <f>MAX(0,BD43)+MAX(0,BE43)+MAX(0,BF43)+MAX(0,BG43)</f>
      </c>
      <c r="S67" s="29">
        <f>MAX(0,BH43)+MAX(0,BI43)+MAX(0,BJ43)+MAX(0,BK43)</f>
      </c>
      <c r="T67" s="29">
        <f>MAX(0,BL43)+MAX(0,BM43)+MAX(0,BN43)+MAX(0,BO43)</f>
      </c>
      <c r="U67" s="29">
        <f>MAX(0,BP43)+MAX(0,BQ43)+MAX(0,BR43)+MAX(0,BS43)</f>
      </c>
      <c r="V67" s="29">
        <f>MAX(0,BT43)+MAX(0,BU43)+MAX(0,BV43)+MAX(0,BW43)</f>
      </c>
      <c r="W67" s="29">
        <f>MAX(0,BX43)+MAX(0,BY43)+MAX(0,BZ43)+MAX(0,CA43)</f>
      </c>
      <c r="X67" s="29">
        <f>MAX(0,CB43)+MAX(0,CC43)+MAX(0,CD43)+MAX(0,CE43)</f>
      </c>
      <c r="Y67" s="29">
        <f>MAX(0,CF43)+MAX(0,CG43)+MAX(0,CH43)+MAX(0,CI43)</f>
      </c>
      <c r="Z67" s="29">
        <f>MAX(0,CJ43)+MAX(0,CK43)+MAX(0,CL43)</f>
      </c>
    </row>
    <row r="69" spans="2:2" x14ac:dyDescent="0.25">
      <c r="B69" s="36" t="s">
        <v>346</v>
      </c>
    </row>
    <row r="70" spans="2:2" x14ac:dyDescent="0.25">
      <c r="B70" s="36" t="s">
        <v>347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68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348</v>
      </c>
    </row>
    <row r="4" spans="2:91" x14ac:dyDescent="0.25">
      <c r="B4" s="9" t="s">
        <v>349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102</v>
      </c>
      <c r="C6" s="26" t="s">
        <v>103</v>
      </c>
      <c r="D6" s="26" t="s">
        <v>104</v>
      </c>
      <c r="E6" s="30" t="s">
        <v>105</v>
      </c>
      <c r="F6" s="30" t="s">
        <v>106</v>
      </c>
      <c r="G6" s="30" t="s">
        <v>107</v>
      </c>
      <c r="H6" s="30" t="s">
        <v>108</v>
      </c>
      <c r="I6" s="30" t="s">
        <v>109</v>
      </c>
      <c r="J6" s="30" t="s">
        <v>110</v>
      </c>
      <c r="K6" s="30" t="s">
        <v>111</v>
      </c>
      <c r="L6" s="30" t="s">
        <v>112</v>
      </c>
      <c r="M6" s="30" t="s">
        <v>113</v>
      </c>
      <c r="N6" s="30" t="s">
        <v>114</v>
      </c>
      <c r="O6" s="30" t="s">
        <v>115</v>
      </c>
      <c r="P6" s="30" t="s">
        <v>116</v>
      </c>
      <c r="Q6" s="30" t="s">
        <v>117</v>
      </c>
      <c r="R6" s="30" t="s">
        <v>118</v>
      </c>
      <c r="S6" s="30" t="s">
        <v>119</v>
      </c>
      <c r="T6" s="30" t="s">
        <v>120</v>
      </c>
      <c r="U6" s="30" t="s">
        <v>121</v>
      </c>
      <c r="V6" s="30" t="s">
        <v>122</v>
      </c>
      <c r="W6" s="30" t="s">
        <v>123</v>
      </c>
      <c r="X6" s="30" t="s">
        <v>124</v>
      </c>
      <c r="Y6" s="30" t="s">
        <v>125</v>
      </c>
      <c r="Z6" s="30" t="s">
        <v>126</v>
      </c>
      <c r="AA6" s="30" t="s">
        <v>127</v>
      </c>
      <c r="AB6" s="30" t="s">
        <v>128</v>
      </c>
      <c r="AC6" s="30" t="s">
        <v>129</v>
      </c>
      <c r="AD6" s="30" t="s">
        <v>130</v>
      </c>
      <c r="AE6" s="30" t="s">
        <v>131</v>
      </c>
      <c r="AF6" s="30" t="s">
        <v>132</v>
      </c>
      <c r="AG6" s="30" t="s">
        <v>133</v>
      </c>
      <c r="AH6" s="30" t="s">
        <v>134</v>
      </c>
      <c r="AI6" s="30" t="s">
        <v>135</v>
      </c>
      <c r="AJ6" s="30" t="s">
        <v>136</v>
      </c>
      <c r="AK6" s="30" t="s">
        <v>137</v>
      </c>
      <c r="AL6" s="30" t="s">
        <v>138</v>
      </c>
      <c r="AM6" s="30" t="s">
        <v>139</v>
      </c>
      <c r="AN6" s="30" t="s">
        <v>140</v>
      </c>
      <c r="AO6" s="30" t="s">
        <v>141</v>
      </c>
      <c r="AP6" s="30" t="s">
        <v>142</v>
      </c>
      <c r="AQ6" s="30" t="s">
        <v>143</v>
      </c>
      <c r="AR6" s="30" t="s">
        <v>144</v>
      </c>
      <c r="AS6" s="30" t="s">
        <v>145</v>
      </c>
      <c r="AT6" s="30" t="s">
        <v>146</v>
      </c>
      <c r="AU6" s="30" t="s">
        <v>147</v>
      </c>
      <c r="AV6" s="30" t="s">
        <v>148</v>
      </c>
      <c r="AW6" s="30" t="s">
        <v>149</v>
      </c>
      <c r="AX6" s="30" t="s">
        <v>150</v>
      </c>
      <c r="AY6" s="30" t="s">
        <v>151</v>
      </c>
      <c r="AZ6" s="30" t="s">
        <v>152</v>
      </c>
      <c r="BA6" s="30" t="s">
        <v>153</v>
      </c>
      <c r="BB6" s="30" t="s">
        <v>154</v>
      </c>
      <c r="BC6" s="30" t="s">
        <v>155</v>
      </c>
      <c r="BD6" s="30" t="s">
        <v>156</v>
      </c>
      <c r="BE6" s="30" t="s">
        <v>157</v>
      </c>
      <c r="BF6" s="30" t="s">
        <v>158</v>
      </c>
      <c r="BG6" s="30" t="s">
        <v>159</v>
      </c>
      <c r="BH6" s="30" t="s">
        <v>160</v>
      </c>
      <c r="BI6" s="30" t="s">
        <v>161</v>
      </c>
      <c r="BJ6" s="30" t="s">
        <v>162</v>
      </c>
      <c r="BK6" s="30" t="s">
        <v>163</v>
      </c>
      <c r="BL6" s="30" t="s">
        <v>164</v>
      </c>
      <c r="BM6" s="30" t="s">
        <v>165</v>
      </c>
      <c r="BN6" s="30" t="s">
        <v>166</v>
      </c>
      <c r="BO6" s="30" t="s">
        <v>167</v>
      </c>
      <c r="BP6" s="30" t="s">
        <v>168</v>
      </c>
      <c r="BQ6" s="30" t="s">
        <v>169</v>
      </c>
      <c r="BR6" s="30" t="s">
        <v>170</v>
      </c>
      <c r="BS6" s="30" t="s">
        <v>171</v>
      </c>
      <c r="BT6" s="30" t="s">
        <v>172</v>
      </c>
      <c r="BU6" s="30" t="s">
        <v>173</v>
      </c>
      <c r="BV6" s="30" t="s">
        <v>174</v>
      </c>
      <c r="BW6" s="30" t="s">
        <v>175</v>
      </c>
      <c r="BX6" s="30" t="s">
        <v>176</v>
      </c>
      <c r="BY6" s="30" t="s">
        <v>177</v>
      </c>
      <c r="BZ6" s="30" t="s">
        <v>178</v>
      </c>
      <c r="CA6" s="30" t="s">
        <v>179</v>
      </c>
      <c r="CB6" s="30" t="s">
        <v>180</v>
      </c>
      <c r="CC6" s="30" t="s">
        <v>181</v>
      </c>
      <c r="CD6" s="30" t="s">
        <v>182</v>
      </c>
      <c r="CE6" s="30" t="s">
        <v>183</v>
      </c>
      <c r="CF6" s="30" t="s">
        <v>184</v>
      </c>
      <c r="CG6" s="30" t="s">
        <v>185</v>
      </c>
      <c r="CH6" s="30" t="s">
        <v>186</v>
      </c>
      <c r="CI6" s="30" t="s">
        <v>187</v>
      </c>
      <c r="CJ6" s="30" t="s">
        <v>188</v>
      </c>
      <c r="CK6" s="30" t="s">
        <v>189</v>
      </c>
      <c r="CL6" s="30" t="s">
        <v>190</v>
      </c>
    </row>
    <row r="9" spans="2:91" x14ac:dyDescent="0.25">
      <c r="B9" s="43" t="s">
        <v>350</v>
      </c>
      <c r="C9" s="46" t="s">
        <v>228</v>
      </c>
      <c r="D9" s="41">
        <f>SUM(E9:CL9)</f>
      </c>
      <c r="E9" s="41">
        <f>'Revenue'!E12-'Opex'!E22+'IS(Q)'!E44+'IS(Q)'!E31</f>
      </c>
      <c r="F9" s="41">
        <f>'Revenue'!F12-'Opex'!F22+'IS(Q)'!F44+'IS(Q)'!F31</f>
      </c>
      <c r="G9" s="41">
        <f>'Revenue'!G12-'Opex'!G22+'IS(Q)'!G44+'IS(Q)'!G31</f>
      </c>
      <c r="H9" s="41">
        <f>'Revenue'!H12-'Opex'!H22+'IS(Q)'!H44+'IS(Q)'!H31</f>
      </c>
      <c r="I9" s="41">
        <f>'Revenue'!I12-'Opex'!I22+'IS(Q)'!I44+'IS(Q)'!I31</f>
      </c>
      <c r="J9" s="41">
        <f>'Revenue'!J12-'Opex'!J22+'IS(Q)'!J44+'IS(Q)'!J31</f>
      </c>
      <c r="K9" s="41">
        <f>'Revenue'!K12-'Opex'!K22+'IS(Q)'!K44+'IS(Q)'!K31+'입력값'!K124</f>
      </c>
      <c r="L9" s="41">
        <f>'Revenue'!L12-'Opex'!L22+'IS(Q)'!L44+'IS(Q)'!L31+'입력값'!L124</f>
      </c>
      <c r="M9" s="41">
        <f>'Revenue'!M12-'Opex'!M22+'IS(Q)'!M44+'IS(Q)'!M31+'입력값'!M124</f>
      </c>
      <c r="N9" s="41">
        <f>'Revenue'!N12-'Opex'!N22+'IS(Q)'!N44+'IS(Q)'!N31+'입력값'!N124</f>
      </c>
      <c r="O9" s="41">
        <f>'Revenue'!O12-'Opex'!O22+'IS(Q)'!O44+'IS(Q)'!O31+'입력값'!O124</f>
      </c>
      <c r="P9" s="41">
        <f>'Revenue'!P12-'Opex'!P22+'IS(Q)'!P44+'IS(Q)'!P31+'입력값'!P124</f>
      </c>
      <c r="Q9" s="41">
        <f>'Revenue'!Q12-'Opex'!Q22+'IS(Q)'!Q44+'IS(Q)'!Q31+'입력값'!Q124</f>
      </c>
      <c r="R9" s="41">
        <f>'Revenue'!R12-'Opex'!R22+'IS(Q)'!R44+'IS(Q)'!R31+'입력값'!R124</f>
      </c>
      <c r="S9" s="41">
        <f>'Revenue'!S12-'Opex'!S22+'IS(Q)'!S44+'IS(Q)'!S31+'입력값'!S124</f>
      </c>
      <c r="T9" s="41">
        <f>'Revenue'!T12-'Opex'!T22+'IS(Q)'!T44+'IS(Q)'!T31+'입력값'!T124</f>
      </c>
      <c r="U9" s="41">
        <f>'Revenue'!U12-'Opex'!U22+'IS(Q)'!U44+'IS(Q)'!U31+'입력값'!U124</f>
      </c>
      <c r="V9" s="41">
        <f>'Revenue'!V12-'Opex'!V22+'IS(Q)'!V44+'IS(Q)'!V31+'입력값'!V124</f>
      </c>
      <c r="W9" s="41">
        <f>'Revenue'!W12-'Opex'!W22+'IS(Q)'!W44+'IS(Q)'!W31+'입력값'!W124</f>
      </c>
      <c r="X9" s="41">
        <f>'Revenue'!X12-'Opex'!X22+'IS(Q)'!X44+'IS(Q)'!X31+'입력값'!X124</f>
      </c>
      <c r="Y9" s="41">
        <f>'Revenue'!Y12-'Opex'!Y22+'IS(Q)'!Y44+'IS(Q)'!Y31+'입력값'!Y124</f>
      </c>
      <c r="Z9" s="41">
        <f>'Revenue'!Z12-'Opex'!Z22+'IS(Q)'!Z44+'IS(Q)'!Z31+'입력값'!Z124</f>
      </c>
      <c r="AA9" s="41">
        <f>'Revenue'!AA12-'Opex'!AA22+'IS(Q)'!AA44+'IS(Q)'!AA31+'입력값'!AA124</f>
      </c>
      <c r="AB9" s="41">
        <f>'Revenue'!AB12-'Opex'!AB22+'IS(Q)'!AB44+'IS(Q)'!AB31+'입력값'!AB124</f>
      </c>
      <c r="AC9" s="41">
        <f>'Revenue'!AC12-'Opex'!AC22+'IS(Q)'!AC44+'IS(Q)'!AC31+'입력값'!AC124</f>
      </c>
      <c r="AD9" s="41">
        <f>'Revenue'!AD12-'Opex'!AD22+'IS(Q)'!AD44+'IS(Q)'!AD31+'입력값'!AD124</f>
      </c>
      <c r="AE9" s="41">
        <f>'Revenue'!AE12-'Opex'!AE22+'IS(Q)'!AE44+'IS(Q)'!AE31+'입력값'!AE124</f>
      </c>
      <c r="AF9" s="41">
        <f>'Revenue'!AF12-'Opex'!AF22+'IS(Q)'!AF44+'IS(Q)'!AF31+'입력값'!AF124</f>
      </c>
      <c r="AG9" s="41">
        <f>'Revenue'!AG12-'Opex'!AG22+'IS(Q)'!AG44+'IS(Q)'!AG31+'입력값'!AG124</f>
      </c>
      <c r="AH9" s="41">
        <f>'Revenue'!AH12-'Opex'!AH22+'IS(Q)'!AH44+'IS(Q)'!AH31+'입력값'!AH124</f>
      </c>
      <c r="AI9" s="41">
        <f>'Revenue'!AI12-'Opex'!AI22+'IS(Q)'!AI44+'IS(Q)'!AI31+'입력값'!AI124</f>
      </c>
      <c r="AJ9" s="41">
        <f>'Revenue'!AJ12-'Opex'!AJ22+'IS(Q)'!AJ44+'IS(Q)'!AJ31+'입력값'!AJ124</f>
      </c>
      <c r="AK9" s="41">
        <f>'Revenue'!AK12-'Opex'!AK22+'IS(Q)'!AK44+'IS(Q)'!AK31+'입력값'!AK124</f>
      </c>
      <c r="AL9" s="41">
        <f>'Revenue'!AL12-'Opex'!AL22+'IS(Q)'!AL44+'IS(Q)'!AL31+'입력값'!AL124</f>
      </c>
      <c r="AM9" s="41">
        <f>'Revenue'!AM12-'Opex'!AM22+'IS(Q)'!AM44+'IS(Q)'!AM31+'입력값'!AM124</f>
      </c>
      <c r="AN9" s="41">
        <f>'Revenue'!AN12-'Opex'!AN22+'IS(Q)'!AN44+'IS(Q)'!AN31+'입력값'!AN124</f>
      </c>
      <c r="AO9" s="41">
        <f>'Revenue'!AO12-'Opex'!AO22+'IS(Q)'!AO44+'IS(Q)'!AO31+'입력값'!AO124</f>
      </c>
      <c r="AP9" s="41">
        <f>'Revenue'!AP12-'Opex'!AP22+'IS(Q)'!AP44+'IS(Q)'!AP31+'입력값'!AP124</f>
      </c>
      <c r="AQ9" s="41">
        <f>'Revenue'!AQ12-'Opex'!AQ22+'IS(Q)'!AQ44+'IS(Q)'!AQ31+'입력값'!AQ124</f>
      </c>
      <c r="AR9" s="41">
        <f>'Revenue'!AR12-'Opex'!AR22+'IS(Q)'!AR44+'IS(Q)'!AR31+'입력값'!AR124</f>
      </c>
      <c r="AS9" s="41">
        <f>'Revenue'!AS12-'Opex'!AS22+'IS(Q)'!AS44+'IS(Q)'!AS31+'입력값'!AS124</f>
      </c>
      <c r="AT9" s="41">
        <f>'Revenue'!AT12-'Opex'!AT22+'IS(Q)'!AT44+'IS(Q)'!AT31+'입력값'!AT124</f>
      </c>
      <c r="AU9" s="41">
        <f>'Revenue'!AU12-'Opex'!AU22+'IS(Q)'!AU44+'IS(Q)'!AU31+'입력값'!AU124</f>
      </c>
      <c r="AV9" s="41">
        <f>'Revenue'!AV12-'Opex'!AV22+'IS(Q)'!AV44+'IS(Q)'!AV31+'입력값'!AV124</f>
      </c>
      <c r="AW9" s="41">
        <f>'Revenue'!AW12-'Opex'!AW22+'IS(Q)'!AW44+'IS(Q)'!AW31+'입력값'!AW124</f>
      </c>
      <c r="AX9" s="41">
        <f>'Revenue'!AX12-'Opex'!AX22+'IS(Q)'!AX44+'IS(Q)'!AX31+'입력값'!AX124</f>
      </c>
      <c r="AY9" s="41">
        <f>'Revenue'!AY12-'Opex'!AY22+'IS(Q)'!AY44+'IS(Q)'!AY31+'입력값'!AY124</f>
      </c>
      <c r="AZ9" s="41">
        <f>'Revenue'!AZ12-'Opex'!AZ22+'IS(Q)'!AZ44+'IS(Q)'!AZ31+'입력값'!AZ124</f>
      </c>
      <c r="BA9" s="41">
        <f>'Revenue'!BA12-'Opex'!BA22+'IS(Q)'!BA44+'IS(Q)'!BA31+'입력값'!BA124</f>
      </c>
      <c r="BB9" s="41">
        <f>'Revenue'!BB12-'Opex'!BB22+'IS(Q)'!BB44+'IS(Q)'!BB31+'입력값'!BB124</f>
      </c>
      <c r="BC9" s="41">
        <f>'Revenue'!BC12-'Opex'!BC22+'IS(Q)'!BC44+'IS(Q)'!BC31+'입력값'!BC124</f>
      </c>
      <c r="BD9" s="41">
        <f>'Revenue'!BD12-'Opex'!BD22+'IS(Q)'!BD44+'IS(Q)'!BD31+'입력값'!BD124</f>
      </c>
      <c r="BE9" s="41">
        <f>'Revenue'!BE12-'Opex'!BE22+'IS(Q)'!BE44+'IS(Q)'!BE31+'입력값'!BE124</f>
      </c>
      <c r="BF9" s="41">
        <f>'Revenue'!BF12-'Opex'!BF22+'IS(Q)'!BF44+'IS(Q)'!BF31+'입력값'!BF124</f>
      </c>
      <c r="BG9" s="41">
        <f>'Revenue'!BG12-'Opex'!BG22+'IS(Q)'!BG44+'IS(Q)'!BG31+'입력값'!BG124</f>
      </c>
      <c r="BH9" s="41">
        <f>'Revenue'!BH12-'Opex'!BH22+'IS(Q)'!BH44+'IS(Q)'!BH31+'입력값'!BH124</f>
      </c>
      <c r="BI9" s="41">
        <f>'Revenue'!BI12-'Opex'!BI22+'IS(Q)'!BI44+'IS(Q)'!BI31+'입력값'!BI124</f>
      </c>
      <c r="BJ9" s="41">
        <f>'Revenue'!BJ12-'Opex'!BJ22+'IS(Q)'!BJ44+'IS(Q)'!BJ31+'입력값'!BJ124</f>
      </c>
      <c r="BK9" s="41">
        <f>'Revenue'!BK12-'Opex'!BK22+'IS(Q)'!BK44+'IS(Q)'!BK31+'입력값'!BK124</f>
      </c>
      <c r="BL9" s="41">
        <f>'Revenue'!BL12-'Opex'!BL22+'IS(Q)'!BL44+'IS(Q)'!BL31+'입력값'!BL124</f>
      </c>
      <c r="BM9" s="41">
        <f>'Revenue'!BM12-'Opex'!BM22+'IS(Q)'!BM44+'IS(Q)'!BM31+'입력값'!BM124</f>
      </c>
      <c r="BN9" s="41">
        <f>'Revenue'!BN12-'Opex'!BN22+'IS(Q)'!BN44+'IS(Q)'!BN31+'입력값'!BN124</f>
      </c>
      <c r="BO9" s="41">
        <f>'Revenue'!BO12-'Opex'!BO22+'IS(Q)'!BO44+'IS(Q)'!BO31+'입력값'!BO124</f>
      </c>
      <c r="BP9" s="41">
        <f>'Revenue'!BP12-'Opex'!BP22+'IS(Q)'!BP44+'IS(Q)'!BP31+'입력값'!BP124</f>
      </c>
      <c r="BQ9" s="41">
        <f>'Revenue'!BQ12-'Opex'!BQ22+'IS(Q)'!BQ44+'IS(Q)'!BQ31+'입력값'!BQ124</f>
      </c>
      <c r="BR9" s="41">
        <f>'Revenue'!BR12-'Opex'!BR22+'IS(Q)'!BR44+'IS(Q)'!BR31+'입력값'!BR124</f>
      </c>
      <c r="BS9" s="41">
        <f>'Revenue'!BS12-'Opex'!BS22+'IS(Q)'!BS44+'IS(Q)'!BS31+'입력값'!BS124</f>
      </c>
      <c r="BT9" s="41">
        <f>'Revenue'!BT12-'Opex'!BT22+'IS(Q)'!BT44+'IS(Q)'!BT31+'입력값'!BT124</f>
      </c>
      <c r="BU9" s="41">
        <f>'Revenue'!BU12-'Opex'!BU22+'IS(Q)'!BU44+'IS(Q)'!BU31+'입력값'!BU124</f>
      </c>
      <c r="BV9" s="41">
        <f>'Revenue'!BV12-'Opex'!BV22+'IS(Q)'!BV44+'IS(Q)'!BV31+'입력값'!BV124</f>
      </c>
      <c r="BW9" s="41">
        <f>'Revenue'!BW12-'Opex'!BW22+'IS(Q)'!BW44+'IS(Q)'!BW31+'입력값'!BW124</f>
      </c>
      <c r="BX9" s="41">
        <f>'Revenue'!BX12-'Opex'!BX22+'IS(Q)'!BX44+'IS(Q)'!BX31+'입력값'!BX124</f>
      </c>
      <c r="BY9" s="41">
        <f>'Revenue'!BY12-'Opex'!BY22+'IS(Q)'!BY44+'IS(Q)'!BY31+'입력값'!BY124</f>
      </c>
      <c r="BZ9" s="41">
        <f>'Revenue'!BZ12-'Opex'!BZ22+'IS(Q)'!BZ44+'IS(Q)'!BZ31+'입력값'!BZ124</f>
      </c>
      <c r="CA9" s="41">
        <f>'Revenue'!CA12-'Opex'!CA22+'IS(Q)'!CA44+'IS(Q)'!CA31+'입력값'!CA124</f>
      </c>
      <c r="CB9" s="41">
        <f>'Revenue'!CB12-'Opex'!CB22+'IS(Q)'!CB44+'IS(Q)'!CB31+'입력값'!CB124</f>
      </c>
      <c r="CC9" s="41">
        <f>'Revenue'!CC12-'Opex'!CC22+'IS(Q)'!CC44+'IS(Q)'!CC31+'입력값'!CC124</f>
      </c>
      <c r="CD9" s="41">
        <f>'Revenue'!CD12-'Opex'!CD22+'IS(Q)'!CD44+'IS(Q)'!CD31+'입력값'!CD124</f>
      </c>
      <c r="CE9" s="41">
        <f>'Revenue'!CE12-'Opex'!CE22+'IS(Q)'!CE44+'IS(Q)'!CE31+'입력값'!CE124</f>
      </c>
      <c r="CF9" s="41">
        <f>'Revenue'!CF12-'Opex'!CF22+'IS(Q)'!CF44+'IS(Q)'!CF31+'입력값'!CF124</f>
      </c>
      <c r="CG9" s="41">
        <f>'Revenue'!CG12-'Opex'!CG22+'IS(Q)'!CG44+'IS(Q)'!CG31+'입력값'!CG124</f>
      </c>
      <c r="CH9" s="41">
        <f>'Revenue'!CH12-'Opex'!CH22+'IS(Q)'!CH44+'IS(Q)'!CH31+'입력값'!CH124</f>
      </c>
      <c r="CI9" s="41">
        <f>'Revenue'!CI12-'Opex'!CI22+'IS(Q)'!CI44+'IS(Q)'!CI31+'입력값'!CI124</f>
      </c>
      <c r="CJ9" s="41">
        <f>'Revenue'!CJ12-'Opex'!CJ22+'IS(Q)'!CJ44+'IS(Q)'!CJ31+'입력값'!CJ124</f>
      </c>
      <c r="CK9" s="41">
        <f>'Revenue'!CK12-'Opex'!CK22+'IS(Q)'!CK44+'IS(Q)'!CK31+'입력값'!CK124</f>
      </c>
      <c r="CL9" s="41">
        <f>'Revenue'!CL12-'Opex'!CL22+'IS(Q)'!CL44+'IS(Q)'!CL31+'입력값'!CL124</f>
      </c>
      <c r="CM9" s="44"/>
    </row>
    <row r="10" spans="2:90" x14ac:dyDescent="0.25">
      <c r="B10" s="31" t="s">
        <v>278</v>
      </c>
      <c r="C10" s="32" t="s">
        <v>228</v>
      </c>
      <c r="D10" s="29">
        <f>SUM(E10:CL10)</f>
      </c>
      <c r="E10" s="29">
        <f>'Debt'!E78</f>
      </c>
      <c r="F10" s="29">
        <f>'Debt'!F78</f>
      </c>
      <c r="G10" s="29">
        <f>'Debt'!G78</f>
      </c>
      <c r="H10" s="29">
        <f>'Debt'!H78</f>
      </c>
      <c r="I10" s="29">
        <f>'Debt'!I78</f>
      </c>
      <c r="J10" s="29">
        <f>'Debt'!J78</f>
      </c>
      <c r="K10" s="29">
        <f>'Debt'!K78</f>
      </c>
      <c r="L10" s="29">
        <f>'Debt'!L78</f>
      </c>
      <c r="M10" s="29">
        <f>'Debt'!M78</f>
      </c>
      <c r="N10" s="29">
        <f>'Debt'!N78</f>
      </c>
      <c r="O10" s="29">
        <f>'Debt'!O78</f>
      </c>
      <c r="P10" s="29">
        <f>'Debt'!P78</f>
      </c>
      <c r="Q10" s="29">
        <f>'Debt'!Q78</f>
      </c>
      <c r="R10" s="29">
        <f>'Debt'!R78</f>
      </c>
      <c r="S10" s="29">
        <f>'Debt'!S78</f>
      </c>
      <c r="T10" s="29">
        <f>'Debt'!T78</f>
      </c>
      <c r="U10" s="29">
        <f>'Debt'!U78</f>
      </c>
      <c r="V10" s="29">
        <f>'Debt'!V78</f>
      </c>
      <c r="W10" s="29">
        <f>'Debt'!W78</f>
      </c>
      <c r="X10" s="29">
        <f>'Debt'!X78</f>
      </c>
      <c r="Y10" s="29">
        <f>'Debt'!Y78</f>
      </c>
      <c r="Z10" s="29">
        <f>'Debt'!Z78</f>
      </c>
      <c r="AA10" s="29">
        <f>'Debt'!AA78</f>
      </c>
      <c r="AB10" s="29">
        <f>'Debt'!AB78</f>
      </c>
      <c r="AC10" s="29">
        <f>'Debt'!AC78</f>
      </c>
      <c r="AD10" s="29">
        <f>'Debt'!AD78</f>
      </c>
      <c r="AE10" s="29">
        <f>'Debt'!AE78</f>
      </c>
      <c r="AF10" s="29">
        <f>'Debt'!AF78</f>
      </c>
      <c r="AG10" s="29">
        <f>'Debt'!AG78</f>
      </c>
      <c r="AH10" s="29">
        <f>'Debt'!AH78</f>
      </c>
      <c r="AI10" s="29">
        <f>'Debt'!AI78</f>
      </c>
      <c r="AJ10" s="29">
        <f>'Debt'!AJ78</f>
      </c>
      <c r="AK10" s="29">
        <f>'Debt'!AK78</f>
      </c>
      <c r="AL10" s="29">
        <f>'Debt'!AL78</f>
      </c>
      <c r="AM10" s="29">
        <f>'Debt'!AM78</f>
      </c>
      <c r="AN10" s="29">
        <f>'Debt'!AN78</f>
      </c>
      <c r="AO10" s="29">
        <f>'Debt'!AO78</f>
      </c>
      <c r="AP10" s="29">
        <f>'Debt'!AP78</f>
      </c>
      <c r="AQ10" s="29">
        <f>'Debt'!AQ78</f>
      </c>
      <c r="AR10" s="29">
        <f>'Debt'!AR78</f>
      </c>
      <c r="AS10" s="29">
        <f>'Debt'!AS78</f>
      </c>
      <c r="AT10" s="29">
        <f>'Debt'!AT78</f>
      </c>
      <c r="AU10" s="29">
        <f>'Debt'!AU78</f>
      </c>
      <c r="AV10" s="29">
        <f>'Debt'!AV78</f>
      </c>
      <c r="AW10" s="29">
        <f>'Debt'!AW78</f>
      </c>
      <c r="AX10" s="29">
        <f>'Debt'!AX78</f>
      </c>
      <c r="AY10" s="29">
        <f>'Debt'!AY78</f>
      </c>
      <c r="AZ10" s="29">
        <f>'Debt'!AZ78</f>
      </c>
      <c r="BA10" s="29">
        <f>'Debt'!BA78</f>
      </c>
      <c r="BB10" s="29">
        <f>'Debt'!BB78</f>
      </c>
      <c r="BC10" s="29">
        <f>'Debt'!BC78</f>
      </c>
      <c r="BD10" s="29">
        <f>'Debt'!BD78</f>
      </c>
      <c r="BE10" s="29">
        <f>'Debt'!BE78</f>
      </c>
      <c r="BF10" s="29">
        <f>'Debt'!BF78</f>
      </c>
      <c r="BG10" s="29">
        <f>'Debt'!BG78</f>
      </c>
      <c r="BH10" s="29">
        <f>'Debt'!BH78</f>
      </c>
      <c r="BI10" s="29">
        <f>'Debt'!BI78</f>
      </c>
      <c r="BJ10" s="29">
        <f>'Debt'!BJ78</f>
      </c>
      <c r="BK10" s="29">
        <f>'Debt'!BK78</f>
      </c>
      <c r="BL10" s="29">
        <f>'Debt'!BL78</f>
      </c>
      <c r="BM10" s="29">
        <f>'Debt'!BM78</f>
      </c>
      <c r="BN10" s="29">
        <f>'Debt'!BN78</f>
      </c>
      <c r="BO10" s="29">
        <f>'Debt'!BO78</f>
      </c>
      <c r="BP10" s="29">
        <f>'Debt'!BP78</f>
      </c>
      <c r="BQ10" s="29">
        <f>'Debt'!BQ78</f>
      </c>
      <c r="BR10" s="29">
        <f>'Debt'!BR78</f>
      </c>
      <c r="BS10" s="29">
        <f>'Debt'!BS78</f>
      </c>
      <c r="BT10" s="29">
        <f>'Debt'!BT78</f>
      </c>
      <c r="BU10" s="29">
        <f>'Debt'!BU78</f>
      </c>
      <c r="BV10" s="29">
        <f>'Debt'!BV78</f>
      </c>
      <c r="BW10" s="29">
        <f>'Debt'!BW78</f>
      </c>
      <c r="BX10" s="29">
        <f>'Debt'!BX78</f>
      </c>
      <c r="BY10" s="29">
        <f>'Debt'!BY78</f>
      </c>
      <c r="BZ10" s="29">
        <f>'Debt'!BZ78</f>
      </c>
      <c r="CA10" s="29">
        <f>'Debt'!CA78</f>
      </c>
      <c r="CB10" s="29">
        <f>'Debt'!CB78</f>
      </c>
      <c r="CC10" s="29">
        <f>'Debt'!CC78</f>
      </c>
      <c r="CD10" s="29">
        <f>'Debt'!CD78</f>
      </c>
      <c r="CE10" s="29">
        <f>'Debt'!CE78</f>
      </c>
      <c r="CF10" s="29">
        <f>'Debt'!CF78</f>
      </c>
      <c r="CG10" s="29">
        <f>'Debt'!CG78</f>
      </c>
      <c r="CH10" s="29">
        <f>'Debt'!CH78</f>
      </c>
      <c r="CI10" s="29">
        <f>'Debt'!CI78</f>
      </c>
      <c r="CJ10" s="29">
        <f>'Debt'!CJ78</f>
      </c>
      <c r="CK10" s="29">
        <f>'Debt'!CK78</f>
      </c>
      <c r="CL10" s="29">
        <f>'Debt'!CL78</f>
      </c>
    </row>
    <row r="11" spans="2:90" x14ac:dyDescent="0.25">
      <c r="B11" s="42" t="s">
        <v>351</v>
      </c>
      <c r="C11" s="32" t="s">
        <v>352</v>
      </c>
      <c r="E11" s="16"/>
      <c r="F11" s="16"/>
      <c r="G11" s="16"/>
      <c r="H11" s="16"/>
      <c r="I11" s="16"/>
      <c r="J11" s="16"/>
      <c r="K11" s="16">
        <f>K9/K10</f>
      </c>
      <c r="L11" s="16">
        <f>L9/L10</f>
      </c>
      <c r="M11" s="16">
        <f>M9/M10</f>
      </c>
      <c r="N11" s="16">
        <f>N9/N10</f>
      </c>
      <c r="O11" s="16">
        <f>O9/O10</f>
      </c>
      <c r="P11" s="16">
        <f>P9/P10</f>
      </c>
      <c r="Q11" s="16">
        <f>Q9/Q10</f>
      </c>
      <c r="R11" s="16">
        <f>R9/R10</f>
      </c>
      <c r="S11" s="16">
        <f>S9/S10</f>
      </c>
      <c r="T11" s="16">
        <f>T9/T10</f>
      </c>
      <c r="U11" s="16">
        <f>U9/U10</f>
      </c>
      <c r="V11" s="16">
        <f>V9/V10</f>
      </c>
      <c r="W11" s="16">
        <f>W9/W10</f>
      </c>
      <c r="X11" s="16">
        <f>X9/X10</f>
      </c>
      <c r="Y11" s="16">
        <f>Y9/Y10</f>
      </c>
      <c r="Z11" s="16">
        <f>Z9/Z10</f>
      </c>
      <c r="AA11" s="16">
        <f>AA9/AA10</f>
      </c>
      <c r="AB11" s="16">
        <f>AB9/AB10</f>
      </c>
      <c r="AC11" s="16">
        <f>AC9/AC10</f>
      </c>
      <c r="AD11" s="16">
        <f>AD9/AD10</f>
      </c>
      <c r="AE11" s="16">
        <f>AE9/AE10</f>
      </c>
      <c r="AF11" s="16">
        <f>AF9/AF10</f>
      </c>
      <c r="AG11" s="16">
        <f>AG9/AG10</f>
      </c>
      <c r="AH11" s="16">
        <f>AH9/AH10</f>
      </c>
      <c r="AI11" s="16">
        <f>AI9/AI10</f>
      </c>
      <c r="AJ11" s="16">
        <f>AJ9/AJ10</f>
      </c>
      <c r="AK11" s="16">
        <f>AK9/AK10</f>
      </c>
      <c r="AL11" s="16">
        <f>AL9/AL10</f>
      </c>
      <c r="AM11" s="16">
        <f>AM9/AM10</f>
      </c>
      <c r="AN11" s="16">
        <f>AN9/AN10</f>
      </c>
      <c r="AO11" s="16">
        <f>AO9/AO10</f>
      </c>
      <c r="AP11" s="16">
        <f>AP9/AP10</f>
      </c>
      <c r="AQ11" s="16">
        <f>AQ9/AQ10</f>
      </c>
      <c r="AR11" s="16">
        <f>AR9/AR10</f>
      </c>
      <c r="AS11" s="16">
        <f>AS9/AS10</f>
      </c>
      <c r="AT11" s="16">
        <f>AT9/AT10</f>
      </c>
      <c r="AU11" s="16">
        <f>AU9/AU10</f>
      </c>
      <c r="AV11" s="16">
        <f>AV9/AV10</f>
      </c>
      <c r="AW11" s="16">
        <f>AW9/AW10</f>
      </c>
      <c r="AX11" s="16">
        <f>AX9/AX10</f>
      </c>
      <c r="AY11" s="16">
        <f>AY9/AY10</f>
      </c>
      <c r="AZ11" s="16">
        <f>AZ9/AZ10</f>
      </c>
      <c r="BA11" s="16">
        <f>BA9/BA10</f>
      </c>
      <c r="BB11" s="16">
        <f>BB9/BB10</f>
      </c>
      <c r="BC11" s="16">
        <f>BC9/BC10</f>
      </c>
      <c r="BD11" s="16">
        <f>BD9/BD10</f>
      </c>
      <c r="BE11" s="16">
        <f>BE9/BE10</f>
      </c>
      <c r="BF11" s="16">
        <f>BF9/BF10</f>
      </c>
      <c r="BG11" s="16">
        <f>BG9/BG10</f>
      </c>
      <c r="BH11" s="16">
        <f>BH9/BH10</f>
      </c>
      <c r="BI11" s="16">
        <f>BI9/BI10</f>
      </c>
      <c r="BJ11" s="16">
        <f>BJ9/BJ10</f>
      </c>
      <c r="BK11" s="16">
        <f>BK9/BK10</f>
      </c>
      <c r="BL11" s="16">
        <f>BL9/BL10</f>
      </c>
      <c r="BM11" s="16">
        <f>BM9/BM10</f>
      </c>
      <c r="BN11" s="16">
        <f>BN9/BN10</f>
      </c>
      <c r="BO11" s="16">
        <f>BO9/BO10</f>
      </c>
      <c r="BP11" s="16">
        <f>BP9/BP10</f>
      </c>
      <c r="BQ11" s="16">
        <f>BQ9/BQ10</f>
      </c>
      <c r="BR11" s="16">
        <f>BR9/BR10</f>
      </c>
      <c r="BS11" s="16">
        <f>BS9/BS10</f>
      </c>
      <c r="BT11" s="16">
        <f>BT9/BT10</f>
      </c>
      <c r="BU11" s="16">
        <f>BU9/BU10</f>
      </c>
      <c r="BV11" s="16">
        <f>BV9/BV10</f>
      </c>
      <c r="BW11" s="16">
        <f>BW9/BW10</f>
      </c>
      <c r="BX11" s="16">
        <f>BX9/BX10</f>
      </c>
      <c r="BY11" s="16">
        <f>BY9/BY10</f>
      </c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</row>
    <row r="13" spans="2:90" x14ac:dyDescent="0.25">
      <c r="B13" s="42" t="s">
        <v>353</v>
      </c>
      <c r="C13" s="32" t="s">
        <v>228</v>
      </c>
      <c r="D13" s="14">
        <f>SUM(E13:CL13)</f>
      </c>
      <c r="E13" s="14">
        <f>E9-E10-E14-'Opex'!E23+E19</f>
      </c>
      <c r="F13" s="14">
        <f>F9-F10-F14-'Opex'!F23+F19</f>
      </c>
      <c r="G13" s="14">
        <f>G9-G10-G14-'Opex'!G23+G19</f>
      </c>
      <c r="H13" s="14">
        <f>H9-H10-H14-'Opex'!H23+H19</f>
      </c>
      <c r="I13" s="14">
        <f>I9-I10-I14-'Opex'!I23+I19</f>
      </c>
      <c r="J13" s="14">
        <f>J9-J10-J14-'Opex'!J23+J19</f>
      </c>
      <c r="K13" s="14">
        <f>K9-K10+'입력값'!K123-'Opex'!K23+K19</f>
      </c>
      <c r="L13" s="14">
        <f>L9-L10+'입력값'!L123-'Opex'!L23+L19</f>
      </c>
      <c r="M13" s="14">
        <f>M9-M10+'입력값'!M123-'Opex'!M23+M19</f>
      </c>
      <c r="N13" s="14">
        <f>N9-N10+'입력값'!N123-'Opex'!N23+N19</f>
      </c>
      <c r="O13" s="14">
        <f>O9-O10+'입력값'!O123-'Opex'!O23+O19</f>
      </c>
      <c r="P13" s="14">
        <f>P9-P10+'입력값'!P123-'Opex'!P23+P19</f>
      </c>
      <c r="Q13" s="14">
        <f>Q9-Q10+'입력값'!Q123-'Opex'!Q23+Q19</f>
      </c>
      <c r="R13" s="14">
        <f>R9-R10+'입력값'!R123-'Opex'!R23+R19</f>
      </c>
      <c r="S13" s="14">
        <f>S9-S10+'입력값'!S123-'Opex'!S23+S19</f>
      </c>
      <c r="T13" s="14">
        <f>T9-T10+'입력값'!T123-'Opex'!T23+T19</f>
      </c>
      <c r="U13" s="14">
        <f>U9-U10+'입력값'!U123-'Opex'!U23+U19</f>
      </c>
      <c r="V13" s="14">
        <f>V9-V10+'입력값'!V123-'Opex'!V23+V19</f>
      </c>
      <c r="W13" s="14">
        <f>W9-W10+'입력값'!W123-'Opex'!W23+W19</f>
      </c>
      <c r="X13" s="14">
        <f>X9-X10+'입력값'!X123-'Opex'!X23+X19</f>
      </c>
      <c r="Y13" s="14">
        <f>Y9-Y10+'입력값'!Y123-'Opex'!Y23+Y19</f>
      </c>
      <c r="Z13" s="14">
        <f>Z9-Z10+'입력값'!Z123-'Opex'!Z23+Z19</f>
      </c>
      <c r="AA13" s="14">
        <f>AA9-AA10+'입력값'!AA123-'Opex'!AA23+AA19</f>
      </c>
      <c r="AB13" s="14">
        <f>AB9-AB10+'입력값'!AB123-'Opex'!AB23+AB19</f>
      </c>
      <c r="AC13" s="14">
        <f>AC9-AC10+'입력값'!AC123-'Opex'!AC23+AC19</f>
      </c>
      <c r="AD13" s="14">
        <f>AD9-AD10+'입력값'!AD123-'Opex'!AD23+AD19</f>
      </c>
      <c r="AE13" s="14">
        <f>AE9-AE10+'입력값'!AE123-'Opex'!AE23+AE19</f>
      </c>
      <c r="AF13" s="14">
        <f>AF9-AF10+'입력값'!AF123-'Opex'!AF23+AF19</f>
      </c>
      <c r="AG13" s="14">
        <f>AG9-AG10+'입력값'!AG123-'Opex'!AG23+AG19</f>
      </c>
      <c r="AH13" s="14">
        <f>AH9-AH10+'입력값'!AH123-'Opex'!AH23+AH19</f>
      </c>
      <c r="AI13" s="14">
        <f>AI9-AI10+'입력값'!AI123-'Opex'!AI23+AI19</f>
      </c>
      <c r="AJ13" s="14">
        <f>AJ9-AJ10+'입력값'!AJ123-'Opex'!AJ23+AJ19</f>
      </c>
      <c r="AK13" s="14">
        <f>AK9-AK10+'입력값'!AK123-'Opex'!AK23+AK19</f>
      </c>
      <c r="AL13" s="14">
        <f>AL9-AL10+'입력값'!AL123-'Opex'!AL23+AL19</f>
      </c>
      <c r="AM13" s="14">
        <f>AM9-AM10+'입력값'!AM123-'Opex'!AM23+AM19</f>
      </c>
      <c r="AN13" s="14">
        <f>AN9-AN10+'입력값'!AN123-'Opex'!AN23+AN19</f>
      </c>
      <c r="AO13" s="14">
        <f>AO9-AO10+'입력값'!AO123-'Opex'!AO23+AO19</f>
      </c>
      <c r="AP13" s="14">
        <f>AP9-AP10+'입력값'!AP123-'Opex'!AP23+AP19</f>
      </c>
      <c r="AQ13" s="14">
        <f>AQ9-AQ10+'입력값'!AQ123-'Opex'!AQ23+AQ19</f>
      </c>
      <c r="AR13" s="14">
        <f>AR9-AR10+'입력값'!AR123-'Opex'!AR23+AR19</f>
      </c>
      <c r="AS13" s="14">
        <f>AS9-AS10+'입력값'!AS123-'Opex'!AS23+AS19</f>
      </c>
      <c r="AT13" s="14">
        <f>AT9-AT10+'입력값'!AT123-'Opex'!AT23+AT19</f>
      </c>
      <c r="AU13" s="14">
        <f>AU9-AU10+'입력값'!AU123-'Opex'!AU23+AU19</f>
      </c>
      <c r="AV13" s="14">
        <f>AV9-AV10+'입력값'!AV123-'Opex'!AV23+AV19</f>
      </c>
      <c r="AW13" s="14">
        <f>AW9-AW10+'입력값'!AW123-'Opex'!AW23+AW19</f>
      </c>
      <c r="AX13" s="14">
        <f>AX9-AX10+'입력값'!AX123-'Opex'!AX23+AX19</f>
      </c>
      <c r="AY13" s="14">
        <f>AY9-AY10+'입력값'!AY123-'Opex'!AY23+AY19</f>
      </c>
      <c r="AZ13" s="14">
        <f>AZ9-AZ10+'입력값'!AZ123-'Opex'!AZ23+AZ19</f>
      </c>
      <c r="BA13" s="14">
        <f>BA9-BA10+'입력값'!BA123-'Opex'!BA23+BA19</f>
      </c>
      <c r="BB13" s="14">
        <f>BB9-BB10+'입력값'!BB123-'Opex'!BB23+BB19</f>
      </c>
      <c r="BC13" s="14">
        <f>BC9-BC10+'입력값'!BC123-'Opex'!BC23+BC19</f>
      </c>
      <c r="BD13" s="14">
        <f>BD9-BD10+'입력값'!BD123-'Opex'!BD23+BD19</f>
      </c>
      <c r="BE13" s="14">
        <f>BE9-BE10+'입력값'!BE123-'Opex'!BE23+BE19</f>
      </c>
      <c r="BF13" s="14">
        <f>BF9-BF10+'입력값'!BF123-'Opex'!BF23+BF19</f>
      </c>
      <c r="BG13" s="14">
        <f>BG9-BG10+'입력값'!BG123-'Opex'!BG23+BG19</f>
      </c>
      <c r="BH13" s="14">
        <f>BH9-BH10+'입력값'!BH123-'Opex'!BH23+BH19</f>
      </c>
      <c r="BI13" s="14">
        <f>BI9-BI10+'입력값'!BI123-'Opex'!BI23+BI19</f>
      </c>
      <c r="BJ13" s="14">
        <f>BJ9-BJ10+'입력값'!BJ123-'Opex'!BJ23+BJ19</f>
      </c>
      <c r="BK13" s="14">
        <f>BK9-BK10+'입력값'!BK123-'Opex'!BK23+BK19</f>
      </c>
      <c r="BL13" s="14">
        <f>BL9-BL10+'입력값'!BL123-'Opex'!BL23+BL19</f>
      </c>
      <c r="BM13" s="14">
        <f>BM9-BM10+'입력값'!BM123-'Opex'!BM23+BM19</f>
      </c>
      <c r="BN13" s="14">
        <f>BN9-BN10+'입력값'!BN123-'Opex'!BN23+BN19</f>
      </c>
      <c r="BO13" s="14">
        <f>BO9-BO10+'입력값'!BO123-'Opex'!BO23+BO19</f>
      </c>
      <c r="BP13" s="14">
        <f>BP9-BP10+'입력값'!BP123-'Opex'!BP23+BP19</f>
      </c>
      <c r="BQ13" s="14">
        <f>BQ9-BQ10+'입력값'!BQ123-'Opex'!BQ23+BQ19</f>
      </c>
      <c r="BR13" s="14">
        <f>BR9-BR10+'입력값'!BR123-'Opex'!BR23+BR19</f>
      </c>
      <c r="BS13" s="14">
        <f>BS9-BS10+'입력값'!BS123-'Opex'!BS23+BS19</f>
      </c>
      <c r="BT13" s="14">
        <f>BT9-BT10+'입력값'!BT123-'Opex'!BT23+BT19</f>
      </c>
      <c r="BU13" s="14">
        <f>BU9-BU10+'입력값'!BU123-'Opex'!BU23+BU19</f>
      </c>
      <c r="BV13" s="14">
        <f>BV9-BV10+'입력값'!BV123-'Opex'!BV23+BV19</f>
      </c>
      <c r="BW13" s="14">
        <f>BW9-BW10+'입력값'!BW123-'Opex'!BW23+BW19</f>
      </c>
      <c r="BX13" s="14">
        <f>BX9-BX10+'입력값'!BX123-'Opex'!BX23+BX19</f>
      </c>
      <c r="BY13" s="14">
        <f>BY9-BY10+'입력값'!BY123-'Opex'!BY23+BY19</f>
      </c>
      <c r="BZ13" s="14">
        <f>BZ9-BZ10+'입력값'!BZ123-'Opex'!BZ23+BZ19</f>
      </c>
      <c r="CA13" s="14">
        <f>CA9-CA10+'입력값'!CA123-'Opex'!CA23+CA19</f>
      </c>
      <c r="CB13" s="14">
        <f>CB9-CB10+'입력값'!CB123-'Opex'!CB23+CB19</f>
      </c>
      <c r="CC13" s="14">
        <f>CC9-CC10+'입력값'!CC123-'Opex'!CC23+CC19</f>
      </c>
      <c r="CD13" s="14">
        <f>CD9-CD10+'입력값'!CD123-'Opex'!CD23+CD19</f>
      </c>
      <c r="CE13" s="14">
        <f>CE9-CE10+'입력값'!CE123-'Opex'!CE23+CE19</f>
      </c>
      <c r="CF13" s="14">
        <f>CF9-CF10+'입력값'!CF123-'Opex'!CF23+CF19</f>
      </c>
      <c r="CG13" s="14">
        <f>CG9-CG10+'입력값'!CG123-'Opex'!CG23+CG19</f>
      </c>
      <c r="CH13" s="14">
        <f>CH9-CH10+'입력값'!CH123-'Opex'!CH23+CH19</f>
      </c>
      <c r="CI13" s="14">
        <f>CI9-CI10+'입력값'!CI123-'Opex'!CI23+CI19</f>
      </c>
      <c r="CJ13" s="14">
        <f>CJ9-CJ10+'입력값'!CJ123-'Opex'!CJ23+CJ19</f>
      </c>
      <c r="CK13" s="14">
        <f>CK9-CK10+'입력값'!CK123-'Opex'!CK23+CK19</f>
      </c>
      <c r="CL13" s="14">
        <f>CL9-CL10+'입력값'!CL123-'Opex'!CL23-'입력값'!C17*100+CL19</f>
      </c>
    </row>
    <row r="14" spans="2:90" x14ac:dyDescent="0.25">
      <c r="B14" s="31" t="s">
        <v>354</v>
      </c>
      <c r="C14" s="32" t="s">
        <v>228</v>
      </c>
      <c r="D14" s="29">
        <f>SUM(E14:CL14)</f>
      </c>
      <c r="E14" s="29">
        <f>E21-E20</f>
      </c>
      <c r="F14" s="29">
        <f>F21-F20</f>
      </c>
      <c r="G14" s="29">
        <f>G21-G20</f>
      </c>
      <c r="H14" s="29">
        <f>H21-H20</f>
      </c>
      <c r="I14" s="29">
        <f>I21-I20</f>
      </c>
      <c r="J14" s="29">
        <f>J21-J20</f>
      </c>
      <c r="K14" s="29">
        <f>K21-K20</f>
      </c>
      <c r="L14" s="29">
        <f>L21-L20</f>
      </c>
      <c r="M14" s="29">
        <f>M21-M20</f>
      </c>
      <c r="N14" s="29">
        <f>N21-N20</f>
      </c>
      <c r="O14" s="29">
        <f>O21-O20</f>
      </c>
      <c r="P14" s="29">
        <f>P21-P20</f>
      </c>
      <c r="Q14" s="29">
        <f>Q21-Q20</f>
      </c>
      <c r="R14" s="29">
        <f>R21-R20</f>
      </c>
      <c r="S14" s="29">
        <f>S21-S20</f>
      </c>
      <c r="T14" s="29">
        <f>T21-T20</f>
      </c>
      <c r="U14" s="29">
        <f>U21-U20</f>
      </c>
      <c r="V14" s="29">
        <f>V21-V20</f>
      </c>
      <c r="W14" s="29">
        <f>W21-W20</f>
      </c>
      <c r="X14" s="29">
        <f>X21-X20</f>
      </c>
      <c r="Y14" s="29">
        <f>Y21-Y20</f>
      </c>
      <c r="Z14" s="29">
        <f>Z21-Z20</f>
      </c>
      <c r="AA14" s="29">
        <f>AA21-AA20</f>
      </c>
      <c r="AB14" s="29">
        <f>AB21-AB20</f>
      </c>
      <c r="AC14" s="29">
        <f>AC21-AC20</f>
      </c>
      <c r="AD14" s="29">
        <f>AD21-AD20</f>
      </c>
      <c r="AE14" s="29">
        <f>AE21-AE20</f>
      </c>
      <c r="AF14" s="29">
        <f>AF21-AF20</f>
      </c>
      <c r="AG14" s="29">
        <f>AG21-AG20</f>
      </c>
      <c r="AH14" s="29">
        <f>AH21-AH20</f>
      </c>
      <c r="AI14" s="29">
        <f>AI21-AI20</f>
      </c>
      <c r="AJ14" s="29">
        <f>AJ21-AJ20</f>
      </c>
      <c r="AK14" s="29">
        <f>AK21-AK20</f>
      </c>
      <c r="AL14" s="29">
        <f>AL21-AL20</f>
      </c>
      <c r="AM14" s="29">
        <f>AM21-AM20</f>
      </c>
      <c r="AN14" s="29">
        <f>AN21-AN20</f>
      </c>
      <c r="AO14" s="29">
        <f>AO21-AO20</f>
      </c>
      <c r="AP14" s="29">
        <f>AP21-AP20</f>
      </c>
      <c r="AQ14" s="29">
        <f>AQ21-AQ20</f>
      </c>
      <c r="AR14" s="29">
        <f>AR21-AR20</f>
      </c>
      <c r="AS14" s="29">
        <f>AS21-AS20</f>
      </c>
      <c r="AT14" s="29">
        <f>AT21-AT20</f>
      </c>
      <c r="AU14" s="29">
        <f>AU21-AU20</f>
      </c>
      <c r="AV14" s="29">
        <f>AV21-AV20</f>
      </c>
      <c r="AW14" s="29">
        <f>AW21-AW20</f>
      </c>
      <c r="AX14" s="29">
        <f>AX21-AX20</f>
      </c>
      <c r="AY14" s="29">
        <f>AY21-AY20</f>
      </c>
      <c r="AZ14" s="29">
        <f>AZ21-AZ20</f>
      </c>
      <c r="BA14" s="29">
        <f>BA21-BA20</f>
      </c>
      <c r="BB14" s="29">
        <f>BB21-BB20</f>
      </c>
      <c r="BC14" s="29">
        <f>BC21-BC20</f>
      </c>
      <c r="BD14" s="29">
        <f>BD21-BD20</f>
      </c>
      <c r="BE14" s="29">
        <f>BE21-BE20</f>
      </c>
      <c r="BF14" s="29">
        <f>BF21-BF20</f>
      </c>
      <c r="BG14" s="29">
        <f>BG21-BG20</f>
      </c>
      <c r="BH14" s="29">
        <f>BH21-BH20</f>
      </c>
      <c r="BI14" s="29">
        <f>BI21-BI20</f>
      </c>
      <c r="BJ14" s="29">
        <f>BJ21-BJ20</f>
      </c>
      <c r="BK14" s="29">
        <f>BK21-BK20</f>
      </c>
      <c r="BL14" s="29">
        <f>BL21-BL20</f>
      </c>
      <c r="BM14" s="29">
        <f>BM21-BM20</f>
      </c>
      <c r="BN14" s="29">
        <f>BN21-BN20</f>
      </c>
      <c r="BO14" s="29">
        <f>BO21-BO20</f>
      </c>
      <c r="BP14" s="29">
        <f>BP21-BP20</f>
      </c>
      <c r="BQ14" s="29">
        <f>BQ21-BQ20</f>
      </c>
      <c r="BR14" s="29">
        <f>BR21-BR20</f>
      </c>
      <c r="BS14" s="29">
        <f>BS21-BS20</f>
      </c>
      <c r="BT14" s="29">
        <f>BT21-BT20</f>
      </c>
      <c r="BU14" s="29">
        <f>BU21-BU20</f>
      </c>
      <c r="BV14" s="29">
        <f>BV21-BV20</f>
      </c>
      <c r="BW14" s="29">
        <f>BW21-BW20</f>
      </c>
      <c r="BX14" s="29">
        <f>BX21-BX20</f>
      </c>
      <c r="BY14" s="29">
        <f>BY21-BY20</f>
      </c>
      <c r="BZ14" s="29">
        <f>BZ21-BZ20</f>
      </c>
      <c r="CA14" s="29">
        <f>CA21-CA20</f>
      </c>
      <c r="CB14" s="29">
        <f>CB21-CB20</f>
      </c>
      <c r="CC14" s="29">
        <f>CC21-CC20</f>
      </c>
      <c r="CD14" s="29">
        <f>CD21-CD20</f>
      </c>
      <c r="CE14" s="29">
        <f>CE21-CE20</f>
      </c>
      <c r="CF14" s="29">
        <f>CF21-CF20</f>
      </c>
      <c r="CG14" s="29">
        <f>CG21-CG20</f>
      </c>
      <c r="CH14" s="29">
        <f>CH21-CH20</f>
      </c>
      <c r="CI14" s="29">
        <f>CI21-CI20</f>
      </c>
      <c r="CJ14" s="29">
        <f>CJ21-CJ20</f>
      </c>
      <c r="CK14" s="29">
        <f>CK21-CK20</f>
      </c>
      <c r="CL14" s="29">
        <f>CL21-CL20</f>
      </c>
    </row>
    <row r="15" spans="2:90" x14ac:dyDescent="0.25">
      <c r="B15" s="31" t="s">
        <v>355</v>
      </c>
      <c r="C15" s="32" t="s">
        <v>228</v>
      </c>
      <c r="E15" s="29">
        <f>0</f>
      </c>
      <c r="F15" s="29">
        <f>E17</f>
      </c>
      <c r="G15" s="29">
        <f>F17</f>
      </c>
      <c r="H15" s="29">
        <f>G17</f>
      </c>
      <c r="I15" s="29">
        <f>H17</f>
      </c>
      <c r="J15" s="29">
        <f>I17</f>
      </c>
      <c r="K15" s="29">
        <f>J17</f>
      </c>
      <c r="L15" s="29">
        <f>K17</f>
      </c>
      <c r="M15" s="29">
        <f>L17</f>
      </c>
      <c r="N15" s="29">
        <f>M17</f>
      </c>
      <c r="O15" s="29">
        <f>N17</f>
      </c>
      <c r="P15" s="29">
        <f>O17</f>
      </c>
      <c r="Q15" s="29">
        <f>P17</f>
      </c>
      <c r="R15" s="29">
        <f>Q17</f>
      </c>
      <c r="S15" s="29">
        <f>R17</f>
      </c>
      <c r="T15" s="29">
        <f>S17</f>
      </c>
      <c r="U15" s="29">
        <f>T17</f>
      </c>
      <c r="V15" s="29">
        <f>U17</f>
      </c>
      <c r="W15" s="29">
        <f>V17</f>
      </c>
      <c r="X15" s="29">
        <f>W17</f>
      </c>
      <c r="Y15" s="29">
        <f>X17</f>
      </c>
      <c r="Z15" s="29">
        <f>Y17</f>
      </c>
      <c r="AA15" s="29">
        <f>Z17</f>
      </c>
      <c r="AB15" s="29">
        <f>AA17</f>
      </c>
      <c r="AC15" s="29">
        <f>AB17</f>
      </c>
      <c r="AD15" s="29">
        <f>AC17</f>
      </c>
      <c r="AE15" s="29">
        <f>AD17</f>
      </c>
      <c r="AF15" s="29">
        <f>AE17</f>
      </c>
      <c r="AG15" s="29">
        <f>AF17</f>
      </c>
      <c r="AH15" s="29">
        <f>AG17</f>
      </c>
      <c r="AI15" s="29">
        <f>AH17</f>
      </c>
      <c r="AJ15" s="29">
        <f>AI17</f>
      </c>
      <c r="AK15" s="29">
        <f>AJ17</f>
      </c>
      <c r="AL15" s="29">
        <f>AK17</f>
      </c>
      <c r="AM15" s="29">
        <f>AL17</f>
      </c>
      <c r="AN15" s="29">
        <f>AM17</f>
      </c>
      <c r="AO15" s="29">
        <f>AN17</f>
      </c>
      <c r="AP15" s="29">
        <f>AO17</f>
      </c>
      <c r="AQ15" s="29">
        <f>AP17</f>
      </c>
      <c r="AR15" s="29">
        <f>AQ17</f>
      </c>
      <c r="AS15" s="29">
        <f>AR17</f>
      </c>
      <c r="AT15" s="29">
        <f>AS17</f>
      </c>
      <c r="AU15" s="29">
        <f>AT17</f>
      </c>
      <c r="AV15" s="29">
        <f>AU17</f>
      </c>
      <c r="AW15" s="29">
        <f>AV17</f>
      </c>
      <c r="AX15" s="29">
        <f>AW17</f>
      </c>
      <c r="AY15" s="29">
        <f>AX17</f>
      </c>
      <c r="AZ15" s="29">
        <f>AY17</f>
      </c>
      <c r="BA15" s="29">
        <f>AZ17</f>
      </c>
      <c r="BB15" s="29">
        <f>BA17</f>
      </c>
      <c r="BC15" s="29">
        <f>BB17</f>
      </c>
      <c r="BD15" s="29">
        <f>BC17</f>
      </c>
      <c r="BE15" s="29">
        <f>BD17</f>
      </c>
      <c r="BF15" s="29">
        <f>BE17</f>
      </c>
      <c r="BG15" s="29">
        <f>BF17</f>
      </c>
      <c r="BH15" s="29">
        <f>BG17</f>
      </c>
      <c r="BI15" s="29">
        <f>BH17</f>
      </c>
      <c r="BJ15" s="29">
        <f>BI17</f>
      </c>
      <c r="BK15" s="29">
        <f>BJ17</f>
      </c>
      <c r="BL15" s="29">
        <f>BK17</f>
      </c>
      <c r="BM15" s="29">
        <f>BL17</f>
      </c>
      <c r="BN15" s="29">
        <f>BM17</f>
      </c>
      <c r="BO15" s="29">
        <f>BN17</f>
      </c>
      <c r="BP15" s="29">
        <f>BO17</f>
      </c>
      <c r="BQ15" s="29">
        <f>BP17</f>
      </c>
      <c r="BR15" s="29">
        <f>BQ17</f>
      </c>
      <c r="BS15" s="29">
        <f>BR17</f>
      </c>
      <c r="BT15" s="29">
        <f>BS17</f>
      </c>
      <c r="BU15" s="29">
        <f>BT17</f>
      </c>
      <c r="BV15" s="29">
        <f>BU17</f>
      </c>
      <c r="BW15" s="29">
        <f>BV17</f>
      </c>
      <c r="BX15" s="29">
        <f>BW17</f>
      </c>
      <c r="BY15" s="29">
        <f>BX17</f>
      </c>
      <c r="BZ15" s="29">
        <f>BY17</f>
      </c>
      <c r="CA15" s="29">
        <f>BZ17</f>
      </c>
      <c r="CB15" s="29">
        <f>CA17</f>
      </c>
      <c r="CC15" s="29">
        <f>CB17</f>
      </c>
      <c r="CD15" s="29">
        <f>CC17</f>
      </c>
      <c r="CE15" s="29">
        <f>CD17</f>
      </c>
      <c r="CF15" s="29">
        <f>CE17</f>
      </c>
      <c r="CG15" s="29">
        <f>CF17</f>
      </c>
      <c r="CH15" s="29">
        <f>CG17</f>
      </c>
      <c r="CI15" s="29">
        <f>CH17</f>
      </c>
      <c r="CJ15" s="29">
        <f>CI17</f>
      </c>
      <c r="CK15" s="29">
        <f>CJ17</f>
      </c>
      <c r="CL15" s="29">
        <f>CK17</f>
      </c>
    </row>
    <row r="16" spans="2:91" x14ac:dyDescent="0.25">
      <c r="B16" s="43" t="s">
        <v>356</v>
      </c>
      <c r="C16" s="46" t="s">
        <v>228</v>
      </c>
      <c r="D16" s="41">
        <f>SUM(E16:CL16)</f>
      </c>
      <c r="E16" s="41">
        <f>0</f>
      </c>
      <c r="F16" s="41">
        <f>0</f>
      </c>
      <c r="G16" s="41">
        <f>0</f>
      </c>
      <c r="H16" s="41">
        <f>G24</f>
      </c>
      <c r="I16" s="41">
        <f>0</f>
      </c>
      <c r="J16" s="41">
        <f>0</f>
      </c>
      <c r="K16" s="41">
        <f>0</f>
      </c>
      <c r="L16" s="41">
        <f>K24</f>
      </c>
      <c r="M16" s="41">
        <f>0</f>
      </c>
      <c r="N16" s="41">
        <f>0</f>
      </c>
      <c r="O16" s="41">
        <f>0</f>
      </c>
      <c r="P16" s="41">
        <f>O24</f>
      </c>
      <c r="Q16" s="41">
        <f>0</f>
      </c>
      <c r="R16" s="41">
        <f>0</f>
      </c>
      <c r="S16" s="41">
        <f>0</f>
      </c>
      <c r="T16" s="41">
        <f>S24</f>
      </c>
      <c r="U16" s="41">
        <f>0</f>
      </c>
      <c r="V16" s="41">
        <f>0</f>
      </c>
      <c r="W16" s="41">
        <f>0</f>
      </c>
      <c r="X16" s="41">
        <f>W24</f>
      </c>
      <c r="Y16" s="41">
        <f>0</f>
      </c>
      <c r="Z16" s="41">
        <f>0</f>
      </c>
      <c r="AA16" s="41">
        <f>0</f>
      </c>
      <c r="AB16" s="41">
        <f>AA24</f>
      </c>
      <c r="AC16" s="41">
        <f>0</f>
      </c>
      <c r="AD16" s="41">
        <f>0</f>
      </c>
      <c r="AE16" s="41">
        <f>0</f>
      </c>
      <c r="AF16" s="41">
        <f>AE24</f>
      </c>
      <c r="AG16" s="41">
        <f>0</f>
      </c>
      <c r="AH16" s="41">
        <f>0</f>
      </c>
      <c r="AI16" s="41">
        <f>0</f>
      </c>
      <c r="AJ16" s="41">
        <f>AI24</f>
      </c>
      <c r="AK16" s="41">
        <f>0</f>
      </c>
      <c r="AL16" s="41">
        <f>0</f>
      </c>
      <c r="AM16" s="41">
        <f>0</f>
      </c>
      <c r="AN16" s="41">
        <f>AM24</f>
      </c>
      <c r="AO16" s="41">
        <f>0</f>
      </c>
      <c r="AP16" s="41">
        <f>0</f>
      </c>
      <c r="AQ16" s="41">
        <f>0</f>
      </c>
      <c r="AR16" s="41">
        <f>AQ24</f>
      </c>
      <c r="AS16" s="41">
        <f>0</f>
      </c>
      <c r="AT16" s="41">
        <f>0</f>
      </c>
      <c r="AU16" s="41">
        <f>0</f>
      </c>
      <c r="AV16" s="41">
        <f>AU24</f>
      </c>
      <c r="AW16" s="41">
        <f>0</f>
      </c>
      <c r="AX16" s="41">
        <f>0</f>
      </c>
      <c r="AY16" s="41">
        <f>0</f>
      </c>
      <c r="AZ16" s="41">
        <f>AY24</f>
      </c>
      <c r="BA16" s="41">
        <f>0</f>
      </c>
      <c r="BB16" s="41">
        <f>0</f>
      </c>
      <c r="BC16" s="41">
        <f>0</f>
      </c>
      <c r="BD16" s="41">
        <f>BC24</f>
      </c>
      <c r="BE16" s="41">
        <f>0</f>
      </c>
      <c r="BF16" s="41">
        <f>0</f>
      </c>
      <c r="BG16" s="41">
        <f>0</f>
      </c>
      <c r="BH16" s="41">
        <f>BG24</f>
      </c>
      <c r="BI16" s="41">
        <f>0</f>
      </c>
      <c r="BJ16" s="41">
        <f>0</f>
      </c>
      <c r="BK16" s="41">
        <f>0</f>
      </c>
      <c r="BL16" s="41">
        <f>BK24</f>
      </c>
      <c r="BM16" s="41">
        <f>0</f>
      </c>
      <c r="BN16" s="41">
        <f>0</f>
      </c>
      <c r="BO16" s="41">
        <f>0</f>
      </c>
      <c r="BP16" s="41">
        <f>BO24</f>
      </c>
      <c r="BQ16" s="41">
        <f>0</f>
      </c>
      <c r="BR16" s="41">
        <f>0</f>
      </c>
      <c r="BS16" s="41">
        <f>0</f>
      </c>
      <c r="BT16" s="41">
        <f>BS24</f>
      </c>
      <c r="BU16" s="41">
        <f>0</f>
      </c>
      <c r="BV16" s="41">
        <f>0</f>
      </c>
      <c r="BW16" s="41">
        <f>0</f>
      </c>
      <c r="BX16" s="41">
        <f>BW24</f>
      </c>
      <c r="BY16" s="41">
        <f>0</f>
      </c>
      <c r="BZ16" s="41">
        <f>0</f>
      </c>
      <c r="CA16" s="41">
        <f>0</f>
      </c>
      <c r="CB16" s="41">
        <f>CA24</f>
      </c>
      <c r="CC16" s="41">
        <f>0</f>
      </c>
      <c r="CD16" s="41">
        <f>0</f>
      </c>
      <c r="CE16" s="41">
        <f>0</f>
      </c>
      <c r="CF16" s="41">
        <f>CE24</f>
      </c>
      <c r="CG16" s="41">
        <f>0</f>
      </c>
      <c r="CH16" s="41">
        <f>0</f>
      </c>
      <c r="CI16" s="41">
        <f>0</f>
      </c>
      <c r="CJ16" s="41">
        <f>CI24</f>
      </c>
      <c r="CK16" s="41">
        <f>0</f>
      </c>
      <c r="CL16" s="41">
        <f>CL18</f>
      </c>
      <c r="CM16" s="44"/>
    </row>
    <row r="17" spans="2:90" x14ac:dyDescent="0.25">
      <c r="B17" s="31" t="s">
        <v>357</v>
      </c>
      <c r="C17" s="32" t="s">
        <v>228</v>
      </c>
      <c r="E17" s="29">
        <f>E18-E16</f>
      </c>
      <c r="F17" s="29">
        <f>F18-F16</f>
      </c>
      <c r="G17" s="29">
        <f>G18-G16</f>
      </c>
      <c r="H17" s="29">
        <f>H18-H16</f>
      </c>
      <c r="I17" s="29">
        <f>I18-I16</f>
      </c>
      <c r="J17" s="29">
        <f>J18-J16</f>
      </c>
      <c r="K17" s="29">
        <f>K18-K16</f>
      </c>
      <c r="L17" s="29">
        <f>L18-L16</f>
      </c>
      <c r="M17" s="29">
        <f>M18-M16</f>
      </c>
      <c r="N17" s="29">
        <f>N18-N16</f>
      </c>
      <c r="O17" s="29">
        <f>O18-O16</f>
      </c>
      <c r="P17" s="29">
        <f>P18-P16</f>
      </c>
      <c r="Q17" s="29">
        <f>Q18-Q16</f>
      </c>
      <c r="R17" s="29">
        <f>R18-R16</f>
      </c>
      <c r="S17" s="29">
        <f>S18-S16</f>
      </c>
      <c r="T17" s="29">
        <f>T18-T16</f>
      </c>
      <c r="U17" s="29">
        <f>U18-U16</f>
      </c>
      <c r="V17" s="29">
        <f>V18-V16</f>
      </c>
      <c r="W17" s="29">
        <f>W18-W16</f>
      </c>
      <c r="X17" s="29">
        <f>X18-X16</f>
      </c>
      <c r="Y17" s="29">
        <f>Y18-Y16</f>
      </c>
      <c r="Z17" s="29">
        <f>Z18-Z16</f>
      </c>
      <c r="AA17" s="29">
        <f>AA18-AA16</f>
      </c>
      <c r="AB17" s="29">
        <f>AB18-AB16</f>
      </c>
      <c r="AC17" s="29">
        <f>AC18-AC16</f>
      </c>
      <c r="AD17" s="29">
        <f>AD18-AD16</f>
      </c>
      <c r="AE17" s="29">
        <f>AE18-AE16</f>
      </c>
      <c r="AF17" s="29">
        <f>AF18-AF16</f>
      </c>
      <c r="AG17" s="29">
        <f>AG18-AG16</f>
      </c>
      <c r="AH17" s="29">
        <f>AH18-AH16</f>
      </c>
      <c r="AI17" s="29">
        <f>AI18-AI16</f>
      </c>
      <c r="AJ17" s="29">
        <f>AJ18-AJ16</f>
      </c>
      <c r="AK17" s="29">
        <f>AK18-AK16</f>
      </c>
      <c r="AL17" s="29">
        <f>AL18-AL16</f>
      </c>
      <c r="AM17" s="29">
        <f>AM18-AM16</f>
      </c>
      <c r="AN17" s="29">
        <f>AN18-AN16</f>
      </c>
      <c r="AO17" s="29">
        <f>AO18-AO16</f>
      </c>
      <c r="AP17" s="29">
        <f>AP18-AP16</f>
      </c>
      <c r="AQ17" s="29">
        <f>AQ18-AQ16</f>
      </c>
      <c r="AR17" s="29">
        <f>AR18-AR16</f>
      </c>
      <c r="AS17" s="29">
        <f>AS18-AS16</f>
      </c>
      <c r="AT17" s="29">
        <f>AT18-AT16</f>
      </c>
      <c r="AU17" s="29">
        <f>AU18-AU16</f>
      </c>
      <c r="AV17" s="29">
        <f>AV18-AV16</f>
      </c>
      <c r="AW17" s="29">
        <f>AW18-AW16</f>
      </c>
      <c r="AX17" s="29">
        <f>AX18-AX16</f>
      </c>
      <c r="AY17" s="29">
        <f>AY18-AY16</f>
      </c>
      <c r="AZ17" s="29">
        <f>AZ18-AZ16</f>
      </c>
      <c r="BA17" s="29">
        <f>BA18-BA16</f>
      </c>
      <c r="BB17" s="29">
        <f>BB18-BB16</f>
      </c>
      <c r="BC17" s="29">
        <f>BC18-BC16</f>
      </c>
      <c r="BD17" s="29">
        <f>BD18-BD16</f>
      </c>
      <c r="BE17" s="29">
        <f>BE18-BE16</f>
      </c>
      <c r="BF17" s="29">
        <f>BF18-BF16</f>
      </c>
      <c r="BG17" s="29">
        <f>BG18-BG16</f>
      </c>
      <c r="BH17" s="29">
        <f>BH18-BH16</f>
      </c>
      <c r="BI17" s="29">
        <f>BI18-BI16</f>
      </c>
      <c r="BJ17" s="29">
        <f>BJ18-BJ16</f>
      </c>
      <c r="BK17" s="29">
        <f>BK18-BK16</f>
      </c>
      <c r="BL17" s="29">
        <f>BL18-BL16</f>
      </c>
      <c r="BM17" s="29">
        <f>BM18-BM16</f>
      </c>
      <c r="BN17" s="29">
        <f>BN18-BN16</f>
      </c>
      <c r="BO17" s="29">
        <f>BO18-BO16</f>
      </c>
      <c r="BP17" s="29">
        <f>BP18-BP16</f>
      </c>
      <c r="BQ17" s="29">
        <f>BQ18-BQ16</f>
      </c>
      <c r="BR17" s="29">
        <f>BR18-BR16</f>
      </c>
      <c r="BS17" s="29">
        <f>BS18-BS16</f>
      </c>
      <c r="BT17" s="29">
        <f>BT18-BT16</f>
      </c>
      <c r="BU17" s="29">
        <f>BU18-BU16</f>
      </c>
      <c r="BV17" s="29">
        <f>BV18-BV16</f>
      </c>
      <c r="BW17" s="29">
        <f>BW18-BW16</f>
      </c>
      <c r="BX17" s="29">
        <f>BX18-BX16</f>
      </c>
      <c r="BY17" s="29">
        <f>BY18-BY16</f>
      </c>
      <c r="BZ17" s="29">
        <f>BZ18-BZ16</f>
      </c>
      <c r="CA17" s="29">
        <f>CA18-CA16</f>
      </c>
      <c r="CB17" s="29">
        <f>CB18-CB16</f>
      </c>
      <c r="CC17" s="29">
        <f>CC18-CC16</f>
      </c>
      <c r="CD17" s="29">
        <f>CD18-CD16</f>
      </c>
      <c r="CE17" s="29">
        <f>CE18-CE16</f>
      </c>
      <c r="CF17" s="29">
        <f>CF18-CF16</f>
      </c>
      <c r="CG17" s="29">
        <f>CG18-CG16</f>
      </c>
      <c r="CH17" s="29">
        <f>CH18-CH16</f>
      </c>
      <c r="CI17" s="29">
        <f>CI18-CI16</f>
      </c>
      <c r="CJ17" s="29">
        <f>CJ18-CJ16</f>
      </c>
      <c r="CK17" s="29">
        <f>CK18-CK16</f>
      </c>
      <c r="CL17" s="29">
        <f>CL18-CL16</f>
      </c>
    </row>
    <row r="18" spans="2:90" x14ac:dyDescent="0.25">
      <c r="B18" s="31" t="s">
        <v>358</v>
      </c>
      <c r="C18" s="32" t="s">
        <v>228</v>
      </c>
      <c r="E18" s="29">
        <f>E15+E13</f>
      </c>
      <c r="F18" s="29">
        <f>F15+F13</f>
      </c>
      <c r="G18" s="29">
        <f>G15+G13</f>
      </c>
      <c r="H18" s="29">
        <f>H15+H13</f>
      </c>
      <c r="I18" s="29">
        <f>I15+I13</f>
      </c>
      <c r="J18" s="29">
        <f>J15+J13</f>
      </c>
      <c r="K18" s="29">
        <f>K15+K13</f>
      </c>
      <c r="L18" s="29">
        <f>L15+L13</f>
      </c>
      <c r="M18" s="29">
        <f>M15+M13</f>
      </c>
      <c r="N18" s="29">
        <f>N15+N13</f>
      </c>
      <c r="O18" s="29">
        <f>O15+O13</f>
      </c>
      <c r="P18" s="29">
        <f>P15+P13</f>
      </c>
      <c r="Q18" s="29">
        <f>Q15+Q13</f>
      </c>
      <c r="R18" s="29">
        <f>R15+R13</f>
      </c>
      <c r="S18" s="29">
        <f>S15+S13</f>
      </c>
      <c r="T18" s="29">
        <f>T15+T13</f>
      </c>
      <c r="U18" s="29">
        <f>U15+U13</f>
      </c>
      <c r="V18" s="29">
        <f>V15+V13</f>
      </c>
      <c r="W18" s="29">
        <f>W15+W13</f>
      </c>
      <c r="X18" s="29">
        <f>X15+X13</f>
      </c>
      <c r="Y18" s="29">
        <f>Y15+Y13</f>
      </c>
      <c r="Z18" s="29">
        <f>Z15+Z13</f>
      </c>
      <c r="AA18" s="29">
        <f>AA15+AA13</f>
      </c>
      <c r="AB18" s="29">
        <f>AB15+AB13</f>
      </c>
      <c r="AC18" s="29">
        <f>AC15+AC13</f>
      </c>
      <c r="AD18" s="29">
        <f>AD15+AD13</f>
      </c>
      <c r="AE18" s="29">
        <f>AE15+AE13</f>
      </c>
      <c r="AF18" s="29">
        <f>AF15+AF13</f>
      </c>
      <c r="AG18" s="29">
        <f>AG15+AG13</f>
      </c>
      <c r="AH18" s="29">
        <f>AH15+AH13</f>
      </c>
      <c r="AI18" s="29">
        <f>AI15+AI13</f>
      </c>
      <c r="AJ18" s="29">
        <f>AJ15+AJ13</f>
      </c>
      <c r="AK18" s="29">
        <f>AK15+AK13</f>
      </c>
      <c r="AL18" s="29">
        <f>AL15+AL13</f>
      </c>
      <c r="AM18" s="29">
        <f>AM15+AM13</f>
      </c>
      <c r="AN18" s="29">
        <f>AN15+AN13</f>
      </c>
      <c r="AO18" s="29">
        <f>AO15+AO13</f>
      </c>
      <c r="AP18" s="29">
        <f>AP15+AP13</f>
      </c>
      <c r="AQ18" s="29">
        <f>AQ15+AQ13</f>
      </c>
      <c r="AR18" s="29">
        <f>AR15+AR13</f>
      </c>
      <c r="AS18" s="29">
        <f>AS15+AS13</f>
      </c>
      <c r="AT18" s="29">
        <f>AT15+AT13</f>
      </c>
      <c r="AU18" s="29">
        <f>AU15+AU13</f>
      </c>
      <c r="AV18" s="29">
        <f>AV15+AV13</f>
      </c>
      <c r="AW18" s="29">
        <f>AW15+AW13</f>
      </c>
      <c r="AX18" s="29">
        <f>AX15+AX13</f>
      </c>
      <c r="AY18" s="29">
        <f>AY15+AY13</f>
      </c>
      <c r="AZ18" s="29">
        <f>AZ15+AZ13</f>
      </c>
      <c r="BA18" s="29">
        <f>BA15+BA13</f>
      </c>
      <c r="BB18" s="29">
        <f>BB15+BB13</f>
      </c>
      <c r="BC18" s="29">
        <f>BC15+BC13</f>
      </c>
      <c r="BD18" s="29">
        <f>BD15+BD13</f>
      </c>
      <c r="BE18" s="29">
        <f>BE15+BE13</f>
      </c>
      <c r="BF18" s="29">
        <f>BF15+BF13</f>
      </c>
      <c r="BG18" s="29">
        <f>BG15+BG13</f>
      </c>
      <c r="BH18" s="29">
        <f>BH15+BH13</f>
      </c>
      <c r="BI18" s="29">
        <f>BI15+BI13</f>
      </c>
      <c r="BJ18" s="29">
        <f>BJ15+BJ13</f>
      </c>
      <c r="BK18" s="29">
        <f>BK15+BK13</f>
      </c>
      <c r="BL18" s="29">
        <f>BL15+BL13</f>
      </c>
      <c r="BM18" s="29">
        <f>BM15+BM13</f>
      </c>
      <c r="BN18" s="29">
        <f>BN15+BN13</f>
      </c>
      <c r="BO18" s="29">
        <f>BO15+BO13</f>
      </c>
      <c r="BP18" s="29">
        <f>BP15+BP13</f>
      </c>
      <c r="BQ18" s="29">
        <f>BQ15+BQ13</f>
      </c>
      <c r="BR18" s="29">
        <f>BR15+BR13</f>
      </c>
      <c r="BS18" s="29">
        <f>BS15+BS13</f>
      </c>
      <c r="BT18" s="29">
        <f>BT15+BT13</f>
      </c>
      <c r="BU18" s="29">
        <f>BU15+BU13</f>
      </c>
      <c r="BV18" s="29">
        <f>BV15+BV13</f>
      </c>
      <c r="BW18" s="29">
        <f>BW15+BW13</f>
      </c>
      <c r="BX18" s="29">
        <f>BX15+BX13</f>
      </c>
      <c r="BY18" s="29">
        <f>BY15+BY13</f>
      </c>
      <c r="BZ18" s="29">
        <f>BZ15+BZ13</f>
      </c>
      <c r="CA18" s="29">
        <f>CA15+CA13</f>
      </c>
      <c r="CB18" s="29">
        <f>CB15+CB13</f>
      </c>
      <c r="CC18" s="29">
        <f>CC15+CC13</f>
      </c>
      <c r="CD18" s="29">
        <f>CD15+CD13</f>
      </c>
      <c r="CE18" s="29">
        <f>CE15+CE13</f>
      </c>
      <c r="CF18" s="29">
        <f>CF15+CF13</f>
      </c>
      <c r="CG18" s="29">
        <f>CG15+CG13</f>
      </c>
      <c r="CH18" s="29">
        <f>CH15+CH13</f>
      </c>
      <c r="CI18" s="29">
        <f>CI15+CI13</f>
      </c>
      <c r="CJ18" s="29">
        <f>CJ15+CJ13</f>
      </c>
      <c r="CK18" s="29">
        <f>CK15+CK13</f>
      </c>
      <c r="CL18" s="29">
        <f>CL15+CL13</f>
      </c>
    </row>
    <row r="19" spans="2:90" x14ac:dyDescent="0.25">
      <c r="B19" s="31" t="s">
        <v>359</v>
      </c>
      <c r="C19" s="32" t="s">
        <v>228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f>-'IS(Q)'!K44-'입력값'!K122</f>
      </c>
      <c r="L19" s="29">
        <f>-'IS(Q)'!L44-'입력값'!L122</f>
      </c>
      <c r="M19" s="29">
        <f>-'IS(Q)'!M44-'입력값'!M122</f>
      </c>
      <c r="N19" s="29">
        <f>-'IS(Q)'!N44-'입력값'!N122</f>
      </c>
      <c r="O19" s="29">
        <f>-'IS(Q)'!O44-'입력값'!O122</f>
      </c>
      <c r="P19" s="29">
        <f>-'IS(Q)'!P44-'입력값'!P122</f>
      </c>
      <c r="Q19" s="29">
        <f>-'IS(Q)'!Q44-'입력값'!Q122</f>
      </c>
      <c r="R19" s="29">
        <f>-'IS(Q)'!R44-'입력값'!R122</f>
      </c>
      <c r="S19" s="29">
        <f>-'IS(Q)'!S44-'입력값'!S122</f>
      </c>
      <c r="T19" s="29">
        <f>-'IS(Q)'!T44-'입력값'!T122</f>
      </c>
      <c r="U19" s="29">
        <f>-'IS(Q)'!U44-'입력값'!U122</f>
      </c>
      <c r="V19" s="29">
        <f>-'IS(Q)'!V44-'입력값'!V122</f>
      </c>
      <c r="W19" s="29">
        <f>-'IS(Q)'!W44-'입력값'!W122</f>
      </c>
      <c r="X19" s="29">
        <f>-'IS(Q)'!X44-'입력값'!X122</f>
      </c>
      <c r="Y19" s="29">
        <f>-'IS(Q)'!Y44-'입력값'!Y122</f>
      </c>
      <c r="Z19" s="29">
        <f>-'IS(Q)'!Z44-'입력값'!Z122</f>
      </c>
      <c r="AA19" s="29">
        <f>-'IS(Q)'!AA44-'입력값'!AA122</f>
      </c>
      <c r="AB19" s="29">
        <f>-'IS(Q)'!AB44-'입력값'!AB122</f>
      </c>
      <c r="AC19" s="29">
        <f>-'IS(Q)'!AC44-'입력값'!AC122</f>
      </c>
      <c r="AD19" s="29">
        <f>-'IS(Q)'!AD44-'입력값'!AD122</f>
      </c>
      <c r="AE19" s="29">
        <f>-'IS(Q)'!AE44-'입력값'!AE122</f>
      </c>
      <c r="AF19" s="29">
        <f>-'IS(Q)'!AF44-'입력값'!AF122</f>
      </c>
      <c r="AG19" s="29">
        <f>-'IS(Q)'!AG44-'입력값'!AG122</f>
      </c>
      <c r="AH19" s="29">
        <f>-'IS(Q)'!AH44-'입력값'!AH122</f>
      </c>
      <c r="AI19" s="29">
        <f>-'IS(Q)'!AI44-'입력값'!AI122</f>
      </c>
      <c r="AJ19" s="29">
        <f>-'IS(Q)'!AJ44-'입력값'!AJ122</f>
      </c>
      <c r="AK19" s="29">
        <f>-'IS(Q)'!AK44-'입력값'!AK122</f>
      </c>
      <c r="AL19" s="29">
        <f>-'IS(Q)'!AL44-'입력값'!AL122</f>
      </c>
      <c r="AM19" s="29">
        <f>-'IS(Q)'!AM44-'입력값'!AM122</f>
      </c>
      <c r="AN19" s="29">
        <f>-'IS(Q)'!AN44-'입력값'!AN122</f>
      </c>
      <c r="AO19" s="29">
        <f>-'IS(Q)'!AO44-'입력값'!AO122</f>
      </c>
      <c r="AP19" s="29">
        <f>-'IS(Q)'!AP44-'입력값'!AP122</f>
      </c>
      <c r="AQ19" s="29">
        <f>-'IS(Q)'!AQ44-'입력값'!AQ122</f>
      </c>
      <c r="AR19" s="29">
        <f>-'IS(Q)'!AR44-'입력값'!AR122</f>
      </c>
      <c r="AS19" s="29">
        <f>-'IS(Q)'!AS44-'입력값'!AS122</f>
      </c>
      <c r="AT19" s="29">
        <f>-'IS(Q)'!AT44-'입력값'!AT122</f>
      </c>
      <c r="AU19" s="29">
        <f>-'IS(Q)'!AU44-'입력값'!AU122</f>
      </c>
      <c r="AV19" s="29">
        <f>-'IS(Q)'!AV44-'입력값'!AV122</f>
      </c>
      <c r="AW19" s="29">
        <f>-'IS(Q)'!AW44-'입력값'!AW122</f>
      </c>
      <c r="AX19" s="29">
        <f>-'IS(Q)'!AX44-'입력값'!AX122</f>
      </c>
      <c r="AY19" s="29">
        <f>-'IS(Q)'!AY44-'입력값'!AY122</f>
      </c>
      <c r="AZ19" s="29">
        <f>-'IS(Q)'!AZ44-'입력값'!AZ122</f>
      </c>
      <c r="BA19" s="29">
        <f>-'IS(Q)'!BA44-'입력값'!BA122</f>
      </c>
      <c r="BB19" s="29">
        <f>-'IS(Q)'!BB44-'입력값'!BB122</f>
      </c>
      <c r="BC19" s="29">
        <f>-'IS(Q)'!BC44-'입력값'!BC122</f>
      </c>
      <c r="BD19" s="29">
        <f>-'IS(Q)'!BD44-'입력값'!BD122</f>
      </c>
      <c r="BE19" s="29">
        <f>-'IS(Q)'!BE44-'입력값'!BE122</f>
      </c>
      <c r="BF19" s="29">
        <f>-'IS(Q)'!BF44-'입력값'!BF122</f>
      </c>
      <c r="BG19" s="29">
        <f>-'IS(Q)'!BG44-'입력값'!BG122</f>
      </c>
      <c r="BH19" s="29">
        <f>-'IS(Q)'!BH44-'입력값'!BH122</f>
      </c>
      <c r="BI19" s="29">
        <f>-'IS(Q)'!BI44-'입력값'!BI122</f>
      </c>
      <c r="BJ19" s="29">
        <f>-'IS(Q)'!BJ44-'입력값'!BJ122</f>
      </c>
      <c r="BK19" s="29">
        <f>-'IS(Q)'!BK44-'입력값'!BK122</f>
      </c>
      <c r="BL19" s="29">
        <f>-'IS(Q)'!BL44-'입력값'!BL122</f>
      </c>
      <c r="BM19" s="29">
        <f>-'IS(Q)'!BM44-'입력값'!BM122</f>
      </c>
      <c r="BN19" s="29">
        <f>-'IS(Q)'!BN44-'입력값'!BN122</f>
      </c>
      <c r="BO19" s="29">
        <f>-'IS(Q)'!BO44-'입력값'!BO122</f>
      </c>
      <c r="BP19" s="29">
        <f>-'IS(Q)'!BP44-'입력값'!BP122</f>
      </c>
      <c r="BQ19" s="29">
        <f>-'IS(Q)'!BQ44-'입력값'!BQ122</f>
      </c>
      <c r="BR19" s="29">
        <f>-'IS(Q)'!BR44-'입력값'!BR122</f>
      </c>
      <c r="BS19" s="29">
        <f>-'IS(Q)'!BS44-'입력값'!BS122</f>
      </c>
      <c r="BT19" s="29">
        <f>-'IS(Q)'!BT44-'입력값'!BT122</f>
      </c>
      <c r="BU19" s="29">
        <f>-'IS(Q)'!BU44-'입력값'!BU122</f>
      </c>
      <c r="BV19" s="29">
        <f>-'IS(Q)'!BV44-'입력값'!BV122</f>
      </c>
      <c r="BW19" s="29">
        <f>-'IS(Q)'!BW44-'입력값'!BW122</f>
      </c>
      <c r="BX19" s="29">
        <f>-'IS(Q)'!BX44-'입력값'!BX122</f>
      </c>
      <c r="BY19" s="29">
        <f>-'IS(Q)'!BY44-'입력값'!BY122</f>
      </c>
      <c r="BZ19" s="29">
        <f>-'IS(Q)'!BZ44-'입력값'!BZ122</f>
      </c>
      <c r="CA19" s="29">
        <f>-'IS(Q)'!CA44-'입력값'!CA122</f>
      </c>
      <c r="CB19" s="29">
        <f>-'IS(Q)'!CB44-'입력값'!CB122</f>
      </c>
      <c r="CC19" s="29">
        <f>-'IS(Q)'!CC44-'입력값'!CC122</f>
      </c>
      <c r="CD19" s="29">
        <f>-'IS(Q)'!CD44-'입력값'!CD122</f>
      </c>
      <c r="CE19" s="29">
        <f>-'IS(Q)'!CE44-'입력값'!CE122</f>
      </c>
      <c r="CF19" s="29">
        <f>-'IS(Q)'!CF44-'입력값'!CF122</f>
      </c>
      <c r="CG19" s="29">
        <f>-'IS(Q)'!CG44-'입력값'!CG122</f>
      </c>
      <c r="CH19" s="29">
        <f>-'IS(Q)'!CH44-'입력값'!CH122</f>
      </c>
      <c r="CI19" s="29">
        <f>-'IS(Q)'!CI44-'입력값'!CI122</f>
      </c>
      <c r="CJ19" s="29">
        <f>-'IS(Q)'!CJ44-'입력값'!CJ122</f>
      </c>
      <c r="CK19" s="29">
        <f>-'IS(Q)'!CK44-'입력값'!CK122</f>
      </c>
      <c r="CL19" s="29">
        <f>-'IS(Q)'!CL44-'입력값'!CL122</f>
      </c>
    </row>
    <row r="20" spans="2:90" x14ac:dyDescent="0.25">
      <c r="B20" s="31" t="s">
        <v>360</v>
      </c>
      <c r="C20" s="32" t="s">
        <v>228</v>
      </c>
      <c r="E20" s="29">
        <f>0</f>
      </c>
      <c r="F20" s="29">
        <f>E21</f>
      </c>
      <c r="G20" s="29">
        <f>F21</f>
      </c>
      <c r="H20" s="29">
        <f>G21</f>
      </c>
      <c r="I20" s="29">
        <f>H21</f>
      </c>
      <c r="J20" s="29">
        <f>'입력값'!C20*100</f>
      </c>
      <c r="K20" s="29">
        <f>J21</f>
      </c>
      <c r="L20" s="29">
        <f>K21</f>
      </c>
      <c r="M20" s="29">
        <f>L21</f>
      </c>
      <c r="N20" s="29">
        <f>M21</f>
      </c>
      <c r="O20" s="29">
        <f>N21</f>
      </c>
      <c r="P20" s="29">
        <f>O21</f>
      </c>
      <c r="Q20" s="29">
        <f>P21</f>
      </c>
      <c r="R20" s="29">
        <f>Q21</f>
      </c>
      <c r="S20" s="29">
        <f>R21</f>
      </c>
      <c r="T20" s="29">
        <f>S21</f>
      </c>
      <c r="U20" s="29">
        <f>T21</f>
      </c>
      <c r="V20" s="29">
        <f>U21</f>
      </c>
      <c r="W20" s="29">
        <f>V21</f>
      </c>
      <c r="X20" s="29">
        <f>W21</f>
      </c>
      <c r="Y20" s="29">
        <f>X21</f>
      </c>
      <c r="Z20" s="29">
        <f>Y21</f>
      </c>
      <c r="AA20" s="29">
        <f>Z21</f>
      </c>
      <c r="AB20" s="29">
        <f>AA21</f>
      </c>
      <c r="AC20" s="29">
        <f>AB21</f>
      </c>
      <c r="AD20" s="29">
        <f>AC21</f>
      </c>
      <c r="AE20" s="29">
        <f>AD21</f>
      </c>
      <c r="AF20" s="29">
        <f>AE21</f>
      </c>
      <c r="AG20" s="29">
        <f>AF21</f>
      </c>
      <c r="AH20" s="29">
        <f>AG21</f>
      </c>
      <c r="AI20" s="29">
        <f>AH21</f>
      </c>
      <c r="AJ20" s="29">
        <f>AI21</f>
      </c>
      <c r="AK20" s="29">
        <f>AJ21</f>
      </c>
      <c r="AL20" s="29">
        <f>AK21</f>
      </c>
      <c r="AM20" s="29">
        <f>AL21</f>
      </c>
      <c r="AN20" s="29">
        <f>AM21</f>
      </c>
      <c r="AO20" s="29">
        <f>AN21</f>
      </c>
      <c r="AP20" s="29">
        <f>AO21</f>
      </c>
      <c r="AQ20" s="29">
        <f>AP21</f>
      </c>
      <c r="AR20" s="29">
        <f>AQ21</f>
      </c>
      <c r="AS20" s="29">
        <f>AR21</f>
      </c>
      <c r="AT20" s="29">
        <f>AS21</f>
      </c>
      <c r="AU20" s="29">
        <f>AT21</f>
      </c>
      <c r="AV20" s="29">
        <f>AU21</f>
      </c>
      <c r="AW20" s="29">
        <f>AV21</f>
      </c>
      <c r="AX20" s="29">
        <f>AW21</f>
      </c>
      <c r="AY20" s="29">
        <f>AX21</f>
      </c>
      <c r="AZ20" s="29">
        <f>AY21</f>
      </c>
      <c r="BA20" s="29">
        <f>AZ21</f>
      </c>
      <c r="BB20" s="29">
        <f>BA21</f>
      </c>
      <c r="BC20" s="29">
        <f>BB21</f>
      </c>
      <c r="BD20" s="29">
        <f>BC21</f>
      </c>
      <c r="BE20" s="29">
        <f>BD21</f>
      </c>
      <c r="BF20" s="29">
        <f>BE21</f>
      </c>
      <c r="BG20" s="29">
        <f>BF21</f>
      </c>
      <c r="BH20" s="29">
        <f>BG21</f>
      </c>
      <c r="BI20" s="29">
        <f>BH21</f>
      </c>
      <c r="BJ20" s="29">
        <f>BI21</f>
      </c>
      <c r="BK20" s="29">
        <f>BJ21</f>
      </c>
      <c r="BL20" s="29">
        <f>BK21</f>
      </c>
      <c r="BM20" s="29">
        <f>BL21</f>
      </c>
      <c r="BN20" s="29">
        <f>BM21</f>
      </c>
      <c r="BO20" s="29">
        <f>BN21</f>
      </c>
      <c r="BP20" s="29">
        <f>BO21</f>
      </c>
      <c r="BQ20" s="29">
        <f>BP21</f>
      </c>
      <c r="BR20" s="29">
        <f>BQ21</f>
      </c>
      <c r="BS20" s="29">
        <f>BR21</f>
      </c>
      <c r="BT20" s="29">
        <f>BS21</f>
      </c>
      <c r="BU20" s="29">
        <f>BT21</f>
      </c>
      <c r="BV20" s="29">
        <f>BU21</f>
      </c>
      <c r="BW20" s="29">
        <f>BV21</f>
      </c>
      <c r="BX20" s="29">
        <f>BW21</f>
      </c>
      <c r="BY20" s="29">
        <f>BX21</f>
      </c>
      <c r="BZ20" s="29">
        <f>BY21</f>
      </c>
      <c r="CA20" s="29">
        <f>BZ21</f>
      </c>
      <c r="CB20" s="29">
        <f>CA21</f>
      </c>
      <c r="CC20" s="29">
        <f>CB21</f>
      </c>
      <c r="CD20" s="29">
        <f>CC21</f>
      </c>
      <c r="CE20" s="29">
        <f>CD21</f>
      </c>
      <c r="CF20" s="29">
        <f>CE21</f>
      </c>
      <c r="CG20" s="29">
        <f>CF21</f>
      </c>
      <c r="CH20" s="29">
        <f>CG21</f>
      </c>
      <c r="CI20" s="29">
        <f>CH21</f>
      </c>
      <c r="CJ20" s="29">
        <f>CI21</f>
      </c>
      <c r="CK20" s="29">
        <f>CJ21</f>
      </c>
      <c r="CL20" s="29">
        <f>CK21</f>
      </c>
    </row>
    <row r="21" spans="2:90" x14ac:dyDescent="0.25">
      <c r="B21" s="31" t="s">
        <v>361</v>
      </c>
      <c r="C21" s="32" t="s">
        <v>228</v>
      </c>
      <c r="E21" s="29">
        <f>E20</f>
      </c>
      <c r="F21" s="29">
        <f>F20</f>
      </c>
      <c r="G21" s="29">
        <f>G20</f>
      </c>
      <c r="H21" s="29">
        <f>H20</f>
      </c>
      <c r="I21" s="29">
        <f>I20</f>
      </c>
      <c r="J21" s="29">
        <f>J20</f>
      </c>
      <c r="K21" s="29">
        <f>L10+M10</f>
      </c>
      <c r="L21" s="29">
        <f>M10+N10</f>
      </c>
      <c r="M21" s="29">
        <f>N10+O10</f>
      </c>
      <c r="N21" s="29">
        <f>O10+P10</f>
      </c>
      <c r="O21" s="29">
        <f>P10+Q10</f>
      </c>
      <c r="P21" s="29">
        <f>Q10+R10</f>
      </c>
      <c r="Q21" s="29">
        <f>R10+S10</f>
      </c>
      <c r="R21" s="29">
        <f>S10+T10</f>
      </c>
      <c r="S21" s="29">
        <f>T10+U10</f>
      </c>
      <c r="T21" s="29">
        <f>U10+V10</f>
      </c>
      <c r="U21" s="29">
        <f>V10+W10</f>
      </c>
      <c r="V21" s="29">
        <f>W10+X10</f>
      </c>
      <c r="W21" s="29">
        <f>X10+Y10</f>
      </c>
      <c r="X21" s="29">
        <f>Y10+Z10</f>
      </c>
      <c r="Y21" s="29">
        <f>Z10+AA10</f>
      </c>
      <c r="Z21" s="29">
        <f>AA10+AB10</f>
      </c>
      <c r="AA21" s="29">
        <f>AB10+AC10</f>
      </c>
      <c r="AB21" s="29">
        <f>AC10+AD10</f>
      </c>
      <c r="AC21" s="29">
        <f>AD10+AE10</f>
      </c>
      <c r="AD21" s="29">
        <f>AE10+AF10</f>
      </c>
      <c r="AE21" s="29">
        <f>AF10+AG10</f>
      </c>
      <c r="AF21" s="29">
        <f>AG10+AH10</f>
      </c>
      <c r="AG21" s="29">
        <f>AH10+AI10</f>
      </c>
      <c r="AH21" s="29">
        <f>AI10+AJ10</f>
      </c>
      <c r="AI21" s="29">
        <f>AJ10+AK10</f>
      </c>
      <c r="AJ21" s="29">
        <f>AK10+AL10</f>
      </c>
      <c r="AK21" s="29">
        <f>AL10+AM10</f>
      </c>
      <c r="AL21" s="29">
        <f>AM10+AN10</f>
      </c>
      <c r="AM21" s="29">
        <f>AN10+AO10</f>
      </c>
      <c r="AN21" s="29">
        <f>AO10+AP10</f>
      </c>
      <c r="AO21" s="29">
        <f>AP10+AQ10</f>
      </c>
      <c r="AP21" s="29">
        <f>AQ10+AR10</f>
      </c>
      <c r="AQ21" s="29">
        <f>AR10+AS10</f>
      </c>
      <c r="AR21" s="29">
        <f>AS10+AT10</f>
      </c>
      <c r="AS21" s="29">
        <f>AT10+AU10</f>
      </c>
      <c r="AT21" s="29">
        <f>AU10+AV10</f>
      </c>
      <c r="AU21" s="29">
        <f>AV10+AW10</f>
      </c>
      <c r="AV21" s="29">
        <f>AW10+AX10</f>
      </c>
      <c r="AW21" s="29">
        <f>AX10+AY10</f>
      </c>
      <c r="AX21" s="29">
        <f>AY10+AZ10</f>
      </c>
      <c r="AY21" s="29">
        <f>AZ10+BA10</f>
      </c>
      <c r="AZ21" s="29">
        <f>BA10+BB10</f>
      </c>
      <c r="BA21" s="29">
        <f>BB10+BC10</f>
      </c>
      <c r="BB21" s="29">
        <f>BC10+BD10</f>
      </c>
      <c r="BC21" s="29">
        <f>BD10+BE10</f>
      </c>
      <c r="BD21" s="29">
        <f>BE10+BF10</f>
      </c>
      <c r="BE21" s="29">
        <f>BF10+BG10</f>
      </c>
      <c r="BF21" s="29">
        <f>BG10+BH10</f>
      </c>
      <c r="BG21" s="29">
        <f>BH10+BI10</f>
      </c>
      <c r="BH21" s="29">
        <f>BI10+BJ10</f>
      </c>
      <c r="BI21" s="29">
        <f>BJ10+BK10</f>
      </c>
      <c r="BJ21" s="29">
        <f>BK10+BL10</f>
      </c>
      <c r="BK21" s="29">
        <f>BL10+BM10</f>
      </c>
      <c r="BL21" s="29">
        <f>BM10+BN10</f>
      </c>
      <c r="BM21" s="29">
        <f>BN10+BO10</f>
      </c>
      <c r="BN21" s="29">
        <f>BO10+BP10</f>
      </c>
      <c r="BO21" s="29">
        <f>BP10+BQ10</f>
      </c>
      <c r="BP21" s="29">
        <f>BQ10+BR10</f>
      </c>
      <c r="BQ21" s="29">
        <f>BR10+BS10</f>
      </c>
      <c r="BR21" s="29">
        <f>BS10+BT10</f>
      </c>
      <c r="BS21" s="29">
        <f>BT10+BU10</f>
      </c>
      <c r="BT21" s="29">
        <f>BU10+BV10</f>
      </c>
      <c r="BU21" s="29">
        <f>BV10+BW10</f>
      </c>
      <c r="BV21" s="29">
        <f>BW10+BX10</f>
      </c>
      <c r="BW21" s="29">
        <f>BX10+BY10</f>
      </c>
      <c r="BX21" s="29">
        <f>BY10+BZ10</f>
      </c>
      <c r="BY21" s="29">
        <f>BZ10+CA10</f>
      </c>
      <c r="BZ21" s="29">
        <f>CA10+CB10</f>
      </c>
      <c r="CA21" s="29">
        <f>CB10+CC10</f>
      </c>
      <c r="CB21" s="29">
        <f>CC10+CD10</f>
      </c>
      <c r="CC21" s="29">
        <f>CD10+CE10</f>
      </c>
      <c r="CD21" s="29">
        <f>CE10+CF10</f>
      </c>
      <c r="CE21" s="29">
        <f>CF10+CG10</f>
      </c>
      <c r="CF21" s="29">
        <f>CG10+CH10</f>
      </c>
      <c r="CG21" s="29">
        <f>CH10+CI10</f>
      </c>
      <c r="CH21" s="29">
        <f>CI10+CJ10</f>
      </c>
      <c r="CI21" s="29">
        <f>CJ10+CK10</f>
      </c>
      <c r="CJ21" s="29">
        <f>CK10+CL10</f>
      </c>
      <c r="CK21" s="29">
        <f>CL10</f>
      </c>
      <c r="CL21" s="29">
        <f>0</f>
      </c>
    </row>
    <row r="22" spans="2:90" x14ac:dyDescent="0.25">
      <c r="B22" s="31" t="s">
        <v>362</v>
      </c>
      <c r="C22" s="32" t="s">
        <v>228</v>
      </c>
      <c r="E22" s="29">
        <f>0</f>
      </c>
      <c r="F22" s="29">
        <f>E22</f>
      </c>
      <c r="G22" s="29">
        <f>F22</f>
      </c>
      <c r="H22" s="29">
        <f>G22</f>
      </c>
      <c r="I22" s="29">
        <f>H22</f>
      </c>
      <c r="J22" s="29">
        <f>I22</f>
      </c>
      <c r="K22" s="29">
        <f>J22+'IS(Q)'!K45-(E42+E43)</f>
      </c>
      <c r="L22" s="29">
        <f>K22+'IS(Q)'!L45</f>
      </c>
      <c r="M22" s="29">
        <f>L22+'IS(Q)'!M45</f>
      </c>
      <c r="N22" s="29">
        <f>M22+'IS(Q)'!N45</f>
      </c>
      <c r="O22" s="29">
        <f>N22+'IS(Q)'!O45-(F42+F43)</f>
      </c>
      <c r="P22" s="29">
        <f>O22+'IS(Q)'!P45</f>
      </c>
      <c r="Q22" s="29">
        <f>P22+'IS(Q)'!Q45</f>
      </c>
      <c r="R22" s="29">
        <f>Q22+'IS(Q)'!R45</f>
      </c>
      <c r="S22" s="29">
        <f>R22+'IS(Q)'!S45-(G42+G43)</f>
      </c>
      <c r="T22" s="29">
        <f>S22+'IS(Q)'!T45</f>
      </c>
      <c r="U22" s="29">
        <f>T22+'IS(Q)'!U45</f>
      </c>
      <c r="V22" s="29">
        <f>U22+'IS(Q)'!V45</f>
      </c>
      <c r="W22" s="29">
        <f>V22+'IS(Q)'!W45-(H42+H43)</f>
      </c>
      <c r="X22" s="29">
        <f>W22+'IS(Q)'!X45</f>
      </c>
      <c r="Y22" s="29">
        <f>X22+'IS(Q)'!Y45</f>
      </c>
      <c r="Z22" s="29">
        <f>Y22+'IS(Q)'!Z45</f>
      </c>
      <c r="AA22" s="29">
        <f>Z22+'IS(Q)'!AA45-(I42+I43)</f>
      </c>
      <c r="AB22" s="29">
        <f>AA22+'IS(Q)'!AB45</f>
      </c>
      <c r="AC22" s="29">
        <f>AB22+'IS(Q)'!AC45</f>
      </c>
      <c r="AD22" s="29">
        <f>AC22+'IS(Q)'!AD45</f>
      </c>
      <c r="AE22" s="29">
        <f>AD22+'IS(Q)'!AE45-(J42+J43)</f>
      </c>
      <c r="AF22" s="29">
        <f>AE22+'IS(Q)'!AF45</f>
      </c>
      <c r="AG22" s="29">
        <f>AF22+'IS(Q)'!AG45</f>
      </c>
      <c r="AH22" s="29">
        <f>AG22+'IS(Q)'!AH45</f>
      </c>
      <c r="AI22" s="29">
        <f>AH22+'IS(Q)'!AI45-(K42+K43)</f>
      </c>
      <c r="AJ22" s="29">
        <f>AI22+'IS(Q)'!AJ45</f>
      </c>
      <c r="AK22" s="29">
        <f>AJ22+'IS(Q)'!AK45</f>
      </c>
      <c r="AL22" s="29">
        <f>AK22+'IS(Q)'!AL45</f>
      </c>
      <c r="AM22" s="29">
        <f>AL22+'IS(Q)'!AM45-(L42+L43)</f>
      </c>
      <c r="AN22" s="29">
        <f>AM22+'IS(Q)'!AN45</f>
      </c>
      <c r="AO22" s="29">
        <f>AN22+'IS(Q)'!AO45</f>
      </c>
      <c r="AP22" s="29">
        <f>AO22+'IS(Q)'!AP45</f>
      </c>
      <c r="AQ22" s="29">
        <f>AP22+'IS(Q)'!AQ45-(M42+M43)</f>
      </c>
      <c r="AR22" s="29">
        <f>AQ22+'IS(Q)'!AR45</f>
      </c>
      <c r="AS22" s="29">
        <f>AR22+'IS(Q)'!AS45</f>
      </c>
      <c r="AT22" s="29">
        <f>AS22+'IS(Q)'!AT45</f>
      </c>
      <c r="AU22" s="29">
        <f>AT22+'IS(Q)'!AU45-(N42+N43)</f>
      </c>
      <c r="AV22" s="29">
        <f>AU22+'IS(Q)'!AV45</f>
      </c>
      <c r="AW22" s="29">
        <f>AV22+'IS(Q)'!AW45</f>
      </c>
      <c r="AX22" s="29">
        <f>AW22+'IS(Q)'!AX45</f>
      </c>
      <c r="AY22" s="29">
        <f>AX22+'IS(Q)'!AY45-(O42+O43)</f>
      </c>
      <c r="AZ22" s="29">
        <f>AY22+'IS(Q)'!AZ45</f>
      </c>
      <c r="BA22" s="29">
        <f>AZ22+'IS(Q)'!BA45</f>
      </c>
      <c r="BB22" s="29">
        <f>BA22+'IS(Q)'!BB45</f>
      </c>
      <c r="BC22" s="29">
        <f>BB22+'IS(Q)'!BC45-(P42+P43)</f>
      </c>
      <c r="BD22" s="29">
        <f>BC22+'IS(Q)'!BD45</f>
      </c>
      <c r="BE22" s="29">
        <f>BD22+'IS(Q)'!BE45</f>
      </c>
      <c r="BF22" s="29">
        <f>BE22+'IS(Q)'!BF45</f>
      </c>
      <c r="BG22" s="29">
        <f>BF22+'IS(Q)'!BG45-(Q42+Q43)</f>
      </c>
      <c r="BH22" s="29">
        <f>BG22+'IS(Q)'!BH45</f>
      </c>
      <c r="BI22" s="29">
        <f>BH22+'IS(Q)'!BI45</f>
      </c>
      <c r="BJ22" s="29">
        <f>BI22+'IS(Q)'!BJ45</f>
      </c>
      <c r="BK22" s="29">
        <f>BJ22+'IS(Q)'!BK45-(R42+R43)</f>
      </c>
      <c r="BL22" s="29">
        <f>BK22+'IS(Q)'!BL45</f>
      </c>
      <c r="BM22" s="29">
        <f>BL22+'IS(Q)'!BM45</f>
      </c>
      <c r="BN22" s="29">
        <f>BM22+'IS(Q)'!BN45</f>
      </c>
      <c r="BO22" s="29">
        <f>BN22+'IS(Q)'!BO45-(S42+S43)</f>
      </c>
      <c r="BP22" s="29">
        <f>BO22+'IS(Q)'!BP45</f>
      </c>
      <c r="BQ22" s="29">
        <f>BP22+'IS(Q)'!BQ45</f>
      </c>
      <c r="BR22" s="29">
        <f>BQ22+'IS(Q)'!BR45</f>
      </c>
      <c r="BS22" s="29">
        <f>BR22+'IS(Q)'!BS45-(T42+T43)</f>
      </c>
      <c r="BT22" s="29">
        <f>BS22+'IS(Q)'!BT45</f>
      </c>
      <c r="BU22" s="29">
        <f>BT22+'IS(Q)'!BU45</f>
      </c>
      <c r="BV22" s="29">
        <f>BU22+'IS(Q)'!BV45</f>
      </c>
      <c r="BW22" s="29">
        <f>BV22+'IS(Q)'!BW45-(U42+U43)</f>
      </c>
      <c r="BX22" s="29">
        <f>BW22+'IS(Q)'!BX45</f>
      </c>
      <c r="BY22" s="29">
        <f>BX22+'IS(Q)'!BY45</f>
      </c>
      <c r="BZ22" s="29">
        <f>BY22+'IS(Q)'!BZ45</f>
      </c>
      <c r="CA22" s="29">
        <f>BZ22+'IS(Q)'!CA45-(V42+V43)</f>
      </c>
      <c r="CB22" s="29">
        <f>CA22+'IS(Q)'!CB45</f>
      </c>
      <c r="CC22" s="29">
        <f>CB22+'IS(Q)'!CC45</f>
      </c>
      <c r="CD22" s="29">
        <f>CC22+'IS(Q)'!CD45</f>
      </c>
      <c r="CE22" s="29">
        <f>CD22+'IS(Q)'!CE45-(W42+W43)</f>
      </c>
      <c r="CF22" s="29">
        <f>CE22+'IS(Q)'!CF45</f>
      </c>
      <c r="CG22" s="29">
        <f>CF22+'IS(Q)'!CG45</f>
      </c>
      <c r="CH22" s="29">
        <f>CG22+'IS(Q)'!CH45</f>
      </c>
      <c r="CI22" s="29">
        <f>CH22+'IS(Q)'!CI45-(X42+X43)</f>
      </c>
      <c r="CJ22" s="29">
        <f>CI22+'IS(Q)'!CJ45</f>
      </c>
      <c r="CK22" s="29">
        <f>CJ22+'IS(Q)'!CK45</f>
      </c>
      <c r="CL22" s="29">
        <f>CK22+'IS(Q)'!CL45</f>
      </c>
    </row>
    <row r="23" spans="2:90" x14ac:dyDescent="0.25">
      <c r="B23" s="31" t="s">
        <v>363</v>
      </c>
      <c r="C23" s="32" t="s">
        <v>228</v>
      </c>
      <c r="E23" s="29">
        <f>0</f>
      </c>
      <c r="F23" s="29">
        <f>E23</f>
      </c>
      <c r="G23" s="29">
        <f>F23</f>
      </c>
      <c r="H23" s="29">
        <f>G23</f>
      </c>
      <c r="I23" s="29">
        <f>H23</f>
      </c>
      <c r="J23" s="29">
        <f>I23</f>
      </c>
      <c r="K23" s="29">
        <f>J23+E43</f>
      </c>
      <c r="L23" s="29">
        <f>K23</f>
      </c>
      <c r="M23" s="29">
        <f>L23</f>
      </c>
      <c r="N23" s="29">
        <f>M23</f>
      </c>
      <c r="O23" s="29">
        <f>N23+F43</f>
      </c>
      <c r="P23" s="29">
        <f>O23</f>
      </c>
      <c r="Q23" s="29">
        <f>P23</f>
      </c>
      <c r="R23" s="29">
        <f>Q23</f>
      </c>
      <c r="S23" s="29">
        <f>R23+G43</f>
      </c>
      <c r="T23" s="29">
        <f>S23</f>
      </c>
      <c r="U23" s="29">
        <f>T23</f>
      </c>
      <c r="V23" s="29">
        <f>U23</f>
      </c>
      <c r="W23" s="29">
        <f>V23+H43</f>
      </c>
      <c r="X23" s="29">
        <f>W23</f>
      </c>
      <c r="Y23" s="29">
        <f>X23</f>
      </c>
      <c r="Z23" s="29">
        <f>Y23</f>
      </c>
      <c r="AA23" s="29">
        <f>Z23+I43</f>
      </c>
      <c r="AB23" s="29">
        <f>AA23</f>
      </c>
      <c r="AC23" s="29">
        <f>AB23</f>
      </c>
      <c r="AD23" s="29">
        <f>AC23</f>
      </c>
      <c r="AE23" s="29">
        <f>AD23+J43</f>
      </c>
      <c r="AF23" s="29">
        <f>AE23</f>
      </c>
      <c r="AG23" s="29">
        <f>AF23</f>
      </c>
      <c r="AH23" s="29">
        <f>AG23</f>
      </c>
      <c r="AI23" s="29">
        <f>AH23+K43</f>
      </c>
      <c r="AJ23" s="29">
        <f>AI23</f>
      </c>
      <c r="AK23" s="29">
        <f>AJ23</f>
      </c>
      <c r="AL23" s="29">
        <f>AK23</f>
      </c>
      <c r="AM23" s="29">
        <f>AL23+L43</f>
      </c>
      <c r="AN23" s="29">
        <f>AM23</f>
      </c>
      <c r="AO23" s="29">
        <f>AN23</f>
      </c>
      <c r="AP23" s="29">
        <f>AO23</f>
      </c>
      <c r="AQ23" s="29">
        <f>AP23+M43</f>
      </c>
      <c r="AR23" s="29">
        <f>AQ23</f>
      </c>
      <c r="AS23" s="29">
        <f>AR23</f>
      </c>
      <c r="AT23" s="29">
        <f>AS23</f>
      </c>
      <c r="AU23" s="29">
        <f>AT23+N43</f>
      </c>
      <c r="AV23" s="29">
        <f>AU23</f>
      </c>
      <c r="AW23" s="29">
        <f>AV23</f>
      </c>
      <c r="AX23" s="29">
        <f>AW23</f>
      </c>
      <c r="AY23" s="29">
        <f>AX23+O43</f>
      </c>
      <c r="AZ23" s="29">
        <f>AY23</f>
      </c>
      <c r="BA23" s="29">
        <f>AZ23</f>
      </c>
      <c r="BB23" s="29">
        <f>BA23</f>
      </c>
      <c r="BC23" s="29">
        <f>BB23+P43</f>
      </c>
      <c r="BD23" s="29">
        <f>BC23</f>
      </c>
      <c r="BE23" s="29">
        <f>BD23</f>
      </c>
      <c r="BF23" s="29">
        <f>BE23</f>
      </c>
      <c r="BG23" s="29">
        <f>BF23+Q43</f>
      </c>
      <c r="BH23" s="29">
        <f>BG23</f>
      </c>
      <c r="BI23" s="29">
        <f>BH23</f>
      </c>
      <c r="BJ23" s="29">
        <f>BI23</f>
      </c>
      <c r="BK23" s="29">
        <f>BJ23+R43</f>
      </c>
      <c r="BL23" s="29">
        <f>BK23</f>
      </c>
      <c r="BM23" s="29">
        <f>BL23</f>
      </c>
      <c r="BN23" s="29">
        <f>BM23</f>
      </c>
      <c r="BO23" s="29">
        <f>BN23+S43</f>
      </c>
      <c r="BP23" s="29">
        <f>BO23</f>
      </c>
      <c r="BQ23" s="29">
        <f>BP23</f>
      </c>
      <c r="BR23" s="29">
        <f>BQ23</f>
      </c>
      <c r="BS23" s="29">
        <f>BR23+T43</f>
      </c>
      <c r="BT23" s="29">
        <f>BS23</f>
      </c>
      <c r="BU23" s="29">
        <f>BT23</f>
      </c>
      <c r="BV23" s="29">
        <f>BU23</f>
      </c>
      <c r="BW23" s="29">
        <f>BV23+U43</f>
      </c>
      <c r="BX23" s="29">
        <f>BW23</f>
      </c>
      <c r="BY23" s="29">
        <f>BX23</f>
      </c>
      <c r="BZ23" s="29">
        <f>BY23</f>
      </c>
      <c r="CA23" s="29">
        <f>BZ23+V43</f>
      </c>
      <c r="CB23" s="29">
        <f>CA23</f>
      </c>
      <c r="CC23" s="29">
        <f>CB23</f>
      </c>
      <c r="CD23" s="29">
        <f>CC23</f>
      </c>
      <c r="CE23" s="29">
        <f>CD23+W43</f>
      </c>
      <c r="CF23" s="29">
        <f>CE23</f>
      </c>
      <c r="CG23" s="29">
        <f>CF23</f>
      </c>
      <c r="CH23" s="29">
        <f>CG23</f>
      </c>
      <c r="CI23" s="29">
        <f>CH23+X43</f>
      </c>
      <c r="CJ23" s="29">
        <f>CI23</f>
      </c>
      <c r="CK23" s="29">
        <f>CJ23</f>
      </c>
      <c r="CL23" s="29">
        <f>CK23</f>
      </c>
    </row>
    <row r="24" spans="2:91" x14ac:dyDescent="0.25">
      <c r="B24" s="9" t="s">
        <v>364</v>
      </c>
      <c r="C24" s="49" t="s">
        <v>228</v>
      </c>
      <c r="D24" s="10"/>
      <c r="E24" s="50">
        <f>0</f>
      </c>
      <c r="F24" s="50">
        <f>E24</f>
      </c>
      <c r="G24" s="50">
        <f>F24</f>
      </c>
      <c r="H24" s="50">
        <f>0</f>
      </c>
      <c r="I24" s="50">
        <f>H24</f>
      </c>
      <c r="J24" s="50">
        <f>I24</f>
      </c>
      <c r="K24" s="50">
        <f>E42</f>
      </c>
      <c r="L24" s="50">
        <f>0</f>
      </c>
      <c r="M24" s="50">
        <f>L24</f>
      </c>
      <c r="N24" s="50">
        <f>M24</f>
      </c>
      <c r="O24" s="50">
        <f>F42</f>
      </c>
      <c r="P24" s="50">
        <f>0</f>
      </c>
      <c r="Q24" s="50">
        <f>P24</f>
      </c>
      <c r="R24" s="50">
        <f>Q24</f>
      </c>
      <c r="S24" s="50">
        <f>G42</f>
      </c>
      <c r="T24" s="50">
        <f>0</f>
      </c>
      <c r="U24" s="50">
        <f>T24</f>
      </c>
      <c r="V24" s="50">
        <f>U24</f>
      </c>
      <c r="W24" s="50">
        <f>H42</f>
      </c>
      <c r="X24" s="50">
        <f>0</f>
      </c>
      <c r="Y24" s="50">
        <f>X24</f>
      </c>
      <c r="Z24" s="50">
        <f>Y24</f>
      </c>
      <c r="AA24" s="50">
        <f>I42</f>
      </c>
      <c r="AB24" s="50">
        <f>0</f>
      </c>
      <c r="AC24" s="50">
        <f>AB24</f>
      </c>
      <c r="AD24" s="50">
        <f>AC24</f>
      </c>
      <c r="AE24" s="50">
        <f>J42</f>
      </c>
      <c r="AF24" s="50">
        <f>0</f>
      </c>
      <c r="AG24" s="50">
        <f>AF24</f>
      </c>
      <c r="AH24" s="50">
        <f>AG24</f>
      </c>
      <c r="AI24" s="50">
        <f>K42</f>
      </c>
      <c r="AJ24" s="50">
        <f>0</f>
      </c>
      <c r="AK24" s="50">
        <f>AJ24</f>
      </c>
      <c r="AL24" s="50">
        <f>AK24</f>
      </c>
      <c r="AM24" s="50">
        <f>L42</f>
      </c>
      <c r="AN24" s="50">
        <f>0</f>
      </c>
      <c r="AO24" s="50">
        <f>AN24</f>
      </c>
      <c r="AP24" s="50">
        <f>AO24</f>
      </c>
      <c r="AQ24" s="50">
        <f>M42</f>
      </c>
      <c r="AR24" s="50">
        <f>0</f>
      </c>
      <c r="AS24" s="50">
        <f>AR24</f>
      </c>
      <c r="AT24" s="50">
        <f>AS24</f>
      </c>
      <c r="AU24" s="50">
        <f>N42</f>
      </c>
      <c r="AV24" s="50">
        <f>0</f>
      </c>
      <c r="AW24" s="50">
        <f>AV24</f>
      </c>
      <c r="AX24" s="50">
        <f>AW24</f>
      </c>
      <c r="AY24" s="50">
        <f>O42</f>
      </c>
      <c r="AZ24" s="50">
        <f>0</f>
      </c>
      <c r="BA24" s="50">
        <f>AZ24</f>
      </c>
      <c r="BB24" s="50">
        <f>BA24</f>
      </c>
      <c r="BC24" s="50">
        <f>P42</f>
      </c>
      <c r="BD24" s="50">
        <f>0</f>
      </c>
      <c r="BE24" s="50">
        <f>BD24</f>
      </c>
      <c r="BF24" s="50">
        <f>BE24</f>
      </c>
      <c r="BG24" s="50">
        <f>Q42</f>
      </c>
      <c r="BH24" s="50">
        <f>0</f>
      </c>
      <c r="BI24" s="50">
        <f>BH24</f>
      </c>
      <c r="BJ24" s="50">
        <f>BI24</f>
      </c>
      <c r="BK24" s="50">
        <f>R42</f>
      </c>
      <c r="BL24" s="50">
        <f>0</f>
      </c>
      <c r="BM24" s="50">
        <f>BL24</f>
      </c>
      <c r="BN24" s="50">
        <f>BM24</f>
      </c>
      <c r="BO24" s="50">
        <f>S42</f>
      </c>
      <c r="BP24" s="50">
        <f>0</f>
      </c>
      <c r="BQ24" s="50">
        <f>BP24</f>
      </c>
      <c r="BR24" s="50">
        <f>BQ24</f>
      </c>
      <c r="BS24" s="50">
        <f>T42</f>
      </c>
      <c r="BT24" s="50">
        <f>0</f>
      </c>
      <c r="BU24" s="50">
        <f>BT24</f>
      </c>
      <c r="BV24" s="50">
        <f>BU24</f>
      </c>
      <c r="BW24" s="50">
        <f>U42</f>
      </c>
      <c r="BX24" s="50">
        <f>0</f>
      </c>
      <c r="BY24" s="50">
        <f>BX24</f>
      </c>
      <c r="BZ24" s="50">
        <f>BY24</f>
      </c>
      <c r="CA24" s="50">
        <f>V42</f>
      </c>
      <c r="CB24" s="50">
        <f>0</f>
      </c>
      <c r="CC24" s="50">
        <f>CB24</f>
      </c>
      <c r="CD24" s="50">
        <f>CC24</f>
      </c>
      <c r="CE24" s="50">
        <f>W42</f>
      </c>
      <c r="CF24" s="50">
        <f>0</f>
      </c>
      <c r="CG24" s="50">
        <f>CF24</f>
      </c>
      <c r="CH24" s="50">
        <f>CG24</f>
      </c>
      <c r="CI24" s="50">
        <f>X42</f>
      </c>
      <c r="CJ24" s="50">
        <f>0</f>
      </c>
      <c r="CK24" s="50">
        <f>CJ24</f>
      </c>
      <c r="CL24" s="50">
        <f>CK24</f>
      </c>
      <c r="CM24" s="10"/>
    </row>
    <row r="26" spans="2:24" x14ac:dyDescent="0.25">
      <c r="B26" s="31" t="s">
        <v>75</v>
      </c>
      <c r="E26" s="13">
        <v>2025</v>
      </c>
      <c r="F26" s="13">
        <v>2026</v>
      </c>
      <c r="G26" s="13">
        <v>2027</v>
      </c>
      <c r="H26" s="13">
        <v>2028</v>
      </c>
      <c r="I26" s="13">
        <v>2029</v>
      </c>
      <c r="J26" s="13">
        <v>2030</v>
      </c>
      <c r="K26" s="13">
        <v>2031</v>
      </c>
      <c r="L26" s="13">
        <v>2032</v>
      </c>
      <c r="M26" s="13">
        <v>2033</v>
      </c>
      <c r="N26" s="13">
        <v>2034</v>
      </c>
      <c r="O26" s="13">
        <v>2035</v>
      </c>
      <c r="P26" s="13">
        <v>2036</v>
      </c>
      <c r="Q26" s="13">
        <v>2037</v>
      </c>
      <c r="R26" s="13">
        <v>2038</v>
      </c>
      <c r="S26" s="13">
        <v>2039</v>
      </c>
      <c r="T26" s="13">
        <v>2040</v>
      </c>
      <c r="U26" s="13">
        <v>2041</v>
      </c>
      <c r="V26" s="13">
        <v>2042</v>
      </c>
      <c r="W26" s="13">
        <v>2043</v>
      </c>
      <c r="X26" s="13">
        <v>2044</v>
      </c>
    </row>
    <row r="27" spans="2:24" x14ac:dyDescent="0.25">
      <c r="B27" s="31" t="s">
        <v>365</v>
      </c>
      <c r="C27" s="32" t="s">
        <v>228</v>
      </c>
      <c r="E27" s="29">
        <f>K10</f>
      </c>
      <c r="F27" s="29">
        <f>L10+M10+N10+O10</f>
      </c>
      <c r="G27" s="29">
        <f>P10+Q10+R10+S10</f>
      </c>
      <c r="H27" s="29">
        <f>T10+U10+V10+W10</f>
      </c>
      <c r="I27" s="29">
        <f>X10+Y10+Z10+AA10</f>
      </c>
      <c r="J27" s="29">
        <f>AB10+AC10+AD10+AE10</f>
      </c>
      <c r="K27" s="29">
        <f>AF10+AG10+AH10+AI10</f>
      </c>
      <c r="L27" s="29">
        <f>AJ10+AK10+AL10+AM10</f>
      </c>
      <c r="M27" s="29">
        <f>AN10+AO10+AP10+AQ10</f>
      </c>
      <c r="N27" s="29">
        <f>AR10+AS10+AT10+AU10</f>
      </c>
      <c r="O27" s="29">
        <f>AV10+AW10+AX10+AY10</f>
      </c>
      <c r="P27" s="29">
        <f>AZ10+BA10+BB10+BC10</f>
      </c>
      <c r="Q27" s="29">
        <f>BD10+BE10+BF10+BG10</f>
      </c>
      <c r="R27" s="29">
        <f>BH10+BI10+BJ10+BK10</f>
      </c>
      <c r="S27" s="29">
        <f>BL10+BM10+BN10+BO10</f>
      </c>
      <c r="T27" s="29">
        <f>BP10+BQ10+BR10+BS10</f>
      </c>
      <c r="U27" s="29">
        <f>BT10+BU10+BV10+BW10</f>
      </c>
      <c r="V27" s="29">
        <f>BX10+BY10</f>
      </c>
      <c r="W27" s="29">
        <f>0</f>
      </c>
      <c r="X27" s="29">
        <f>0</f>
      </c>
    </row>
    <row r="28" spans="2:24" x14ac:dyDescent="0.25">
      <c r="B28" s="31" t="s">
        <v>366</v>
      </c>
      <c r="C28" s="32" t="s">
        <v>228</v>
      </c>
      <c r="E28" s="29">
        <f>K9</f>
      </c>
      <c r="F28" s="29">
        <f>L9+M9+N9+O9</f>
      </c>
      <c r="G28" s="29">
        <f>P9+Q9+R9+S9</f>
      </c>
      <c r="H28" s="29">
        <f>T9+U9+V9+W9</f>
      </c>
      <c r="I28" s="29">
        <f>X9+Y9+Z9+AA9</f>
      </c>
      <c r="J28" s="29">
        <f>AB9+AC9+AD9+AE9</f>
      </c>
      <c r="K28" s="29">
        <f>AF9+AG9+AH9+AI9</f>
      </c>
      <c r="L28" s="29">
        <f>AJ9+AK9+AL9+AM9</f>
      </c>
      <c r="M28" s="29">
        <f>AN9+AO9+AP9+AQ9</f>
      </c>
      <c r="N28" s="29">
        <f>AR9+AS9+AT9+AU9</f>
      </c>
      <c r="O28" s="29">
        <f>AV9+AW9+AX9+AY9</f>
      </c>
      <c r="P28" s="29">
        <f>AZ9+BA9+BB9+BC9</f>
      </c>
      <c r="Q28" s="29">
        <f>BD9+BE9+BF9+BG9</f>
      </c>
      <c r="R28" s="29">
        <f>BH9+BI9+BJ9+BK9</f>
      </c>
      <c r="S28" s="29">
        <f>BL9+BM9+BN9+BO9</f>
      </c>
      <c r="T28" s="29">
        <f>BP9+BQ9+BR9+BS9</f>
      </c>
      <c r="U28" s="29">
        <f>BT9+BU9+BV9+BW9</f>
      </c>
      <c r="V28" s="29">
        <f>BX9+BY9</f>
      </c>
      <c r="W28" s="29">
        <f>0</f>
      </c>
      <c r="X28" s="29">
        <f>0</f>
      </c>
    </row>
    <row r="29" spans="2:24" x14ac:dyDescent="0.25">
      <c r="B29" s="31" t="s">
        <v>367</v>
      </c>
      <c r="C29" s="32" t="s">
        <v>352</v>
      </c>
      <c r="E29" s="51">
        <f>IF(E27=0,"",E28/E27)</f>
      </c>
      <c r="F29" s="51">
        <f>IF(F27=0,"",F28/F27)</f>
      </c>
      <c r="G29" s="51">
        <f>IF(G27=0,"",G28/G27)</f>
      </c>
      <c r="H29" s="51">
        <f>IF(H27=0,"",H28/H27)</f>
      </c>
      <c r="I29" s="51">
        <f>IF(I27=0,"",I28/I27)</f>
      </c>
      <c r="J29" s="51">
        <f>IF(J27=0,"",J28/J27)</f>
      </c>
      <c r="K29" s="51">
        <f>IF(K27=0,"",K28/K27)</f>
      </c>
      <c r="L29" s="51">
        <f>IF(L27=0,"",L28/L27)</f>
      </c>
      <c r="M29" s="51">
        <f>IF(M27=0,"",M28/M27)</f>
      </c>
      <c r="N29" s="51">
        <f>IF(N27=0,"",N28/N27)</f>
      </c>
      <c r="O29" s="51">
        <f>IF(O27=0,"",O28/O27)</f>
      </c>
      <c r="P29" s="51">
        <f>IF(P27=0,"",P28/P27)</f>
      </c>
      <c r="Q29" s="51">
        <f>IF(Q27=0,"",Q28/Q27)</f>
      </c>
      <c r="R29" s="51">
        <f>IF(R27=0,"",R28/R27)</f>
      </c>
      <c r="S29" s="51">
        <f>IF(S27=0,"",S28/S27)</f>
      </c>
      <c r="T29" s="51">
        <f>IF(T27=0,"",T28/T27)</f>
      </c>
      <c r="U29" s="51">
        <f>IF(U27=0,"",U28/U27)</f>
      </c>
      <c r="V29" s="51">
        <f>IF(V27=0,"",V28/V27)</f>
      </c>
      <c r="W29" s="51">
        <f>IF(W27=0,"",W28/W27)</f>
      </c>
      <c r="X29" s="51">
        <f>IF(X27=0,"",X28/X27)</f>
      </c>
    </row>
    <row r="30" spans="2:24" x14ac:dyDescent="0.25">
      <c r="B30" s="31" t="s">
        <v>368</v>
      </c>
      <c r="C30" s="32" t="s">
        <v>352</v>
      </c>
      <c r="E30" s="51">
        <f>IF(E27=0,"",(H15+H20+E28)/E27)</f>
      </c>
      <c r="F30" s="51">
        <f>IF(F27=0,"",(L15+L20+F28)/F27)</f>
      </c>
      <c r="G30" s="51">
        <f>IF(G27=0,"",(P15+P20+G28)/G27)</f>
      </c>
      <c r="H30" s="51">
        <f>IF(H27=0,"",(T15+T20+H28)/H27)</f>
      </c>
      <c r="I30" s="51">
        <f>IF(I27=0,"",(X15+X20+I28)/I27)</f>
      </c>
      <c r="J30" s="51">
        <f>IF(J27=0,"",(AB15+AB20+J28)/J27)</f>
      </c>
      <c r="K30" s="51">
        <f>IF(K27=0,"",(AF15+AF20+K28)/K27)</f>
      </c>
      <c r="L30" s="51">
        <f>IF(L27=0,"",(AJ15+AJ20+L28)/L27)</f>
      </c>
      <c r="M30" s="51">
        <f>IF(M27=0,"",(AN15+AN20+M28)/M27)</f>
      </c>
      <c r="N30" s="51">
        <f>IF(N27=0,"",(AR15+AR20+N28)/N27)</f>
      </c>
      <c r="O30" s="51">
        <f>IF(O27=0,"",(AV15+AV20+O28)/O27)</f>
      </c>
      <c r="P30" s="51">
        <f>IF(P27=0,"",(AZ15+AZ20+P28)/P27)</f>
      </c>
      <c r="Q30" s="51">
        <f>IF(Q27=0,"",(BD15+BD20+Q28)/Q27)</f>
      </c>
      <c r="R30" s="51">
        <f>IF(R27=0,"",(BH15+BH20+R28)/R27)</f>
      </c>
      <c r="S30" s="51">
        <f>IF(S27=0,"",(BL15+BL20+S28)/S27)</f>
      </c>
      <c r="T30" s="51">
        <f>IF(T27=0,"",(BP15+BP20+T28)/T27)</f>
      </c>
      <c r="U30" s="51">
        <f>IF(U27=0,"",(BT15+BT20+U28)/U27)</f>
      </c>
      <c r="V30" s="51">
        <f>IF(V27=0,"",(BX15+BX20+V28)/V27)</f>
      </c>
      <c r="W30" s="51">
        <f>IF(W27=0,"",(CB15+CB20+W28)/W27)</f>
      </c>
      <c r="X30" s="51">
        <f>IF(X27=0,"",(CF15+CF20+X28)/X27)</f>
      </c>
    </row>
    <row r="31" spans="2:24" x14ac:dyDescent="0.25">
      <c r="B31" s="31" t="s">
        <v>369</v>
      </c>
      <c r="C31" s="32" t="s">
        <v>228</v>
      </c>
      <c r="E31" s="29">
        <f>K9+K19</f>
      </c>
      <c r="F31" s="29">
        <f>L9+L19+M9+M19+N9+N19+O9+O19</f>
      </c>
      <c r="G31" s="29">
        <f>P9+P19+Q9+Q19+R9+R19+S9+S19</f>
      </c>
      <c r="H31" s="29">
        <f>T9+T19+U9+U19+V9+V19+W9+W19</f>
      </c>
      <c r="I31" s="29">
        <f>X9+X19+Y9+Y19+Z9+Z19+AA9+AA19</f>
      </c>
      <c r="J31" s="29">
        <f>AB9+AB19+AC9+AC19+AD9+AD19+AE9+AE19</f>
      </c>
      <c r="K31" s="29">
        <f>AF9+AF19+AG9+AG19+AH9+AH19+AI9+AI19</f>
      </c>
      <c r="L31" s="29">
        <f>AJ9+AJ19+AK9+AK19+AL9+AL19+AM9+AM19</f>
      </c>
      <c r="M31" s="29">
        <f>AN9+AN19+AO9+AO19+AP9+AP19+AQ9+AQ19</f>
      </c>
      <c r="N31" s="29">
        <f>AR9+AR19+AS9+AS19+AT9+AT19+AU9+AU19</f>
      </c>
      <c r="O31" s="29">
        <f>AV9+AV19+AW9+AW19+AX9+AX19+AY9+AY19</f>
      </c>
      <c r="P31" s="29">
        <f>AZ9+AZ19+BA9+BA19+BB9+BB19+BC9+BC19</f>
      </c>
      <c r="Q31" s="29">
        <f>BD9+BD19+BE9+BE19+BF9+BF19+BG9+BG19</f>
      </c>
      <c r="R31" s="29">
        <f>BH9+BH19+BI9+BI19+BJ9+BJ19+BK9+BK19</f>
      </c>
      <c r="S31" s="29">
        <f>BL9+BL19+BM9+BM19+BN9+BN19+BO9+BO19</f>
      </c>
      <c r="T31" s="29">
        <f>BP9+BP19+BQ9+BQ19+BR9+BR19+BS9+BS19</f>
      </c>
      <c r="U31" s="29">
        <f>BT9+BT19+BU9+BU19+BV9+BV19+BW9+BW19</f>
      </c>
      <c r="V31" s="29">
        <f>BX9+BX19+BY9+BY19</f>
      </c>
      <c r="W31" s="29">
        <f>0</f>
      </c>
      <c r="X31" s="29">
        <f>0</f>
      </c>
    </row>
    <row r="32" spans="2:24" x14ac:dyDescent="0.25">
      <c r="B32" s="31" t="s">
        <v>370</v>
      </c>
      <c r="C32" s="32" t="s">
        <v>228</v>
      </c>
      <c r="E32" s="29">
        <f>K15+K20</f>
      </c>
      <c r="F32" s="29">
        <f>L15+L20</f>
      </c>
      <c r="G32" s="29">
        <f>P15+P20</f>
      </c>
      <c r="H32" s="29">
        <f>T15+T20</f>
      </c>
      <c r="I32" s="29">
        <f>X15+X20</f>
      </c>
      <c r="J32" s="29">
        <f>AB15+AB20</f>
      </c>
      <c r="K32" s="29">
        <f>AF15+AF20</f>
      </c>
      <c r="L32" s="29">
        <f>AJ15+AJ20</f>
      </c>
      <c r="M32" s="29">
        <f>AN15+AN20</f>
      </c>
      <c r="N32" s="29">
        <f>AR15+AR20</f>
      </c>
      <c r="O32" s="29">
        <f>AV15+AV20</f>
      </c>
      <c r="P32" s="29">
        <f>AZ15+AZ20</f>
      </c>
      <c r="Q32" s="29">
        <f>BD15+BD20</f>
      </c>
      <c r="R32" s="29">
        <f>BH15+BH20</f>
      </c>
      <c r="S32" s="29">
        <f>BL15+BL20</f>
      </c>
      <c r="T32" s="29">
        <f>BP15+BP20</f>
      </c>
      <c r="U32" s="29">
        <f>BT15+BT20</f>
      </c>
      <c r="V32" s="29">
        <f>BX15+BX20</f>
      </c>
      <c r="W32" s="29">
        <f>CB15+CB20</f>
      </c>
      <c r="X32" s="29">
        <f>CF15+CF20</f>
      </c>
    </row>
    <row r="33" spans="2:24" x14ac:dyDescent="0.25">
      <c r="B33" s="31" t="s">
        <v>371</v>
      </c>
      <c r="C33" s="32" t="s">
        <v>228</v>
      </c>
      <c r="E33" s="29">
        <f>K15</f>
      </c>
      <c r="F33" s="29">
        <f>L15</f>
      </c>
      <c r="G33" s="29">
        <f>P15</f>
      </c>
      <c r="H33" s="29">
        <f>T15</f>
      </c>
      <c r="I33" s="29">
        <f>X15</f>
      </c>
      <c r="J33" s="29">
        <f>AB15</f>
      </c>
      <c r="K33" s="29">
        <f>AF15</f>
      </c>
      <c r="L33" s="29">
        <f>AJ15</f>
      </c>
      <c r="M33" s="29">
        <f>AN15</f>
      </c>
      <c r="N33" s="29">
        <f>AR15</f>
      </c>
      <c r="O33" s="29">
        <f>AV15</f>
      </c>
      <c r="P33" s="29">
        <f>AZ15</f>
      </c>
      <c r="Q33" s="29">
        <f>BD15</f>
      </c>
      <c r="R33" s="29">
        <f>BH15</f>
      </c>
      <c r="S33" s="29">
        <f>BL15</f>
      </c>
      <c r="T33" s="29">
        <f>BP15</f>
      </c>
      <c r="U33" s="29">
        <f>BT15</f>
      </c>
      <c r="V33" s="29">
        <f>BX15</f>
      </c>
      <c r="W33" s="29">
        <f>CB15</f>
      </c>
      <c r="X33" s="29">
        <f>CF15</f>
      </c>
    </row>
    <row r="34" spans="2:24" x14ac:dyDescent="0.25">
      <c r="B34" s="31" t="s">
        <v>372</v>
      </c>
      <c r="C34" s="32" t="s">
        <v>228</v>
      </c>
      <c r="F34" s="29">
        <f>L15-L16</f>
      </c>
      <c r="G34" s="29">
        <f>P15-P16</f>
      </c>
      <c r="H34" s="29">
        <f>T15-T16</f>
      </c>
      <c r="I34" s="29">
        <f>X15-X16</f>
      </c>
      <c r="J34" s="29">
        <f>AB15-AB16</f>
      </c>
      <c r="K34" s="29">
        <f>AF15-AF16</f>
      </c>
      <c r="L34" s="29">
        <f>AJ15-AJ16</f>
      </c>
      <c r="M34" s="29">
        <f>AN15-AN16</f>
      </c>
      <c r="N34" s="29">
        <f>AR15-AR16</f>
      </c>
      <c r="O34" s="29">
        <f>AV15-AV16</f>
      </c>
      <c r="P34" s="29">
        <f>AZ15-AZ16</f>
      </c>
      <c r="Q34" s="29">
        <f>BD15-BD16</f>
      </c>
      <c r="R34" s="29">
        <f>BH15-BH16</f>
      </c>
      <c r="S34" s="29">
        <f>BL15-BL16</f>
      </c>
      <c r="T34" s="29">
        <f>BP15-BP16</f>
      </c>
      <c r="U34" s="29">
        <f>BT15-BT16</f>
      </c>
      <c r="V34" s="29">
        <f>BX15-BX16</f>
      </c>
      <c r="W34" s="29">
        <f>CB15-CB16</f>
      </c>
      <c r="X34" s="29">
        <f>CF15-CF16</f>
      </c>
    </row>
    <row r="35" spans="2:24" x14ac:dyDescent="0.25">
      <c r="B35" s="31" t="s">
        <v>373</v>
      </c>
      <c r="C35" s="32" t="s">
        <v>374</v>
      </c>
      <c r="E35" s="28">
        <f>IF(E27=0,TRUE,E29&gt;='입력값'!C23)</f>
      </c>
      <c r="F35" s="28">
        <f>IF(F27=0,TRUE,F29&gt;='입력값'!C23)</f>
      </c>
      <c r="G35" s="28">
        <f>IF(G27=0,TRUE,G29&gt;='입력값'!C23)</f>
      </c>
      <c r="H35" s="28">
        <f>IF(H27=0,TRUE,H29&gt;='입력값'!C23)</f>
      </c>
      <c r="I35" s="28">
        <f>IF(I27=0,TRUE,I29&gt;='입력값'!C23)</f>
      </c>
      <c r="J35" s="28">
        <f>IF(J27=0,TRUE,J29&gt;='입력값'!C23)</f>
      </c>
      <c r="K35" s="28">
        <f>IF(K27=0,TRUE,K29&gt;='입력값'!C23)</f>
      </c>
      <c r="L35" s="28">
        <f>IF(L27=0,TRUE,L29&gt;='입력값'!C23)</f>
      </c>
      <c r="M35" s="28">
        <f>IF(M27=0,TRUE,M29&gt;='입력값'!C23)</f>
      </c>
      <c r="N35" s="28">
        <f>IF(N27=0,TRUE,N29&gt;='입력값'!C23)</f>
      </c>
      <c r="O35" s="28">
        <f>IF(O27=0,TRUE,O29&gt;='입력값'!C23)</f>
      </c>
      <c r="P35" s="28">
        <f>IF(P27=0,TRUE,P29&gt;='입력값'!C23)</f>
      </c>
      <c r="Q35" s="28">
        <f>IF(Q27=0,TRUE,Q29&gt;='입력값'!C23)</f>
      </c>
      <c r="R35" s="28">
        <f>IF(R27=0,TRUE,R29&gt;='입력값'!C23)</f>
      </c>
      <c r="S35" s="28">
        <f>IF(S27=0,TRUE,S29&gt;='입력값'!C23)</f>
      </c>
      <c r="T35" s="28">
        <f>IF(T27=0,TRUE,T29&gt;='입력값'!C23)</f>
      </c>
      <c r="U35" s="28">
        <f>IF(U27=0,TRUE,U29&gt;='입력값'!C23)</f>
      </c>
      <c r="V35" s="28">
        <f>IF(V27=0,TRUE,V29&gt;='입력값'!C23)</f>
      </c>
      <c r="W35" s="28">
        <f>IF(W27=0,TRUE,W29&gt;='입력값'!C23)</f>
      </c>
      <c r="X35" s="28">
        <f>IF(X27=0,TRUE,X29&gt;='입력값'!C23)</f>
      </c>
    </row>
    <row r="36" spans="2:24" x14ac:dyDescent="0.25">
      <c r="B36" s="31" t="s">
        <v>375</v>
      </c>
      <c r="C36" s="32" t="s">
        <v>374</v>
      </c>
      <c r="E36" s="28">
        <f>IF(E27=0,TRUE,E30&gt;='입력값'!C24)</f>
      </c>
      <c r="F36" s="28">
        <f>IF(F27=0,TRUE,F30&gt;='입력값'!C24)</f>
      </c>
      <c r="G36" s="28">
        <f>IF(G27=0,TRUE,G30&gt;='입력값'!C24)</f>
      </c>
      <c r="H36" s="28">
        <f>IF(H27=0,TRUE,H30&gt;='입력값'!C24)</f>
      </c>
      <c r="I36" s="28">
        <f>IF(I27=0,TRUE,I30&gt;='입력값'!C24)</f>
      </c>
      <c r="J36" s="28">
        <f>IF(J27=0,TRUE,J30&gt;='입력값'!C24)</f>
      </c>
      <c r="K36" s="28">
        <f>IF(K27=0,TRUE,K30&gt;='입력값'!C24)</f>
      </c>
      <c r="L36" s="28">
        <f>IF(L27=0,TRUE,L30&gt;='입력값'!C24)</f>
      </c>
      <c r="M36" s="28">
        <f>IF(M27=0,TRUE,M30&gt;='입력값'!C24)</f>
      </c>
      <c r="N36" s="28">
        <f>IF(N27=0,TRUE,N30&gt;='입력값'!C24)</f>
      </c>
      <c r="O36" s="28">
        <f>IF(O27=0,TRUE,O30&gt;='입력값'!C24)</f>
      </c>
      <c r="P36" s="28">
        <f>IF(P27=0,TRUE,P30&gt;='입력값'!C24)</f>
      </c>
      <c r="Q36" s="28">
        <f>IF(Q27=0,TRUE,Q30&gt;='입력값'!C24)</f>
      </c>
      <c r="R36" s="28">
        <f>IF(R27=0,TRUE,R30&gt;='입력값'!C24)</f>
      </c>
      <c r="S36" s="28">
        <f>IF(S27=0,TRUE,S30&gt;='입력값'!C24)</f>
      </c>
      <c r="T36" s="28">
        <f>IF(T27=0,TRUE,T30&gt;='입력값'!C24)</f>
      </c>
      <c r="U36" s="28">
        <f>IF(U27=0,TRUE,U30&gt;='입력값'!C24)</f>
      </c>
      <c r="V36" s="28">
        <f>IF(V27=0,TRUE,V30&gt;='입력값'!C24)</f>
      </c>
      <c r="W36" s="28">
        <f>IF(W27=0,TRUE,W30&gt;='입력값'!C24)</f>
      </c>
      <c r="X36" s="28">
        <f>IF(X27=0,TRUE,X30&gt;='입력값'!C24)</f>
      </c>
    </row>
    <row r="37" spans="2:24" x14ac:dyDescent="0.25">
      <c r="B37" s="31" t="s">
        <v>376</v>
      </c>
      <c r="C37" s="32" t="s">
        <v>374</v>
      </c>
      <c r="E37" s="28">
        <f>AND(FALSE,E35,E36)</f>
      </c>
      <c r="F37" s="28">
        <f>AND(FALSE,F35,F36)</f>
      </c>
      <c r="G37" s="28">
        <f>AND(TRUE,G35,G36)</f>
      </c>
      <c r="H37" s="28">
        <f>AND(TRUE,H35,H36)</f>
      </c>
      <c r="I37" s="28">
        <f>AND(TRUE,I35,I36)</f>
      </c>
      <c r="J37" s="28">
        <f>AND(TRUE,J35,J36)</f>
      </c>
      <c r="K37" s="28">
        <f>AND(TRUE,K35,K36)</f>
      </c>
      <c r="L37" s="28">
        <f>AND(TRUE,L35,L36)</f>
      </c>
      <c r="M37" s="28">
        <f>AND(TRUE,M35,M36)</f>
      </c>
      <c r="N37" s="28">
        <f>AND(TRUE,N35,N36)</f>
      </c>
      <c r="O37" s="28">
        <f>AND(TRUE,O35,O36)</f>
      </c>
      <c r="P37" s="28">
        <f>AND(TRUE,P35,P36)</f>
      </c>
      <c r="Q37" s="28">
        <f>AND(TRUE,Q35,Q36)</f>
      </c>
      <c r="R37" s="28">
        <f>AND(TRUE,R35,R36)</f>
      </c>
      <c r="S37" s="28">
        <f>AND(TRUE,S35,S36)</f>
      </c>
      <c r="T37" s="28">
        <f>AND(TRUE,T35,T36)</f>
      </c>
      <c r="U37" s="28">
        <f>AND(TRUE,U35,U36)</f>
      </c>
      <c r="V37" s="28">
        <f>AND(TRUE,V35,V36)</f>
      </c>
      <c r="W37" s="28">
        <f>AND(TRUE,W35,W36)</f>
      </c>
      <c r="X37" s="28">
        <f>AND(TRUE,X35,X36)</f>
      </c>
    </row>
    <row r="38" spans="2:24" x14ac:dyDescent="0.25">
      <c r="B38" s="31" t="s">
        <v>377</v>
      </c>
      <c r="C38" s="32" t="s">
        <v>228</v>
      </c>
      <c r="E38" s="29">
        <f>(J22+'IS(Q)'!K45)/1.1</f>
      </c>
      <c r="F38" s="29">
        <f>(N22+'IS(Q)'!O45)/1.1</f>
      </c>
      <c r="G38" s="29">
        <f>(R22+'IS(Q)'!S45)/1.1</f>
      </c>
      <c r="H38" s="29">
        <f>(V22+'IS(Q)'!W45)/1.1</f>
      </c>
      <c r="I38" s="29">
        <f>(Z22+'IS(Q)'!AA45)/1.1</f>
      </c>
      <c r="J38" s="29">
        <f>(AD22+'IS(Q)'!AE45)/1.1</f>
      </c>
      <c r="K38" s="29">
        <f>(AH22+'IS(Q)'!AI45)/1.1</f>
      </c>
      <c r="L38" s="29">
        <f>(AL22+'IS(Q)'!AM45)/1.1</f>
      </c>
      <c r="M38" s="29">
        <f>(AP22+'IS(Q)'!AQ45)/1.1</f>
      </c>
      <c r="N38" s="29">
        <f>(AT22+'IS(Q)'!AU45)/1.1</f>
      </c>
      <c r="O38" s="29">
        <f>(AX22+'IS(Q)'!AY45)/1.1</f>
      </c>
      <c r="P38" s="29">
        <f>(BB22+'IS(Q)'!BC45)/1.1</f>
      </c>
      <c r="Q38" s="29">
        <f>(BF22+'IS(Q)'!BG45)/1.1</f>
      </c>
      <c r="R38" s="29">
        <f>(BJ22+'IS(Q)'!BK45)/1.1</f>
      </c>
      <c r="S38" s="29">
        <f>(BN22+'IS(Q)'!BO45)/1.1</f>
      </c>
      <c r="T38" s="29">
        <f>(BR22+'IS(Q)'!BS45)/1.1</f>
      </c>
      <c r="U38" s="29">
        <f>(BV22+'IS(Q)'!BW45)/1.1</f>
      </c>
      <c r="V38" s="29">
        <f>(BZ22+'IS(Q)'!CA45)/1.1</f>
      </c>
      <c r="W38" s="29">
        <f>(CD22+'IS(Q)'!CE45)/1.1</f>
      </c>
      <c r="X38" s="29">
        <f>(CH22+'IS(Q)'!CI45)/1.1</f>
      </c>
    </row>
    <row r="39" spans="2:24" x14ac:dyDescent="0.25">
      <c r="B39" s="31" t="s">
        <v>378</v>
      </c>
      <c r="C39" s="32" t="s">
        <v>228</v>
      </c>
      <c r="E39" s="29">
        <f>K18-'입력값'!C22*100</f>
      </c>
      <c r="F39" s="29">
        <f>O18-'입력값'!C22*100</f>
      </c>
      <c r="G39" s="29">
        <f>S18-'입력값'!C22*100</f>
      </c>
      <c r="H39" s="29">
        <f>W18-'입력값'!C22*100</f>
      </c>
      <c r="I39" s="29">
        <f>AA18-'입력값'!C22*100</f>
      </c>
      <c r="J39" s="29">
        <f>AE18-'입력값'!C22*100</f>
      </c>
      <c r="K39" s="29">
        <f>AI18-'입력값'!C22*100</f>
      </c>
      <c r="L39" s="29">
        <f>AM18-'입력값'!C22*100</f>
      </c>
      <c r="M39" s="29">
        <f>AQ18-'입력값'!C22*100</f>
      </c>
      <c r="N39" s="29">
        <f>AU18-'입력값'!C22*100</f>
      </c>
      <c r="O39" s="29">
        <f>AY18-'입력값'!C22*100</f>
      </c>
      <c r="P39" s="29">
        <f>BC18-'입력값'!C22*100</f>
      </c>
      <c r="Q39" s="29">
        <f>BG18-'입력값'!C22*100</f>
      </c>
      <c r="R39" s="29">
        <f>BK18-'입력값'!C22*100</f>
      </c>
      <c r="S39" s="29">
        <f>BO18-'입력값'!C22*100</f>
      </c>
      <c r="T39" s="29">
        <f>BS18-'입력값'!C22*100</f>
      </c>
      <c r="U39" s="29">
        <f>BW18-'입력값'!C22*100</f>
      </c>
      <c r="V39" s="29">
        <f>CA18-'입력값'!C22*100</f>
      </c>
      <c r="W39" s="29">
        <f>CE18-'입력값'!C22*100</f>
      </c>
      <c r="X39" s="29">
        <f>CI18-'입력값'!C22*100</f>
      </c>
    </row>
    <row r="40" spans="2:24" x14ac:dyDescent="0.25">
      <c r="B40" s="31" t="s">
        <v>379</v>
      </c>
      <c r="C40" s="32" t="s">
        <v>228</v>
      </c>
      <c r="E40" s="29">
        <f>E33+E31</f>
      </c>
      <c r="F40" s="29">
        <f>F34+F31</f>
      </c>
      <c r="G40" s="29">
        <f>G34+G31</f>
      </c>
      <c r="H40" s="29">
        <f>H34+H31</f>
      </c>
      <c r="I40" s="29">
        <f>I34+I31</f>
      </c>
      <c r="J40" s="29">
        <f>J34+J31</f>
      </c>
      <c r="K40" s="29">
        <f>K34+K31</f>
      </c>
      <c r="L40" s="29">
        <f>L34+L31</f>
      </c>
      <c r="M40" s="29">
        <f>M34+M31</f>
      </c>
      <c r="N40" s="29">
        <f>N34+N31</f>
      </c>
      <c r="O40" s="29">
        <f>O34+O31</f>
      </c>
      <c r="P40" s="29">
        <f>P34+P31</f>
      </c>
      <c r="Q40" s="29">
        <f>Q34+Q31</f>
      </c>
      <c r="R40" s="29">
        <f>R34+R31</f>
      </c>
      <c r="S40" s="29">
        <f>S34+S31</f>
      </c>
      <c r="T40" s="29">
        <f>T34+T31</f>
      </c>
      <c r="U40" s="29">
        <f>U34+U31</f>
      </c>
      <c r="V40" s="29">
        <f>V34+V31</f>
      </c>
      <c r="W40" s="29">
        <f>W34+W31</f>
      </c>
      <c r="X40" s="29">
        <f>X34+X31</f>
      </c>
    </row>
    <row r="41" spans="2:24" x14ac:dyDescent="0.25">
      <c r="B41" s="31" t="s">
        <v>380</v>
      </c>
      <c r="C41" s="32" t="s">
        <v>228</v>
      </c>
      <c r="E41" s="29">
        <f>MAX(0,E40-E27*'입력값'!C24)</f>
      </c>
      <c r="F41" s="29">
        <f>MAX(0,F40-F27*'입력값'!C24)</f>
      </c>
      <c r="G41" s="29">
        <f>MAX(0,G40-G27*'입력값'!C24)</f>
      </c>
      <c r="H41" s="29">
        <f>MAX(0,H40-H27*'입력값'!C24)</f>
      </c>
      <c r="I41" s="29">
        <f>MAX(0,I40-I27*'입력값'!C24)</f>
      </c>
      <c r="J41" s="29">
        <f>MAX(0,J40-J27*'입력값'!C24)</f>
      </c>
      <c r="K41" s="29">
        <f>MAX(0,K40-K27*'입력값'!C24)</f>
      </c>
      <c r="L41" s="29">
        <f>MAX(0,L40-L27*'입력값'!C24)</f>
      </c>
      <c r="M41" s="29">
        <f>MAX(0,M40-M27*'입력값'!C24)</f>
      </c>
      <c r="N41" s="29">
        <f>MAX(0,N40-N27*'입력값'!C24)</f>
      </c>
      <c r="O41" s="29">
        <f>MAX(0,O40-O27*'입력값'!C24)</f>
      </c>
      <c r="P41" s="29">
        <f>MAX(0,P40-P27*'입력값'!C24)</f>
      </c>
      <c r="Q41" s="29">
        <f>MAX(0,Q40-Q27*'입력값'!C24)</f>
      </c>
      <c r="R41" s="29">
        <f>MAX(0,R40-R27*'입력값'!C24)</f>
      </c>
      <c r="S41" s="29">
        <f>MAX(0,S40-S27*'입력값'!C24)</f>
      </c>
      <c r="T41" s="29">
        <f>MAX(0,T40-T27*'입력값'!C24)</f>
      </c>
      <c r="U41" s="29">
        <f>MAX(0,U40-U27*'입력값'!C24)</f>
      </c>
      <c r="V41" s="29">
        <f>MAX(0,V40-V27*'입력값'!C24)</f>
      </c>
      <c r="W41" s="29">
        <f>MAX(0,W40-W27*'입력값'!C24)</f>
      </c>
      <c r="X41" s="29">
        <f>MAX(0,X40-X27*'입력값'!C24)</f>
      </c>
    </row>
    <row r="42" spans="2:24" x14ac:dyDescent="0.25">
      <c r="B42" s="31" t="s">
        <v>381</v>
      </c>
      <c r="C42" s="32" t="s">
        <v>228</v>
      </c>
      <c r="E42" s="29">
        <f>IF(E37,MAX(0,MIN(MIN(E39,E38),E41)),0)</f>
      </c>
      <c r="F42" s="29">
        <f>IF(F37,MAX(0,MIN(MIN(F39,F38),F41)),0)</f>
      </c>
      <c r="G42" s="29">
        <f>IF(G37,MAX(0,MIN(MIN(G39,G38),G41)),0)</f>
      </c>
      <c r="H42" s="29">
        <f>IF(H37,MAX(0,MIN(MIN(H39,H38),H41)),0)</f>
      </c>
      <c r="I42" s="29">
        <f>IF(I37,MAX(0,MIN(MIN(I39,I38),I41)),0)</f>
      </c>
      <c r="J42" s="29">
        <f>IF(J37,MAX(0,MIN(MIN(J39,J38),J41)),0)</f>
      </c>
      <c r="K42" s="29">
        <f>IF(K37,MAX(0,MIN(MIN(K39,K38),K41)),0)</f>
      </c>
      <c r="L42" s="29">
        <f>IF(L37,MAX(0,MIN(MIN(L39,L38),L41)),0)</f>
      </c>
      <c r="M42" s="29">
        <f>IF(M37,MAX(0,MIN(MIN(M39,M38),M41)),0)</f>
      </c>
      <c r="N42" s="29">
        <f>IF(N37,MAX(0,MIN(MIN(N39,N38),N41)),0)</f>
      </c>
      <c r="O42" s="29">
        <f>IF(O37,MAX(0,MIN(MIN(O39,O38),O41)),0)</f>
      </c>
      <c r="P42" s="29">
        <f>IF(P37,MAX(0,MIN(MIN(P39,P38),P41)),0)</f>
      </c>
      <c r="Q42" s="29">
        <f>IF(Q37,MAX(0,MIN(MIN(Q39,Q38),Q41)),0)</f>
      </c>
      <c r="R42" s="29">
        <f>IF(R37,MAX(0,MIN(MIN(R39,R38),R41)),0)</f>
      </c>
      <c r="S42" s="29">
        <f>IF(S37,MAX(0,MIN(MIN(S39,S38),S41)),0)</f>
      </c>
      <c r="T42" s="29">
        <f>IF(T37,MAX(0,MIN(MIN(T39,T38),T41)),0)</f>
      </c>
      <c r="U42" s="29">
        <f>IF(U37,MAX(0,MIN(MIN(U39,U38),U41)),0)</f>
      </c>
      <c r="V42" s="29">
        <f>IF(V37,MAX(0,MIN(MIN(V39,V38),V41)),0)</f>
      </c>
      <c r="W42" s="29">
        <f>IF(W37,MAX(0,MIN(MIN(W39,W38),W41)),0)</f>
      </c>
      <c r="X42" s="29">
        <f>IF(X37,MAX(0,MIN(MIN(X39,X38),X41)),0)</f>
      </c>
    </row>
    <row r="43" spans="2:24" x14ac:dyDescent="0.25">
      <c r="B43" s="31" t="s">
        <v>382</v>
      </c>
      <c r="C43" s="32" t="s">
        <v>228</v>
      </c>
      <c r="E43" s="29">
        <f>IF(E37,MAX(0,MIN(E42*0.10,'입력값'!C9*100*0.5-J23)),0)</f>
      </c>
      <c r="F43" s="29">
        <f>IF(F37,MAX(0,MIN(F42*0.10,'입력값'!C9*100*0.5-N23)),0)</f>
      </c>
      <c r="G43" s="29">
        <f>IF(G37,MAX(0,MIN(G42*0.10,'입력값'!C9*100*0.5-R23)),0)</f>
      </c>
      <c r="H43" s="29">
        <f>IF(H37,MAX(0,MIN(H42*0.10,'입력값'!C9*100*0.5-V23)),0)</f>
      </c>
      <c r="I43" s="29">
        <f>IF(I37,MAX(0,MIN(I42*0.10,'입력값'!C9*100*0.5-Z23)),0)</f>
      </c>
      <c r="J43" s="29">
        <f>IF(J37,MAX(0,MIN(J42*0.10,'입력값'!C9*100*0.5-AD23)),0)</f>
      </c>
      <c r="K43" s="29">
        <f>IF(K37,MAX(0,MIN(K42*0.10,'입력값'!C9*100*0.5-AH23)),0)</f>
      </c>
      <c r="L43" s="29">
        <f>IF(L37,MAX(0,MIN(L42*0.10,'입력값'!C9*100*0.5-AL23)),0)</f>
      </c>
      <c r="M43" s="29">
        <f>IF(M37,MAX(0,MIN(M42*0.10,'입력값'!C9*100*0.5-AP23)),0)</f>
      </c>
      <c r="N43" s="29">
        <f>IF(N37,MAX(0,MIN(N42*0.10,'입력값'!C9*100*0.5-AT23)),0)</f>
      </c>
      <c r="O43" s="29">
        <f>IF(O37,MAX(0,MIN(O42*0.10,'입력값'!C9*100*0.5-AX23)),0)</f>
      </c>
      <c r="P43" s="29">
        <f>IF(P37,MAX(0,MIN(P42*0.10,'입력값'!C9*100*0.5-BB23)),0)</f>
      </c>
      <c r="Q43" s="29">
        <f>IF(Q37,MAX(0,MIN(Q42*0.10,'입력값'!C9*100*0.5-BF23)),0)</f>
      </c>
      <c r="R43" s="29">
        <f>IF(R37,MAX(0,MIN(R42*0.10,'입력값'!C9*100*0.5-BJ23)),0)</f>
      </c>
      <c r="S43" s="29">
        <f>IF(S37,MAX(0,MIN(S42*0.10,'입력값'!C9*100*0.5-BN23)),0)</f>
      </c>
      <c r="T43" s="29">
        <f>IF(T37,MAX(0,MIN(T42*0.10,'입력값'!C9*100*0.5-BR23)),0)</f>
      </c>
      <c r="U43" s="29">
        <f>IF(U37,MAX(0,MIN(U42*0.10,'입력값'!C9*100*0.5-BV23)),0)</f>
      </c>
      <c r="V43" s="29">
        <f>IF(V37,MAX(0,MIN(V42*0.10,'입력값'!C9*100*0.5-BZ23)),0)</f>
      </c>
      <c r="W43" s="29">
        <f>IF(W37,MAX(0,MIN(W42*0.10,'입력값'!C9*100*0.5-CD23)),0)</f>
      </c>
      <c r="X43" s="29">
        <f>IF(X37,MAX(0,MIN(X42*0.10,'입력값'!C9*100*0.5-CH23)),0)</f>
      </c>
    </row>
    <row r="45" spans="2:91" x14ac:dyDescent="0.25">
      <c r="B45" s="9" t="s">
        <v>383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</row>
    <row r="47" spans="2:4" x14ac:dyDescent="0.25">
      <c r="B47" s="42" t="s">
        <v>384</v>
      </c>
      <c r="C47" s="32" t="s">
        <v>352</v>
      </c>
      <c r="D47" s="16">
        <f>MIN(E29:V29)</f>
      </c>
    </row>
    <row r="48" spans="2:4" x14ac:dyDescent="0.25">
      <c r="B48" s="42" t="s">
        <v>385</v>
      </c>
      <c r="C48" s="32" t="s">
        <v>352</v>
      </c>
      <c r="D48" s="16">
        <f>MIN(E30:V30)</f>
      </c>
    </row>
    <row r="49" spans="2:4" x14ac:dyDescent="0.25">
      <c r="B49" s="42" t="s">
        <v>386</v>
      </c>
      <c r="C49" s="32" t="s">
        <v>228</v>
      </c>
      <c r="D49" s="14">
        <f>CL17</f>
      </c>
    </row>
    <row r="51" spans="2:91" x14ac:dyDescent="0.25">
      <c r="B51" s="9" t="s">
        <v>387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</row>
    <row r="53" spans="2:90" x14ac:dyDescent="0.25">
      <c r="B53" s="26" t="s">
        <v>102</v>
      </c>
      <c r="C53" s="26" t="s">
        <v>103</v>
      </c>
      <c r="D53" s="26" t="s">
        <v>104</v>
      </c>
      <c r="E53" s="30" t="s">
        <v>105</v>
      </c>
      <c r="F53" s="30" t="s">
        <v>106</v>
      </c>
      <c r="G53" s="30" t="s">
        <v>107</v>
      </c>
      <c r="H53" s="30" t="s">
        <v>108</v>
      </c>
      <c r="I53" s="30" t="s">
        <v>109</v>
      </c>
      <c r="J53" s="30" t="s">
        <v>110</v>
      </c>
      <c r="K53" s="30" t="s">
        <v>111</v>
      </c>
      <c r="L53" s="30" t="s">
        <v>112</v>
      </c>
      <c r="M53" s="30" t="s">
        <v>113</v>
      </c>
      <c r="N53" s="30" t="s">
        <v>114</v>
      </c>
      <c r="O53" s="30" t="s">
        <v>115</v>
      </c>
      <c r="P53" s="30" t="s">
        <v>116</v>
      </c>
      <c r="Q53" s="30" t="s">
        <v>117</v>
      </c>
      <c r="R53" s="30" t="s">
        <v>118</v>
      </c>
      <c r="S53" s="30" t="s">
        <v>119</v>
      </c>
      <c r="T53" s="30" t="s">
        <v>120</v>
      </c>
      <c r="U53" s="30" t="s">
        <v>121</v>
      </c>
      <c r="V53" s="30" t="s">
        <v>122</v>
      </c>
      <c r="W53" s="30" t="s">
        <v>123</v>
      </c>
      <c r="X53" s="30" t="s">
        <v>124</v>
      </c>
      <c r="Y53" s="30" t="s">
        <v>125</v>
      </c>
      <c r="Z53" s="30" t="s">
        <v>126</v>
      </c>
      <c r="AA53" s="30" t="s">
        <v>127</v>
      </c>
      <c r="AB53" s="30" t="s">
        <v>128</v>
      </c>
      <c r="AC53" s="30" t="s">
        <v>129</v>
      </c>
      <c r="AD53" s="30" t="s">
        <v>130</v>
      </c>
      <c r="AE53" s="30" t="s">
        <v>131</v>
      </c>
      <c r="AF53" s="30" t="s">
        <v>132</v>
      </c>
      <c r="AG53" s="30" t="s">
        <v>133</v>
      </c>
      <c r="AH53" s="30" t="s">
        <v>134</v>
      </c>
      <c r="AI53" s="30" t="s">
        <v>135</v>
      </c>
      <c r="AJ53" s="30" t="s">
        <v>136</v>
      </c>
      <c r="AK53" s="30" t="s">
        <v>137</v>
      </c>
      <c r="AL53" s="30" t="s">
        <v>138</v>
      </c>
      <c r="AM53" s="30" t="s">
        <v>139</v>
      </c>
      <c r="AN53" s="30" t="s">
        <v>140</v>
      </c>
      <c r="AO53" s="30" t="s">
        <v>141</v>
      </c>
      <c r="AP53" s="30" t="s">
        <v>142</v>
      </c>
      <c r="AQ53" s="30" t="s">
        <v>143</v>
      </c>
      <c r="AR53" s="30" t="s">
        <v>144</v>
      </c>
      <c r="AS53" s="30" t="s">
        <v>145</v>
      </c>
      <c r="AT53" s="30" t="s">
        <v>146</v>
      </c>
      <c r="AU53" s="30" t="s">
        <v>147</v>
      </c>
      <c r="AV53" s="30" t="s">
        <v>148</v>
      </c>
      <c r="AW53" s="30" t="s">
        <v>149</v>
      </c>
      <c r="AX53" s="30" t="s">
        <v>150</v>
      </c>
      <c r="AY53" s="30" t="s">
        <v>151</v>
      </c>
      <c r="AZ53" s="30" t="s">
        <v>152</v>
      </c>
      <c r="BA53" s="30" t="s">
        <v>153</v>
      </c>
      <c r="BB53" s="30" t="s">
        <v>154</v>
      </c>
      <c r="BC53" s="30" t="s">
        <v>155</v>
      </c>
      <c r="BD53" s="30" t="s">
        <v>156</v>
      </c>
      <c r="BE53" s="30" t="s">
        <v>157</v>
      </c>
      <c r="BF53" s="30" t="s">
        <v>158</v>
      </c>
      <c r="BG53" s="30" t="s">
        <v>159</v>
      </c>
      <c r="BH53" s="30" t="s">
        <v>160</v>
      </c>
      <c r="BI53" s="30" t="s">
        <v>161</v>
      </c>
      <c r="BJ53" s="30" t="s">
        <v>162</v>
      </c>
      <c r="BK53" s="30" t="s">
        <v>163</v>
      </c>
      <c r="BL53" s="30" t="s">
        <v>164</v>
      </c>
      <c r="BM53" s="30" t="s">
        <v>165</v>
      </c>
      <c r="BN53" s="30" t="s">
        <v>166</v>
      </c>
      <c r="BO53" s="30" t="s">
        <v>167</v>
      </c>
      <c r="BP53" s="30" t="s">
        <v>168</v>
      </c>
      <c r="BQ53" s="30" t="s">
        <v>169</v>
      </c>
      <c r="BR53" s="30" t="s">
        <v>170</v>
      </c>
      <c r="BS53" s="30" t="s">
        <v>171</v>
      </c>
      <c r="BT53" s="30" t="s">
        <v>172</v>
      </c>
      <c r="BU53" s="30" t="s">
        <v>173</v>
      </c>
      <c r="BV53" s="30" t="s">
        <v>174</v>
      </c>
      <c r="BW53" s="30" t="s">
        <v>175</v>
      </c>
      <c r="BX53" s="30" t="s">
        <v>176</v>
      </c>
      <c r="BY53" s="30" t="s">
        <v>177</v>
      </c>
      <c r="BZ53" s="30" t="s">
        <v>178</v>
      </c>
      <c r="CA53" s="30" t="s">
        <v>179</v>
      </c>
      <c r="CB53" s="30" t="s">
        <v>180</v>
      </c>
      <c r="CC53" s="30" t="s">
        <v>181</v>
      </c>
      <c r="CD53" s="30" t="s">
        <v>182</v>
      </c>
      <c r="CE53" s="30" t="s">
        <v>183</v>
      </c>
      <c r="CF53" s="30" t="s">
        <v>184</v>
      </c>
      <c r="CG53" s="30" t="s">
        <v>185</v>
      </c>
      <c r="CH53" s="30" t="s">
        <v>186</v>
      </c>
      <c r="CI53" s="30" t="s">
        <v>187</v>
      </c>
      <c r="CJ53" s="30" t="s">
        <v>188</v>
      </c>
      <c r="CK53" s="30" t="s">
        <v>189</v>
      </c>
      <c r="CL53" s="30" t="s">
        <v>190</v>
      </c>
    </row>
    <row r="55" spans="2:90" x14ac:dyDescent="0.25">
      <c r="B55" s="31" t="s">
        <v>388</v>
      </c>
      <c r="C55" s="32" t="s">
        <v>228</v>
      </c>
      <c r="D55" s="29">
        <f>SUM(E55:CL55)</f>
      </c>
      <c r="E55" s="29">
        <f>'Debt'!E17</f>
      </c>
      <c r="F55" s="29">
        <f>'Debt'!F17-'Debt'!E17</f>
      </c>
      <c r="G55" s="29">
        <f>'Debt'!G17-'Debt'!F17</f>
      </c>
      <c r="H55" s="29">
        <f>'Debt'!H17-'Debt'!G17</f>
      </c>
      <c r="I55" s="29">
        <f>'Debt'!I17-'Debt'!H17</f>
      </c>
      <c r="J55" s="29">
        <f>'Debt'!J17-'Debt'!I17</f>
      </c>
      <c r="K55" s="29">
        <f>'Debt'!K17-'Debt'!J17</f>
      </c>
      <c r="L55" s="29">
        <f>'Debt'!L17-'Debt'!K17</f>
      </c>
      <c r="M55" s="29">
        <f>'Debt'!M17-'Debt'!L17</f>
      </c>
      <c r="N55" s="29">
        <f>'Debt'!N17-'Debt'!M17</f>
      </c>
      <c r="O55" s="29">
        <f>'Debt'!O17-'Debt'!N17</f>
      </c>
      <c r="P55" s="29">
        <f>'Debt'!P17-'Debt'!O17</f>
      </c>
      <c r="Q55" s="29">
        <f>'Debt'!Q17-'Debt'!P17</f>
      </c>
      <c r="R55" s="29">
        <f>'Debt'!R17-'Debt'!Q17</f>
      </c>
      <c r="S55" s="29">
        <f>'Debt'!S17-'Debt'!R17</f>
      </c>
      <c r="T55" s="29">
        <f>'Debt'!T17-'Debt'!S17</f>
      </c>
      <c r="U55" s="29">
        <f>'Debt'!U17-'Debt'!T17</f>
      </c>
      <c r="V55" s="29">
        <f>'Debt'!V17-'Debt'!U17</f>
      </c>
      <c r="W55" s="29">
        <f>'Debt'!W17-'Debt'!V17</f>
      </c>
      <c r="X55" s="29">
        <f>'Debt'!X17-'Debt'!W17</f>
      </c>
      <c r="Y55" s="29">
        <f>'Debt'!Y17-'Debt'!X17</f>
      </c>
      <c r="Z55" s="29">
        <f>'Debt'!Z17-'Debt'!Y17</f>
      </c>
      <c r="AA55" s="29">
        <f>'Debt'!AA17-'Debt'!Z17</f>
      </c>
      <c r="AB55" s="29">
        <f>'Debt'!AB17-'Debt'!AA17</f>
      </c>
      <c r="AC55" s="29">
        <f>'Debt'!AC17-'Debt'!AB17</f>
      </c>
      <c r="AD55" s="29">
        <f>'Debt'!AD17-'Debt'!AC17</f>
      </c>
      <c r="AE55" s="29">
        <f>'Debt'!AE17-'Debt'!AD17</f>
      </c>
      <c r="AF55" s="29">
        <f>'Debt'!AF17-'Debt'!AE17</f>
      </c>
      <c r="AG55" s="29">
        <f>'Debt'!AG17-'Debt'!AF17</f>
      </c>
      <c r="AH55" s="29">
        <f>'Debt'!AH17-'Debt'!AG17</f>
      </c>
      <c r="AI55" s="29">
        <f>'Debt'!AI17-'Debt'!AH17</f>
      </c>
      <c r="AJ55" s="29">
        <f>'Debt'!AJ17-'Debt'!AI17</f>
      </c>
      <c r="AK55" s="29">
        <f>'Debt'!AK17-'Debt'!AJ17</f>
      </c>
      <c r="AL55" s="29">
        <f>'Debt'!AL17-'Debt'!AK17</f>
      </c>
      <c r="AM55" s="29">
        <f>'Debt'!AM17-'Debt'!AL17</f>
      </c>
      <c r="AN55" s="29">
        <f>'Debt'!AN17-'Debt'!AM17</f>
      </c>
      <c r="AO55" s="29">
        <f>'Debt'!AO17-'Debt'!AN17</f>
      </c>
      <c r="AP55" s="29">
        <f>'Debt'!AP17-'Debt'!AO17</f>
      </c>
      <c r="AQ55" s="29">
        <f>'Debt'!AQ17-'Debt'!AP17</f>
      </c>
      <c r="AR55" s="29">
        <f>'Debt'!AR17-'Debt'!AQ17</f>
      </c>
      <c r="AS55" s="29">
        <f>'Debt'!AS17-'Debt'!AR17</f>
      </c>
      <c r="AT55" s="29">
        <f>'Debt'!AT17-'Debt'!AS17</f>
      </c>
      <c r="AU55" s="29">
        <f>'Debt'!AU17-'Debt'!AT17</f>
      </c>
      <c r="AV55" s="29">
        <f>'Debt'!AV17-'Debt'!AU17</f>
      </c>
      <c r="AW55" s="29">
        <f>'Debt'!AW17-'Debt'!AV17</f>
      </c>
      <c r="AX55" s="29">
        <f>'Debt'!AX17-'Debt'!AW17</f>
      </c>
      <c r="AY55" s="29">
        <f>'Debt'!AY17-'Debt'!AX17</f>
      </c>
      <c r="AZ55" s="29">
        <f>'Debt'!AZ17-'Debt'!AY17</f>
      </c>
      <c r="BA55" s="29">
        <f>'Debt'!BA17-'Debt'!AZ17</f>
      </c>
      <c r="BB55" s="29">
        <f>'Debt'!BB17-'Debt'!BA17</f>
      </c>
      <c r="BC55" s="29">
        <f>'Debt'!BC17-'Debt'!BB17</f>
      </c>
      <c r="BD55" s="29">
        <f>'Debt'!BD17-'Debt'!BC17</f>
      </c>
      <c r="BE55" s="29">
        <f>'Debt'!BE17-'Debt'!BD17</f>
      </c>
      <c r="BF55" s="29">
        <f>'Debt'!BF17-'Debt'!BE17</f>
      </c>
      <c r="BG55" s="29">
        <f>'Debt'!BG17-'Debt'!BF17</f>
      </c>
      <c r="BH55" s="29">
        <f>'Debt'!BH17-'Debt'!BG17</f>
      </c>
      <c r="BI55" s="29">
        <f>'Debt'!BI17-'Debt'!BH17</f>
      </c>
      <c r="BJ55" s="29">
        <f>'Debt'!BJ17-'Debt'!BI17</f>
      </c>
      <c r="BK55" s="29">
        <f>'Debt'!BK17-'Debt'!BJ17</f>
      </c>
      <c r="BL55" s="29">
        <f>'Debt'!BL17-'Debt'!BK17</f>
      </c>
      <c r="BM55" s="29">
        <f>'Debt'!BM17-'Debt'!BL17</f>
      </c>
      <c r="BN55" s="29">
        <f>'Debt'!BN17-'Debt'!BM17</f>
      </c>
      <c r="BO55" s="29">
        <f>'Debt'!BO17-'Debt'!BN17</f>
      </c>
      <c r="BP55" s="29">
        <f>'Debt'!BP17-'Debt'!BO17</f>
      </c>
      <c r="BQ55" s="29">
        <f>'Debt'!BQ17-'Debt'!BP17</f>
      </c>
      <c r="BR55" s="29">
        <f>'Debt'!BR17-'Debt'!BQ17</f>
      </c>
      <c r="BS55" s="29">
        <f>'Debt'!BS17-'Debt'!BR17</f>
      </c>
      <c r="BT55" s="29">
        <f>'Debt'!BT17-'Debt'!BS17</f>
      </c>
      <c r="BU55" s="29">
        <f>'Debt'!BU17-'Debt'!BT17</f>
      </c>
      <c r="BV55" s="29">
        <f>'Debt'!BV17-'Debt'!BU17</f>
      </c>
      <c r="BW55" s="29">
        <f>'Debt'!BW17-'Debt'!BV17</f>
      </c>
      <c r="BX55" s="29">
        <f>'Debt'!BX17-'Debt'!BW17</f>
      </c>
      <c r="BY55" s="29">
        <f>'Debt'!BY17-'Debt'!BX17</f>
      </c>
      <c r="BZ55" s="29">
        <f>'Debt'!BZ17-'Debt'!BY17</f>
      </c>
      <c r="CA55" s="29">
        <f>'Debt'!CA17-'Debt'!BZ17</f>
      </c>
      <c r="CB55" s="29">
        <f>'Debt'!CB17-'Debt'!CA17</f>
      </c>
      <c r="CC55" s="29">
        <f>'Debt'!CC17-'Debt'!CB17</f>
      </c>
      <c r="CD55" s="29">
        <f>'Debt'!CD17-'Debt'!CC17</f>
      </c>
      <c r="CE55" s="29">
        <f>'Debt'!CE17-'Debt'!CD17</f>
      </c>
      <c r="CF55" s="29">
        <f>'Debt'!CF17-'Debt'!CE17</f>
      </c>
      <c r="CG55" s="29">
        <f>'Debt'!CG17-'Debt'!CF17</f>
      </c>
      <c r="CH55" s="29">
        <f>'Debt'!CH17-'Debt'!CG17</f>
      </c>
      <c r="CI55" s="29">
        <f>'Debt'!CI17-'Debt'!CH17</f>
      </c>
      <c r="CJ55" s="29">
        <f>'Debt'!CJ17-'Debt'!CI17</f>
      </c>
      <c r="CK55" s="29">
        <f>'Debt'!CK17-'Debt'!CJ17</f>
      </c>
      <c r="CL55" s="29">
        <f>'Debt'!CL17-'Debt'!CK17</f>
      </c>
    </row>
    <row r="56" spans="2:90" x14ac:dyDescent="0.25">
      <c r="B56" s="31" t="s">
        <v>389</v>
      </c>
      <c r="C56" s="32" t="s">
        <v>228</v>
      </c>
      <c r="E56" s="29">
        <f>'Revenue'!E12-'Opex'!E24+'IS(Q)'!E44+'IS(Q)'!E31-('입력값'!E69*'입력값'!C8*100)</f>
      </c>
      <c r="F56" s="29">
        <f>'Revenue'!F12-'Opex'!F24+'IS(Q)'!F44+'IS(Q)'!F31-('입력값'!F69*'입력값'!C8*100)</f>
      </c>
      <c r="G56" s="29">
        <f>'Revenue'!G12-'Opex'!G24+'IS(Q)'!G44+'IS(Q)'!G31-('입력값'!G69*'입력값'!C8*100)</f>
      </c>
      <c r="H56" s="29">
        <f>'Revenue'!H12-'Opex'!H24+'IS(Q)'!H44+'IS(Q)'!H31-('입력값'!H69*'입력값'!C8*100)</f>
      </c>
      <c r="I56" s="29">
        <f>'Revenue'!I12-'Opex'!I24+'IS(Q)'!I44+'IS(Q)'!I31-('입력값'!I69*'입력값'!C8*100)</f>
      </c>
      <c r="J56" s="29">
        <f>'Revenue'!J12-'Opex'!J24+'IS(Q)'!J44+'IS(Q)'!J31-('입력값'!J69*'입력값'!C8*100)</f>
      </c>
      <c r="K56" s="29">
        <f>'Revenue'!K12-'Opex'!K24+'IS(Q)'!K44+'IS(Q)'!K31+'입력값'!K124-('입력값'!K69*'입력값'!C8*100)</f>
      </c>
      <c r="L56" s="29">
        <f>'Revenue'!L12-'Opex'!L24+'IS(Q)'!L44+'IS(Q)'!L31+'입력값'!L124-('입력값'!L69*'입력값'!C8*100)</f>
      </c>
      <c r="M56" s="29">
        <f>'Revenue'!M12-'Opex'!M24+'IS(Q)'!M44+'IS(Q)'!M31+'입력값'!M124-('입력값'!M69*'입력값'!C8*100)</f>
      </c>
      <c r="N56" s="29">
        <f>'Revenue'!N12-'Opex'!N24+'IS(Q)'!N44+'IS(Q)'!N31+'입력값'!N124-('입력값'!N69*'입력값'!C8*100)</f>
      </c>
      <c r="O56" s="29">
        <f>'Revenue'!O12-'Opex'!O24+'IS(Q)'!O44+'IS(Q)'!O31+'입력값'!O124-('입력값'!O69*'입력값'!C8*100)</f>
      </c>
      <c r="P56" s="29">
        <f>'Revenue'!P12-'Opex'!P24+'IS(Q)'!P44+'IS(Q)'!P31+'입력값'!P124-('입력값'!P69*'입력값'!C8*100)</f>
      </c>
      <c r="Q56" s="29">
        <f>'Revenue'!Q12-'Opex'!Q24+'IS(Q)'!Q44+'IS(Q)'!Q31+'입력값'!Q124-('입력값'!Q69*'입력값'!C8*100)</f>
      </c>
      <c r="R56" s="29">
        <f>'Revenue'!R12-'Opex'!R24+'IS(Q)'!R44+'IS(Q)'!R31+'입력값'!R124-('입력값'!R69*'입력값'!C8*100)</f>
      </c>
      <c r="S56" s="29">
        <f>'Revenue'!S12-'Opex'!S24+'IS(Q)'!S44+'IS(Q)'!S31+'입력값'!S124-('입력값'!S69*'입력값'!C8*100)</f>
      </c>
      <c r="T56" s="29">
        <f>'Revenue'!T12-'Opex'!T24+'IS(Q)'!T44+'IS(Q)'!T31+'입력값'!T124-('입력값'!T69*'입력값'!C8*100)</f>
      </c>
      <c r="U56" s="29">
        <f>'Revenue'!U12-'Opex'!U24+'IS(Q)'!U44+'IS(Q)'!U31+'입력값'!U124-('입력값'!U69*'입력값'!C8*100)</f>
      </c>
      <c r="V56" s="29">
        <f>'Revenue'!V12-'Opex'!V24+'IS(Q)'!V44+'IS(Q)'!V31+'입력값'!V124-('입력값'!V69*'입력값'!C8*100)</f>
      </c>
      <c r="W56" s="29">
        <f>'Revenue'!W12-'Opex'!W24+'IS(Q)'!W44+'IS(Q)'!W31+'입력값'!W124-('입력값'!W69*'입력값'!C8*100)</f>
      </c>
      <c r="X56" s="29">
        <f>'Revenue'!X12-'Opex'!X24+'IS(Q)'!X44+'IS(Q)'!X31+'입력값'!X124-('입력값'!X69*'입력값'!C8*100)</f>
      </c>
      <c r="Y56" s="29">
        <f>'Revenue'!Y12-'Opex'!Y24+'IS(Q)'!Y44+'IS(Q)'!Y31+'입력값'!Y124-('입력값'!Y69*'입력값'!C8*100)</f>
      </c>
      <c r="Z56" s="29">
        <f>'Revenue'!Z12-'Opex'!Z24+'IS(Q)'!Z44+'IS(Q)'!Z31+'입력값'!Z124-('입력값'!Z69*'입력값'!C8*100)</f>
      </c>
      <c r="AA56" s="29">
        <f>'Revenue'!AA12-'Opex'!AA24+'IS(Q)'!AA44+'IS(Q)'!AA31+'입력값'!AA124-('입력값'!AA69*'입력값'!C8*100)</f>
      </c>
      <c r="AB56" s="29">
        <f>'Revenue'!AB12-'Opex'!AB24+'IS(Q)'!AB44+'IS(Q)'!AB31+'입력값'!AB124-('입력값'!AB69*'입력값'!C8*100)</f>
      </c>
      <c r="AC56" s="29">
        <f>'Revenue'!AC12-'Opex'!AC24+'IS(Q)'!AC44+'IS(Q)'!AC31+'입력값'!AC124-('입력값'!AC69*'입력값'!C8*100)</f>
      </c>
      <c r="AD56" s="29">
        <f>'Revenue'!AD12-'Opex'!AD24+'IS(Q)'!AD44+'IS(Q)'!AD31+'입력값'!AD124-('입력값'!AD69*'입력값'!C8*100)</f>
      </c>
      <c r="AE56" s="29">
        <f>'Revenue'!AE12-'Opex'!AE24+'IS(Q)'!AE44+'IS(Q)'!AE31+'입력값'!AE124-('입력값'!AE69*'입력값'!C8*100)</f>
      </c>
      <c r="AF56" s="29">
        <f>'Revenue'!AF12-'Opex'!AF24+'IS(Q)'!AF44+'IS(Q)'!AF31+'입력값'!AF124-('입력값'!AF69*'입력값'!C8*100)</f>
      </c>
      <c r="AG56" s="29">
        <f>'Revenue'!AG12-'Opex'!AG24+'IS(Q)'!AG44+'IS(Q)'!AG31+'입력값'!AG124-('입력값'!AG69*'입력값'!C8*100)</f>
      </c>
      <c r="AH56" s="29">
        <f>'Revenue'!AH12-'Opex'!AH24+'IS(Q)'!AH44+'IS(Q)'!AH31+'입력값'!AH124-('입력값'!AH69*'입력값'!C8*100)</f>
      </c>
      <c r="AI56" s="29">
        <f>'Revenue'!AI12-'Opex'!AI24+'IS(Q)'!AI44+'IS(Q)'!AI31+'입력값'!AI124-('입력값'!AI69*'입력값'!C8*100)</f>
      </c>
      <c r="AJ56" s="29">
        <f>'Revenue'!AJ12-'Opex'!AJ24+'IS(Q)'!AJ44+'IS(Q)'!AJ31+'입력값'!AJ124-('입력값'!AJ69*'입력값'!C8*100)</f>
      </c>
      <c r="AK56" s="29">
        <f>'Revenue'!AK12-'Opex'!AK24+'IS(Q)'!AK44+'IS(Q)'!AK31+'입력값'!AK124-('입력값'!AK69*'입력값'!C8*100)</f>
      </c>
      <c r="AL56" s="29">
        <f>'Revenue'!AL12-'Opex'!AL24+'IS(Q)'!AL44+'IS(Q)'!AL31+'입력값'!AL124-('입력값'!AL69*'입력값'!C8*100)</f>
      </c>
      <c r="AM56" s="29">
        <f>'Revenue'!AM12-'Opex'!AM24+'IS(Q)'!AM44+'IS(Q)'!AM31+'입력값'!AM124-('입력값'!AM69*'입력값'!C8*100)</f>
      </c>
      <c r="AN56" s="29">
        <f>'Revenue'!AN12-'Opex'!AN24+'IS(Q)'!AN44+'IS(Q)'!AN31+'입력값'!AN124-('입력값'!AN69*'입력값'!C8*100)</f>
      </c>
      <c r="AO56" s="29">
        <f>'Revenue'!AO12-'Opex'!AO24+'IS(Q)'!AO44+'IS(Q)'!AO31+'입력값'!AO124-('입력값'!AO69*'입력값'!C8*100)</f>
      </c>
      <c r="AP56" s="29">
        <f>'Revenue'!AP12-'Opex'!AP24+'IS(Q)'!AP44+'IS(Q)'!AP31+'입력값'!AP124-('입력값'!AP69*'입력값'!C8*100)</f>
      </c>
      <c r="AQ56" s="29">
        <f>'Revenue'!AQ12-'Opex'!AQ24+'IS(Q)'!AQ44+'IS(Q)'!AQ31+'입력값'!AQ124-('입력값'!AQ69*'입력값'!C8*100)</f>
      </c>
      <c r="AR56" s="29">
        <f>'Revenue'!AR12-'Opex'!AR24+'IS(Q)'!AR44+'IS(Q)'!AR31+'입력값'!AR124-('입력값'!AR69*'입력값'!C8*100)</f>
      </c>
      <c r="AS56" s="29">
        <f>'Revenue'!AS12-'Opex'!AS24+'IS(Q)'!AS44+'IS(Q)'!AS31+'입력값'!AS124-('입력값'!AS69*'입력값'!C8*100)</f>
      </c>
      <c r="AT56" s="29">
        <f>'Revenue'!AT12-'Opex'!AT24+'IS(Q)'!AT44+'IS(Q)'!AT31+'입력값'!AT124-('입력값'!AT69*'입력값'!C8*100)</f>
      </c>
      <c r="AU56" s="29">
        <f>'Revenue'!AU12-'Opex'!AU24+'IS(Q)'!AU44+'IS(Q)'!AU31+'입력값'!AU124-('입력값'!AU69*'입력값'!C8*100)</f>
      </c>
      <c r="AV56" s="29">
        <f>'Revenue'!AV12-'Opex'!AV24+'IS(Q)'!AV44+'IS(Q)'!AV31+'입력값'!AV124-('입력값'!AV69*'입력값'!C8*100)</f>
      </c>
      <c r="AW56" s="29">
        <f>'Revenue'!AW12-'Opex'!AW24+'IS(Q)'!AW44+'IS(Q)'!AW31+'입력값'!AW124-('입력값'!AW69*'입력값'!C8*100)</f>
      </c>
      <c r="AX56" s="29">
        <f>'Revenue'!AX12-'Opex'!AX24+'IS(Q)'!AX44+'IS(Q)'!AX31+'입력값'!AX124-('입력값'!AX69*'입력값'!C8*100)</f>
      </c>
      <c r="AY56" s="29">
        <f>'Revenue'!AY12-'Opex'!AY24+'IS(Q)'!AY44+'IS(Q)'!AY31+'입력값'!AY124-('입력값'!AY69*'입력값'!C8*100)</f>
      </c>
      <c r="AZ56" s="29">
        <f>'Revenue'!AZ12-'Opex'!AZ24+'IS(Q)'!AZ44+'IS(Q)'!AZ31+'입력값'!AZ124-('입력값'!AZ69*'입력값'!C8*100)</f>
      </c>
      <c r="BA56" s="29">
        <f>'Revenue'!BA12-'Opex'!BA24+'IS(Q)'!BA44+'IS(Q)'!BA31+'입력값'!BA124-('입력값'!BA69*'입력값'!C8*100)</f>
      </c>
      <c r="BB56" s="29">
        <f>'Revenue'!BB12-'Opex'!BB24+'IS(Q)'!BB44+'IS(Q)'!BB31+'입력값'!BB124-('입력값'!BB69*'입력값'!C8*100)</f>
      </c>
      <c r="BC56" s="29">
        <f>'Revenue'!BC12-'Opex'!BC24+'IS(Q)'!BC44+'IS(Q)'!BC31+'입력값'!BC124-('입력값'!BC69*'입력값'!C8*100)</f>
      </c>
      <c r="BD56" s="29">
        <f>'Revenue'!BD12-'Opex'!BD24+'IS(Q)'!BD44+'IS(Q)'!BD31+'입력값'!BD124-('입력값'!BD69*'입력값'!C8*100)</f>
      </c>
      <c r="BE56" s="29">
        <f>'Revenue'!BE12-'Opex'!BE24+'IS(Q)'!BE44+'IS(Q)'!BE31+'입력값'!BE124-('입력값'!BE69*'입력값'!C8*100)</f>
      </c>
      <c r="BF56" s="29">
        <f>'Revenue'!BF12-'Opex'!BF24+'IS(Q)'!BF44+'IS(Q)'!BF31+'입력값'!BF124-('입력값'!BF69*'입력값'!C8*100)</f>
      </c>
      <c r="BG56" s="29">
        <f>'Revenue'!BG12-'Opex'!BG24+'IS(Q)'!BG44+'IS(Q)'!BG31+'입력값'!BG124-('입력값'!BG69*'입력값'!C8*100)</f>
      </c>
      <c r="BH56" s="29">
        <f>'Revenue'!BH12-'Opex'!BH24+'IS(Q)'!BH44+'IS(Q)'!BH31+'입력값'!BH124-('입력값'!BH69*'입력값'!C8*100)</f>
      </c>
      <c r="BI56" s="29">
        <f>'Revenue'!BI12-'Opex'!BI24+'IS(Q)'!BI44+'IS(Q)'!BI31+'입력값'!BI124-('입력값'!BI69*'입력값'!C8*100)</f>
      </c>
      <c r="BJ56" s="29">
        <f>'Revenue'!BJ12-'Opex'!BJ24+'IS(Q)'!BJ44+'IS(Q)'!BJ31+'입력값'!BJ124-('입력값'!BJ69*'입력값'!C8*100)</f>
      </c>
      <c r="BK56" s="29">
        <f>'Revenue'!BK12-'Opex'!BK24+'IS(Q)'!BK44+'IS(Q)'!BK31+'입력값'!BK124-('입력값'!BK69*'입력값'!C8*100)</f>
      </c>
      <c r="BL56" s="29">
        <f>'Revenue'!BL12-'Opex'!BL24+'IS(Q)'!BL44+'IS(Q)'!BL31+'입력값'!BL124-('입력값'!BL69*'입력값'!C8*100)</f>
      </c>
      <c r="BM56" s="29">
        <f>'Revenue'!BM12-'Opex'!BM24+'IS(Q)'!BM44+'IS(Q)'!BM31+'입력값'!BM124-('입력값'!BM69*'입력값'!C8*100)</f>
      </c>
      <c r="BN56" s="29">
        <f>'Revenue'!BN12-'Opex'!BN24+'IS(Q)'!BN44+'IS(Q)'!BN31+'입력값'!BN124-('입력값'!BN69*'입력값'!C8*100)</f>
      </c>
      <c r="BO56" s="29">
        <f>'Revenue'!BO12-'Opex'!BO24+'IS(Q)'!BO44+'IS(Q)'!BO31+'입력값'!BO124-('입력값'!BO69*'입력값'!C8*100)</f>
      </c>
      <c r="BP56" s="29">
        <f>'Revenue'!BP12-'Opex'!BP24+'IS(Q)'!BP44+'IS(Q)'!BP31+'입력값'!BP124-('입력값'!BP69*'입력값'!C8*100)</f>
      </c>
      <c r="BQ56" s="29">
        <f>'Revenue'!BQ12-'Opex'!BQ24+'IS(Q)'!BQ44+'IS(Q)'!BQ31+'입력값'!BQ124-('입력값'!BQ69*'입력값'!C8*100)</f>
      </c>
      <c r="BR56" s="29">
        <f>'Revenue'!BR12-'Opex'!BR24+'IS(Q)'!BR44+'IS(Q)'!BR31+'입력값'!BR124-('입력값'!BR69*'입력값'!C8*100)</f>
      </c>
      <c r="BS56" s="29">
        <f>'Revenue'!BS12-'Opex'!BS24+'IS(Q)'!BS44+'IS(Q)'!BS31+'입력값'!BS124-('입력값'!BS69*'입력값'!C8*100)</f>
      </c>
      <c r="BT56" s="29">
        <f>'Revenue'!BT12-'Opex'!BT24+'IS(Q)'!BT44+'IS(Q)'!BT31+'입력값'!BT124-('입력값'!BT69*'입력값'!C8*100)</f>
      </c>
      <c r="BU56" s="29">
        <f>'Revenue'!BU12-'Opex'!BU24+'IS(Q)'!BU44+'IS(Q)'!BU31+'입력값'!BU124-('입력값'!BU69*'입력값'!C8*100)</f>
      </c>
      <c r="BV56" s="29">
        <f>'Revenue'!BV12-'Opex'!BV24+'IS(Q)'!BV44+'IS(Q)'!BV31+'입력값'!BV124-('입력값'!BV69*'입력값'!C8*100)</f>
      </c>
      <c r="BW56" s="29">
        <f>'Revenue'!BW12-'Opex'!BW24+'IS(Q)'!BW44+'IS(Q)'!BW31+'입력값'!BW124-('입력값'!BW69*'입력값'!C8*100)</f>
      </c>
      <c r="BX56" s="29">
        <f>'Revenue'!BX12-'Opex'!BX24+'IS(Q)'!BX44+'IS(Q)'!BX31+'입력값'!BX124-('입력값'!BX69*'입력값'!C8*100)</f>
      </c>
      <c r="BY56" s="29">
        <f>'Revenue'!BY12-'Opex'!BY24+'IS(Q)'!BY44+'IS(Q)'!BY31+'입력값'!BY124-('입력값'!BY69*'입력값'!C8*100)</f>
      </c>
      <c r="BZ56" s="29">
        <f>'Revenue'!BZ12-'Opex'!BZ24+'IS(Q)'!BZ44+'IS(Q)'!BZ31+'입력값'!BZ124-('입력값'!BZ69*'입력값'!C8*100)</f>
      </c>
      <c r="CA56" s="29">
        <f>'Revenue'!CA12-'Opex'!CA24+'IS(Q)'!CA44+'IS(Q)'!CA31+'입력값'!CA124-('입력값'!CA69*'입력값'!C8*100)</f>
      </c>
      <c r="CB56" s="29">
        <f>'Revenue'!CB12-'Opex'!CB24+'IS(Q)'!CB44+'IS(Q)'!CB31+'입력값'!CB124-('입력값'!CB69*'입력값'!C8*100)</f>
      </c>
      <c r="CC56" s="29">
        <f>'Revenue'!CC12-'Opex'!CC24+'IS(Q)'!CC44+'IS(Q)'!CC31+'입력값'!CC124-('입력값'!CC69*'입력값'!C8*100)</f>
      </c>
      <c r="CD56" s="29">
        <f>'Revenue'!CD12-'Opex'!CD24+'IS(Q)'!CD44+'IS(Q)'!CD31+'입력값'!CD124-('입력값'!CD69*'입력값'!C8*100)</f>
      </c>
      <c r="CE56" s="29">
        <f>'Revenue'!CE12-'Opex'!CE24+'IS(Q)'!CE44+'IS(Q)'!CE31+'입력값'!CE124-('입력값'!CE69*'입력값'!C8*100)</f>
      </c>
      <c r="CF56" s="29">
        <f>'Revenue'!CF12-'Opex'!CF24+'IS(Q)'!CF44+'IS(Q)'!CF31+'입력값'!CF124-('입력값'!CF69*'입력값'!C8*100)</f>
      </c>
      <c r="CG56" s="29">
        <f>'Revenue'!CG12-'Opex'!CG24+'IS(Q)'!CG44+'IS(Q)'!CG31+'입력값'!CG124-('입력값'!CG69*'입력값'!C8*100)</f>
      </c>
      <c r="CH56" s="29">
        <f>'Revenue'!CH12-'Opex'!CH24+'IS(Q)'!CH44+'IS(Q)'!CH31+'입력값'!CH124-('입력값'!CH69*'입력값'!C8*100)</f>
      </c>
      <c r="CI56" s="29">
        <f>'Revenue'!CI12-'Opex'!CI24+'IS(Q)'!CI44+'IS(Q)'!CI31+'입력값'!CI124-('입력값'!CI69*'입력값'!C8*100)</f>
      </c>
      <c r="CJ56" s="29">
        <f>'Revenue'!CJ12-'Opex'!CJ24+'IS(Q)'!CJ44+'IS(Q)'!CJ31+'입력값'!CJ124-('입력값'!CJ69*'입력값'!C8*100)</f>
      </c>
      <c r="CK56" s="29">
        <f>'Revenue'!CK12-'Opex'!CK24+'IS(Q)'!CK44+'IS(Q)'!CK31+'입력값'!CK124-('입력값'!CK69*'입력값'!C8*100)</f>
      </c>
      <c r="CL56" s="29">
        <f>'Revenue'!CL12-'Opex'!CL24+'IS(Q)'!CL44-'입력값'!C17*100+'IS(Q)'!CL31+'입력값'!CL124-('입력값'!CL69*'입력값'!C8*100)</f>
      </c>
    </row>
    <row r="57" spans="2:90" x14ac:dyDescent="0.25">
      <c r="B57" s="31" t="s">
        <v>390</v>
      </c>
      <c r="C57" s="32" t="s">
        <v>228</v>
      </c>
      <c r="E57" s="29">
        <f>'Revenue'!E12-'Opex'!E24+'IS(Q)'!E31-('입력값'!E69*'입력값'!C8*100)</f>
      </c>
      <c r="F57" s="29">
        <f>'Revenue'!F12-'Opex'!F24+'IS(Q)'!F31-('입력값'!F69*'입력값'!C8*100)</f>
      </c>
      <c r="G57" s="29">
        <f>'Revenue'!G12-'Opex'!G24+'IS(Q)'!G31-('입력값'!G69*'입력값'!C8*100)</f>
      </c>
      <c r="H57" s="29">
        <f>'Revenue'!H12-'Opex'!H24+'IS(Q)'!H31-('입력값'!H69*'입력값'!C8*100)</f>
      </c>
      <c r="I57" s="29">
        <f>'Revenue'!I12-'Opex'!I24+'IS(Q)'!I31-('입력값'!I69*'입력값'!C8*100)</f>
      </c>
      <c r="J57" s="29">
        <f>'Revenue'!J12-'Opex'!J24+'IS(Q)'!J31-('입력값'!J69*'입력값'!C8*100)</f>
      </c>
      <c r="K57" s="29">
        <f>'Revenue'!K12-'Opex'!K24+'IS(Q)'!K31+'입력값'!K124-('입력값'!K69*'입력값'!C8*100)</f>
      </c>
      <c r="L57" s="29">
        <f>'Revenue'!L12-'Opex'!L24+'IS(Q)'!L31+'입력값'!L124-('입력값'!L69*'입력값'!C8*100)</f>
      </c>
      <c r="M57" s="29">
        <f>'Revenue'!M12-'Opex'!M24+'IS(Q)'!M31+'입력값'!M124-('입력값'!M69*'입력값'!C8*100)</f>
      </c>
      <c r="N57" s="29">
        <f>'Revenue'!N12-'Opex'!N24+'IS(Q)'!N31+'입력값'!N124-('입력값'!N69*'입력값'!C8*100)</f>
      </c>
      <c r="O57" s="29">
        <f>'Revenue'!O12-'Opex'!O24+'IS(Q)'!O31+'입력값'!O124-('입력값'!O69*'입력값'!C8*100)</f>
      </c>
      <c r="P57" s="29">
        <f>'Revenue'!P12-'Opex'!P24+'IS(Q)'!P31+'입력값'!P124-('입력값'!P69*'입력값'!C8*100)</f>
      </c>
      <c r="Q57" s="29">
        <f>'Revenue'!Q12-'Opex'!Q24+'IS(Q)'!Q31+'입력값'!Q124-('입력값'!Q69*'입력값'!C8*100)</f>
      </c>
      <c r="R57" s="29">
        <f>'Revenue'!R12-'Opex'!R24+'IS(Q)'!R31+'입력값'!R124-('입력값'!R69*'입력값'!C8*100)</f>
      </c>
      <c r="S57" s="29">
        <f>'Revenue'!S12-'Opex'!S24+'IS(Q)'!S31+'입력값'!S124-('입력값'!S69*'입력값'!C8*100)</f>
      </c>
      <c r="T57" s="29">
        <f>'Revenue'!T12-'Opex'!T24+'IS(Q)'!T31+'입력값'!T124-('입력값'!T69*'입력값'!C8*100)</f>
      </c>
      <c r="U57" s="29">
        <f>'Revenue'!U12-'Opex'!U24+'IS(Q)'!U31+'입력값'!U124-('입력값'!U69*'입력값'!C8*100)</f>
      </c>
      <c r="V57" s="29">
        <f>'Revenue'!V12-'Opex'!V24+'IS(Q)'!V31+'입력값'!V124-('입력값'!V69*'입력값'!C8*100)</f>
      </c>
      <c r="W57" s="29">
        <f>'Revenue'!W12-'Opex'!W24+'IS(Q)'!W31+'입력값'!W124-('입력값'!W69*'입력값'!C8*100)</f>
      </c>
      <c r="X57" s="29">
        <f>'Revenue'!X12-'Opex'!X24+'IS(Q)'!X31+'입력값'!X124-('입력값'!X69*'입력값'!C8*100)</f>
      </c>
      <c r="Y57" s="29">
        <f>'Revenue'!Y12-'Opex'!Y24+'IS(Q)'!Y31+'입력값'!Y124-('입력값'!Y69*'입력값'!C8*100)</f>
      </c>
      <c r="Z57" s="29">
        <f>'Revenue'!Z12-'Opex'!Z24+'IS(Q)'!Z31+'입력값'!Z124-('입력값'!Z69*'입력값'!C8*100)</f>
      </c>
      <c r="AA57" s="29">
        <f>'Revenue'!AA12-'Opex'!AA24+'IS(Q)'!AA31+'입력값'!AA124-('입력값'!AA69*'입력값'!C8*100)</f>
      </c>
      <c r="AB57" s="29">
        <f>'Revenue'!AB12-'Opex'!AB24+'IS(Q)'!AB31+'입력값'!AB124-('입력값'!AB69*'입력값'!C8*100)</f>
      </c>
      <c r="AC57" s="29">
        <f>'Revenue'!AC12-'Opex'!AC24+'IS(Q)'!AC31+'입력값'!AC124-('입력값'!AC69*'입력값'!C8*100)</f>
      </c>
      <c r="AD57" s="29">
        <f>'Revenue'!AD12-'Opex'!AD24+'IS(Q)'!AD31+'입력값'!AD124-('입력값'!AD69*'입력값'!C8*100)</f>
      </c>
      <c r="AE57" s="29">
        <f>'Revenue'!AE12-'Opex'!AE24+'IS(Q)'!AE31+'입력값'!AE124-('입력값'!AE69*'입력값'!C8*100)</f>
      </c>
      <c r="AF57" s="29">
        <f>'Revenue'!AF12-'Opex'!AF24+'IS(Q)'!AF31+'입력값'!AF124-('입력값'!AF69*'입력값'!C8*100)</f>
      </c>
      <c r="AG57" s="29">
        <f>'Revenue'!AG12-'Opex'!AG24+'IS(Q)'!AG31+'입력값'!AG124-('입력값'!AG69*'입력값'!C8*100)</f>
      </c>
      <c r="AH57" s="29">
        <f>'Revenue'!AH12-'Opex'!AH24+'IS(Q)'!AH31+'입력값'!AH124-('입력값'!AH69*'입력값'!C8*100)</f>
      </c>
      <c r="AI57" s="29">
        <f>'Revenue'!AI12-'Opex'!AI24+'IS(Q)'!AI31+'입력값'!AI124-('입력값'!AI69*'입력값'!C8*100)</f>
      </c>
      <c r="AJ57" s="29">
        <f>'Revenue'!AJ12-'Opex'!AJ24+'IS(Q)'!AJ31+'입력값'!AJ124-('입력값'!AJ69*'입력값'!C8*100)</f>
      </c>
      <c r="AK57" s="29">
        <f>'Revenue'!AK12-'Opex'!AK24+'IS(Q)'!AK31+'입력값'!AK124-('입력값'!AK69*'입력값'!C8*100)</f>
      </c>
      <c r="AL57" s="29">
        <f>'Revenue'!AL12-'Opex'!AL24+'IS(Q)'!AL31+'입력값'!AL124-('입력값'!AL69*'입력값'!C8*100)</f>
      </c>
      <c r="AM57" s="29">
        <f>'Revenue'!AM12-'Opex'!AM24+'IS(Q)'!AM31+'입력값'!AM124-('입력값'!AM69*'입력값'!C8*100)</f>
      </c>
      <c r="AN57" s="29">
        <f>'Revenue'!AN12-'Opex'!AN24+'IS(Q)'!AN31+'입력값'!AN124-('입력값'!AN69*'입력값'!C8*100)</f>
      </c>
      <c r="AO57" s="29">
        <f>'Revenue'!AO12-'Opex'!AO24+'IS(Q)'!AO31+'입력값'!AO124-('입력값'!AO69*'입력값'!C8*100)</f>
      </c>
      <c r="AP57" s="29">
        <f>'Revenue'!AP12-'Opex'!AP24+'IS(Q)'!AP31+'입력값'!AP124-('입력값'!AP69*'입력값'!C8*100)</f>
      </c>
      <c r="AQ57" s="29">
        <f>'Revenue'!AQ12-'Opex'!AQ24+'IS(Q)'!AQ31+'입력값'!AQ124-('입력값'!AQ69*'입력값'!C8*100)</f>
      </c>
      <c r="AR57" s="29">
        <f>'Revenue'!AR12-'Opex'!AR24+'IS(Q)'!AR31+'입력값'!AR124-('입력값'!AR69*'입력값'!C8*100)</f>
      </c>
      <c r="AS57" s="29">
        <f>'Revenue'!AS12-'Opex'!AS24+'IS(Q)'!AS31+'입력값'!AS124-('입력값'!AS69*'입력값'!C8*100)</f>
      </c>
      <c r="AT57" s="29">
        <f>'Revenue'!AT12-'Opex'!AT24+'IS(Q)'!AT31+'입력값'!AT124-('입력값'!AT69*'입력값'!C8*100)</f>
      </c>
      <c r="AU57" s="29">
        <f>'Revenue'!AU12-'Opex'!AU24+'IS(Q)'!AU31+'입력값'!AU124-('입력값'!AU69*'입력값'!C8*100)</f>
      </c>
      <c r="AV57" s="29">
        <f>'Revenue'!AV12-'Opex'!AV24+'IS(Q)'!AV31+'입력값'!AV124-('입력값'!AV69*'입력값'!C8*100)</f>
      </c>
      <c r="AW57" s="29">
        <f>'Revenue'!AW12-'Opex'!AW24+'IS(Q)'!AW31+'입력값'!AW124-('입력값'!AW69*'입력값'!C8*100)</f>
      </c>
      <c r="AX57" s="29">
        <f>'Revenue'!AX12-'Opex'!AX24+'IS(Q)'!AX31+'입력값'!AX124-('입력값'!AX69*'입력값'!C8*100)</f>
      </c>
      <c r="AY57" s="29">
        <f>'Revenue'!AY12-'Opex'!AY24+'IS(Q)'!AY31+'입력값'!AY124-('입력값'!AY69*'입력값'!C8*100)</f>
      </c>
      <c r="AZ57" s="29">
        <f>'Revenue'!AZ12-'Opex'!AZ24+'IS(Q)'!AZ31+'입력값'!AZ124-('입력값'!AZ69*'입력값'!C8*100)</f>
      </c>
      <c r="BA57" s="29">
        <f>'Revenue'!BA12-'Opex'!BA24+'IS(Q)'!BA31+'입력값'!BA124-('입력값'!BA69*'입력값'!C8*100)</f>
      </c>
      <c r="BB57" s="29">
        <f>'Revenue'!BB12-'Opex'!BB24+'IS(Q)'!BB31+'입력값'!BB124-('입력값'!BB69*'입력값'!C8*100)</f>
      </c>
      <c r="BC57" s="29">
        <f>'Revenue'!BC12-'Opex'!BC24+'IS(Q)'!BC31+'입력값'!BC124-('입력값'!BC69*'입력값'!C8*100)</f>
      </c>
      <c r="BD57" s="29">
        <f>'Revenue'!BD12-'Opex'!BD24+'IS(Q)'!BD31+'입력값'!BD124-('입력값'!BD69*'입력값'!C8*100)</f>
      </c>
      <c r="BE57" s="29">
        <f>'Revenue'!BE12-'Opex'!BE24+'IS(Q)'!BE31+'입력값'!BE124-('입력값'!BE69*'입력값'!C8*100)</f>
      </c>
      <c r="BF57" s="29">
        <f>'Revenue'!BF12-'Opex'!BF24+'IS(Q)'!BF31+'입력값'!BF124-('입력값'!BF69*'입력값'!C8*100)</f>
      </c>
      <c r="BG57" s="29">
        <f>'Revenue'!BG12-'Opex'!BG24+'IS(Q)'!BG31+'입력값'!BG124-('입력값'!BG69*'입력값'!C8*100)</f>
      </c>
      <c r="BH57" s="29">
        <f>'Revenue'!BH12-'Opex'!BH24+'IS(Q)'!BH31+'입력값'!BH124-('입력값'!BH69*'입력값'!C8*100)</f>
      </c>
      <c r="BI57" s="29">
        <f>'Revenue'!BI12-'Opex'!BI24+'IS(Q)'!BI31+'입력값'!BI124-('입력값'!BI69*'입력값'!C8*100)</f>
      </c>
      <c r="BJ57" s="29">
        <f>'Revenue'!BJ12-'Opex'!BJ24+'IS(Q)'!BJ31+'입력값'!BJ124-('입력값'!BJ69*'입력값'!C8*100)</f>
      </c>
      <c r="BK57" s="29">
        <f>'Revenue'!BK12-'Opex'!BK24+'IS(Q)'!BK31+'입력값'!BK124-('입력값'!BK69*'입력값'!C8*100)</f>
      </c>
      <c r="BL57" s="29">
        <f>'Revenue'!BL12-'Opex'!BL24+'IS(Q)'!BL31+'입력값'!BL124-('입력값'!BL69*'입력값'!C8*100)</f>
      </c>
      <c r="BM57" s="29">
        <f>'Revenue'!BM12-'Opex'!BM24+'IS(Q)'!BM31+'입력값'!BM124-('입력값'!BM69*'입력값'!C8*100)</f>
      </c>
      <c r="BN57" s="29">
        <f>'Revenue'!BN12-'Opex'!BN24+'IS(Q)'!BN31+'입력값'!BN124-('입력값'!BN69*'입력값'!C8*100)</f>
      </c>
      <c r="BO57" s="29">
        <f>'Revenue'!BO12-'Opex'!BO24+'IS(Q)'!BO31+'입력값'!BO124-('입력값'!BO69*'입력값'!C8*100)</f>
      </c>
      <c r="BP57" s="29">
        <f>'Revenue'!BP12-'Opex'!BP24+'IS(Q)'!BP31+'입력값'!BP124-('입력값'!BP69*'입력값'!C8*100)</f>
      </c>
      <c r="BQ57" s="29">
        <f>'Revenue'!BQ12-'Opex'!BQ24+'IS(Q)'!BQ31+'입력값'!BQ124-('입력값'!BQ69*'입력값'!C8*100)</f>
      </c>
      <c r="BR57" s="29">
        <f>'Revenue'!BR12-'Opex'!BR24+'IS(Q)'!BR31+'입력값'!BR124-('입력값'!BR69*'입력값'!C8*100)</f>
      </c>
      <c r="BS57" s="29">
        <f>'Revenue'!BS12-'Opex'!BS24+'IS(Q)'!BS31+'입력값'!BS124-('입력값'!BS69*'입력값'!C8*100)</f>
      </c>
      <c r="BT57" s="29">
        <f>'Revenue'!BT12-'Opex'!BT24+'IS(Q)'!BT31+'입력값'!BT124-('입력값'!BT69*'입력값'!C8*100)</f>
      </c>
      <c r="BU57" s="29">
        <f>'Revenue'!BU12-'Opex'!BU24+'IS(Q)'!BU31+'입력값'!BU124-('입력값'!BU69*'입력값'!C8*100)</f>
      </c>
      <c r="BV57" s="29">
        <f>'Revenue'!BV12-'Opex'!BV24+'IS(Q)'!BV31+'입력값'!BV124-('입력값'!BV69*'입력값'!C8*100)</f>
      </c>
      <c r="BW57" s="29">
        <f>'Revenue'!BW12-'Opex'!BW24+'IS(Q)'!BW31+'입력값'!BW124-('입력값'!BW69*'입력값'!C8*100)</f>
      </c>
      <c r="BX57" s="29">
        <f>'Revenue'!BX12-'Opex'!BX24+'IS(Q)'!BX31+'입력값'!BX124-('입력값'!BX69*'입력값'!C8*100)</f>
      </c>
      <c r="BY57" s="29">
        <f>'Revenue'!BY12-'Opex'!BY24+'IS(Q)'!BY31+'입력값'!BY124-('입력값'!BY69*'입력값'!C8*100)</f>
      </c>
      <c r="BZ57" s="29">
        <f>'Revenue'!BZ12-'Opex'!BZ24+'IS(Q)'!BZ31+'입력값'!BZ124-('입력값'!BZ69*'입력값'!C8*100)</f>
      </c>
      <c r="CA57" s="29">
        <f>'Revenue'!CA12-'Opex'!CA24+'IS(Q)'!CA31+'입력값'!CA124-('입력값'!CA69*'입력값'!C8*100)</f>
      </c>
      <c r="CB57" s="29">
        <f>'Revenue'!CB12-'Opex'!CB24+'IS(Q)'!CB31+'입력값'!CB124-('입력값'!CB69*'입력값'!C8*100)</f>
      </c>
      <c r="CC57" s="29">
        <f>'Revenue'!CC12-'Opex'!CC24+'IS(Q)'!CC31+'입력값'!CC124-('입력값'!CC69*'입력값'!C8*100)</f>
      </c>
      <c r="CD57" s="29">
        <f>'Revenue'!CD12-'Opex'!CD24+'IS(Q)'!CD31+'입력값'!CD124-('입력값'!CD69*'입력값'!C8*100)</f>
      </c>
      <c r="CE57" s="29">
        <f>'Revenue'!CE12-'Opex'!CE24+'IS(Q)'!CE31+'입력값'!CE124-('입력값'!CE69*'입력값'!C8*100)</f>
      </c>
      <c r="CF57" s="29">
        <f>'Revenue'!CF12-'Opex'!CF24+'IS(Q)'!CF31+'입력값'!CF124-('입력값'!CF69*'입력값'!C8*100)</f>
      </c>
      <c r="CG57" s="29">
        <f>'Revenue'!CG12-'Opex'!CG24+'IS(Q)'!CG31+'입력값'!CG124-('입력값'!CG69*'입력값'!C8*100)</f>
      </c>
      <c r="CH57" s="29">
        <f>'Revenue'!CH12-'Opex'!CH24+'IS(Q)'!CH31+'입력값'!CH124-('입력값'!CH69*'입력값'!C8*100)</f>
      </c>
      <c r="CI57" s="29">
        <f>'Revenue'!CI12-'Opex'!CI24+'IS(Q)'!CI31+'입력값'!CI124-('입력값'!CI69*'입력값'!C8*100)</f>
      </c>
      <c r="CJ57" s="29">
        <f>'Revenue'!CJ12-'Opex'!CJ24+'IS(Q)'!CJ31+'입력값'!CJ124-('입력값'!CJ69*'입력값'!C8*100)</f>
      </c>
      <c r="CK57" s="29">
        <f>'Revenue'!CK12-'Opex'!CK24+'IS(Q)'!CK31+'입력값'!CK124-('입력값'!CK69*'입력값'!C8*100)</f>
      </c>
      <c r="CL57" s="29">
        <f>'Revenue'!CL12-'Opex'!CL24-'입력값'!C17*100+'IS(Q)'!CL31+'입력값'!CL124-('입력값'!CL69*'입력값'!C8*100)</f>
      </c>
    </row>
    <row r="58" spans="2:90" x14ac:dyDescent="0.25">
      <c r="B58" s="31" t="s">
        <v>391</v>
      </c>
      <c r="C58" s="32" t="s">
        <v>228</v>
      </c>
      <c r="E58" s="29">
        <f>E13-E55</f>
      </c>
      <c r="F58" s="29">
        <f>F13-F55</f>
      </c>
      <c r="G58" s="29">
        <f>G13-G55</f>
      </c>
      <c r="H58" s="29">
        <f>H13-H55</f>
      </c>
      <c r="I58" s="29">
        <f>I13-I55</f>
      </c>
      <c r="J58" s="29">
        <f>J13-J55</f>
      </c>
      <c r="K58" s="29">
        <f>K13-K55</f>
      </c>
      <c r="L58" s="29">
        <f>L13-L55</f>
      </c>
      <c r="M58" s="29">
        <f>M13-M55</f>
      </c>
      <c r="N58" s="29">
        <f>N13-N55</f>
      </c>
      <c r="O58" s="29">
        <f>O13-O55</f>
      </c>
      <c r="P58" s="29">
        <f>P13-P55</f>
      </c>
      <c r="Q58" s="29">
        <f>Q13-Q55</f>
      </c>
      <c r="R58" s="29">
        <f>R13-R55</f>
      </c>
      <c r="S58" s="29">
        <f>S13-S55</f>
      </c>
      <c r="T58" s="29">
        <f>T13-T55</f>
      </c>
      <c r="U58" s="29">
        <f>U13-U55</f>
      </c>
      <c r="V58" s="29">
        <f>V13-V55</f>
      </c>
      <c r="W58" s="29">
        <f>W13-W55</f>
      </c>
      <c r="X58" s="29">
        <f>X13-X55</f>
      </c>
      <c r="Y58" s="29">
        <f>Y13-Y55</f>
      </c>
      <c r="Z58" s="29">
        <f>Z13-Z55</f>
      </c>
      <c r="AA58" s="29">
        <f>AA13-AA55</f>
      </c>
      <c r="AB58" s="29">
        <f>AB13-AB55</f>
      </c>
      <c r="AC58" s="29">
        <f>AC13-AC55</f>
      </c>
      <c r="AD58" s="29">
        <f>AD13-AD55</f>
      </c>
      <c r="AE58" s="29">
        <f>AE13-AE55</f>
      </c>
      <c r="AF58" s="29">
        <f>AF13-AF55</f>
      </c>
      <c r="AG58" s="29">
        <f>AG13-AG55</f>
      </c>
      <c r="AH58" s="29">
        <f>AH13-AH55</f>
      </c>
      <c r="AI58" s="29">
        <f>AI13-AI55</f>
      </c>
      <c r="AJ58" s="29">
        <f>AJ13-AJ55</f>
      </c>
      <c r="AK58" s="29">
        <f>AK13-AK55</f>
      </c>
      <c r="AL58" s="29">
        <f>AL13-AL55</f>
      </c>
      <c r="AM58" s="29">
        <f>AM13-AM55</f>
      </c>
      <c r="AN58" s="29">
        <f>AN13-AN55</f>
      </c>
      <c r="AO58" s="29">
        <f>AO13-AO55</f>
      </c>
      <c r="AP58" s="29">
        <f>AP13-AP55</f>
      </c>
      <c r="AQ58" s="29">
        <f>AQ13-AQ55</f>
      </c>
      <c r="AR58" s="29">
        <f>AR13-AR55</f>
      </c>
      <c r="AS58" s="29">
        <f>AS13-AS55</f>
      </c>
      <c r="AT58" s="29">
        <f>AT13-AT55</f>
      </c>
      <c r="AU58" s="29">
        <f>AU13-AU55</f>
      </c>
      <c r="AV58" s="29">
        <f>AV13-AV55</f>
      </c>
      <c r="AW58" s="29">
        <f>AW13-AW55</f>
      </c>
      <c r="AX58" s="29">
        <f>AX13-AX55</f>
      </c>
      <c r="AY58" s="29">
        <f>AY13-AY55</f>
      </c>
      <c r="AZ58" s="29">
        <f>AZ13-AZ55</f>
      </c>
      <c r="BA58" s="29">
        <f>BA13-BA55</f>
      </c>
      <c r="BB58" s="29">
        <f>BB13-BB55</f>
      </c>
      <c r="BC58" s="29">
        <f>BC13-BC55</f>
      </c>
      <c r="BD58" s="29">
        <f>BD13-BD55</f>
      </c>
      <c r="BE58" s="29">
        <f>BE13-BE55</f>
      </c>
      <c r="BF58" s="29">
        <f>BF13-BF55</f>
      </c>
      <c r="BG58" s="29">
        <f>BG13-BG55</f>
      </c>
      <c r="BH58" s="29">
        <f>BH13-BH55</f>
      </c>
      <c r="BI58" s="29">
        <f>BI13-BI55</f>
      </c>
      <c r="BJ58" s="29">
        <f>BJ13-BJ55</f>
      </c>
      <c r="BK58" s="29">
        <f>BK13-BK55</f>
      </c>
      <c r="BL58" s="29">
        <f>BL13-BL55</f>
      </c>
      <c r="BM58" s="29">
        <f>BM13-BM55</f>
      </c>
      <c r="BN58" s="29">
        <f>BN13-BN55</f>
      </c>
      <c r="BO58" s="29">
        <f>BO13-BO55</f>
      </c>
      <c r="BP58" s="29">
        <f>BP13-BP55</f>
      </c>
      <c r="BQ58" s="29">
        <f>BQ13-BQ55</f>
      </c>
      <c r="BR58" s="29">
        <f>BR13-BR55</f>
      </c>
      <c r="BS58" s="29">
        <f>BS13-BS55</f>
      </c>
      <c r="BT58" s="29">
        <f>BT13-BT55</f>
      </c>
      <c r="BU58" s="29">
        <f>BU13-BU55</f>
      </c>
      <c r="BV58" s="29">
        <f>BV13-BV55</f>
      </c>
      <c r="BW58" s="29">
        <f>BW13-BW55</f>
      </c>
      <c r="BX58" s="29">
        <f>BX13-BX55</f>
      </c>
      <c r="BY58" s="29">
        <f>BY13-BY55</f>
      </c>
      <c r="BZ58" s="29">
        <f>BZ13-BZ55</f>
      </c>
      <c r="CA58" s="29">
        <f>CA13-CA55</f>
      </c>
      <c r="CB58" s="29">
        <f>CB13-CB55</f>
      </c>
      <c r="CC58" s="29">
        <f>CC13-CC55</f>
      </c>
      <c r="CD58" s="29">
        <f>CD13-CD55</f>
      </c>
      <c r="CE58" s="29">
        <f>CE13-CE55</f>
      </c>
      <c r="CF58" s="29">
        <f>CF13-CF55</f>
      </c>
      <c r="CG58" s="29">
        <f>CG13-CG55</f>
      </c>
      <c r="CH58" s="29">
        <f>CH13-CH55</f>
      </c>
      <c r="CI58" s="29">
        <f>CI13-CI55</f>
      </c>
      <c r="CJ58" s="29">
        <f>CJ13-CJ55</f>
      </c>
      <c r="CK58" s="29">
        <f>CK13-CK55</f>
      </c>
      <c r="CL58" s="29">
        <f>CL13-CL55</f>
      </c>
    </row>
    <row r="59" spans="2:90" x14ac:dyDescent="0.25">
      <c r="B59" s="31" t="s">
        <v>392</v>
      </c>
      <c r="C59" s="32" t="s">
        <v>228</v>
      </c>
      <c r="E59" s="29">
        <f>E16-E55</f>
      </c>
      <c r="F59" s="29">
        <f>F16-F55</f>
      </c>
      <c r="G59" s="29">
        <f>G16-G55</f>
      </c>
      <c r="H59" s="29">
        <f>H16-H55</f>
      </c>
      <c r="I59" s="29">
        <f>I16-I55</f>
      </c>
      <c r="J59" s="29">
        <f>J16-J55</f>
      </c>
      <c r="K59" s="29">
        <f>K16-K55</f>
      </c>
      <c r="L59" s="29">
        <f>L16-L55</f>
      </c>
      <c r="M59" s="29">
        <f>M16-M55</f>
      </c>
      <c r="N59" s="29">
        <f>N16-N55</f>
      </c>
      <c r="O59" s="29">
        <f>O16-O55</f>
      </c>
      <c r="P59" s="29">
        <f>P16-P55</f>
      </c>
      <c r="Q59" s="29">
        <f>Q16-Q55</f>
      </c>
      <c r="R59" s="29">
        <f>R16-R55</f>
      </c>
      <c r="S59" s="29">
        <f>S16-S55</f>
      </c>
      <c r="T59" s="29">
        <f>T16-T55</f>
      </c>
      <c r="U59" s="29">
        <f>U16-U55</f>
      </c>
      <c r="V59" s="29">
        <f>V16-V55</f>
      </c>
      <c r="W59" s="29">
        <f>W16-W55</f>
      </c>
      <c r="X59" s="29">
        <f>X16-X55</f>
      </c>
      <c r="Y59" s="29">
        <f>Y16-Y55</f>
      </c>
      <c r="Z59" s="29">
        <f>Z16-Z55</f>
      </c>
      <c r="AA59" s="29">
        <f>AA16-AA55</f>
      </c>
      <c r="AB59" s="29">
        <f>AB16-AB55</f>
      </c>
      <c r="AC59" s="29">
        <f>AC16-AC55</f>
      </c>
      <c r="AD59" s="29">
        <f>AD16-AD55</f>
      </c>
      <c r="AE59" s="29">
        <f>AE16-AE55</f>
      </c>
      <c r="AF59" s="29">
        <f>AF16-AF55</f>
      </c>
      <c r="AG59" s="29">
        <f>AG16-AG55</f>
      </c>
      <c r="AH59" s="29">
        <f>AH16-AH55</f>
      </c>
      <c r="AI59" s="29">
        <f>AI16-AI55</f>
      </c>
      <c r="AJ59" s="29">
        <f>AJ16-AJ55</f>
      </c>
      <c r="AK59" s="29">
        <f>AK16-AK55</f>
      </c>
      <c r="AL59" s="29">
        <f>AL16-AL55</f>
      </c>
      <c r="AM59" s="29">
        <f>AM16-AM55</f>
      </c>
      <c r="AN59" s="29">
        <f>AN16-AN55</f>
      </c>
      <c r="AO59" s="29">
        <f>AO16-AO55</f>
      </c>
      <c r="AP59" s="29">
        <f>AP16-AP55</f>
      </c>
      <c r="AQ59" s="29">
        <f>AQ16-AQ55</f>
      </c>
      <c r="AR59" s="29">
        <f>AR16-AR55</f>
      </c>
      <c r="AS59" s="29">
        <f>AS16-AS55</f>
      </c>
      <c r="AT59" s="29">
        <f>AT16-AT55</f>
      </c>
      <c r="AU59" s="29">
        <f>AU16-AU55</f>
      </c>
      <c r="AV59" s="29">
        <f>AV16-AV55</f>
      </c>
      <c r="AW59" s="29">
        <f>AW16-AW55</f>
      </c>
      <c r="AX59" s="29">
        <f>AX16-AX55</f>
      </c>
      <c r="AY59" s="29">
        <f>AY16-AY55</f>
      </c>
      <c r="AZ59" s="29">
        <f>AZ16-AZ55</f>
      </c>
      <c r="BA59" s="29">
        <f>BA16-BA55</f>
      </c>
      <c r="BB59" s="29">
        <f>BB16-BB55</f>
      </c>
      <c r="BC59" s="29">
        <f>BC16-BC55</f>
      </c>
      <c r="BD59" s="29">
        <f>BD16-BD55</f>
      </c>
      <c r="BE59" s="29">
        <f>BE16-BE55</f>
      </c>
      <c r="BF59" s="29">
        <f>BF16-BF55</f>
      </c>
      <c r="BG59" s="29">
        <f>BG16-BG55</f>
      </c>
      <c r="BH59" s="29">
        <f>BH16-BH55</f>
      </c>
      <c r="BI59" s="29">
        <f>BI16-BI55</f>
      </c>
      <c r="BJ59" s="29">
        <f>BJ16-BJ55</f>
      </c>
      <c r="BK59" s="29">
        <f>BK16-BK55</f>
      </c>
      <c r="BL59" s="29">
        <f>BL16-BL55</f>
      </c>
      <c r="BM59" s="29">
        <f>BM16-BM55</f>
      </c>
      <c r="BN59" s="29">
        <f>BN16-BN55</f>
      </c>
      <c r="BO59" s="29">
        <f>BO16-BO55</f>
      </c>
      <c r="BP59" s="29">
        <f>BP16-BP55</f>
      </c>
      <c r="BQ59" s="29">
        <f>BQ16-BQ55</f>
      </c>
      <c r="BR59" s="29">
        <f>BR16-BR55</f>
      </c>
      <c r="BS59" s="29">
        <f>BS16-BS55</f>
      </c>
      <c r="BT59" s="29">
        <f>BT16-BT55</f>
      </c>
      <c r="BU59" s="29">
        <f>BU16-BU55</f>
      </c>
      <c r="BV59" s="29">
        <f>BV16-BV55</f>
      </c>
      <c r="BW59" s="29">
        <f>BW16-BW55</f>
      </c>
      <c r="BX59" s="29">
        <f>BX16-BX55</f>
      </c>
      <c r="BY59" s="29">
        <f>BY16-BY55</f>
      </c>
      <c r="BZ59" s="29">
        <f>BZ16-BZ55</f>
      </c>
      <c r="CA59" s="29">
        <f>CA16-CA55</f>
      </c>
      <c r="CB59" s="29">
        <f>CB16-CB55</f>
      </c>
      <c r="CC59" s="29">
        <f>CC16-CC55</f>
      </c>
      <c r="CD59" s="29">
        <f>CD16-CD55</f>
      </c>
      <c r="CE59" s="29">
        <f>CE16-CE55</f>
      </c>
      <c r="CF59" s="29">
        <f>CF16-CF55</f>
      </c>
      <c r="CG59" s="29">
        <f>CG16-CG55</f>
      </c>
      <c r="CH59" s="29">
        <f>CH16-CH55</f>
      </c>
      <c r="CI59" s="29">
        <f>CI16-CI55</f>
      </c>
      <c r="CJ59" s="29">
        <f>CJ16-CJ55</f>
      </c>
      <c r="CK59" s="29">
        <f>CK16-CK55</f>
      </c>
      <c r="CL59" s="29">
        <f>CL16-CL55</f>
      </c>
    </row>
    <row r="60" spans="2:90" x14ac:dyDescent="0.25">
      <c r="B60" s="31" t="s">
        <v>393</v>
      </c>
      <c r="C60" s="32" t="s">
        <v>228</v>
      </c>
      <c r="E60" s="29">
        <f>-E55-('Debt'!E18+'Debt'!E19+'Debt'!E20+'Debt'!E21+'Debt'!E22)+'Debt'!E76+'Debt'!E77+E16</f>
      </c>
      <c r="F60" s="29">
        <f>-F55-('Debt'!F18-'Debt'!E18+'Debt'!F19-'Debt'!E19+'Debt'!F20-'Debt'!E20+'Debt'!F21-'Debt'!E21+'Debt'!F22-'Debt'!E22)+'Debt'!F76+'Debt'!F77+F16</f>
      </c>
      <c r="G60" s="29">
        <f>-G55-('Debt'!G18-'Debt'!F18+'Debt'!G19-'Debt'!F19+'Debt'!G20-'Debt'!F20+'Debt'!G21-'Debt'!F21+'Debt'!G22-'Debt'!F22)+'Debt'!G76+'Debt'!G77+G16</f>
      </c>
      <c r="H60" s="29">
        <f>-H55-('Debt'!H18-'Debt'!G18+'Debt'!H19-'Debt'!G19+'Debt'!H20-'Debt'!G20+'Debt'!H21-'Debt'!G21+'Debt'!H22-'Debt'!G22)+'Debt'!H76+'Debt'!H77+H16</f>
      </c>
      <c r="I60" s="29">
        <f>-I55-('Debt'!I18-'Debt'!H18+'Debt'!I19-'Debt'!H19+'Debt'!I20-'Debt'!H20+'Debt'!I21-'Debt'!H21+'Debt'!I22-'Debt'!H22)+'Debt'!I76+'Debt'!I77+I16</f>
      </c>
      <c r="J60" s="29">
        <f>-J55-('Debt'!J18-'Debt'!I18+'Debt'!J19-'Debt'!I19+'Debt'!J20-'Debt'!I20+'Debt'!J21-'Debt'!I21+'Debt'!J22-'Debt'!I22)+'Debt'!J76+'Debt'!J77+J16+'Debt'!D15</f>
      </c>
      <c r="K60" s="29">
        <f>-K55-('Debt'!K18-'Debt'!J18+'Debt'!K19-'Debt'!J19+'Debt'!K20-'Debt'!J20+'Debt'!K21-'Debt'!J21+'Debt'!K22-'Debt'!J22)+'Debt'!K76+'Debt'!K77+K16</f>
      </c>
      <c r="L60" s="29">
        <f>-L55-('Debt'!L18-'Debt'!K18+'Debt'!L19-'Debt'!K19+'Debt'!L20-'Debt'!K20+'Debt'!L21-'Debt'!K21+'Debt'!L22-'Debt'!K22)+'Debt'!L76+'Debt'!L77+L16</f>
      </c>
      <c r="M60" s="29">
        <f>-M55-('Debt'!M18-'Debt'!L18+'Debt'!M19-'Debt'!L19+'Debt'!M20-'Debt'!L20+'Debt'!M21-'Debt'!L21+'Debt'!M22-'Debt'!L22)+'Debt'!M76+'Debt'!M77+M16</f>
      </c>
      <c r="N60" s="29">
        <f>-N55-('Debt'!N18-'Debt'!M18+'Debt'!N19-'Debt'!M19+'Debt'!N20-'Debt'!M20+'Debt'!N21-'Debt'!M21+'Debt'!N22-'Debt'!M22)+'Debt'!N76+'Debt'!N77+N16</f>
      </c>
      <c r="O60" s="29">
        <f>-O55-('Debt'!O18-'Debt'!N18+'Debt'!O19-'Debt'!N19+'Debt'!O20-'Debt'!N20+'Debt'!O21-'Debt'!N21+'Debt'!O22-'Debt'!N22)+'Debt'!O76+'Debt'!O77+O16</f>
      </c>
      <c r="P60" s="29">
        <f>-P55-('Debt'!P18-'Debt'!O18+'Debt'!P19-'Debt'!O19+'Debt'!P20-'Debt'!O20+'Debt'!P21-'Debt'!O21+'Debt'!P22-'Debt'!O22)+'Debt'!P76+'Debt'!P77+P16</f>
      </c>
      <c r="Q60" s="29">
        <f>-Q55-('Debt'!Q18-'Debt'!P18+'Debt'!Q19-'Debt'!P19+'Debt'!Q20-'Debt'!P20+'Debt'!Q21-'Debt'!P21+'Debt'!Q22-'Debt'!P22)+'Debt'!Q76+'Debt'!Q77+Q16</f>
      </c>
      <c r="R60" s="29">
        <f>-R55-('Debt'!R18-'Debt'!Q18+'Debt'!R19-'Debt'!Q19+'Debt'!R20-'Debt'!Q20+'Debt'!R21-'Debt'!Q21+'Debt'!R22-'Debt'!Q22)+'Debt'!R76+'Debt'!R77+R16</f>
      </c>
      <c r="S60" s="29">
        <f>-S55-('Debt'!S18-'Debt'!R18+'Debt'!S19-'Debt'!R19+'Debt'!S20-'Debt'!R20+'Debt'!S21-'Debt'!R21+'Debt'!S22-'Debt'!R22)+'Debt'!S76+'Debt'!S77+S16</f>
      </c>
      <c r="T60" s="29">
        <f>-T55-('Debt'!T18-'Debt'!S18+'Debt'!T19-'Debt'!S19+'Debt'!T20-'Debt'!S20+'Debt'!T21-'Debt'!S21+'Debt'!T22-'Debt'!S22)+'Debt'!T76+'Debt'!T77+T16</f>
      </c>
      <c r="U60" s="29">
        <f>-U55-('Debt'!U18-'Debt'!T18+'Debt'!U19-'Debt'!T19+'Debt'!U20-'Debt'!T20+'Debt'!U21-'Debt'!T21+'Debt'!U22-'Debt'!T22)+'Debt'!U76+'Debt'!U77+U16</f>
      </c>
      <c r="V60" s="29">
        <f>-V55-('Debt'!V18-'Debt'!U18+'Debt'!V19-'Debt'!U19+'Debt'!V20-'Debt'!U20+'Debt'!V21-'Debt'!U21+'Debt'!V22-'Debt'!U22)+'Debt'!V76+'Debt'!V77+V16</f>
      </c>
      <c r="W60" s="29">
        <f>-W55-('Debt'!W18-'Debt'!V18+'Debt'!W19-'Debt'!V19+'Debt'!W20-'Debt'!V20+'Debt'!W21-'Debt'!V21+'Debt'!W22-'Debt'!V22)+'Debt'!W76+'Debt'!W77+W16</f>
      </c>
      <c r="X60" s="29">
        <f>-X55-('Debt'!X18-'Debt'!W18+'Debt'!X19-'Debt'!W19+'Debt'!X20-'Debt'!W20+'Debt'!X21-'Debt'!W21+'Debt'!X22-'Debt'!W22)+'Debt'!X76+'Debt'!X77+X16</f>
      </c>
      <c r="Y60" s="29">
        <f>-Y55-('Debt'!Y18-'Debt'!X18+'Debt'!Y19-'Debt'!X19+'Debt'!Y20-'Debt'!X20+'Debt'!Y21-'Debt'!X21+'Debt'!Y22-'Debt'!X22)+'Debt'!Y76+'Debt'!Y77+Y16</f>
      </c>
      <c r="Z60" s="29">
        <f>-Z55-('Debt'!Z18-'Debt'!Y18+'Debt'!Z19-'Debt'!Y19+'Debt'!Z20-'Debt'!Y20+'Debt'!Z21-'Debt'!Y21+'Debt'!Z22-'Debt'!Y22)+'Debt'!Z76+'Debt'!Z77+Z16</f>
      </c>
      <c r="AA60" s="29">
        <f>-AA55-('Debt'!AA18-'Debt'!Z18+'Debt'!AA19-'Debt'!Z19+'Debt'!AA20-'Debt'!Z20+'Debt'!AA21-'Debt'!Z21+'Debt'!AA22-'Debt'!Z22)+'Debt'!AA76+'Debt'!AA77+AA16</f>
      </c>
      <c r="AB60" s="29">
        <f>-AB55-('Debt'!AB18-'Debt'!AA18+'Debt'!AB19-'Debt'!AA19+'Debt'!AB20-'Debt'!AA20+'Debt'!AB21-'Debt'!AA21+'Debt'!AB22-'Debt'!AA22)+'Debt'!AB76+'Debt'!AB77+AB16</f>
      </c>
      <c r="AC60" s="29">
        <f>-AC55-('Debt'!AC18-'Debt'!AB18+'Debt'!AC19-'Debt'!AB19+'Debt'!AC20-'Debt'!AB20+'Debt'!AC21-'Debt'!AB21+'Debt'!AC22-'Debt'!AB22)+'Debt'!AC76+'Debt'!AC77+AC16</f>
      </c>
      <c r="AD60" s="29">
        <f>-AD55-('Debt'!AD18-'Debt'!AC18+'Debt'!AD19-'Debt'!AC19+'Debt'!AD20-'Debt'!AC20+'Debt'!AD21-'Debt'!AC21+'Debt'!AD22-'Debt'!AC22)+'Debt'!AD76+'Debt'!AD77+AD16</f>
      </c>
      <c r="AE60" s="29">
        <f>-AE55-('Debt'!AE18-'Debt'!AD18+'Debt'!AE19-'Debt'!AD19+'Debt'!AE20-'Debt'!AD20+'Debt'!AE21-'Debt'!AD21+'Debt'!AE22-'Debt'!AD22)+'Debt'!AE76+'Debt'!AE77+AE16</f>
      </c>
      <c r="AF60" s="29">
        <f>-AF55-('Debt'!AF18-'Debt'!AE18+'Debt'!AF19-'Debt'!AE19+'Debt'!AF20-'Debt'!AE20+'Debt'!AF21-'Debt'!AE21+'Debt'!AF22-'Debt'!AE22)+'Debt'!AF76+'Debt'!AF77+AF16</f>
      </c>
      <c r="AG60" s="29">
        <f>-AG55-('Debt'!AG18-'Debt'!AF18+'Debt'!AG19-'Debt'!AF19+'Debt'!AG20-'Debt'!AF20+'Debt'!AG21-'Debt'!AF21+'Debt'!AG22-'Debt'!AF22)+'Debt'!AG76+'Debt'!AG77+AG16</f>
      </c>
      <c r="AH60" s="29">
        <f>-AH55-('Debt'!AH18-'Debt'!AG18+'Debt'!AH19-'Debt'!AG19+'Debt'!AH20-'Debt'!AG20+'Debt'!AH21-'Debt'!AG21+'Debt'!AH22-'Debt'!AG22)+'Debt'!AH76+'Debt'!AH77+AH16</f>
      </c>
      <c r="AI60" s="29">
        <f>-AI55-('Debt'!AI18-'Debt'!AH18+'Debt'!AI19-'Debt'!AH19+'Debt'!AI20-'Debt'!AH20+'Debt'!AI21-'Debt'!AH21+'Debt'!AI22-'Debt'!AH22)+'Debt'!AI76+'Debt'!AI77+AI16</f>
      </c>
      <c r="AJ60" s="29">
        <f>-AJ55-('Debt'!AJ18-'Debt'!AI18+'Debt'!AJ19-'Debt'!AI19+'Debt'!AJ20-'Debt'!AI20+'Debt'!AJ21-'Debt'!AI21+'Debt'!AJ22-'Debt'!AI22)+'Debt'!AJ76+'Debt'!AJ77+AJ16</f>
      </c>
      <c r="AK60" s="29">
        <f>-AK55-('Debt'!AK18-'Debt'!AJ18+'Debt'!AK19-'Debt'!AJ19+'Debt'!AK20-'Debt'!AJ20+'Debt'!AK21-'Debt'!AJ21+'Debt'!AK22-'Debt'!AJ22)+'Debt'!AK76+'Debt'!AK77+AK16</f>
      </c>
      <c r="AL60" s="29">
        <f>-AL55-('Debt'!AL18-'Debt'!AK18+'Debt'!AL19-'Debt'!AK19+'Debt'!AL20-'Debt'!AK20+'Debt'!AL21-'Debt'!AK21+'Debt'!AL22-'Debt'!AK22)+'Debt'!AL76+'Debt'!AL77+AL16</f>
      </c>
      <c r="AM60" s="29">
        <f>-AM55-('Debt'!AM18-'Debt'!AL18+'Debt'!AM19-'Debt'!AL19+'Debt'!AM20-'Debt'!AL20+'Debt'!AM21-'Debt'!AL21+'Debt'!AM22-'Debt'!AL22)+'Debt'!AM76+'Debt'!AM77+AM16</f>
      </c>
      <c r="AN60" s="29">
        <f>-AN55-('Debt'!AN18-'Debt'!AM18+'Debt'!AN19-'Debt'!AM19+'Debt'!AN20-'Debt'!AM20+'Debt'!AN21-'Debt'!AM21+'Debt'!AN22-'Debt'!AM22)+'Debt'!AN76+'Debt'!AN77+AN16</f>
      </c>
      <c r="AO60" s="29">
        <f>-AO55-('Debt'!AO18-'Debt'!AN18+'Debt'!AO19-'Debt'!AN19+'Debt'!AO20-'Debt'!AN20+'Debt'!AO21-'Debt'!AN21+'Debt'!AO22-'Debt'!AN22)+'Debt'!AO76+'Debt'!AO77+AO16</f>
      </c>
      <c r="AP60" s="29">
        <f>-AP55-('Debt'!AP18-'Debt'!AO18+'Debt'!AP19-'Debt'!AO19+'Debt'!AP20-'Debt'!AO20+'Debt'!AP21-'Debt'!AO21+'Debt'!AP22-'Debt'!AO22)+'Debt'!AP76+'Debt'!AP77+AP16</f>
      </c>
      <c r="AQ60" s="29">
        <f>-AQ55-('Debt'!AQ18-'Debt'!AP18+'Debt'!AQ19-'Debt'!AP19+'Debt'!AQ20-'Debt'!AP20+'Debt'!AQ21-'Debt'!AP21+'Debt'!AQ22-'Debt'!AP22)+'Debt'!AQ76+'Debt'!AQ77+AQ16</f>
      </c>
      <c r="AR60" s="29">
        <f>-AR55-('Debt'!AR18-'Debt'!AQ18+'Debt'!AR19-'Debt'!AQ19+'Debt'!AR20-'Debt'!AQ20+'Debt'!AR21-'Debt'!AQ21+'Debt'!AR22-'Debt'!AQ22)+'Debt'!AR76+'Debt'!AR77+AR16</f>
      </c>
      <c r="AS60" s="29">
        <f>-AS55-('Debt'!AS18-'Debt'!AR18+'Debt'!AS19-'Debt'!AR19+'Debt'!AS20-'Debt'!AR20+'Debt'!AS21-'Debt'!AR21+'Debt'!AS22-'Debt'!AR22)+'Debt'!AS76+'Debt'!AS77+AS16</f>
      </c>
      <c r="AT60" s="29">
        <f>-AT55-('Debt'!AT18-'Debt'!AS18+'Debt'!AT19-'Debt'!AS19+'Debt'!AT20-'Debt'!AS20+'Debt'!AT21-'Debt'!AS21+'Debt'!AT22-'Debt'!AS22)+'Debt'!AT76+'Debt'!AT77+AT16</f>
      </c>
      <c r="AU60" s="29">
        <f>-AU55-('Debt'!AU18-'Debt'!AT18+'Debt'!AU19-'Debt'!AT19+'Debt'!AU20-'Debt'!AT20+'Debt'!AU21-'Debt'!AT21+'Debt'!AU22-'Debt'!AT22)+'Debt'!AU76+'Debt'!AU77+AU16</f>
      </c>
      <c r="AV60" s="29">
        <f>-AV55-('Debt'!AV18-'Debt'!AU18+'Debt'!AV19-'Debt'!AU19+'Debt'!AV20-'Debt'!AU20+'Debt'!AV21-'Debt'!AU21+'Debt'!AV22-'Debt'!AU22)+'Debt'!AV76+'Debt'!AV77+AV16</f>
      </c>
      <c r="AW60" s="29">
        <f>-AW55-('Debt'!AW18-'Debt'!AV18+'Debt'!AW19-'Debt'!AV19+'Debt'!AW20-'Debt'!AV20+'Debt'!AW21-'Debt'!AV21+'Debt'!AW22-'Debt'!AV22)+'Debt'!AW76+'Debt'!AW77+AW16</f>
      </c>
      <c r="AX60" s="29">
        <f>-AX55-('Debt'!AX18-'Debt'!AW18+'Debt'!AX19-'Debt'!AW19+'Debt'!AX20-'Debt'!AW20+'Debt'!AX21-'Debt'!AW21+'Debt'!AX22-'Debt'!AW22)+'Debt'!AX76+'Debt'!AX77+AX16</f>
      </c>
      <c r="AY60" s="29">
        <f>-AY55-('Debt'!AY18-'Debt'!AX18+'Debt'!AY19-'Debt'!AX19+'Debt'!AY20-'Debt'!AX20+'Debt'!AY21-'Debt'!AX21+'Debt'!AY22-'Debt'!AX22)+'Debt'!AY76+'Debt'!AY77+AY16</f>
      </c>
      <c r="AZ60" s="29">
        <f>-AZ55-('Debt'!AZ18-'Debt'!AY18+'Debt'!AZ19-'Debt'!AY19+'Debt'!AZ20-'Debt'!AY20+'Debt'!AZ21-'Debt'!AY21+'Debt'!AZ22-'Debt'!AY22)+'Debt'!AZ76+'Debt'!AZ77+AZ16</f>
      </c>
      <c r="BA60" s="29">
        <f>-BA55-('Debt'!BA18-'Debt'!AZ18+'Debt'!BA19-'Debt'!AZ19+'Debt'!BA20-'Debt'!AZ20+'Debt'!BA21-'Debt'!AZ21+'Debt'!BA22-'Debt'!AZ22)+'Debt'!BA76+'Debt'!BA77+BA16</f>
      </c>
      <c r="BB60" s="29">
        <f>-BB55-('Debt'!BB18-'Debt'!BA18+'Debt'!BB19-'Debt'!BA19+'Debt'!BB20-'Debt'!BA20+'Debt'!BB21-'Debt'!BA21+'Debt'!BB22-'Debt'!BA22)+'Debt'!BB76+'Debt'!BB77+BB16</f>
      </c>
      <c r="BC60" s="29">
        <f>-BC55-('Debt'!BC18-'Debt'!BB18+'Debt'!BC19-'Debt'!BB19+'Debt'!BC20-'Debt'!BB20+'Debt'!BC21-'Debt'!BB21+'Debt'!BC22-'Debt'!BB22)+'Debt'!BC76+'Debt'!BC77+BC16</f>
      </c>
      <c r="BD60" s="29">
        <f>-BD55-('Debt'!BD18-'Debt'!BC18+'Debt'!BD19-'Debt'!BC19+'Debt'!BD20-'Debt'!BC20+'Debt'!BD21-'Debt'!BC21+'Debt'!BD22-'Debt'!BC22)+'Debt'!BD76+'Debt'!BD77+BD16</f>
      </c>
      <c r="BE60" s="29">
        <f>-BE55-('Debt'!BE18-'Debt'!BD18+'Debt'!BE19-'Debt'!BD19+'Debt'!BE20-'Debt'!BD20+'Debt'!BE21-'Debt'!BD21+'Debt'!BE22-'Debt'!BD22)+'Debt'!BE76+'Debt'!BE77+BE16</f>
      </c>
      <c r="BF60" s="29">
        <f>-BF55-('Debt'!BF18-'Debt'!BE18+'Debt'!BF19-'Debt'!BE19+'Debt'!BF20-'Debt'!BE20+'Debt'!BF21-'Debt'!BE21+'Debt'!BF22-'Debt'!BE22)+'Debt'!BF76+'Debt'!BF77+BF16</f>
      </c>
      <c r="BG60" s="29">
        <f>-BG55-('Debt'!BG18-'Debt'!BF18+'Debt'!BG19-'Debt'!BF19+'Debt'!BG20-'Debt'!BF20+'Debt'!BG21-'Debt'!BF21+'Debt'!BG22-'Debt'!BF22)+'Debt'!BG76+'Debt'!BG77+BG16</f>
      </c>
      <c r="BH60" s="29">
        <f>-BH55-('Debt'!BH18-'Debt'!BG18+'Debt'!BH19-'Debt'!BG19+'Debt'!BH20-'Debt'!BG20+'Debt'!BH21-'Debt'!BG21+'Debt'!BH22-'Debt'!BG22)+'Debt'!BH76+'Debt'!BH77+BH16</f>
      </c>
      <c r="BI60" s="29">
        <f>-BI55-('Debt'!BI18-'Debt'!BH18+'Debt'!BI19-'Debt'!BH19+'Debt'!BI20-'Debt'!BH20+'Debt'!BI21-'Debt'!BH21+'Debt'!BI22-'Debt'!BH22)+'Debt'!BI76+'Debt'!BI77+BI16</f>
      </c>
      <c r="BJ60" s="29">
        <f>-BJ55-('Debt'!BJ18-'Debt'!BI18+'Debt'!BJ19-'Debt'!BI19+'Debt'!BJ20-'Debt'!BI20+'Debt'!BJ21-'Debt'!BI21+'Debt'!BJ22-'Debt'!BI22)+'Debt'!BJ76+'Debt'!BJ77+BJ16</f>
      </c>
      <c r="BK60" s="29">
        <f>-BK55-('Debt'!BK18-'Debt'!BJ18+'Debt'!BK19-'Debt'!BJ19+'Debt'!BK20-'Debt'!BJ20+'Debt'!BK21-'Debt'!BJ21+'Debt'!BK22-'Debt'!BJ22)+'Debt'!BK76+'Debt'!BK77+BK16</f>
      </c>
      <c r="BL60" s="29">
        <f>-BL55-('Debt'!BL18-'Debt'!BK18+'Debt'!BL19-'Debt'!BK19+'Debt'!BL20-'Debt'!BK20+'Debt'!BL21-'Debt'!BK21+'Debt'!BL22-'Debt'!BK22)+'Debt'!BL76+'Debt'!BL77+BL16</f>
      </c>
      <c r="BM60" s="29">
        <f>-BM55-('Debt'!BM18-'Debt'!BL18+'Debt'!BM19-'Debt'!BL19+'Debt'!BM20-'Debt'!BL20+'Debt'!BM21-'Debt'!BL21+'Debt'!BM22-'Debt'!BL22)+'Debt'!BM76+'Debt'!BM77+BM16</f>
      </c>
      <c r="BN60" s="29">
        <f>-BN55-('Debt'!BN18-'Debt'!BM18+'Debt'!BN19-'Debt'!BM19+'Debt'!BN20-'Debt'!BM20+'Debt'!BN21-'Debt'!BM21+'Debt'!BN22-'Debt'!BM22)+'Debt'!BN76+'Debt'!BN77+BN16</f>
      </c>
      <c r="BO60" s="29">
        <f>-BO55-('Debt'!BO18-'Debt'!BN18+'Debt'!BO19-'Debt'!BN19+'Debt'!BO20-'Debt'!BN20+'Debt'!BO21-'Debt'!BN21+'Debt'!BO22-'Debt'!BN22)+'Debt'!BO76+'Debt'!BO77+BO16</f>
      </c>
      <c r="BP60" s="29">
        <f>-BP55-('Debt'!BP18-'Debt'!BO18+'Debt'!BP19-'Debt'!BO19+'Debt'!BP20-'Debt'!BO20+'Debt'!BP21-'Debt'!BO21+'Debt'!BP22-'Debt'!BO22)+'Debt'!BP76+'Debt'!BP77+BP16</f>
      </c>
      <c r="BQ60" s="29">
        <f>-BQ55-('Debt'!BQ18-'Debt'!BP18+'Debt'!BQ19-'Debt'!BP19+'Debt'!BQ20-'Debt'!BP20+'Debt'!BQ21-'Debt'!BP21+'Debt'!BQ22-'Debt'!BP22)+'Debt'!BQ76+'Debt'!BQ77+BQ16</f>
      </c>
      <c r="BR60" s="29">
        <f>-BR55-('Debt'!BR18-'Debt'!BQ18+'Debt'!BR19-'Debt'!BQ19+'Debt'!BR20-'Debt'!BQ20+'Debt'!BR21-'Debt'!BQ21+'Debt'!BR22-'Debt'!BQ22)+'Debt'!BR76+'Debt'!BR77+BR16</f>
      </c>
      <c r="BS60" s="29">
        <f>-BS55-('Debt'!BS18-'Debt'!BR18+'Debt'!BS19-'Debt'!BR19+'Debt'!BS20-'Debt'!BR20+'Debt'!BS21-'Debt'!BR21+'Debt'!BS22-'Debt'!BR22)+'Debt'!BS76+'Debt'!BS77+BS16</f>
      </c>
      <c r="BT60" s="29">
        <f>-BT55-('Debt'!BT18-'Debt'!BS18+'Debt'!BT19-'Debt'!BS19+'Debt'!BT20-'Debt'!BS20+'Debt'!BT21-'Debt'!BS21+'Debt'!BT22-'Debt'!BS22)+'Debt'!BT76+'Debt'!BT77+BT16</f>
      </c>
      <c r="BU60" s="29">
        <f>-BU55-('Debt'!BU18-'Debt'!BT18+'Debt'!BU19-'Debt'!BT19+'Debt'!BU20-'Debt'!BT20+'Debt'!BU21-'Debt'!BT21+'Debt'!BU22-'Debt'!BT22)+'Debt'!BU76+'Debt'!BU77+BU16</f>
      </c>
      <c r="BV60" s="29">
        <f>-BV55-('Debt'!BV18-'Debt'!BU18+'Debt'!BV19-'Debt'!BU19+'Debt'!BV20-'Debt'!BU20+'Debt'!BV21-'Debt'!BU21+'Debt'!BV22-'Debt'!BU22)+'Debt'!BV76+'Debt'!BV77+BV16</f>
      </c>
      <c r="BW60" s="29">
        <f>-BW55-('Debt'!BW18-'Debt'!BV18+'Debt'!BW19-'Debt'!BV19+'Debt'!BW20-'Debt'!BV20+'Debt'!BW21-'Debt'!BV21+'Debt'!BW22-'Debt'!BV22)+'Debt'!BW76+'Debt'!BW77+BW16</f>
      </c>
      <c r="BX60" s="29">
        <f>-BX55-('Debt'!BX18-'Debt'!BW18+'Debt'!BX19-'Debt'!BW19+'Debt'!BX20-'Debt'!BW20+'Debt'!BX21-'Debt'!BW21+'Debt'!BX22-'Debt'!BW22)+'Debt'!BX76+'Debt'!BX77+BX16</f>
      </c>
      <c r="BY60" s="29">
        <f>-BY55-('Debt'!BY18-'Debt'!BX18+'Debt'!BY19-'Debt'!BX19+'Debt'!BY20-'Debt'!BX20+'Debt'!BY21-'Debt'!BX21+'Debt'!BY22-'Debt'!BX22)+'Debt'!BY76+'Debt'!BY77+BY16</f>
      </c>
      <c r="BZ60" s="29">
        <f>-BZ55-('Debt'!BZ18-'Debt'!BY18+'Debt'!BZ19-'Debt'!BY19+'Debt'!BZ20-'Debt'!BY20+'Debt'!BZ21-'Debt'!BY21+'Debt'!BZ22-'Debt'!BY22)+'Debt'!BZ76+'Debt'!BZ77+BZ16</f>
      </c>
      <c r="CA60" s="29">
        <f>-CA55-('Debt'!CA18-'Debt'!BZ18+'Debt'!CA19-'Debt'!BZ19+'Debt'!CA20-'Debt'!BZ20+'Debt'!CA21-'Debt'!BZ21+'Debt'!CA22-'Debt'!BZ22)+'Debt'!CA76+'Debt'!CA77+CA16</f>
      </c>
      <c r="CB60" s="29">
        <f>-CB55-('Debt'!CB18-'Debt'!CA18+'Debt'!CB19-'Debt'!CA19+'Debt'!CB20-'Debt'!CA20+'Debt'!CB21-'Debt'!CA21+'Debt'!CB22-'Debt'!CA22)+'Debt'!CB76+'Debt'!CB77+CB16</f>
      </c>
      <c r="CC60" s="29">
        <f>-CC55-('Debt'!CC18-'Debt'!CB18+'Debt'!CC19-'Debt'!CB19+'Debt'!CC20-'Debt'!CB20+'Debt'!CC21-'Debt'!CB21+'Debt'!CC22-'Debt'!CB22)+'Debt'!CC76+'Debt'!CC77+CC16</f>
      </c>
      <c r="CD60" s="29">
        <f>-CD55-('Debt'!CD18-'Debt'!CC18+'Debt'!CD19-'Debt'!CC19+'Debt'!CD20-'Debt'!CC20+'Debt'!CD21-'Debt'!CC21+'Debt'!CD22-'Debt'!CC22)+'Debt'!CD76+'Debt'!CD77+CD16</f>
      </c>
      <c r="CE60" s="29">
        <f>-CE55-('Debt'!CE18-'Debt'!CD18+'Debt'!CE19-'Debt'!CD19+'Debt'!CE20-'Debt'!CD20+'Debt'!CE21-'Debt'!CD21+'Debt'!CE22-'Debt'!CD22)+'Debt'!CE76+'Debt'!CE77+CE16</f>
      </c>
      <c r="CF60" s="29">
        <f>-CF55-('Debt'!CF18-'Debt'!CE18+'Debt'!CF19-'Debt'!CE19+'Debt'!CF20-'Debt'!CE20+'Debt'!CF21-'Debt'!CE21+'Debt'!CF22-'Debt'!CE22)+'Debt'!CF76+'Debt'!CF77+CF16</f>
      </c>
      <c r="CG60" s="29">
        <f>-CG55-('Debt'!CG18-'Debt'!CF18+'Debt'!CG19-'Debt'!CF19+'Debt'!CG20-'Debt'!CF20+'Debt'!CG21-'Debt'!CF21+'Debt'!CG22-'Debt'!CF22)+'Debt'!CG76+'Debt'!CG77+CG16</f>
      </c>
      <c r="CH60" s="29">
        <f>-CH55-('Debt'!CH18-'Debt'!CG18+'Debt'!CH19-'Debt'!CG19+'Debt'!CH20-'Debt'!CG20+'Debt'!CH21-'Debt'!CG21+'Debt'!CH22-'Debt'!CG22)+'Debt'!CH76+'Debt'!CH77+CH16</f>
      </c>
      <c r="CI60" s="29">
        <f>-CI55-('Debt'!CI18-'Debt'!CH18+'Debt'!CI19-'Debt'!CH19+'Debt'!CI20-'Debt'!CH20+'Debt'!CI21-'Debt'!CH21+'Debt'!CI22-'Debt'!CH22)+'Debt'!CI76+'Debt'!CI77+CI16</f>
      </c>
      <c r="CJ60" s="29">
        <f>-CJ55-('Debt'!CJ18-'Debt'!CI18+'Debt'!CJ19-'Debt'!CI19+'Debt'!CJ20-'Debt'!CI20+'Debt'!CJ21-'Debt'!CI21+'Debt'!CJ22-'Debt'!CI22)+'Debt'!CJ76+'Debt'!CJ77+CJ16</f>
      </c>
      <c r="CK60" s="29">
        <f>-CK55-('Debt'!CK18-'Debt'!CJ18+'Debt'!CK19-'Debt'!CJ19+'Debt'!CK20-'Debt'!CJ20+'Debt'!CK21-'Debt'!CJ21+'Debt'!CK22-'Debt'!CJ22)+'Debt'!CK76+'Debt'!CK77+CK16</f>
      </c>
      <c r="CL60" s="29">
        <f>-CL55-('Debt'!CL18-'Debt'!CK18+'Debt'!CL19-'Debt'!CK19+'Debt'!CL20-'Debt'!CK20+'Debt'!CL21-'Debt'!CK21+'Debt'!CL22-'Debt'!CK22)+'Debt'!CL76+'Debt'!CL77+CL16</f>
      </c>
    </row>
    <row r="62" spans="2:4" x14ac:dyDescent="0.25">
      <c r="B62" s="42" t="s">
        <v>394</v>
      </c>
      <c r="C62" s="32" t="s">
        <v>312</v>
      </c>
      <c r="D62" s="15">
        <f>(1+IRR(E57:CL57,0.020526333383581452))^4-1</f>
      </c>
    </row>
    <row r="63" spans="2:4" x14ac:dyDescent="0.25">
      <c r="B63" s="42" t="s">
        <v>395</v>
      </c>
      <c r="C63" s="32" t="s">
        <v>312</v>
      </c>
      <c r="D63" s="15">
        <f>(1+IRR(E56:CL56,0.019097562766951626))^4-1</f>
      </c>
    </row>
    <row r="64" spans="2:4" x14ac:dyDescent="0.25">
      <c r="B64" s="42" t="s">
        <v>396</v>
      </c>
      <c r="C64" s="32" t="s">
        <v>312</v>
      </c>
      <c r="D64" s="15">
        <f>(1+IRR(E58:CL58,0.031786220017399724))^4-1</f>
      </c>
    </row>
    <row r="65" spans="2:4" x14ac:dyDescent="0.25">
      <c r="B65" s="42" t="s">
        <v>397</v>
      </c>
      <c r="C65" s="32" t="s">
        <v>312</v>
      </c>
      <c r="D65" s="15">
        <f>(1+IRR(E59:CL59,0.029011531852100703))^4-1</f>
      </c>
    </row>
    <row r="66" spans="2:4" x14ac:dyDescent="0.25">
      <c r="B66" s="42" t="s">
        <v>398</v>
      </c>
      <c r="C66" s="32" t="s">
        <v>312</v>
      </c>
      <c r="D66" s="15">
        <f>(1+IRR(E60:CL60,0.01773598081892569))^4-1</f>
      </c>
    </row>
    <row r="68" spans="2:2" x14ac:dyDescent="0.25">
      <c r="B68" s="36" t="s">
        <v>399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1"/>
  <sheetFormatPr defaultRowHeight="15" outlineLevelRow="0" outlineLevelCol="0" x14ac:dyDescent="55"/>
  <cols>
    <col min="1" max="1" width="2.5" customWidth="1"/>
    <col min="2" max="2" width="30" customWidth="1"/>
    <col min="3" max="3" width="3" customWidth="1"/>
    <col min="4" max="4" width="16" customWidth="1"/>
  </cols>
  <sheetData>
    <row r="1" spans="1:1" x14ac:dyDescent="0.25">
      <c r="A1" s="7" t="s">
        <v>0</v>
      </c>
    </row>
    <row r="2" spans="1:1" x14ac:dyDescent="0.25">
      <c r="A2" s="8" t="s">
        <v>21</v>
      </c>
    </row>
    <row r="4" spans="2:91" x14ac:dyDescent="0.25">
      <c r="B4" s="9" t="s">
        <v>22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4" x14ac:dyDescent="0.25">
      <c r="B6" s="5" t="s">
        <v>23</v>
      </c>
      <c r="D6" s="11">
        <f>'입력값'!C6</f>
      </c>
    </row>
    <row r="7" spans="2:4" x14ac:dyDescent="0.25">
      <c r="B7" s="5" t="s">
        <v>24</v>
      </c>
      <c r="D7" s="12">
        <f>'입력값'!C7</f>
      </c>
    </row>
    <row r="8" spans="2:4" x14ac:dyDescent="0.25">
      <c r="B8" s="5" t="s">
        <v>25</v>
      </c>
      <c r="D8" s="13">
        <v>86</v>
      </c>
    </row>
    <row r="9" spans="2:4" x14ac:dyDescent="0.25">
      <c r="B9" s="5" t="s">
        <v>26</v>
      </c>
      <c r="D9" s="11" t="s">
        <v>27</v>
      </c>
    </row>
    <row r="11" spans="2:91" x14ac:dyDescent="0.25">
      <c r="B11" s="9" t="s">
        <v>28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</row>
    <row r="13" spans="2:4" x14ac:dyDescent="0.25">
      <c r="B13" s="5" t="s">
        <v>29</v>
      </c>
      <c r="D13" s="14">
        <f>'Funding'!C18</f>
      </c>
    </row>
    <row r="14" spans="2:4" x14ac:dyDescent="0.25">
      <c r="B14" s="5" t="s">
        <v>30</v>
      </c>
      <c r="D14" s="14">
        <f>'Funding'!C17</f>
      </c>
    </row>
    <row r="15" spans="2:4" x14ac:dyDescent="0.25">
      <c r="B15" s="5" t="s">
        <v>31</v>
      </c>
      <c r="D15" s="14">
        <f>'Funding'!C7</f>
      </c>
    </row>
    <row r="16" spans="2:4" x14ac:dyDescent="0.25">
      <c r="B16" s="5" t="s">
        <v>32</v>
      </c>
      <c r="D16" s="14">
        <f>'Funding'!C13</f>
      </c>
    </row>
    <row r="18" spans="2:91" x14ac:dyDescent="0.25">
      <c r="B18" s="9" t="s">
        <v>33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</row>
    <row r="20" spans="2:4" x14ac:dyDescent="0.25">
      <c r="B20" s="5" t="s">
        <v>34</v>
      </c>
      <c r="D20" s="15">
        <f>'CF(Q)'!D62</f>
      </c>
    </row>
    <row r="21" spans="2:4" x14ac:dyDescent="0.25">
      <c r="B21" s="5" t="s">
        <v>35</v>
      </c>
      <c r="D21" s="15">
        <f>'CF(Q)'!D63</f>
      </c>
    </row>
    <row r="22" spans="2:4" x14ac:dyDescent="0.25">
      <c r="B22" s="5" t="s">
        <v>36</v>
      </c>
      <c r="D22" s="15">
        <f>'CF(Q)'!D64</f>
      </c>
    </row>
    <row r="23" spans="2:4" x14ac:dyDescent="0.25">
      <c r="B23" s="5" t="s">
        <v>37</v>
      </c>
      <c r="D23" s="15">
        <f>'CF(Q)'!D65</f>
      </c>
    </row>
    <row r="24" spans="2:4" x14ac:dyDescent="0.25">
      <c r="B24" s="5" t="s">
        <v>38</v>
      </c>
      <c r="D24" s="15">
        <f>'CF(Q)'!D66</f>
      </c>
    </row>
    <row r="25" spans="2:4" x14ac:dyDescent="0.25">
      <c r="B25" s="5" t="s">
        <v>39</v>
      </c>
      <c r="D25" s="16">
        <f>'CF(Q)'!D47</f>
      </c>
    </row>
    <row r="26" spans="2:4" x14ac:dyDescent="0.25">
      <c r="B26" s="5" t="s">
        <v>40</v>
      </c>
      <c r="D26" s="16">
        <f>'CF(Q)'!D48</f>
      </c>
    </row>
    <row r="27" spans="2:4" x14ac:dyDescent="0.25">
      <c r="B27" s="5" t="s">
        <v>41</v>
      </c>
      <c r="D27" s="14">
        <f>'Revenue'!D12</f>
      </c>
    </row>
    <row r="28" spans="2:4" x14ac:dyDescent="0.25">
      <c r="B28" s="5" t="s">
        <v>42</v>
      </c>
      <c r="D28" s="14">
        <f>'Opex'!D24</f>
      </c>
    </row>
    <row r="29" spans="2:4" x14ac:dyDescent="0.25">
      <c r="B29" s="5" t="s">
        <v>43</v>
      </c>
      <c r="D29" s="14">
        <f>'Debt'!D76</f>
      </c>
    </row>
    <row r="30" spans="2:4" x14ac:dyDescent="0.25">
      <c r="B30" s="5" t="s">
        <v>44</v>
      </c>
      <c r="D30" s="14">
        <f>-'IS(Q)'!D44</f>
      </c>
    </row>
    <row r="31" spans="2:4" x14ac:dyDescent="0.25">
      <c r="B31" s="5" t="s">
        <v>45</v>
      </c>
      <c r="D31" s="14">
        <f>'CF(Q)'!D16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F24"/>
  </sheetPr>
  <dimension ref="B2:C16"/>
  <sheetFormatPr defaultRowHeight="15" outlineLevelRow="0" outlineLevelCol="0" x14ac:dyDescent="55"/>
  <cols>
    <col min="1" max="1" width="2.5" customWidth="1"/>
    <col min="2" max="2" width="14" customWidth="1"/>
    <col min="3" max="3" width="6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6" spans="2:3" x14ac:dyDescent="0.25">
      <c r="B6" s="3" t="s">
        <v>2</v>
      </c>
      <c r="C6" s="3" t="s">
        <v>3</v>
      </c>
    </row>
    <row r="7" spans="2:3" x14ac:dyDescent="0.25">
      <c r="B7" s="4" t="s">
        <v>4</v>
      </c>
      <c r="C7" s="5" t="s">
        <v>5</v>
      </c>
    </row>
    <row r="8" spans="2:3" x14ac:dyDescent="0.25">
      <c r="B8" s="4" t="s">
        <v>6</v>
      </c>
      <c r="C8" s="5" t="s">
        <v>7</v>
      </c>
    </row>
    <row r="9" spans="2:3" x14ac:dyDescent="0.25">
      <c r="B9" s="4" t="s">
        <v>8</v>
      </c>
      <c r="C9" s="5" t="s">
        <v>9</v>
      </c>
    </row>
    <row r="10" spans="2:3" x14ac:dyDescent="0.25">
      <c r="B10" s="4" t="s">
        <v>10</v>
      </c>
      <c r="C10" s="5" t="s">
        <v>11</v>
      </c>
    </row>
    <row r="11" spans="2:3" x14ac:dyDescent="0.25">
      <c r="B11" s="4" t="s">
        <v>12</v>
      </c>
      <c r="C11" s="5" t="s">
        <v>13</v>
      </c>
    </row>
    <row r="12" spans="2:3" x14ac:dyDescent="0.25">
      <c r="B12" s="4" t="s">
        <v>14</v>
      </c>
      <c r="C12" s="5" t="s">
        <v>15</v>
      </c>
    </row>
    <row r="13" spans="2:3" x14ac:dyDescent="0.25">
      <c r="B13" s="4" t="s">
        <v>16</v>
      </c>
      <c r="C13" s="5" t="s">
        <v>17</v>
      </c>
    </row>
    <row r="14" spans="2:3" x14ac:dyDescent="0.25">
      <c r="B14" s="4" t="s">
        <v>18</v>
      </c>
      <c r="C14" s="5" t="s">
        <v>19</v>
      </c>
    </row>
    <row r="16" spans="2:2" x14ac:dyDescent="0.25">
      <c r="B16" s="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목차</vt:lpstr>
      <vt:lpstr>Report</vt:lpstr>
      <vt:lpstr>입력값</vt:lpstr>
      <vt:lpstr>Funding</vt:lpstr>
      <vt:lpstr>Debt</vt:lpstr>
      <vt:lpstr>Revenue</vt:lpstr>
      <vt:lpstr>Opex</vt:lpstr>
      <vt:lpstr>IS(Q)</vt:lpstr>
      <vt:lpstr>CF(Q)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재생E AI Agent — 재무모델 생성기 v2</dc:creator>
  <dc:title/>
  <dc:subject/>
  <dc:description/>
  <cp:keywords/>
  <cp:category/>
  <cp:lastModifiedBy>Unknown</cp:lastModifiedBy>
  <dcterms:created xsi:type="dcterms:W3CDTF">2026-08-27T06:06:17Z</dcterms:created>
  <dcterms:modified xsi:type="dcterms:W3CDTF">2026-08-27T06:06:17Z</dcterms:modified>
</cp:coreProperties>
</file>