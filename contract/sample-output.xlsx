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 fullCalcOnLoad="1"/>
</workbook>
</file>

<file path=xl/sharedStrings.xml><?xml version="1.0" encoding="utf-8"?>
<sst xmlns="http://schemas.openxmlformats.org/spreadsheetml/2006/main" count="1221" uniqueCount="419">
  <si>
    <t>샘플 태양광 100MW</t>
  </si>
  <si>
    <t>재무모델 v2 (분기·5트랜치) — 재생E AI Agent 자동생성 · 2026-10-02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</si>
  <si>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</si>
  <si>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</si>
  <si>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</si>
  <si>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</si>
  <si>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</si>
  <si>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</si>
  <si>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</si>
  <si>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</si>
  <si>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</si>
  <si>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</si>
  <si>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</si>
  <si>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</si>
  <si>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</si>
  <si>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</si>
  <si>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</si>
  <si>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</si>
  <si>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</si>
  <si>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</si>
  <si>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입력값 시트(노란 탭) 외의 모든 값은 수식입니다. 노란 셀을 고치면 세금·DSCR·배당·IRR 까지 전부 다시 계산됩니다. 회색 셀(거치·상환·방식·투입순서, DSRA 적립기준)은 스케줄의 모양을 정하는 값이라 화면에서 다시 생성해야 합니다. 각 계산 시트 맨 아래 "가정" 블록이 입력값 시트를 참조하는 유일한 곳입니다.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</si>
  <si>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</si>
  <si>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</si>
  <si>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</si>
  <si>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</si>
  <si>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</si>
  <si>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</si>
  <si>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</si>
  <si>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</si>
  <si>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</si>
  <si>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</si>
  <si>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</si>
  <si>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</si>
  <si>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</si>
  <si>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Equity IRR (배당) [%]</t>
  </si>
  <si>
    <t>출자자가 실제로 받는 배당 기준(세후) — 가장 보수적인 대표 수익률</t>
  </si>
  <si>
    <t>Equity IRR (FCFE) 세전 [%]</t>
  </si>
  <si>
    <t>원리금 갚고 남은 현금 전부가 출자자 몫이라고 볼 때, 법인세 전</t>
  </si>
  <si>
    <t>Equity IRR (FCFE) 세후 [%]</t>
  </si>
  <si>
    <t>위와 같되 법인세 후 — 배당 제한(DSCR·최소현금·배당가능이익)이 없다고 본 값</t>
  </si>
  <si>
    <t>Project IRR 세전 [%]</t>
  </si>
  <si>
    <t>차입 없이 사업 전체(총사업비 vs 영업현금흐름)의 수익률, 법인세 전</t>
  </si>
  <si>
    <t>Project IRR 세후 [%]</t>
  </si>
  <si>
    <t>위와 같되 법인세 후</t>
  </si>
  <si>
    <t>Investor IRR [%]</t>
  </si>
  <si>
    <t>출자자+대주단 합산 — 자본·대출 투입 vs 원리금·이자·배당 회수 (원본 IRR 시트 정의)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</si>
  <si>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</si>
  <si>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</si>
  <si>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</si>
  <si>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</si>
  <si>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</si>
  <si>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</si>
  <si>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</si>
  <si>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</si>
  <si>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</si>
  <si>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</si>
  <si>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</si>
  <si>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</si>
  <si>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</si>
  <si>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</si>
  <si>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</si>
  <si>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</si>
  <si>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</si>
  <si>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 비율(TIC 대비)[%]</t>
  </si>
  <si>
    <t>감가상각 내용연수[yr]</t>
  </si>
  <si>
    <t>철거비(복구충당부채)[억원]</t>
  </si>
  <si>
    <t>운영비 총액[억원/yr]</t>
  </si>
  <si>
    <t>운영비 에스컬레이션[%/yr]</t>
  </si>
  <si>
    <t>운영비 중 후순위 비중[%]</t>
  </si>
  <si>
    <t>대리은행수수료(총액)[KRWm]</t>
  </si>
  <si>
    <t>기타 비현금 세무손금(총액)[KRWm]</t>
  </si>
  <si>
    <t>DSRA 최초 적립액[억원]</t>
  </si>
  <si>
    <t>DSRA 적립기준(차기 X개월분)</t>
  </si>
  <si>
    <t>최소 보유현금[억원]</t>
  </si>
  <si>
    <t>배당 게이트 — 단순DSCR 최소치[x]</t>
  </si>
  <si>
    <t>배당 게이트 — 누적DSCR 최소치[x]</t>
  </si>
  <si>
    <t>배당 개시 운영연차</t>
  </si>
  <si>
    <t>법인세 가정</t>
  </si>
  <si>
    <t>이월결손금 공제한도[%]</t>
  </si>
  <si>
    <t>최저한세율[%]</t>
  </si>
  <si>
    <t>통합투자세액공제율[%]</t>
  </si>
  <si>
    <t>지방소득세율(법인세 대비)[%]</t>
  </si>
  <si>
    <t>세액공제 농특세율[%]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</si>
  <si>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</si>
  <si>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</si>
  <si>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</si>
  <si>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</si>
  <si>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</si>
  <si>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</si>
  <si>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</si>
  <si>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</si>
  <si>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투입순서</t>
  </si>
  <si>
    <t>선순위A</t>
  </si>
  <si>
    <t>선순위B</t>
  </si>
  <si>
    <t>자본금</t>
  </si>
  <si>
    <t>총사업비 지출 스케줄 (건설 분기별 비중)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</si>
  <si>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</si>
  <si>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</si>
  <si>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</si>
  <si>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</si>
  <si>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</si>
  <si>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</si>
  <si>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</si>
  <si>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</si>
  <si>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</si>
  <si>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</si>
  <si>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</si>
  <si>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</si>
  <si>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</si>
  <si>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</si>
  <si>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</si>
  <si>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</si>
  <si>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</si>
  <si>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</si>
  <si>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</si>
  <si>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</si>
  <si>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</si>
  <si>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</si>
  <si>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</si>
  <si>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</si>
  <si>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</si>
  <si>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</si>
  <si>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</si>
  <si>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</si>
  <si>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</si>
  <si>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</si>
  <si>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</si>
  <si>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</si>
  <si>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</si>
  <si>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</si>
  <si>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</si>
  <si>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</si>
  <si>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</si>
  <si>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</si>
  <si>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</si>
  <si>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</si>
  <si>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</si>
  <si>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</si>
  <si>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</si>
  <si>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</si>
  <si>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</si>
  <si>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</si>
  <si>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</si>
  <si>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</si>
  <si>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</si>
  <si>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</si>
  <si>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</si>
  <si>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</si>
  <si>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</si>
  <si>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</si>
  <si>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</si>
  <si>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</si>
  <si>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</si>
  <si>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</si>
  <si>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</si>
  <si>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</si>
  <si>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</si>
  <si>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</si>
  <si>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</si>
  <si>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</si>
  <si>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</si>
  <si>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</si>
  <si>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</si>
  <si>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</si>
  <si>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</si>
  <si>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</si>
  <si>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</si>
  <si>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</si>
  <si>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</si>
  <si>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</si>
  <si>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</si>
  <si>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</si>
  <si>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</si>
  <si>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</si>
  <si>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</si>
  <si>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</si>
  <si>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</si>
  <si>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</si>
  <si>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</si>
  <si>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</si>
  <si>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</si>
  <si>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</si>
  <si>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</si>
  <si>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</si>
  <si>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</si>
  <si>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지출 비중</t>
  </si>
  <si>
    <t>[비율]</t>
  </si>
  <si>
    <t>사업자 구성</t>
  </si>
  <si>
    <t>사업자</t>
  </si>
  <si>
    <t>지분율[%]</t>
  </si>
  <si>
    <t>출자자1</t>
  </si>
  <si>
    <t>출자자2</t>
  </si>
  <si>
    <t>※ 노란색 셀 = 여기서 고치면 다른 시트가 전부 따라 계산됩니다(재무모델링 관례). 이 시트 외의 모든 값은 이 시트를 참조하는 수식입니다.</t>
  </si>
  <si>
    <t>※ 회색 셀(거치·상환·방식·투입순서, DSRA 적립기준) = 스케줄의 "모양"을 정하는 값이라 열 구성을 다시 만들어야 합니다. 엑셀에서 고쳐도 상환 스케줄은 따라오지 않으니, 이 값들을 바꾸려면 화면(HTML)에서 고친 뒤 다시 생성하세요.</t>
  </si>
  <si>
    <t>자금조달 — 자본금 + 5개 트랜치</t>
  </si>
  <si>
    <t>금액[KRWm]</t>
  </si>
  <si>
    <t>건설금리</t>
  </si>
  <si>
    <t>운영금리</t>
  </si>
  <si>
    <t>상환개시</t>
  </si>
  <si>
    <t/>
  </si>
  <si>
    <t>차입금 합계</t>
  </si>
  <si>
    <t>건설이자(IDC)</t>
  </si>
  <si>
    <t>IDC 합계[KRWm]</t>
  </si>
  <si>
    <t>총투자비(TIC)[KRWm]</t>
  </si>
  <si>
    <t>총사업비(건설이자 제외)[KRWm]</t>
  </si>
  <si>
    <t>총조달 소요액[KRWm] (= 총사업비 + DSRA + 건설이자)</t>
  </si>
  <si>
    <t>조달 약정 합계[KRWm] (= 자본금 + 트랜치 약정)</t>
  </si>
  <si>
    <t>조달 과부족[KRWm] (조달 − 소요, 0 이상이어야 함)</t>
  </si>
  <si>
    <t>사업자 구성 (지분)</t>
  </si>
  <si>
    <t>지분율</t>
  </si>
  <si>
    <t>출자금액[KRWm]</t>
  </si>
  <si>
    <t>누적배당[KRWm]</t>
  </si>
  <si>
    <t>가정 (입력값 연결) — 이 시트의 계산이 쓰는 원천값</t>
  </si>
  <si>
    <t>값</t>
  </si>
  <si>
    <t>※ 입력값 시트는 여기서만 참조합니다(초록 글자 = 입력값 연결). 위의 분기 계산은 이 셀들만 참조하므로, 값을 바꾸려면 입력값 시트를 고치세요.</t>
  </si>
  <si>
    <t xml:space="preserve">  총사업비[억원]</t>
  </si>
  <si>
    <t>C8</t>
  </si>
  <si>
    <t xml:space="preserve">  자기자본[억원]</t>
  </si>
  <si>
    <t>C9</t>
  </si>
  <si>
    <t xml:space="preserve">  DSRA 최초 적립액[억원]</t>
  </si>
  <si>
    <t>C23</t>
  </si>
  <si>
    <t xml:space="preserve">  선순위A · 금액[억원]</t>
  </si>
  <si>
    <t>C41</t>
  </si>
  <si>
    <t xml:space="preserve">  선순위B · 금액[억원]</t>
  </si>
  <si>
    <t>C42</t>
  </si>
  <si>
    <t>차입금 상환 스케줄 — 건설기간 인출 + 트랜치별 상환</t>
  </si>
  <si>
    <t>건설기간 자금조달 (인출·건설이자)</t>
  </si>
  <si>
    <t>공사비 지출</t>
  </si>
  <si>
    <t>[KRWm]</t>
  </si>
  <si>
    <t>DSRA 적립</t>
  </si>
  <si>
    <t xml:space="preserve">  선순위A 건설이자</t>
  </si>
  <si>
    <t xml:space="preserve">  선순위B 건설이자</t>
  </si>
  <si>
    <t>건설이자 합계(당기)</t>
  </si>
  <si>
    <t>누적 소요액</t>
  </si>
  <si>
    <t xml:space="preserve">  자본금 누적인출</t>
  </si>
  <si>
    <t xml:space="preserve">  선순위A 누적인출</t>
  </si>
  <si>
    <t xml:space="preserve">  선순위B 누적인출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</si>
  <si>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</si>
  <si>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</si>
  <si>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</si>
  <si>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</si>
  <si>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</si>
  <si>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</si>
  <si>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</si>
  <si>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인출 시작 가정 검증</t>
  </si>
  <si>
    <t>전체 합계</t>
  </si>
  <si>
    <t>이자</t>
  </si>
  <si>
    <t>원리금(DS)</t>
  </si>
  <si>
    <t>DSRA 기초잔액</t>
  </si>
  <si>
    <t>DSRA 기말잔액</t>
  </si>
  <si>
    <t xml:space="preserve">  선순위A · 건설금리[%]</t>
  </si>
  <si>
    <t>D41</t>
  </si>
  <si>
    <t xml:space="preserve">  선순위A · 운영금리[%]</t>
  </si>
  <si>
    <t>E41</t>
  </si>
  <si>
    <t xml:space="preserve">  선순위B · 건설금리[%]</t>
  </si>
  <si>
    <t>D42</t>
  </si>
  <si>
    <t xml:space="preserve">  선순위B · 운영금리[%]</t>
  </si>
  <si>
    <t>E42</t>
  </si>
  <si>
    <t xml:space="preserve">  지출 비중</t>
  </si>
  <si>
    <t>입력값 49행</t>
  </si>
  <si>
    <t>영업수익 추정</t>
  </si>
  <si>
    <t>발전량 및 매출</t>
  </si>
  <si>
    <t>운영연차 (첫 해 = 0)</t>
  </si>
  <si>
    <t>[yr]</t>
  </si>
  <si>
    <t>발전 기간비중 (연간 = 1)</t>
  </si>
  <si>
    <t>[배]</t>
  </si>
  <si>
    <t>발전량</t>
  </si>
  <si>
    <t>[MWh]</t>
  </si>
  <si>
    <t>판매단가</t>
  </si>
  <si>
    <t>[원/kWh]</t>
  </si>
  <si>
    <t>영업수익</t>
  </si>
  <si>
    <t>매출채권(A/R) 회수 시차</t>
  </si>
  <si>
    <t xml:space="preserve">  전체 기말 미수금</t>
  </si>
  <si>
    <t>운전자본 증감(A/R)</t>
  </si>
  <si>
    <t>※ 20년 전체 합계는 0입니다(초기에 묶인 미수금을 마지막에 전액 회수). 다만 분기별로는 크게 움직여서 준공 직후 DSCR과 Equity IRR에 영향을 줍니다.</t>
  </si>
  <si>
    <t xml:space="preserve">  설비용량[MW]</t>
  </si>
  <si>
    <t>C7</t>
  </si>
  <si>
    <t xml:space="preserve">  판매단가[원/kWh]</t>
  </si>
  <si>
    <t>C10</t>
  </si>
  <si>
    <t xml:space="preserve">  판매단가 에스컬레이션[%/yr]</t>
  </si>
  <si>
    <t>C11</t>
  </si>
  <si>
    <t xml:space="preserve">  발전량 열화율[%/yr]</t>
  </si>
  <si>
    <t>C12</t>
  </si>
  <si>
    <t xml:space="preserve">  소내소비율[%]</t>
  </si>
  <si>
    <t>C13</t>
  </si>
  <si>
    <t xml:space="preserve">  일조시간[h/day]</t>
  </si>
  <si>
    <t>C14</t>
  </si>
  <si>
    <t>영업비용 추정</t>
  </si>
  <si>
    <t>운영비용 (선순위/후순위 지급순위 반영)</t>
  </si>
  <si>
    <t>선순위운영비</t>
  </si>
  <si>
    <t>후순위운영비</t>
  </si>
  <si>
    <t>영업비용 합계</t>
  </si>
  <si>
    <t>※ 실측 오버라이드가 적용된 분기(예시 불러오기)는 "입력값" 시트의 실측 표를, 그 외 분기는 운영비 총액/에스컬레이션/후순위 비중(또는 운영비 항목)을 참조하는 수식입니다.</t>
  </si>
  <si>
    <t xml:space="preserve">  운영비 총액[억원/yr]</t>
  </si>
  <si>
    <t>C18</t>
  </si>
  <si>
    <t xml:space="preserve">  운영비 에스컬레이션[%/yr]</t>
  </si>
  <si>
    <t>C19</t>
  </si>
  <si>
    <t xml:space="preserve">  운영비 중 후순위 비중[%]</t>
  </si>
  <si>
    <t>C20</t>
  </si>
  <si>
    <t>추정 손익계산서 (분기)</t>
  </si>
  <si>
    <t>손익계산서</t>
  </si>
  <si>
    <t>EBITDA</t>
  </si>
  <si>
    <t>EBITDA 마진</t>
  </si>
  <si>
    <t>[%]</t>
  </si>
  <si>
    <t>감가상각비</t>
  </si>
  <si>
    <t>복구충당부채 전입액</t>
  </si>
  <si>
    <t>기타 비현금 세무손금</t>
  </si>
  <si>
    <t>대리은행수수료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</si>
  <si>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</si>
  <si>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</si>
  <si>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</si>
  <si>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</si>
  <si>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</si>
  <si>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>이자비용 합계</t>
  </si>
  <si>
    <t>법인세차감전순이익</t>
  </si>
  <si>
    <t>법인세비용</t>
  </si>
  <si>
    <t>당기순이익</t>
  </si>
  <si>
    <t>연도별 법인세 산출</t>
  </si>
  <si>
    <t>세무상 과세표준(분기, 연간집계용)</t>
  </si>
  <si>
    <t>연도</t>
  </si>
  <si>
    <t>과세표준(연간, 손실이월 전)</t>
  </si>
  <si>
    <t>직전 이월결손금(기초)</t>
  </si>
  <si>
    <t>당해 결손금 공제액</t>
  </si>
  <si>
    <t>이월결손금(기말)</t>
  </si>
  <si>
    <t>과세표준(공제후)</t>
  </si>
  <si>
    <t>산출세액</t>
  </si>
  <si>
    <t>최저한세</t>
  </si>
  <si>
    <t>직전 세액공제 잔액(기초)</t>
  </si>
  <si>
    <t>당해 신규 세액공제</t>
  </si>
  <si>
    <t>공제후 세액</t>
  </si>
  <si>
    <t>최종 산출세액(MAX)</t>
  </si>
  <si>
    <t>세액공제 사용액</t>
  </si>
  <si>
    <t>세액공제 잔액(기말)</t>
  </si>
  <si>
    <t>법인세비용(연간)</t>
  </si>
  <si>
    <t>양수 EBT 합(연간, 분기배분용)</t>
  </si>
  <si>
    <t>※ 이월결손금(공제한도 이내)·세액공제(10년 이월, 통합투자세액공제)·최저한세(MAX)를 원본과 같은 순서로 연도 단위 수식 체인으로 계산합니다(반복계산 아님 — Debt 시트의 "기초잔액=직전 기말잔액"과 같은 방식). 분기별 법인세비용은 이 표의 연간 법인세를 그 분기 양수EBT 비중으로 비례배분합니다.</t>
  </si>
  <si>
    <t xml:space="preserve">  상각대상 비율(TIC 대비)[%]</t>
  </si>
  <si>
    <t>C15</t>
  </si>
  <si>
    <t xml:space="preserve">  감가상각 내용연수[yr]</t>
  </si>
  <si>
    <t>C16</t>
  </si>
  <si>
    <t xml:space="preserve">  철거비(복구충당부채)[억원]</t>
  </si>
  <si>
    <t>C17</t>
  </si>
  <si>
    <t xml:space="preserve">  대리은행수수료(총액)[KRWm]</t>
  </si>
  <si>
    <t>C21</t>
  </si>
  <si>
    <t xml:space="preserve">  기타 비현금 세무손금(총액)[KRWm]</t>
  </si>
  <si>
    <t>C22</t>
  </si>
  <si>
    <t xml:space="preserve">  이월결손금 공제한도[%]</t>
  </si>
  <si>
    <t>C32</t>
  </si>
  <si>
    <t xml:space="preserve">  최저한세율[%]</t>
  </si>
  <si>
    <t>C33</t>
  </si>
  <si>
    <t xml:space="preserve">  통합투자세액공제율[%]</t>
  </si>
  <si>
    <t>C34</t>
  </si>
  <si>
    <t xml:space="preserve">  지방소득세율(법인세 대비)[%]</t>
  </si>
  <si>
    <t>C35</t>
  </si>
  <si>
    <t xml:space="preserve">  세액공제 농특세율[%]</t>
  </si>
  <si>
    <t>C36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</si>
  <si>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</si>
  <si>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</si>
  <si>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</si>
  <si>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</si>
  <si>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</si>
  <si>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</si>
  <si>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</si>
  <si>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</si>
  <si>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</si>
  <si>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</si>
  <si>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(가용현금=기초현금+FCFE, 내부용)</t>
  </si>
  <si>
    <t>(세금 현금조정, 내부용)</t>
  </si>
  <si>
    <t>(DSRA 기초잔액, 내부용)</t>
  </si>
  <si>
    <t>(DSRA 기말잔액, 내부용)</t>
  </si>
  <si>
    <t>(배당가능이익 누적, 내부용)</t>
  </si>
  <si>
    <t>(이익준비금 누적, 내부용)</t>
  </si>
  <si>
    <t>연도별 DSCR · 배당 게이트</t>
  </si>
  <si>
    <t>원리금 합(연간)</t>
  </si>
  <si>
    <t>CFADS 합(연간)</t>
  </si>
  <si>
    <t>단순 DSCR(연 합산)</t>
  </si>
  <si>
    <t>누적 DSCR(연간)</t>
  </si>
  <si>
    <t>CFADS 합(현금기준, 연간)</t>
  </si>
  <si>
    <t>그 해 첫 운영분기 기초현금+DSRA</t>
  </si>
  <si>
    <t>그 해 첫 운영분기 기초현금</t>
  </si>
  <si>
    <t>그 해 지급월 기초현금-배당</t>
  </si>
  <si>
    <t>단순DSCR 게이트 통과</t>
  </si>
  <si>
    <t>[bool]</t>
  </si>
  <si>
    <t>누적DSCR 게이트 통과</t>
  </si>
  <si>
    <t>배당 결의 가능</t>
  </si>
  <si>
    <t>배당가능이익 한도</t>
  </si>
  <si>
    <t>현금 한도</t>
  </si>
  <si>
    <t>원리금상환재원 기준선</t>
  </si>
  <si>
    <t>원리금상환재원 한도</t>
  </si>
  <si>
    <t>결정 배당액</t>
  </si>
  <si>
    <t>이익준비금 적립액</t>
  </si>
  <si>
    <t>검증</t>
  </si>
  <si>
    <t>(누적 CFADS, 내부용)</t>
  </si>
  <si>
    <t>최소 단순DSCR(연 합산)</t>
  </si>
  <si>
    <t>최소 누적DSCR</t>
  </si>
  <si>
    <t>최종 기말현금(음수면 오류)</t>
  </si>
  <si>
    <t>IRR용 현금흐름 (참고)</t>
  </si>
  <si>
    <t>자본금 인출</t>
  </si>
  <si>
    <t>Project 현금흐름</t>
  </si>
  <si>
    <t>Project 현금흐름(세전)</t>
  </si>
  <si>
    <t>Equity 현금흐름(FCFE 기준)</t>
  </si>
  <si>
    <t>Equity 현금흐름(FCFE 세전)</t>
  </si>
  <si>
    <t>Equity 현금흐름(배당 기준)</t>
  </si>
  <si>
    <t>Investor 현금흐름</t>
  </si>
  <si>
    <t>Project IRR(세전)</t>
  </si>
  <si>
    <t>Project IRR(세후)</t>
  </si>
  <si>
    <t>Equity IRR(FCFE 세전)</t>
  </si>
  <si>
    <t>Equity IRR(FCFE 세후)</t>
  </si>
  <si>
    <t>Equity IRR(배당)</t>
  </si>
  <si>
    <t>Investor IRR</t>
  </si>
  <si>
    <t>※ IRR()의 두 번째 인자(초기 추정치)에 현재 계산된 값을 넣어 엉뚱한 근으로 수렴하는 걸 방지했습니다. 입력값을 크게 바꿔서 결과가 비정상적으로 크게(수백% 이상) 나오면, 그 근처의 추정치로 다시 만들어야 정확합니다 — 화면(HTML) 값과 대조해서 확인하세요.</t>
  </si>
  <si>
    <t xml:space="preserve">  최소 보유현금[억원]</t>
  </si>
  <si>
    <t>C25</t>
  </si>
  <si>
    <t xml:space="preserve">  배당 게이트 — 단순DSCR 최소치[x]</t>
  </si>
  <si>
    <t>C26</t>
  </si>
  <si>
    <t xml:space="preserve">  배당 게이트 — 누적DSCR 최소치[x]</t>
  </si>
  <si>
    <t>C27</t>
  </si>
  <si>
    <t xml:space="preserve">  배당 개시 운영연차</t>
  </si>
  <si>
    <t>C28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</si>
</sst>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  <numFmt numFmtId="170" formatCode="0.0000"/>
    <numFmt numFmtId="171" formatCode="0.000000"/>
  </numFmts>
  <fonts count="21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6B7B76"/>
      <sz val="8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  <font>
      <color rgb="FF9AA6A1"/>
      <sz val="8"/>
      <name val="맑은 고딕"/>
    </font>
    <font>
      <color rgb="FF1E7B34"/>
      <sz val="10"/>
      <name val="맑은 고딕"/>
    </font>
    <font>
      <b/>
      <sz val="9"/>
      <name val="맑은 고딕"/>
    </font>
    <font>
      <color rgb="FF6B7B76"/>
      <sz val="9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E8E8E8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0" fontId="11" fillId="0" borderId="0" xfId="0" applyFont="1"/>
    <xf numFmtId="166" fontId="10" fillId="0" borderId="0" xfId="0" applyNumberFormat="1" applyFont="1"/>
    <xf numFmtId="49" fontId="12" fillId="3" borderId="0" xfId="0" applyNumberFormat="1" applyFont="1" applyFill="1"/>
    <xf numFmtId="164" fontId="12" fillId="3" borderId="0" xfId="0" applyNumberFormat="1" applyFont="1" applyFill="1"/>
    <xf numFmtId="165" fontId="12" fillId="3" borderId="0" xfId="0" applyNumberFormat="1" applyFont="1" applyFill="1"/>
    <xf numFmtId="167" fontId="12" fillId="3" borderId="0" xfId="0" applyNumberFormat="1" applyFont="1" applyFill="1"/>
    <xf numFmtId="2" fontId="12" fillId="3" borderId="0" xfId="0" applyNumberFormat="1" applyFont="1" applyFill="1"/>
    <xf numFmtId="168" fontId="12" fillId="3" borderId="0" xfId="0" applyNumberFormat="1" applyFont="1" applyFill="1"/>
    <xf numFmtId="169" fontId="12" fillId="3" borderId="0" xfId="0" applyNumberFormat="1" applyFont="1" applyFill="1"/>
    <xf numFmtId="1" fontId="12" fillId="4" borderId="0" xfId="0" applyNumberFormat="1" applyFont="1" applyFill="1"/>
    <xf numFmtId="170" fontId="12" fillId="3" borderId="0" xfId="0" applyNumberFormat="1" applyFont="1" applyFill="1"/>
    <xf numFmtId="1" fontId="12" fillId="3" borderId="0" xfId="0" applyNumberFormat="1" applyFont="1" applyFill="1"/>
    <xf numFmtId="0" fontId="13" fillId="5" borderId="0" xfId="0" applyFont="1" applyFill="1" applyAlignment="1">
      <alignment horizontal="center"/>
    </xf>
    <xf numFmtId="10" fontId="12" fillId="3" borderId="0" xfId="0" applyNumberFormat="1" applyFont="1" applyFill="1"/>
    <xf numFmtId="2" fontId="12" fillId="4" borderId="0" xfId="0" applyNumberFormat="1" applyFont="1" applyFill="1"/>
    <xf numFmtId="49" fontId="12" fillId="0" borderId="0" xfId="0" applyNumberFormat="1" applyFont="1"/>
    <xf numFmtId="165" fontId="12" fillId="0" borderId="0" xfId="0" applyNumberFormat="1" applyFont="1"/>
    <xf numFmtId="49" fontId="14" fillId="5" borderId="0" xfId="0" applyNumberFormat="1" applyFont="1" applyFill="1" applyAlignment="1">
      <alignment horizontal="center"/>
    </xf>
    <xf numFmtId="0" fontId="12" fillId="0" borderId="0" xfId="0" applyFont="1"/>
    <xf numFmtId="0" fontId="15" fillId="0" borderId="0" xfId="0" applyFont="1" applyAlignment="1">
      <alignment horizontal="center"/>
    </xf>
    <xf numFmtId="171" fontId="12" fillId="0" borderId="0" xfId="0" applyNumberFormat="1" applyFont="1"/>
    <xf numFmtId="171" fontId="12" fillId="3" borderId="0" xfId="0" applyNumberFormat="1" applyFont="1" applyFill="1"/>
    <xf numFmtId="0" fontId="16" fillId="0" borderId="0" xfId="0" applyFont="1"/>
    <xf numFmtId="1" fontId="12" fillId="0" borderId="0" xfId="0" applyNumberFormat="1" applyFont="1"/>
    <xf numFmtId="10" fontId="12" fillId="0" borderId="0" xfId="0" applyNumberFormat="1" applyFont="1"/>
    <xf numFmtId="2" fontId="12" fillId="0" borderId="0" xfId="0" applyNumberFormat="1" applyFont="1"/>
    <xf numFmtId="49" fontId="10" fillId="6" borderId="0" xfId="0" applyNumberFormat="1" applyFont="1" applyFill="1"/>
    <xf numFmtId="165" fontId="10" fillId="6" borderId="0" xfId="0" applyNumberFormat="1" applyFont="1" applyFill="1"/>
    <xf numFmtId="0" fontId="13" fillId="2" borderId="0" xfId="0" applyFont="1" applyFill="1"/>
    <xf numFmtId="0" fontId="17" fillId="0" borderId="0" xfId="0" applyFont="1"/>
    <xf numFmtId="165" fontId="18" fillId="0" borderId="0" xfId="0" applyNumberFormat="1" applyFont="1"/>
    <xf numFmtId="0" fontId="10" fillId="0" borderId="0" xfId="0" applyFont="1"/>
    <xf numFmtId="0" fontId="10" fillId="6" borderId="0" xfId="0" applyFont="1" applyFill="1"/>
    <xf numFmtId="0" fontId="0" fillId="6" borderId="0" xfId="0" applyFill="1"/>
    <xf numFmtId="49" fontId="19" fillId="0" borderId="0" xfId="0" applyNumberFormat="1" applyFont="1"/>
    <xf numFmtId="0" fontId="15" fillId="6" borderId="0" xfId="0" applyFont="1" applyFill="1" applyAlignment="1">
      <alignment horizontal="center"/>
    </xf>
    <xf numFmtId="10" fontId="18" fillId="0" borderId="0" xfId="0" applyNumberFormat="1" applyFont="1"/>
    <xf numFmtId="171" fontId="18" fillId="0" borderId="0" xfId="0" applyNumberFormat="1" applyFont="1"/>
    <xf numFmtId="1" fontId="20" fillId="0" borderId="0" xfId="0" applyNumberFormat="1" applyFont="1"/>
    <xf numFmtId="170" fontId="20" fillId="0" borderId="0" xfId="0" applyNumberFormat="1" applyFont="1"/>
    <xf numFmtId="3" fontId="10" fillId="0" borderId="0" xfId="0" applyNumberFormat="1" applyFont="1"/>
    <xf numFmtId="167" fontId="12" fillId="0" borderId="0" xfId="0" applyNumberFormat="1" applyFont="1"/>
    <xf numFmtId="164" fontId="18" fillId="0" borderId="0" xfId="0" applyNumberFormat="1" applyFont="1"/>
    <xf numFmtId="167" fontId="18" fillId="0" borderId="0" xfId="0" applyNumberFormat="1" applyFont="1"/>
    <xf numFmtId="2" fontId="18" fillId="0" borderId="0" xfId="0" applyNumberFormat="1" applyFont="1"/>
    <xf numFmtId="168" fontId="18" fillId="0" borderId="0" xfId="0" applyNumberFormat="1" applyFont="1"/>
    <xf numFmtId="169" fontId="18" fillId="0" borderId="0" xfId="0" applyNumberFormat="1" applyFont="1"/>
    <xf numFmtId="0" fontId="15" fillId="2" borderId="0" xfId="0" applyFont="1" applyFill="1" applyAlignment="1">
      <alignment horizontal="center"/>
    </xf>
    <xf numFmtId="165" fontId="12" fillId="2" borderId="0" xfId="0" applyNumberFormat="1" applyFont="1" applyFill="1"/>
    <xf numFmtId="166" fontId="12" fillId="0" borderId="0" xfId="0" applyNumberFormat="1" applyFont="1"/>
    <xf numFmtId="170" fontId="18" fillId="0" borderId="0" xfId="0" applyNumberFormat="1" applyFont="1"/>
    <xf numFmtId="1" fontId="1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58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53</v>
      </c>
    </row>
    <row r="4" spans="2:91" x14ac:dyDescent="0.25">
      <c r="B4" s="9" t="s">
        <v>54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5" spans="2:2" x14ac:dyDescent="0.25"/>
    <row r="6" spans="2:3" x14ac:dyDescent="0.25">
      <c r="B6" s="5" t="s">
        <v>23</v>
      </c>
      <c r="C6" s="18" t="s">
        <v>0</v>
      </c>
    </row>
    <row r="7" spans="2:3" x14ac:dyDescent="0.25">
      <c r="B7" s="5" t="s">
        <v>55</v>
      </c>
      <c r="C7" s="19">
        <v>100</v>
      </c>
    </row>
    <row r="8" spans="2:3" x14ac:dyDescent="0.25">
      <c r="B8" s="5" t="s">
        <v>56</v>
      </c>
      <c r="C8" s="20">
        <v>1410.69</v>
      </c>
    </row>
    <row r="9" spans="2:3" x14ac:dyDescent="0.25">
      <c r="B9" s="5" t="s">
        <v>57</v>
      </c>
      <c r="C9" s="20">
        <v>150</v>
      </c>
    </row>
    <row r="10" spans="2:3" x14ac:dyDescent="0.25">
      <c r="B10" s="5" t="s">
        <v>58</v>
      </c>
      <c r="C10" s="21">
        <v>154.8</v>
      </c>
    </row>
    <row r="11" spans="2:3" x14ac:dyDescent="0.25">
      <c r="B11" s="5" t="s">
        <v>59</v>
      </c>
      <c r="C11" s="22">
        <v>0</v>
      </c>
    </row>
    <row r="12" spans="2:3" x14ac:dyDescent="0.25">
      <c r="B12" s="5" t="s">
        <v>60</v>
      </c>
      <c r="C12" s="22">
        <v>0.5</v>
      </c>
    </row>
    <row r="13" spans="2:3" x14ac:dyDescent="0.25">
      <c r="B13" s="5" t="s">
        <v>61</v>
      </c>
      <c r="C13" s="22">
        <v>0</v>
      </c>
    </row>
    <row r="14" spans="2:3" x14ac:dyDescent="0.25">
      <c r="B14" s="5" t="s">
        <v>62</v>
      </c>
      <c r="C14" s="23">
        <v>3.77</v>
      </c>
    </row>
    <row r="15" spans="2:3" x14ac:dyDescent="0.25">
      <c r="B15" s="5" t="s">
        <v>63</v>
      </c>
      <c r="C15" s="22">
        <v>95</v>
      </c>
    </row>
    <row r="16" spans="2:3" x14ac:dyDescent="0.25">
      <c r="B16" s="5" t="s">
        <v>64</v>
      </c>
      <c r="C16" s="24">
        <v>20</v>
      </c>
    </row>
    <row r="17" spans="2:3" x14ac:dyDescent="0.25">
      <c r="B17" s="5" t="s">
        <v>65</v>
      </c>
      <c r="C17" s="20">
        <v>20</v>
      </c>
    </row>
    <row r="18" spans="2:3" x14ac:dyDescent="0.25">
      <c r="B18" s="5" t="s">
        <v>66</v>
      </c>
      <c r="C18" s="20">
        <v>49.8</v>
      </c>
    </row>
    <row r="19" spans="2:3" x14ac:dyDescent="0.25">
      <c r="B19" s="5" t="s">
        <v>67</v>
      </c>
      <c r="C19" s="22">
        <v>0.7</v>
      </c>
    </row>
    <row r="20" spans="2:3" x14ac:dyDescent="0.25">
      <c r="B20" s="5" t="s">
        <v>68</v>
      </c>
      <c r="C20" s="22">
        <v>0</v>
      </c>
    </row>
    <row r="21" spans="2:3" x14ac:dyDescent="0.25">
      <c r="B21" s="5" t="s">
        <v>69</v>
      </c>
      <c r="C21" s="20">
        <v>0</v>
      </c>
    </row>
    <row r="22" spans="2:3" x14ac:dyDescent="0.25">
      <c r="B22" s="5" t="s">
        <v>70</v>
      </c>
      <c r="C22" s="20">
        <v>0</v>
      </c>
    </row>
    <row r="23" spans="2:3" x14ac:dyDescent="0.25">
      <c r="B23" s="5" t="s">
        <v>71</v>
      </c>
      <c r="C23" s="20">
        <v>50</v>
      </c>
    </row>
    <row r="24" spans="2:3" x14ac:dyDescent="0.25">
      <c r="B24" s="5" t="s">
        <v>72</v>
      </c>
      <c r="C24" s="25">
        <v>6</v>
      </c>
    </row>
    <row r="25" spans="2:3" x14ac:dyDescent="0.25">
      <c r="B25" s="5" t="s">
        <v>73</v>
      </c>
      <c r="C25" s="20">
        <v>10</v>
      </c>
    </row>
    <row r="26" spans="2:3" x14ac:dyDescent="0.25">
      <c r="B26" s="5" t="s">
        <v>74</v>
      </c>
      <c r="C26" s="26">
        <v>1.1</v>
      </c>
    </row>
    <row r="27" spans="2:3" x14ac:dyDescent="0.25">
      <c r="B27" s="5" t="s">
        <v>75</v>
      </c>
      <c r="C27" s="26">
        <v>1.15</v>
      </c>
    </row>
    <row r="28" spans="2:3" x14ac:dyDescent="0.25">
      <c r="B28" s="5" t="s">
        <v>76</v>
      </c>
      <c r="C28" s="27">
        <v>2</v>
      </c>
    </row>
    <row r="30" spans="2:91" x14ac:dyDescent="0.25">
      <c r="B30" s="9" t="s">
        <v>77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</row>
    <row r="31" spans="2:2" x14ac:dyDescent="0.25"/>
    <row r="32" spans="2:3" x14ac:dyDescent="0.25">
      <c r="B32" s="5" t="s">
        <v>78</v>
      </c>
      <c r="C32" s="22">
        <v>80</v>
      </c>
    </row>
    <row r="33" spans="2:3" x14ac:dyDescent="0.25">
      <c r="B33" s="5" t="s">
        <v>79</v>
      </c>
      <c r="C33" s="22">
        <v>0</v>
      </c>
    </row>
    <row r="34" spans="2:3" x14ac:dyDescent="0.25">
      <c r="B34" s="5" t="s">
        <v>80</v>
      </c>
      <c r="C34" s="22">
        <v>0</v>
      </c>
    </row>
    <row r="35" spans="2:3" x14ac:dyDescent="0.25">
      <c r="B35" s="5" t="s">
        <v>81</v>
      </c>
      <c r="C35" s="22">
        <v>10</v>
      </c>
    </row>
    <row r="36" spans="2:3" x14ac:dyDescent="0.25">
      <c r="B36" s="5" t="s">
        <v>82</v>
      </c>
      <c r="C36" s="22">
        <v>0</v>
      </c>
    </row>
    <row r="38" spans="2:91" x14ac:dyDescent="0.25">
      <c r="B38" s="9" t="s">
        <v>83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</row>
    <row r="40" spans="2:9" x14ac:dyDescent="0.25">
      <c r="B40" s="28" t="s">
        <v>84</v>
      </c>
      <c r="C40" s="28" t="s">
        <v>85</v>
      </c>
      <c r="D40" s="28" t="s">
        <v>86</v>
      </c>
      <c r="E40" s="28" t="s">
        <v>87</v>
      </c>
      <c r="F40" s="28" t="s">
        <v>88</v>
      </c>
      <c r="G40" s="28" t="s">
        <v>89</v>
      </c>
      <c r="H40" s="28" t="s">
        <v>90</v>
      </c>
      <c r="I40" s="28" t="s">
        <v>91</v>
      </c>
    </row>
    <row r="41" spans="2:9" x14ac:dyDescent="0.25">
      <c r="B41" s="18" t="s">
        <v>92</v>
      </c>
      <c r="C41" s="20">
        <v>800</v>
      </c>
      <c r="D41" s="29">
        <v>0.055999999999999994</v>
      </c>
      <c r="E41" s="29">
        <v>0.055999999999999994</v>
      </c>
      <c r="F41" s="30">
        <v>2</v>
      </c>
      <c r="G41" s="30">
        <v>16</v>
      </c>
      <c r="H41" s="25">
        <v>1</v>
      </c>
      <c r="I41" s="25">
        <v>2</v>
      </c>
    </row>
    <row r="42" spans="2:9" x14ac:dyDescent="0.25">
      <c r="B42" s="18" t="s">
        <v>93</v>
      </c>
      <c r="C42" s="20">
        <v>460.69</v>
      </c>
      <c r="D42" s="29">
        <v>0.055</v>
      </c>
      <c r="E42" s="29">
        <v>0.055</v>
      </c>
      <c r="F42" s="30">
        <v>2</v>
      </c>
      <c r="G42" s="30">
        <v>16</v>
      </c>
      <c r="H42" s="25">
        <v>1</v>
      </c>
      <c r="I42" s="25">
        <v>2</v>
      </c>
    </row>
    <row r="43" spans="2:9" x14ac:dyDescent="0.25">
      <c r="B43" s="31" t="s">
        <v>94</v>
      </c>
      <c r="C43" s="32">
        <f>C9</f>
        <v>150</v>
      </c>
      <c r="I43" s="25">
        <v>1</v>
      </c>
    </row>
    <row r="45" spans="2:91" x14ac:dyDescent="0.25">
      <c r="B45" s="9" t="s">
        <v>95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</row>
    <row r="47" spans="2:90" x14ac:dyDescent="0.25">
      <c r="B47" s="28" t="s">
        <v>96</v>
      </c>
      <c r="C47" s="28" t="s">
        <v>97</v>
      </c>
      <c r="D47" s="28" t="s">
        <v>98</v>
      </c>
      <c r="E47" s="33" t="s">
        <v>99</v>
      </c>
      <c r="F47" s="33" t="s">
        <v>100</v>
      </c>
      <c r="G47" s="33" t="s">
        <v>101</v>
      </c>
      <c r="H47" s="33" t="s">
        <v>102</v>
      </c>
      <c r="I47" s="33" t="s">
        <v>103</v>
      </c>
      <c r="J47" s="33" t="s">
        <v>104</v>
      </c>
      <c r="K47" s="33" t="s">
        <v>105</v>
      </c>
      <c r="L47" s="33" t="s">
        <v>106</v>
      </c>
      <c r="M47" s="33" t="s">
        <v>107</v>
      </c>
      <c r="N47" s="33" t="s">
        <v>108</v>
      </c>
      <c r="O47" s="33" t="s">
        <v>109</v>
      </c>
      <c r="P47" s="33" t="s">
        <v>110</v>
      </c>
      <c r="Q47" s="33" t="s">
        <v>111</v>
      </c>
      <c r="R47" s="33" t="s">
        <v>112</v>
      </c>
      <c r="S47" s="33" t="s">
        <v>113</v>
      </c>
      <c r="T47" s="33" t="s">
        <v>114</v>
      </c>
      <c r="U47" s="33" t="s">
        <v>115</v>
      </c>
      <c r="V47" s="33" t="s">
        <v>116</v>
      </c>
      <c r="W47" s="33" t="s">
        <v>117</v>
      </c>
      <c r="X47" s="33" t="s">
        <v>118</v>
      </c>
      <c r="Y47" s="33" t="s">
        <v>119</v>
      </c>
      <c r="Z47" s="33" t="s">
        <v>120</v>
      </c>
      <c r="AA47" s="33" t="s">
        <v>121</v>
      </c>
      <c r="AB47" s="33" t="s">
        <v>122</v>
      </c>
      <c r="AC47" s="33" t="s">
        <v>123</v>
      </c>
      <c r="AD47" s="33" t="s">
        <v>124</v>
      </c>
      <c r="AE47" s="33" t="s">
        <v>125</v>
      </c>
      <c r="AF47" s="33" t="s">
        <v>126</v>
      </c>
      <c r="AG47" s="33" t="s">
        <v>127</v>
      </c>
      <c r="AH47" s="33" t="s">
        <v>128</v>
      </c>
      <c r="AI47" s="33" t="s">
        <v>129</v>
      </c>
      <c r="AJ47" s="33" t="s">
        <v>130</v>
      </c>
      <c r="AK47" s="33" t="s">
        <v>131</v>
      </c>
      <c r="AL47" s="33" t="s">
        <v>132</v>
      </c>
      <c r="AM47" s="33" t="s">
        <v>133</v>
      </c>
      <c r="AN47" s="33" t="s">
        <v>134</v>
      </c>
      <c r="AO47" s="33" t="s">
        <v>135</v>
      </c>
      <c r="AP47" s="33" t="s">
        <v>136</v>
      </c>
      <c r="AQ47" s="33" t="s">
        <v>137</v>
      </c>
      <c r="AR47" s="33" t="s">
        <v>138</v>
      </c>
      <c r="AS47" s="33" t="s">
        <v>139</v>
      </c>
      <c r="AT47" s="33" t="s">
        <v>140</v>
      </c>
      <c r="AU47" s="33" t="s">
        <v>141</v>
      </c>
      <c r="AV47" s="33" t="s">
        <v>142</v>
      </c>
      <c r="AW47" s="33" t="s">
        <v>143</v>
      </c>
      <c r="AX47" s="33" t="s">
        <v>144</v>
      </c>
      <c r="AY47" s="33" t="s">
        <v>145</v>
      </c>
      <c r="AZ47" s="33" t="s">
        <v>146</v>
      </c>
      <c r="BA47" s="33" t="s">
        <v>147</v>
      </c>
      <c r="BB47" s="33" t="s">
        <v>148</v>
      </c>
      <c r="BC47" s="33" t="s">
        <v>149</v>
      </c>
      <c r="BD47" s="33" t="s">
        <v>150</v>
      </c>
      <c r="BE47" s="33" t="s">
        <v>151</v>
      </c>
      <c r="BF47" s="33" t="s">
        <v>152</v>
      </c>
      <c r="BG47" s="33" t="s">
        <v>153</v>
      </c>
      <c r="BH47" s="33" t="s">
        <v>154</v>
      </c>
      <c r="BI47" s="33" t="s">
        <v>155</v>
      </c>
      <c r="BJ47" s="33" t="s">
        <v>156</v>
      </c>
      <c r="BK47" s="33" t="s">
        <v>157</v>
      </c>
      <c r="BL47" s="33" t="s">
        <v>158</v>
      </c>
      <c r="BM47" s="33" t="s">
        <v>159</v>
      </c>
      <c r="BN47" s="33" t="s">
        <v>160</v>
      </c>
      <c r="BO47" s="33" t="s">
        <v>161</v>
      </c>
      <c r="BP47" s="33" t="s">
        <v>162</v>
      </c>
      <c r="BQ47" s="33" t="s">
        <v>163</v>
      </c>
      <c r="BR47" s="33" t="s">
        <v>164</v>
      </c>
      <c r="BS47" s="33" t="s">
        <v>165</v>
      </c>
      <c r="BT47" s="33" t="s">
        <v>166</v>
      </c>
      <c r="BU47" s="33" t="s">
        <v>167</v>
      </c>
      <c r="BV47" s="33" t="s">
        <v>168</v>
      </c>
      <c r="BW47" s="33" t="s">
        <v>169</v>
      </c>
      <c r="BX47" s="33" t="s">
        <v>170</v>
      </c>
      <c r="BY47" s="33" t="s">
        <v>171</v>
      </c>
      <c r="BZ47" s="33" t="s">
        <v>172</v>
      </c>
      <c r="CA47" s="33" t="s">
        <v>173</v>
      </c>
      <c r="CB47" s="33" t="s">
        <v>174</v>
      </c>
      <c r="CC47" s="33" t="s">
        <v>175</v>
      </c>
      <c r="CD47" s="33" t="s">
        <v>176</v>
      </c>
      <c r="CE47" s="33" t="s">
        <v>177</v>
      </c>
      <c r="CF47" s="33" t="s">
        <v>178</v>
      </c>
      <c r="CG47" s="33" t="s">
        <v>179</v>
      </c>
      <c r="CH47" s="33" t="s">
        <v>180</v>
      </c>
      <c r="CI47" s="33" t="s">
        <v>181</v>
      </c>
      <c r="CJ47" s="33" t="s">
        <v>182</v>
      </c>
      <c r="CK47" s="33" t="s">
        <v>183</v>
      </c>
      <c r="CL47" s="33" t="s">
        <v>184</v>
      </c>
    </row>
    <row r="49" spans="2:10" x14ac:dyDescent="0.25">
      <c r="B49" s="34" t="s">
        <v>185</v>
      </c>
      <c r="C49" s="35" t="s">
        <v>186</v>
      </c>
      <c r="D49" s="36">
        <f>SUM(E49:CL49)</f>
        <v>1.0000000000000002</v>
      </c>
      <c r="E49" s="37">
        <v>0.10000000000000002</v>
      </c>
      <c r="F49" s="37">
        <v>0.15000000000000002</v>
      </c>
      <c r="G49" s="37">
        <v>0.20000000000000004</v>
      </c>
      <c r="H49" s="37">
        <v>0.25000000000000006</v>
      </c>
      <c r="I49" s="37">
        <v>0.20000000000000004</v>
      </c>
      <c r="J49" s="37">
        <v>0.10000000000000002</v>
      </c>
    </row>
    <row r="51" spans="2:91" x14ac:dyDescent="0.25">
      <c r="B51" s="9" t="s">
        <v>187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3" spans="2:3" x14ac:dyDescent="0.25">
      <c r="B53" s="28" t="s">
        <v>188</v>
      </c>
      <c r="C53" s="28" t="s">
        <v>189</v>
      </c>
    </row>
    <row r="54" spans="2:3" x14ac:dyDescent="0.25">
      <c r="B54" s="18" t="s">
        <v>190</v>
      </c>
      <c r="C54" s="22">
        <v>60</v>
      </c>
    </row>
    <row r="55" spans="2:3" x14ac:dyDescent="0.25">
      <c r="B55" s="18" t="s">
        <v>191</v>
      </c>
      <c r="C55" s="22">
        <v>40</v>
      </c>
    </row>
    <row r="57" spans="2:2" x14ac:dyDescent="0.25">
      <c r="B57" t="s">
        <v>192</v>
      </c>
    </row>
    <row r="58" spans="2:2" x14ac:dyDescent="0.25">
      <c r="B58" s="38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4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194</v>
      </c>
    </row>
    <row r="4" spans="2:91" x14ac:dyDescent="0.25">
      <c r="B4" s="9" t="s">
        <v>83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8" t="s">
        <v>84</v>
      </c>
      <c r="C6" s="28" t="s">
        <v>195</v>
      </c>
      <c r="D6" s="28" t="s">
        <v>91</v>
      </c>
      <c r="E6" s="28" t="s">
        <v>196</v>
      </c>
      <c r="F6" s="28" t="s">
        <v>197</v>
      </c>
      <c r="G6" s="28" t="s">
        <v>88</v>
      </c>
      <c r="H6" s="28" t="s">
        <v>89</v>
      </c>
      <c r="I6" s="28" t="s">
        <v>90</v>
      </c>
      <c r="J6" s="28" t="s">
        <v>198</v>
      </c>
    </row>
    <row r="7" spans="2:3" x14ac:dyDescent="0.25">
      <c r="B7" s="32" t="s">
        <v>94</v>
      </c>
      <c r="C7" s="32">
        <f>'입력값'!C9*100</f>
        <v>15000</v>
      </c>
    </row>
    <row r="8" spans="2:10" x14ac:dyDescent="0.25">
      <c r="B8" s="32" t="s">
        <v>92</v>
      </c>
      <c r="C8" s="32">
        <f>'입력값'!C41*100</f>
        <v>80000</v>
      </c>
      <c r="D8" s="39" t="s">
        <v>199</v>
      </c>
      <c r="E8" s="40">
        <f>'입력값'!D41</f>
        <v>0.055999999999999994</v>
      </c>
      <c r="F8" s="40">
        <f>'입력값'!E41</f>
        <v>0.055999999999999994</v>
      </c>
      <c r="G8" s="41">
        <f>'입력값'!F41</f>
        <v>2</v>
      </c>
      <c r="H8" s="41">
        <f>'입력값'!G41</f>
        <v>16</v>
      </c>
      <c r="I8" s="39">
        <f>'입력값'!H41</f>
        <v>1</v>
      </c>
      <c r="J8" s="31" t="s">
        <v>109</v>
      </c>
    </row>
    <row r="9" spans="2:10" x14ac:dyDescent="0.25">
      <c r="B9" s="32" t="s">
        <v>93</v>
      </c>
      <c r="C9" s="32">
        <f>'입력값'!C42*100</f>
        <v>46069</v>
      </c>
      <c r="D9" s="39" t="s">
        <v>199</v>
      </c>
      <c r="E9" s="40">
        <f>'입력값'!D42</f>
        <v>0.055</v>
      </c>
      <c r="F9" s="40">
        <f>'입력값'!E42</f>
        <v>0.055</v>
      </c>
      <c r="G9" s="41">
        <f>'입력값'!F42</f>
        <v>2</v>
      </c>
      <c r="H9" s="41">
        <f>'입력값'!G42</f>
        <v>16</v>
      </c>
      <c r="I9" s="39">
        <f>'입력값'!H42</f>
        <v>1</v>
      </c>
      <c r="J9" s="31" t="s">
        <v>109</v>
      </c>
    </row>
    <row r="10" spans="2:3" x14ac:dyDescent="0.25">
      <c r="B10" s="42" t="s">
        <v>200</v>
      </c>
      <c r="C10" s="43">
        <f>C8+C9</f>
        <v>126069</v>
      </c>
    </row>
    <row r="12" spans="2:91" x14ac:dyDescent="0.25">
      <c r="B12" s="9" t="s">
        <v>201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</row>
    <row r="14" spans="2:3" x14ac:dyDescent="0.25">
      <c r="B14" s="32" t="s">
        <v>202</v>
      </c>
      <c r="C14" s="32">
        <f>'Debt'!D12</f>
        <v>3725.2771314258844</v>
      </c>
    </row>
    <row r="15" spans="2:3" x14ac:dyDescent="0.25">
      <c r="B15" s="32" t="s">
        <v>203</v>
      </c>
      <c r="C15" s="32">
        <f>$D$30*100+'Debt'!D12</f>
        <v>144794.2771314259</v>
      </c>
    </row>
    <row r="16" spans="2:3" x14ac:dyDescent="0.25">
      <c r="B16" s="32" t="s">
        <v>204</v>
      </c>
      <c r="C16" s="32">
        <f>'입력값'!C8*100</f>
        <v>141069</v>
      </c>
    </row>
    <row r="17" spans="2:3" x14ac:dyDescent="0.25">
      <c r="B17" s="32" t="s">
        <v>205</v>
      </c>
      <c r="C17" s="32">
        <f>$D$30*100+$D$32*100+'Debt'!D12</f>
        <v>149794.2771314259</v>
      </c>
    </row>
    <row r="18" spans="2:3" x14ac:dyDescent="0.25">
      <c r="B18" s="32" t="s">
        <v>206</v>
      </c>
      <c r="C18" s="32">
        <f>$D$31*100+$D$33*100+$D$34*100</f>
        <v>141069</v>
      </c>
    </row>
    <row r="19" spans="2:5" x14ac:dyDescent="0.25">
      <c r="B19" s="14" t="s">
        <v>207</v>
      </c>
      <c r="C19" s="14">
        <f>C18-C17</f>
        <v>-8725.277131425886</v>
      </c>
      <c r="E19" s="31" t="str">
        <f>IF(C18-C17&gt;=-1,"조달 충족 (OK)","경고: 조달 부족 — 못 빌린 돈이 공짜로 조달된 셈이 되어 이자가 과소계상됩니다")</f>
        <v>경고: 조달 부족 — 못 빌린 돈이 공짜로 조달된 셈이 되어 이자가 과소계상됩니다</v>
      </c>
    </row>
    <row r="21" spans="2:91" x14ac:dyDescent="0.25">
      <c r="B21" s="9" t="s">
        <v>208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5" x14ac:dyDescent="0.25">
      <c r="B23" s="28" t="s">
        <v>188</v>
      </c>
      <c r="C23" s="28" t="s">
        <v>209</v>
      </c>
      <c r="D23" s="28" t="s">
        <v>210</v>
      </c>
      <c r="E23" s="28" t="s">
        <v>211</v>
      </c>
    </row>
    <row r="24" spans="2:5" x14ac:dyDescent="0.25">
      <c r="B24" s="31" t="str">
        <f>'입력값'!B54</f>
        <v>출자자1</v>
      </c>
      <c r="C24" s="40">
        <f>'입력값'!C54/100</f>
        <v>0.6</v>
      </c>
      <c r="D24" s="32">
        <v>9000</v>
      </c>
      <c r="E24" s="32">
        <v>55598.862959798455</v>
      </c>
    </row>
    <row r="25" spans="2:5" x14ac:dyDescent="0.25">
      <c r="B25" s="31" t="str">
        <f>'입력값'!B55</f>
        <v>출자자2</v>
      </c>
      <c r="C25" s="40">
        <f>'입력값'!C55/100</f>
        <v>0.4</v>
      </c>
      <c r="D25" s="32">
        <v>6000</v>
      </c>
      <c r="E25" s="32">
        <v>37065.908639865636</v>
      </c>
    </row>
    <row r="28" spans="2:91" x14ac:dyDescent="0.25">
      <c r="B28" s="9" t="s">
        <v>212</v>
      </c>
      <c r="C28" s="10"/>
      <c r="D28" s="44" t="s">
        <v>213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</row>
    <row r="29" spans="2:2" x14ac:dyDescent="0.25">
      <c r="B29" s="38" t="s">
        <v>214</v>
      </c>
    </row>
    <row r="30" spans="2:4" x14ac:dyDescent="0.25">
      <c r="B30" s="34" t="s">
        <v>215</v>
      </c>
      <c r="C30" s="45" t="s">
        <v>216</v>
      </c>
      <c r="D30" s="46">
        <f>'입력값'!C8</f>
        <v>1410.69</v>
      </c>
    </row>
    <row r="31" spans="2:4" x14ac:dyDescent="0.25">
      <c r="B31" s="34" t="s">
        <v>217</v>
      </c>
      <c r="C31" s="45" t="s">
        <v>218</v>
      </c>
      <c r="D31" s="46">
        <f>'입력값'!C9</f>
        <v>150</v>
      </c>
    </row>
    <row r="32" spans="2:4" x14ac:dyDescent="0.25">
      <c r="B32" s="34" t="s">
        <v>219</v>
      </c>
      <c r="C32" s="45" t="s">
        <v>220</v>
      </c>
      <c r="D32" s="46">
        <f>'입력값'!C23</f>
        <v>50</v>
      </c>
    </row>
    <row r="33" spans="2:4" x14ac:dyDescent="0.25">
      <c r="B33" s="34" t="s">
        <v>221</v>
      </c>
      <c r="C33" s="45" t="s">
        <v>222</v>
      </c>
      <c r="D33" s="46">
        <f>'입력값'!C41</f>
        <v>800</v>
      </c>
    </row>
    <row r="34" spans="2:4" x14ac:dyDescent="0.25">
      <c r="B34" s="34" t="s">
        <v>223</v>
      </c>
      <c r="C34" s="45" t="s">
        <v>224</v>
      </c>
      <c r="D34" s="46">
        <f>'입력값'!C42</f>
        <v>460.69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225</v>
      </c>
    </row>
    <row r="4" spans="2:91" x14ac:dyDescent="0.25">
      <c r="B4" s="9" t="s">
        <v>226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8" t="s">
        <v>96</v>
      </c>
      <c r="C6" s="28" t="s">
        <v>97</v>
      </c>
      <c r="D6" s="28" t="s">
        <v>98</v>
      </c>
      <c r="E6" s="33" t="s">
        <v>99</v>
      </c>
      <c r="F6" s="33" t="s">
        <v>100</v>
      </c>
      <c r="G6" s="33" t="s">
        <v>101</v>
      </c>
      <c r="H6" s="33" t="s">
        <v>102</v>
      </c>
      <c r="I6" s="33" t="s">
        <v>103</v>
      </c>
      <c r="J6" s="33" t="s">
        <v>104</v>
      </c>
      <c r="K6" s="33" t="s">
        <v>105</v>
      </c>
      <c r="L6" s="33" t="s">
        <v>106</v>
      </c>
      <c r="M6" s="33" t="s">
        <v>107</v>
      </c>
      <c r="N6" s="33" t="s">
        <v>108</v>
      </c>
      <c r="O6" s="33" t="s">
        <v>109</v>
      </c>
      <c r="P6" s="33" t="s">
        <v>110</v>
      </c>
      <c r="Q6" s="33" t="s">
        <v>111</v>
      </c>
      <c r="R6" s="33" t="s">
        <v>112</v>
      </c>
      <c r="S6" s="33" t="s">
        <v>113</v>
      </c>
      <c r="T6" s="33" t="s">
        <v>114</v>
      </c>
      <c r="U6" s="33" t="s">
        <v>115</v>
      </c>
      <c r="V6" s="33" t="s">
        <v>116</v>
      </c>
      <c r="W6" s="33" t="s">
        <v>117</v>
      </c>
      <c r="X6" s="33" t="s">
        <v>118</v>
      </c>
      <c r="Y6" s="33" t="s">
        <v>119</v>
      </c>
      <c r="Z6" s="33" t="s">
        <v>120</v>
      </c>
      <c r="AA6" s="33" t="s">
        <v>121</v>
      </c>
      <c r="AB6" s="33" t="s">
        <v>122</v>
      </c>
      <c r="AC6" s="33" t="s">
        <v>123</v>
      </c>
      <c r="AD6" s="33" t="s">
        <v>124</v>
      </c>
      <c r="AE6" s="33" t="s">
        <v>125</v>
      </c>
      <c r="AF6" s="33" t="s">
        <v>126</v>
      </c>
      <c r="AG6" s="33" t="s">
        <v>127</v>
      </c>
      <c r="AH6" s="33" t="s">
        <v>128</v>
      </c>
      <c r="AI6" s="33" t="s">
        <v>129</v>
      </c>
      <c r="AJ6" s="33" t="s">
        <v>130</v>
      </c>
      <c r="AK6" s="33" t="s">
        <v>131</v>
      </c>
      <c r="AL6" s="33" t="s">
        <v>132</v>
      </c>
      <c r="AM6" s="33" t="s">
        <v>133</v>
      </c>
      <c r="AN6" s="33" t="s">
        <v>134</v>
      </c>
      <c r="AO6" s="33" t="s">
        <v>135</v>
      </c>
      <c r="AP6" s="33" t="s">
        <v>136</v>
      </c>
      <c r="AQ6" s="33" t="s">
        <v>137</v>
      </c>
      <c r="AR6" s="33" t="s">
        <v>138</v>
      </c>
      <c r="AS6" s="33" t="s">
        <v>139</v>
      </c>
      <c r="AT6" s="33" t="s">
        <v>140</v>
      </c>
      <c r="AU6" s="33" t="s">
        <v>141</v>
      </c>
      <c r="AV6" s="33" t="s">
        <v>142</v>
      </c>
      <c r="AW6" s="33" t="s">
        <v>143</v>
      </c>
      <c r="AX6" s="33" t="s">
        <v>144</v>
      </c>
      <c r="AY6" s="33" t="s">
        <v>145</v>
      </c>
      <c r="AZ6" s="33" t="s">
        <v>146</v>
      </c>
      <c r="BA6" s="33" t="s">
        <v>147</v>
      </c>
      <c r="BB6" s="33" t="s">
        <v>148</v>
      </c>
      <c r="BC6" s="33" t="s">
        <v>149</v>
      </c>
      <c r="BD6" s="33" t="s">
        <v>150</v>
      </c>
      <c r="BE6" s="33" t="s">
        <v>151</v>
      </c>
      <c r="BF6" s="33" t="s">
        <v>152</v>
      </c>
      <c r="BG6" s="33" t="s">
        <v>153</v>
      </c>
      <c r="BH6" s="33" t="s">
        <v>154</v>
      </c>
      <c r="BI6" s="33" t="s">
        <v>155</v>
      </c>
      <c r="BJ6" s="33" t="s">
        <v>156</v>
      </c>
      <c r="BK6" s="33" t="s">
        <v>157</v>
      </c>
      <c r="BL6" s="33" t="s">
        <v>158</v>
      </c>
      <c r="BM6" s="33" t="s">
        <v>159</v>
      </c>
      <c r="BN6" s="33" t="s">
        <v>160</v>
      </c>
      <c r="BO6" s="33" t="s">
        <v>161</v>
      </c>
      <c r="BP6" s="33" t="s">
        <v>162</v>
      </c>
      <c r="BQ6" s="33" t="s">
        <v>163</v>
      </c>
      <c r="BR6" s="33" t="s">
        <v>164</v>
      </c>
      <c r="BS6" s="33" t="s">
        <v>165</v>
      </c>
      <c r="BT6" s="33" t="s">
        <v>166</v>
      </c>
      <c r="BU6" s="33" t="s">
        <v>167</v>
      </c>
      <c r="BV6" s="33" t="s">
        <v>168</v>
      </c>
      <c r="BW6" s="33" t="s">
        <v>169</v>
      </c>
      <c r="BX6" s="33" t="s">
        <v>170</v>
      </c>
      <c r="BY6" s="33" t="s">
        <v>171</v>
      </c>
      <c r="BZ6" s="33" t="s">
        <v>172</v>
      </c>
      <c r="CA6" s="33" t="s">
        <v>173</v>
      </c>
      <c r="CB6" s="33" t="s">
        <v>174</v>
      </c>
      <c r="CC6" s="33" t="s">
        <v>175</v>
      </c>
      <c r="CD6" s="33" t="s">
        <v>176</v>
      </c>
      <c r="CE6" s="33" t="s">
        <v>177</v>
      </c>
      <c r="CF6" s="33" t="s">
        <v>178</v>
      </c>
      <c r="CG6" s="33" t="s">
        <v>179</v>
      </c>
      <c r="CH6" s="33" t="s">
        <v>180</v>
      </c>
      <c r="CI6" s="33" t="s">
        <v>181</v>
      </c>
      <c r="CJ6" s="33" t="s">
        <v>182</v>
      </c>
      <c r="CK6" s="33" t="s">
        <v>183</v>
      </c>
      <c r="CL6" s="33" t="s">
        <v>184</v>
      </c>
    </row>
    <row r="8" spans="2:90" x14ac:dyDescent="0.25">
      <c r="B8" s="34" t="s">
        <v>227</v>
      </c>
      <c r="C8" s="35" t="s">
        <v>228</v>
      </c>
      <c r="D8" s="32">
        <f>SUM(E8:CL8)</f>
        <v>141069.00000000003</v>
      </c>
      <c r="E8" s="32">
        <f>E64*$D$56*100</f>
        <v>14106.900000000005</v>
      </c>
      <c r="F8" s="32">
        <f>F64*$D$56*100</f>
        <v>21160.350000000006</v>
      </c>
      <c r="G8" s="32">
        <f>G64*$D$56*100</f>
        <v>28213.80000000001</v>
      </c>
      <c r="H8" s="32">
        <f>H64*$D$56*100</f>
        <v>35267.25000000001</v>
      </c>
      <c r="I8" s="32">
        <f>I64*$D$56*100</f>
        <v>28213.80000000001</v>
      </c>
      <c r="J8" s="32">
        <f>J64*$D$56*100</f>
        <v>14106.900000000005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0</v>
      </c>
      <c r="AF8" s="32">
        <v>0</v>
      </c>
      <c r="AG8" s="32">
        <v>0</v>
      </c>
      <c r="AH8" s="32">
        <v>0</v>
      </c>
      <c r="AI8" s="32">
        <v>0</v>
      </c>
      <c r="AJ8" s="32">
        <v>0</v>
      </c>
      <c r="AK8" s="32">
        <v>0</v>
      </c>
      <c r="AL8" s="32">
        <v>0</v>
      </c>
      <c r="AM8" s="32">
        <v>0</v>
      </c>
      <c r="AN8" s="32">
        <v>0</v>
      </c>
      <c r="AO8" s="32">
        <v>0</v>
      </c>
      <c r="AP8" s="32">
        <v>0</v>
      </c>
      <c r="AQ8" s="32">
        <v>0</v>
      </c>
      <c r="AR8" s="32">
        <v>0</v>
      </c>
      <c r="AS8" s="32">
        <v>0</v>
      </c>
      <c r="AT8" s="32">
        <v>0</v>
      </c>
      <c r="AU8" s="32">
        <v>0</v>
      </c>
      <c r="AV8" s="32">
        <v>0</v>
      </c>
      <c r="AW8" s="32">
        <v>0</v>
      </c>
      <c r="AX8" s="32">
        <v>0</v>
      </c>
      <c r="AY8" s="32">
        <v>0</v>
      </c>
      <c r="AZ8" s="32">
        <v>0</v>
      </c>
      <c r="BA8" s="32">
        <v>0</v>
      </c>
      <c r="BB8" s="32">
        <v>0</v>
      </c>
      <c r="BC8" s="32">
        <v>0</v>
      </c>
      <c r="BD8" s="32">
        <v>0</v>
      </c>
      <c r="BE8" s="32">
        <v>0</v>
      </c>
      <c r="BF8" s="32">
        <v>0</v>
      </c>
      <c r="BG8" s="32">
        <v>0</v>
      </c>
      <c r="BH8" s="32">
        <v>0</v>
      </c>
      <c r="BI8" s="32">
        <v>0</v>
      </c>
      <c r="BJ8" s="32">
        <v>0</v>
      </c>
      <c r="BK8" s="32">
        <v>0</v>
      </c>
      <c r="BL8" s="32">
        <v>0</v>
      </c>
      <c r="BM8" s="32">
        <v>0</v>
      </c>
      <c r="BN8" s="32">
        <v>0</v>
      </c>
      <c r="BO8" s="32">
        <v>0</v>
      </c>
      <c r="BP8" s="32">
        <v>0</v>
      </c>
      <c r="BQ8" s="32">
        <v>0</v>
      </c>
      <c r="BR8" s="32">
        <v>0</v>
      </c>
      <c r="BS8" s="32">
        <v>0</v>
      </c>
      <c r="BT8" s="32">
        <v>0</v>
      </c>
      <c r="BU8" s="32">
        <v>0</v>
      </c>
      <c r="BV8" s="32">
        <v>0</v>
      </c>
      <c r="BW8" s="32">
        <v>0</v>
      </c>
      <c r="BX8" s="32">
        <v>0</v>
      </c>
      <c r="BY8" s="32">
        <v>0</v>
      </c>
      <c r="BZ8" s="32">
        <v>0</v>
      </c>
      <c r="CA8" s="32">
        <v>0</v>
      </c>
      <c r="CB8" s="32">
        <v>0</v>
      </c>
      <c r="CC8" s="32">
        <v>0</v>
      </c>
      <c r="CD8" s="32">
        <v>0</v>
      </c>
      <c r="CE8" s="32">
        <v>0</v>
      </c>
      <c r="CF8" s="32">
        <v>0</v>
      </c>
      <c r="CG8" s="32">
        <v>0</v>
      </c>
      <c r="CH8" s="32">
        <v>0</v>
      </c>
      <c r="CI8" s="32">
        <v>0</v>
      </c>
      <c r="CJ8" s="32">
        <v>0</v>
      </c>
      <c r="CK8" s="32">
        <v>0</v>
      </c>
      <c r="CL8" s="32">
        <v>0</v>
      </c>
    </row>
    <row r="9" spans="2:90" x14ac:dyDescent="0.25">
      <c r="B9" s="34" t="s">
        <v>229</v>
      </c>
      <c r="C9" s="35" t="s">
        <v>228</v>
      </c>
      <c r="D9" s="32">
        <f>SUM(E9:CL9)</f>
        <v>5000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f>'입력값'!C23*100</f>
        <v>5000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32">
        <v>0</v>
      </c>
      <c r="AB9" s="32">
        <v>0</v>
      </c>
      <c r="AC9" s="32">
        <v>0</v>
      </c>
      <c r="AD9" s="32">
        <v>0</v>
      </c>
      <c r="AE9" s="32">
        <v>0</v>
      </c>
      <c r="AF9" s="32">
        <v>0</v>
      </c>
      <c r="AG9" s="32">
        <v>0</v>
      </c>
      <c r="AH9" s="32">
        <v>0</v>
      </c>
      <c r="AI9" s="32">
        <v>0</v>
      </c>
      <c r="AJ9" s="32">
        <v>0</v>
      </c>
      <c r="AK9" s="32">
        <v>0</v>
      </c>
      <c r="AL9" s="32">
        <v>0</v>
      </c>
      <c r="AM9" s="32">
        <v>0</v>
      </c>
      <c r="AN9" s="32">
        <v>0</v>
      </c>
      <c r="AO9" s="32">
        <v>0</v>
      </c>
      <c r="AP9" s="32">
        <v>0</v>
      </c>
      <c r="AQ9" s="32">
        <v>0</v>
      </c>
      <c r="AR9" s="32">
        <v>0</v>
      </c>
      <c r="AS9" s="32">
        <v>0</v>
      </c>
      <c r="AT9" s="32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2">
        <v>0</v>
      </c>
      <c r="BA9" s="32">
        <v>0</v>
      </c>
      <c r="BB9" s="32">
        <v>0</v>
      </c>
      <c r="BC9" s="32">
        <v>0</v>
      </c>
      <c r="BD9" s="32">
        <v>0</v>
      </c>
      <c r="BE9" s="32">
        <v>0</v>
      </c>
      <c r="BF9" s="32">
        <v>0</v>
      </c>
      <c r="BG9" s="32">
        <v>0</v>
      </c>
      <c r="BH9" s="32">
        <v>0</v>
      </c>
      <c r="BI9" s="32">
        <v>0</v>
      </c>
      <c r="BJ9" s="32">
        <v>0</v>
      </c>
      <c r="BK9" s="32">
        <v>0</v>
      </c>
      <c r="BL9" s="32">
        <v>0</v>
      </c>
      <c r="BM9" s="32">
        <v>0</v>
      </c>
      <c r="BN9" s="32">
        <v>0</v>
      </c>
      <c r="BO9" s="32">
        <v>0</v>
      </c>
      <c r="BP9" s="32">
        <v>0</v>
      </c>
      <c r="BQ9" s="32">
        <v>0</v>
      </c>
      <c r="BR9" s="32">
        <v>0</v>
      </c>
      <c r="BS9" s="32">
        <v>0</v>
      </c>
      <c r="BT9" s="32">
        <v>0</v>
      </c>
      <c r="BU9" s="32">
        <v>0</v>
      </c>
      <c r="BV9" s="32">
        <v>0</v>
      </c>
      <c r="BW9" s="32">
        <v>0</v>
      </c>
      <c r="BX9" s="32">
        <v>0</v>
      </c>
      <c r="BY9" s="32">
        <v>0</v>
      </c>
      <c r="BZ9" s="32">
        <v>0</v>
      </c>
      <c r="CA9" s="32">
        <v>0</v>
      </c>
      <c r="CB9" s="32">
        <v>0</v>
      </c>
      <c r="CC9" s="32">
        <v>0</v>
      </c>
      <c r="CD9" s="32">
        <v>0</v>
      </c>
      <c r="CE9" s="32">
        <v>0</v>
      </c>
      <c r="CF9" s="32">
        <v>0</v>
      </c>
      <c r="CG9" s="32">
        <v>0</v>
      </c>
      <c r="CH9" s="32">
        <v>0</v>
      </c>
      <c r="CI9" s="32">
        <v>0</v>
      </c>
      <c r="CJ9" s="32">
        <v>0</v>
      </c>
      <c r="CK9" s="32">
        <v>0</v>
      </c>
      <c r="CL9" s="32">
        <v>0</v>
      </c>
    </row>
    <row r="10" spans="2:90" x14ac:dyDescent="0.25">
      <c r="B10" s="34" t="s">
        <v>230</v>
      </c>
      <c r="C10" s="35" t="s">
        <v>228</v>
      </c>
      <c r="D10" s="32">
        <f>SUM(E10:CL10)</f>
        <v>2379.4880729744687</v>
      </c>
      <c r="E10" s="32">
        <v>0</v>
      </c>
      <c r="F10" s="32">
        <f>E15*$D$59/4</f>
        <v>0</v>
      </c>
      <c r="G10" s="32">
        <f>F15*$D$59/4</f>
        <v>180.05473193251325</v>
      </c>
      <c r="H10" s="32">
        <f>G15*$D$59/4</f>
        <v>433.21112045497836</v>
      </c>
      <c r="I10" s="32">
        <f>H15*$D$59/4</f>
        <v>752.5515887512914</v>
      </c>
      <c r="J10" s="32">
        <f>I15*$D$59/4</f>
        <v>1013.6706318356854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0</v>
      </c>
      <c r="AF10" s="32">
        <v>0</v>
      </c>
      <c r="AG10" s="32">
        <v>0</v>
      </c>
      <c r="AH10" s="32">
        <v>0</v>
      </c>
      <c r="AI10" s="32">
        <v>0</v>
      </c>
      <c r="AJ10" s="32">
        <v>0</v>
      </c>
      <c r="AK10" s="32">
        <v>0</v>
      </c>
      <c r="AL10" s="32">
        <v>0</v>
      </c>
      <c r="AM10" s="32">
        <v>0</v>
      </c>
      <c r="AN10" s="32">
        <v>0</v>
      </c>
      <c r="AO10" s="32">
        <v>0</v>
      </c>
      <c r="AP10" s="32">
        <v>0</v>
      </c>
      <c r="AQ10" s="32">
        <v>0</v>
      </c>
      <c r="AR10" s="32">
        <v>0</v>
      </c>
      <c r="AS10" s="32">
        <v>0</v>
      </c>
      <c r="AT10" s="32">
        <v>0</v>
      </c>
      <c r="AU10" s="32">
        <v>0</v>
      </c>
      <c r="AV10" s="32">
        <v>0</v>
      </c>
      <c r="AW10" s="32">
        <v>0</v>
      </c>
      <c r="AX10" s="32">
        <v>0</v>
      </c>
      <c r="AY10" s="32">
        <v>0</v>
      </c>
      <c r="AZ10" s="32">
        <v>0</v>
      </c>
      <c r="BA10" s="32">
        <v>0</v>
      </c>
      <c r="BB10" s="32">
        <v>0</v>
      </c>
      <c r="BC10" s="32">
        <v>0</v>
      </c>
      <c r="BD10" s="32">
        <v>0</v>
      </c>
      <c r="BE10" s="32">
        <v>0</v>
      </c>
      <c r="BF10" s="32">
        <v>0</v>
      </c>
      <c r="BG10" s="32">
        <v>0</v>
      </c>
      <c r="BH10" s="32">
        <v>0</v>
      </c>
      <c r="BI10" s="32">
        <v>0</v>
      </c>
      <c r="BJ10" s="32">
        <v>0</v>
      </c>
      <c r="BK10" s="32">
        <v>0</v>
      </c>
      <c r="BL10" s="32">
        <v>0</v>
      </c>
      <c r="BM10" s="32">
        <v>0</v>
      </c>
      <c r="BN10" s="32">
        <v>0</v>
      </c>
      <c r="BO10" s="32">
        <v>0</v>
      </c>
      <c r="BP10" s="32">
        <v>0</v>
      </c>
      <c r="BQ10" s="32">
        <v>0</v>
      </c>
      <c r="BR10" s="32">
        <v>0</v>
      </c>
      <c r="BS10" s="32">
        <v>0</v>
      </c>
      <c r="BT10" s="32">
        <v>0</v>
      </c>
      <c r="BU10" s="32">
        <v>0</v>
      </c>
      <c r="BV10" s="32">
        <v>0</v>
      </c>
      <c r="BW10" s="32">
        <v>0</v>
      </c>
      <c r="BX10" s="32">
        <v>0</v>
      </c>
      <c r="BY10" s="32">
        <v>0</v>
      </c>
      <c r="BZ10" s="32">
        <v>0</v>
      </c>
      <c r="CA10" s="32">
        <v>0</v>
      </c>
      <c r="CB10" s="32">
        <v>0</v>
      </c>
      <c r="CC10" s="32">
        <v>0</v>
      </c>
      <c r="CD10" s="32">
        <v>0</v>
      </c>
      <c r="CE10" s="32">
        <v>0</v>
      </c>
      <c r="CF10" s="32">
        <v>0</v>
      </c>
      <c r="CG10" s="32">
        <v>0</v>
      </c>
      <c r="CH10" s="32">
        <v>0</v>
      </c>
      <c r="CI10" s="32">
        <v>0</v>
      </c>
      <c r="CJ10" s="32">
        <v>0</v>
      </c>
      <c r="CK10" s="32">
        <v>0</v>
      </c>
      <c r="CL10" s="32">
        <v>0</v>
      </c>
    </row>
    <row r="11" spans="2:90" x14ac:dyDescent="0.25">
      <c r="B11" s="34" t="s">
        <v>231</v>
      </c>
      <c r="C11" s="35" t="s">
        <v>228</v>
      </c>
      <c r="D11" s="32">
        <f>SUM(E11:CL11)</f>
        <v>1345.7890584514162</v>
      </c>
      <c r="E11" s="32">
        <v>0</v>
      </c>
      <c r="F11" s="32">
        <f>E16*$D$62/4</f>
        <v>0</v>
      </c>
      <c r="G11" s="32">
        <f>F16*$D$62/4</f>
        <v>101.83521863771038</v>
      </c>
      <c r="H11" s="32">
        <f>G16*$D$62/4</f>
        <v>245.01521673062993</v>
      </c>
      <c r="I11" s="32">
        <f>H16*$D$62/4</f>
        <v>425.6275564330533</v>
      </c>
      <c r="J11" s="32">
        <f>I16*$D$62/4</f>
        <v>573.3110666500224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32">
        <v>0</v>
      </c>
      <c r="AI11" s="32">
        <v>0</v>
      </c>
      <c r="AJ11" s="32">
        <v>0</v>
      </c>
      <c r="AK11" s="32">
        <v>0</v>
      </c>
      <c r="AL11" s="32">
        <v>0</v>
      </c>
      <c r="AM11" s="32">
        <v>0</v>
      </c>
      <c r="AN11" s="32">
        <v>0</v>
      </c>
      <c r="AO11" s="32">
        <v>0</v>
      </c>
      <c r="AP11" s="32">
        <v>0</v>
      </c>
      <c r="AQ11" s="32">
        <v>0</v>
      </c>
      <c r="AR11" s="32">
        <v>0</v>
      </c>
      <c r="AS11" s="32">
        <v>0</v>
      </c>
      <c r="AT11" s="32">
        <v>0</v>
      </c>
      <c r="AU11" s="32">
        <v>0</v>
      </c>
      <c r="AV11" s="32">
        <v>0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32">
        <v>0</v>
      </c>
      <c r="BC11" s="32">
        <v>0</v>
      </c>
      <c r="BD11" s="32">
        <v>0</v>
      </c>
      <c r="BE11" s="32">
        <v>0</v>
      </c>
      <c r="BF11" s="32">
        <v>0</v>
      </c>
      <c r="BG11" s="32">
        <v>0</v>
      </c>
      <c r="BH11" s="32">
        <v>0</v>
      </c>
      <c r="BI11" s="32">
        <v>0</v>
      </c>
      <c r="BJ11" s="32">
        <v>0</v>
      </c>
      <c r="BK11" s="32">
        <v>0</v>
      </c>
      <c r="BL11" s="32">
        <v>0</v>
      </c>
      <c r="BM11" s="32">
        <v>0</v>
      </c>
      <c r="BN11" s="32">
        <v>0</v>
      </c>
      <c r="BO11" s="32">
        <v>0</v>
      </c>
      <c r="BP11" s="32">
        <v>0</v>
      </c>
      <c r="BQ11" s="32">
        <v>0</v>
      </c>
      <c r="BR11" s="32">
        <v>0</v>
      </c>
      <c r="BS11" s="32">
        <v>0</v>
      </c>
      <c r="BT11" s="32">
        <v>0</v>
      </c>
      <c r="BU11" s="32">
        <v>0</v>
      </c>
      <c r="BV11" s="32">
        <v>0</v>
      </c>
      <c r="BW11" s="32">
        <v>0</v>
      </c>
      <c r="BX11" s="32">
        <v>0</v>
      </c>
      <c r="BY11" s="32">
        <v>0</v>
      </c>
      <c r="BZ11" s="32">
        <v>0</v>
      </c>
      <c r="CA11" s="32">
        <v>0</v>
      </c>
      <c r="CB11" s="32">
        <v>0</v>
      </c>
      <c r="CC11" s="32">
        <v>0</v>
      </c>
      <c r="CD11" s="32">
        <v>0</v>
      </c>
      <c r="CE11" s="32">
        <v>0</v>
      </c>
      <c r="CF11" s="32">
        <v>0</v>
      </c>
      <c r="CG11" s="32">
        <v>0</v>
      </c>
      <c r="CH11" s="32">
        <v>0</v>
      </c>
      <c r="CI11" s="32">
        <v>0</v>
      </c>
      <c r="CJ11" s="32">
        <v>0</v>
      </c>
      <c r="CK11" s="32">
        <v>0</v>
      </c>
      <c r="CL11" s="32">
        <v>0</v>
      </c>
    </row>
    <row r="12" spans="2:90" x14ac:dyDescent="0.25">
      <c r="B12" s="47" t="s">
        <v>232</v>
      </c>
      <c r="C12" s="35" t="s">
        <v>228</v>
      </c>
      <c r="D12" s="14">
        <f>SUM(E12:CL12)</f>
        <v>3725.2771314258844</v>
      </c>
      <c r="E12" s="14">
        <f>E10+E11</f>
        <v>0</v>
      </c>
      <c r="F12" s="14">
        <f>F10+F11</f>
        <v>0</v>
      </c>
      <c r="G12" s="14">
        <f>G10+G11</f>
        <v>281.8899505702236</v>
      </c>
      <c r="H12" s="14">
        <f>H10+H11</f>
        <v>678.2263371856083</v>
      </c>
      <c r="I12" s="14">
        <f>I10+I11</f>
        <v>1178.1791451843446</v>
      </c>
      <c r="J12" s="14">
        <f>J10+J11</f>
        <v>1586.981698485708</v>
      </c>
      <c r="K12" s="14">
        <f>K10+K11</f>
        <v>0</v>
      </c>
      <c r="L12" s="14">
        <f>L10+L11</f>
        <v>0</v>
      </c>
      <c r="M12" s="14">
        <f>M10+M11</f>
        <v>0</v>
      </c>
      <c r="N12" s="14">
        <f>N10+N11</f>
        <v>0</v>
      </c>
      <c r="O12" s="14">
        <f>O10+O11</f>
        <v>0</v>
      </c>
      <c r="P12" s="14">
        <f>P10+P11</f>
        <v>0</v>
      </c>
      <c r="Q12" s="14">
        <f>Q10+Q11</f>
        <v>0</v>
      </c>
      <c r="R12" s="14">
        <f>R10+R11</f>
        <v>0</v>
      </c>
      <c r="S12" s="14">
        <f>S10+S11</f>
        <v>0</v>
      </c>
      <c r="T12" s="14">
        <f>T10+T11</f>
        <v>0</v>
      </c>
      <c r="U12" s="14">
        <f>U10+U11</f>
        <v>0</v>
      </c>
      <c r="V12" s="14">
        <f>V10+V11</f>
        <v>0</v>
      </c>
      <c r="W12" s="14">
        <f>W10+W11</f>
        <v>0</v>
      </c>
      <c r="X12" s="14">
        <f>X10+X11</f>
        <v>0</v>
      </c>
      <c r="Y12" s="14">
        <f>Y10+Y11</f>
        <v>0</v>
      </c>
      <c r="Z12" s="14">
        <f>Z10+Z11</f>
        <v>0</v>
      </c>
      <c r="AA12" s="14">
        <f>AA10+AA11</f>
        <v>0</v>
      </c>
      <c r="AB12" s="14">
        <f>AB10+AB11</f>
        <v>0</v>
      </c>
      <c r="AC12" s="14">
        <f>AC10+AC11</f>
        <v>0</v>
      </c>
      <c r="AD12" s="14">
        <f>AD10+AD11</f>
        <v>0</v>
      </c>
      <c r="AE12" s="14">
        <f>AE10+AE11</f>
        <v>0</v>
      </c>
      <c r="AF12" s="14">
        <f>AF10+AF11</f>
        <v>0</v>
      </c>
      <c r="AG12" s="14">
        <f>AG10+AG11</f>
        <v>0</v>
      </c>
      <c r="AH12" s="14">
        <f>AH10+AH11</f>
        <v>0</v>
      </c>
      <c r="AI12" s="14">
        <f>AI10+AI11</f>
        <v>0</v>
      </c>
      <c r="AJ12" s="14">
        <f>AJ10+AJ11</f>
        <v>0</v>
      </c>
      <c r="AK12" s="14">
        <f>AK10+AK11</f>
        <v>0</v>
      </c>
      <c r="AL12" s="14">
        <f>AL10+AL11</f>
        <v>0</v>
      </c>
      <c r="AM12" s="14">
        <f>AM10+AM11</f>
        <v>0</v>
      </c>
      <c r="AN12" s="14">
        <f>AN10+AN11</f>
        <v>0</v>
      </c>
      <c r="AO12" s="14">
        <f>AO10+AO11</f>
        <v>0</v>
      </c>
      <c r="AP12" s="14">
        <f>AP10+AP11</f>
        <v>0</v>
      </c>
      <c r="AQ12" s="14">
        <f>AQ10+AQ11</f>
        <v>0</v>
      </c>
      <c r="AR12" s="14">
        <f>AR10+AR11</f>
        <v>0</v>
      </c>
      <c r="AS12" s="14">
        <f>AS10+AS11</f>
        <v>0</v>
      </c>
      <c r="AT12" s="14">
        <f>AT10+AT11</f>
        <v>0</v>
      </c>
      <c r="AU12" s="14">
        <f>AU10+AU11</f>
        <v>0</v>
      </c>
      <c r="AV12" s="14">
        <f>AV10+AV11</f>
        <v>0</v>
      </c>
      <c r="AW12" s="14">
        <f>AW10+AW11</f>
        <v>0</v>
      </c>
      <c r="AX12" s="14">
        <f>AX10+AX11</f>
        <v>0</v>
      </c>
      <c r="AY12" s="14">
        <f>AY10+AY11</f>
        <v>0</v>
      </c>
      <c r="AZ12" s="14">
        <f>AZ10+AZ11</f>
        <v>0</v>
      </c>
      <c r="BA12" s="14">
        <f>BA10+BA11</f>
        <v>0</v>
      </c>
      <c r="BB12" s="14">
        <f>BB10+BB11</f>
        <v>0</v>
      </c>
      <c r="BC12" s="14">
        <f>BC10+BC11</f>
        <v>0</v>
      </c>
      <c r="BD12" s="14">
        <f>BD10+BD11</f>
        <v>0</v>
      </c>
      <c r="BE12" s="14">
        <f>BE10+BE11</f>
        <v>0</v>
      </c>
      <c r="BF12" s="14">
        <f>BF10+BF11</f>
        <v>0</v>
      </c>
      <c r="BG12" s="14">
        <f>BG10+BG11</f>
        <v>0</v>
      </c>
      <c r="BH12" s="14">
        <f>BH10+BH11</f>
        <v>0</v>
      </c>
      <c r="BI12" s="14">
        <f>BI10+BI11</f>
        <v>0</v>
      </c>
      <c r="BJ12" s="14">
        <f>BJ10+BJ11</f>
        <v>0</v>
      </c>
      <c r="BK12" s="14">
        <f>BK10+BK11</f>
        <v>0</v>
      </c>
      <c r="BL12" s="14">
        <f>BL10+BL11</f>
        <v>0</v>
      </c>
      <c r="BM12" s="14">
        <f>BM10+BM11</f>
        <v>0</v>
      </c>
      <c r="BN12" s="14">
        <f>BN10+BN11</f>
        <v>0</v>
      </c>
      <c r="BO12" s="14">
        <f>BO10+BO11</f>
        <v>0</v>
      </c>
      <c r="BP12" s="14">
        <f>BP10+BP11</f>
        <v>0</v>
      </c>
      <c r="BQ12" s="14">
        <f>BQ10+BQ11</f>
        <v>0</v>
      </c>
      <c r="BR12" s="14">
        <f>BR10+BR11</f>
        <v>0</v>
      </c>
      <c r="BS12" s="14">
        <f>BS10+BS11</f>
        <v>0</v>
      </c>
      <c r="BT12" s="14">
        <f>BT10+BT11</f>
        <v>0</v>
      </c>
      <c r="BU12" s="14">
        <f>BU10+BU11</f>
        <v>0</v>
      </c>
      <c r="BV12" s="14">
        <f>BV10+BV11</f>
        <v>0</v>
      </c>
      <c r="BW12" s="14">
        <f>BW10+BW11</f>
        <v>0</v>
      </c>
      <c r="BX12" s="14">
        <f>BX10+BX11</f>
        <v>0</v>
      </c>
      <c r="BY12" s="14">
        <f>BY10+BY11</f>
        <v>0</v>
      </c>
      <c r="BZ12" s="14">
        <f>BZ10+BZ11</f>
        <v>0</v>
      </c>
      <c r="CA12" s="14">
        <f>CA10+CA11</f>
        <v>0</v>
      </c>
      <c r="CB12" s="14">
        <f>CB10+CB11</f>
        <v>0</v>
      </c>
      <c r="CC12" s="14">
        <f>CC10+CC11</f>
        <v>0</v>
      </c>
      <c r="CD12" s="14">
        <f>CD10+CD11</f>
        <v>0</v>
      </c>
      <c r="CE12" s="14">
        <f>CE10+CE11</f>
        <v>0</v>
      </c>
      <c r="CF12" s="14">
        <f>CF10+CF11</f>
        <v>0</v>
      </c>
      <c r="CG12" s="14">
        <f>CG10+CG11</f>
        <v>0</v>
      </c>
      <c r="CH12" s="14">
        <f>CH10+CH11</f>
        <v>0</v>
      </c>
      <c r="CI12" s="14">
        <f>CI10+CI11</f>
        <v>0</v>
      </c>
      <c r="CJ12" s="14">
        <f>CJ10+CJ11</f>
        <v>0</v>
      </c>
      <c r="CK12" s="14">
        <f>CK10+CK11</f>
        <v>0</v>
      </c>
      <c r="CL12" s="14">
        <f>CL10+CL11</f>
        <v>0</v>
      </c>
    </row>
    <row r="13" spans="2:90" x14ac:dyDescent="0.25">
      <c r="B13" s="34" t="s">
        <v>233</v>
      </c>
      <c r="C13" s="35" t="s">
        <v>228</v>
      </c>
      <c r="E13" s="32">
        <f>E8+E9+E12</f>
        <v>14106.900000000005</v>
      </c>
      <c r="F13" s="32">
        <f>E13+F8+F9+F12</f>
        <v>35267.250000000015</v>
      </c>
      <c r="G13" s="32">
        <f>F13+G8+G9+G12</f>
        <v>63762.939950570246</v>
      </c>
      <c r="H13" s="32">
        <f>G13+H8+H9+H12</f>
        <v>99708.41628775587</v>
      </c>
      <c r="I13" s="32">
        <f>H13+I8+I9+I12</f>
        <v>129100.39543294022</v>
      </c>
      <c r="J13" s="32">
        <f>I13+J8+J9+J12</f>
        <v>149794.27713142592</v>
      </c>
      <c r="K13" s="32">
        <f>J13+K8+K9+K12</f>
        <v>149794.27713142592</v>
      </c>
      <c r="L13" s="32">
        <f>K13+L8+L9+L12</f>
        <v>149794.27713142592</v>
      </c>
      <c r="M13" s="32">
        <f>L13+M8+M9+M12</f>
        <v>149794.27713142592</v>
      </c>
      <c r="N13" s="32">
        <f>M13+N8+N9+N12</f>
        <v>149794.27713142592</v>
      </c>
      <c r="O13" s="32">
        <f>N13+O8+O9+O12</f>
        <v>149794.27713142592</v>
      </c>
      <c r="P13" s="32">
        <f>O13+P8+P9+P12</f>
        <v>149794.27713142592</v>
      </c>
      <c r="Q13" s="32">
        <f>P13+Q8+Q9+Q12</f>
        <v>149794.27713142592</v>
      </c>
      <c r="R13" s="32">
        <f>Q13+R8+R9+R12</f>
        <v>149794.27713142592</v>
      </c>
      <c r="S13" s="32">
        <f>R13+S8+S9+S12</f>
        <v>149794.27713142592</v>
      </c>
      <c r="T13" s="32">
        <f>S13+T8+T9+T12</f>
        <v>149794.27713142592</v>
      </c>
      <c r="U13" s="32">
        <f>T13+U8+U9+U12</f>
        <v>149794.27713142592</v>
      </c>
      <c r="V13" s="32">
        <f>U13+V8+V9+V12</f>
        <v>149794.27713142592</v>
      </c>
      <c r="W13" s="32">
        <f>V13+W8+W9+W12</f>
        <v>149794.27713142592</v>
      </c>
      <c r="X13" s="32">
        <f>W13+X8+X9+X12</f>
        <v>149794.27713142592</v>
      </c>
      <c r="Y13" s="32">
        <f>X13+Y8+Y9+Y12</f>
        <v>149794.27713142592</v>
      </c>
      <c r="Z13" s="32">
        <f>Y13+Z8+Z9+Z12</f>
        <v>149794.27713142592</v>
      </c>
      <c r="AA13" s="32">
        <f>Z13+AA8+AA9+AA12</f>
        <v>149794.27713142592</v>
      </c>
      <c r="AB13" s="32">
        <f>AA13+AB8+AB9+AB12</f>
        <v>149794.27713142592</v>
      </c>
      <c r="AC13" s="32">
        <f>AB13+AC8+AC9+AC12</f>
        <v>149794.27713142592</v>
      </c>
      <c r="AD13" s="32">
        <f>AC13+AD8+AD9+AD12</f>
        <v>149794.27713142592</v>
      </c>
      <c r="AE13" s="32">
        <f>AD13+AE8+AE9+AE12</f>
        <v>149794.27713142592</v>
      </c>
      <c r="AF13" s="32">
        <f>AE13+AF8+AF9+AF12</f>
        <v>149794.27713142592</v>
      </c>
      <c r="AG13" s="32">
        <f>AF13+AG8+AG9+AG12</f>
        <v>149794.27713142592</v>
      </c>
      <c r="AH13" s="32">
        <f>AG13+AH8+AH9+AH12</f>
        <v>149794.27713142592</v>
      </c>
      <c r="AI13" s="32">
        <f>AH13+AI8+AI9+AI12</f>
        <v>149794.27713142592</v>
      </c>
      <c r="AJ13" s="32">
        <f>AI13+AJ8+AJ9+AJ12</f>
        <v>149794.27713142592</v>
      </c>
      <c r="AK13" s="32">
        <f>AJ13+AK8+AK9+AK12</f>
        <v>149794.27713142592</v>
      </c>
      <c r="AL13" s="32">
        <f>AK13+AL8+AL9+AL12</f>
        <v>149794.27713142592</v>
      </c>
      <c r="AM13" s="32">
        <f>AL13+AM8+AM9+AM12</f>
        <v>149794.27713142592</v>
      </c>
      <c r="AN13" s="32">
        <f>AM13+AN8+AN9+AN12</f>
        <v>149794.27713142592</v>
      </c>
      <c r="AO13" s="32">
        <f>AN13+AO8+AO9+AO12</f>
        <v>149794.27713142592</v>
      </c>
      <c r="AP13" s="32">
        <f>AO13+AP8+AP9+AP12</f>
        <v>149794.27713142592</v>
      </c>
      <c r="AQ13" s="32">
        <f>AP13+AQ8+AQ9+AQ12</f>
        <v>149794.27713142592</v>
      </c>
      <c r="AR13" s="32">
        <f>AQ13+AR8+AR9+AR12</f>
        <v>149794.27713142592</v>
      </c>
      <c r="AS13" s="32">
        <f>AR13+AS8+AS9+AS12</f>
        <v>149794.27713142592</v>
      </c>
      <c r="AT13" s="32">
        <f>AS13+AT8+AT9+AT12</f>
        <v>149794.27713142592</v>
      </c>
      <c r="AU13" s="32">
        <f>AT13+AU8+AU9+AU12</f>
        <v>149794.27713142592</v>
      </c>
      <c r="AV13" s="32">
        <f>AU13+AV8+AV9+AV12</f>
        <v>149794.27713142592</v>
      </c>
      <c r="AW13" s="32">
        <f>AV13+AW8+AW9+AW12</f>
        <v>149794.27713142592</v>
      </c>
      <c r="AX13" s="32">
        <f>AW13+AX8+AX9+AX12</f>
        <v>149794.27713142592</v>
      </c>
      <c r="AY13" s="32">
        <f>AX13+AY8+AY9+AY12</f>
        <v>149794.27713142592</v>
      </c>
      <c r="AZ13" s="32">
        <f>AY13+AZ8+AZ9+AZ12</f>
        <v>149794.27713142592</v>
      </c>
      <c r="BA13" s="32">
        <f>AZ13+BA8+BA9+BA12</f>
        <v>149794.27713142592</v>
      </c>
      <c r="BB13" s="32">
        <f>BA13+BB8+BB9+BB12</f>
        <v>149794.27713142592</v>
      </c>
      <c r="BC13" s="32">
        <f>BB13+BC8+BC9+BC12</f>
        <v>149794.27713142592</v>
      </c>
      <c r="BD13" s="32">
        <f>BC13+BD8+BD9+BD12</f>
        <v>149794.27713142592</v>
      </c>
      <c r="BE13" s="32">
        <f>BD13+BE8+BE9+BE12</f>
        <v>149794.27713142592</v>
      </c>
      <c r="BF13" s="32">
        <f>BE13+BF8+BF9+BF12</f>
        <v>149794.27713142592</v>
      </c>
      <c r="BG13" s="32">
        <f>BF13+BG8+BG9+BG12</f>
        <v>149794.27713142592</v>
      </c>
      <c r="BH13" s="32">
        <f>BG13+BH8+BH9+BH12</f>
        <v>149794.27713142592</v>
      </c>
      <c r="BI13" s="32">
        <f>BH13+BI8+BI9+BI12</f>
        <v>149794.27713142592</v>
      </c>
      <c r="BJ13" s="32">
        <f>BI13+BJ8+BJ9+BJ12</f>
        <v>149794.27713142592</v>
      </c>
      <c r="BK13" s="32">
        <f>BJ13+BK8+BK9+BK12</f>
        <v>149794.27713142592</v>
      </c>
      <c r="BL13" s="32">
        <f>BK13+BL8+BL9+BL12</f>
        <v>149794.27713142592</v>
      </c>
      <c r="BM13" s="32">
        <f>BL13+BM8+BM9+BM12</f>
        <v>149794.27713142592</v>
      </c>
      <c r="BN13" s="32">
        <f>BM13+BN8+BN9+BN12</f>
        <v>149794.27713142592</v>
      </c>
      <c r="BO13" s="32">
        <f>BN13+BO8+BO9+BO12</f>
        <v>149794.27713142592</v>
      </c>
      <c r="BP13" s="32">
        <f>BO13+BP8+BP9+BP12</f>
        <v>149794.27713142592</v>
      </c>
      <c r="BQ13" s="32">
        <f>BP13+BQ8+BQ9+BQ12</f>
        <v>149794.27713142592</v>
      </c>
      <c r="BR13" s="32">
        <f>BQ13+BR8+BR9+BR12</f>
        <v>149794.27713142592</v>
      </c>
      <c r="BS13" s="32">
        <f>BR13+BS8+BS9+BS12</f>
        <v>149794.27713142592</v>
      </c>
      <c r="BT13" s="32">
        <f>BS13+BT8+BT9+BT12</f>
        <v>149794.27713142592</v>
      </c>
      <c r="BU13" s="32">
        <f>BT13+BU8+BU9+BU12</f>
        <v>149794.27713142592</v>
      </c>
      <c r="BV13" s="32">
        <f>BU13+BV8+BV9+BV12</f>
        <v>149794.27713142592</v>
      </c>
      <c r="BW13" s="32">
        <f>BV13+BW8+BW9+BW12</f>
        <v>149794.27713142592</v>
      </c>
      <c r="BX13" s="32">
        <f>BW13+BX8+BX9+BX12</f>
        <v>149794.27713142592</v>
      </c>
      <c r="BY13" s="32">
        <f>BX13+BY8+BY9+BY12</f>
        <v>149794.27713142592</v>
      </c>
      <c r="BZ13" s="32">
        <f>BY13+BZ8+BZ9+BZ12</f>
        <v>149794.27713142592</v>
      </c>
      <c r="CA13" s="32">
        <f>BZ13+CA8+CA9+CA12</f>
        <v>149794.27713142592</v>
      </c>
      <c r="CB13" s="32">
        <f>CA13+CB8+CB9+CB12</f>
        <v>149794.27713142592</v>
      </c>
      <c r="CC13" s="32">
        <f>CB13+CC8+CC9+CC12</f>
        <v>149794.27713142592</v>
      </c>
      <c r="CD13" s="32">
        <f>CC13+CD8+CD9+CD12</f>
        <v>149794.27713142592</v>
      </c>
      <c r="CE13" s="32">
        <f>CD13+CE8+CE9+CE12</f>
        <v>149794.27713142592</v>
      </c>
      <c r="CF13" s="32">
        <f>CE13+CF8+CF9+CF12</f>
        <v>149794.27713142592</v>
      </c>
      <c r="CG13" s="32">
        <f>CF13+CG8+CG9+CG12</f>
        <v>149794.27713142592</v>
      </c>
      <c r="CH13" s="32">
        <f>CG13+CH8+CH9+CH12</f>
        <v>149794.27713142592</v>
      </c>
      <c r="CI13" s="32">
        <f>CH13+CI8+CI9+CI12</f>
        <v>149794.27713142592</v>
      </c>
      <c r="CJ13" s="32">
        <f>CI13+CJ8+CJ9+CJ12</f>
        <v>149794.27713142592</v>
      </c>
      <c r="CK13" s="32">
        <f>CJ13+CK8+CK9+CK12</f>
        <v>149794.27713142592</v>
      </c>
      <c r="CL13" s="32">
        <f>CK13+CL8+CL9+CL12</f>
        <v>149794.27713142592</v>
      </c>
    </row>
    <row r="14" spans="2:90" x14ac:dyDescent="0.25">
      <c r="B14" s="34" t="s">
        <v>234</v>
      </c>
      <c r="C14" s="35" t="s">
        <v>228</v>
      </c>
      <c r="E14" s="32">
        <f>MIN(MAX(E13-(0),0),$D$57*100)*($D$57*100)/IF(($D$57*100)=0,1,$D$57*100)</f>
        <v>14106.900000000005</v>
      </c>
      <c r="F14" s="32">
        <f>MIN(MAX(F13-(0),0),$D$57*100)*($D$57*100)/IF(($D$57*100)=0,1,$D$57*100)</f>
        <v>15000</v>
      </c>
      <c r="G14" s="32">
        <f>MIN(MAX(G13-(0),0),$D$57*100)*($D$57*100)/IF(($D$57*100)=0,1,$D$57*100)</f>
        <v>15000</v>
      </c>
      <c r="H14" s="32">
        <f>MIN(MAX(H13-(0),0),$D$57*100)*($D$57*100)/IF(($D$57*100)=0,1,$D$57*100)</f>
        <v>15000</v>
      </c>
      <c r="I14" s="32">
        <f>MIN(MAX(I13-(0),0),$D$57*100)*($D$57*100)/IF(($D$57*100)=0,1,$D$57*100)</f>
        <v>15000</v>
      </c>
      <c r="J14" s="32">
        <f>MIN(MAX(J13-(0),0),$D$57*100)*($D$57*100)/IF(($D$57*100)=0,1,$D$57*100)</f>
        <v>15000</v>
      </c>
      <c r="K14" s="32">
        <f>MIN(MAX(K13-(0),0),$D$57*100)*($D$57*100)/IF(($D$57*100)=0,1,$D$57*100)</f>
        <v>15000</v>
      </c>
      <c r="L14" s="32">
        <f>MIN(MAX(L13-(0),0),$D$57*100)*($D$57*100)/IF(($D$57*100)=0,1,$D$57*100)</f>
        <v>15000</v>
      </c>
      <c r="M14" s="32">
        <f>MIN(MAX(M13-(0),0),$D$57*100)*($D$57*100)/IF(($D$57*100)=0,1,$D$57*100)</f>
        <v>15000</v>
      </c>
      <c r="N14" s="32">
        <f>MIN(MAX(N13-(0),0),$D$57*100)*($D$57*100)/IF(($D$57*100)=0,1,$D$57*100)</f>
        <v>15000</v>
      </c>
      <c r="O14" s="32">
        <f>MIN(MAX(O13-(0),0),$D$57*100)*($D$57*100)/IF(($D$57*100)=0,1,$D$57*100)</f>
        <v>15000</v>
      </c>
      <c r="P14" s="32">
        <f>MIN(MAX(P13-(0),0),$D$57*100)*($D$57*100)/IF(($D$57*100)=0,1,$D$57*100)</f>
        <v>15000</v>
      </c>
      <c r="Q14" s="32">
        <f>MIN(MAX(Q13-(0),0),$D$57*100)*($D$57*100)/IF(($D$57*100)=0,1,$D$57*100)</f>
        <v>15000</v>
      </c>
      <c r="R14" s="32">
        <f>MIN(MAX(R13-(0),0),$D$57*100)*($D$57*100)/IF(($D$57*100)=0,1,$D$57*100)</f>
        <v>15000</v>
      </c>
      <c r="S14" s="32">
        <f>MIN(MAX(S13-(0),0),$D$57*100)*($D$57*100)/IF(($D$57*100)=0,1,$D$57*100)</f>
        <v>15000</v>
      </c>
      <c r="T14" s="32">
        <f>MIN(MAX(T13-(0),0),$D$57*100)*($D$57*100)/IF(($D$57*100)=0,1,$D$57*100)</f>
        <v>15000</v>
      </c>
      <c r="U14" s="32">
        <f>MIN(MAX(U13-(0),0),$D$57*100)*($D$57*100)/IF(($D$57*100)=0,1,$D$57*100)</f>
        <v>15000</v>
      </c>
      <c r="V14" s="32">
        <f>MIN(MAX(V13-(0),0),$D$57*100)*($D$57*100)/IF(($D$57*100)=0,1,$D$57*100)</f>
        <v>15000</v>
      </c>
      <c r="W14" s="32">
        <f>MIN(MAX(W13-(0),0),$D$57*100)*($D$57*100)/IF(($D$57*100)=0,1,$D$57*100)</f>
        <v>15000</v>
      </c>
      <c r="X14" s="32">
        <f>MIN(MAX(X13-(0),0),$D$57*100)*($D$57*100)/IF(($D$57*100)=0,1,$D$57*100)</f>
        <v>15000</v>
      </c>
      <c r="Y14" s="32">
        <f>MIN(MAX(Y13-(0),0),$D$57*100)*($D$57*100)/IF(($D$57*100)=0,1,$D$57*100)</f>
        <v>15000</v>
      </c>
      <c r="Z14" s="32">
        <f>MIN(MAX(Z13-(0),0),$D$57*100)*($D$57*100)/IF(($D$57*100)=0,1,$D$57*100)</f>
        <v>15000</v>
      </c>
      <c r="AA14" s="32">
        <f>MIN(MAX(AA13-(0),0),$D$57*100)*($D$57*100)/IF(($D$57*100)=0,1,$D$57*100)</f>
        <v>15000</v>
      </c>
      <c r="AB14" s="32">
        <f>MIN(MAX(AB13-(0),0),$D$57*100)*($D$57*100)/IF(($D$57*100)=0,1,$D$57*100)</f>
        <v>15000</v>
      </c>
      <c r="AC14" s="32">
        <f>MIN(MAX(AC13-(0),0),$D$57*100)*($D$57*100)/IF(($D$57*100)=0,1,$D$57*100)</f>
        <v>15000</v>
      </c>
      <c r="AD14" s="32">
        <f>MIN(MAX(AD13-(0),0),$D$57*100)*($D$57*100)/IF(($D$57*100)=0,1,$D$57*100)</f>
        <v>15000</v>
      </c>
      <c r="AE14" s="32">
        <f>MIN(MAX(AE13-(0),0),$D$57*100)*($D$57*100)/IF(($D$57*100)=0,1,$D$57*100)</f>
        <v>15000</v>
      </c>
      <c r="AF14" s="32">
        <f>MIN(MAX(AF13-(0),0),$D$57*100)*($D$57*100)/IF(($D$57*100)=0,1,$D$57*100)</f>
        <v>15000</v>
      </c>
      <c r="AG14" s="32">
        <f>MIN(MAX(AG13-(0),0),$D$57*100)*($D$57*100)/IF(($D$57*100)=0,1,$D$57*100)</f>
        <v>15000</v>
      </c>
      <c r="AH14" s="32">
        <f>MIN(MAX(AH13-(0),0),$D$57*100)*($D$57*100)/IF(($D$57*100)=0,1,$D$57*100)</f>
        <v>15000</v>
      </c>
      <c r="AI14" s="32">
        <f>MIN(MAX(AI13-(0),0),$D$57*100)*($D$57*100)/IF(($D$57*100)=0,1,$D$57*100)</f>
        <v>15000</v>
      </c>
      <c r="AJ14" s="32">
        <f>MIN(MAX(AJ13-(0),0),$D$57*100)*($D$57*100)/IF(($D$57*100)=0,1,$D$57*100)</f>
        <v>15000</v>
      </c>
      <c r="AK14" s="32">
        <f>MIN(MAX(AK13-(0),0),$D$57*100)*($D$57*100)/IF(($D$57*100)=0,1,$D$57*100)</f>
        <v>15000</v>
      </c>
      <c r="AL14" s="32">
        <f>MIN(MAX(AL13-(0),0),$D$57*100)*($D$57*100)/IF(($D$57*100)=0,1,$D$57*100)</f>
        <v>15000</v>
      </c>
      <c r="AM14" s="32">
        <f>MIN(MAX(AM13-(0),0),$D$57*100)*($D$57*100)/IF(($D$57*100)=0,1,$D$57*100)</f>
        <v>15000</v>
      </c>
      <c r="AN14" s="32">
        <f>MIN(MAX(AN13-(0),0),$D$57*100)*($D$57*100)/IF(($D$57*100)=0,1,$D$57*100)</f>
        <v>15000</v>
      </c>
      <c r="AO14" s="32">
        <f>MIN(MAX(AO13-(0),0),$D$57*100)*($D$57*100)/IF(($D$57*100)=0,1,$D$57*100)</f>
        <v>15000</v>
      </c>
      <c r="AP14" s="32">
        <f>MIN(MAX(AP13-(0),0),$D$57*100)*($D$57*100)/IF(($D$57*100)=0,1,$D$57*100)</f>
        <v>15000</v>
      </c>
      <c r="AQ14" s="32">
        <f>MIN(MAX(AQ13-(0),0),$D$57*100)*($D$57*100)/IF(($D$57*100)=0,1,$D$57*100)</f>
        <v>15000</v>
      </c>
      <c r="AR14" s="32">
        <f>MIN(MAX(AR13-(0),0),$D$57*100)*($D$57*100)/IF(($D$57*100)=0,1,$D$57*100)</f>
        <v>15000</v>
      </c>
      <c r="AS14" s="32">
        <f>MIN(MAX(AS13-(0),0),$D$57*100)*($D$57*100)/IF(($D$57*100)=0,1,$D$57*100)</f>
        <v>15000</v>
      </c>
      <c r="AT14" s="32">
        <f>MIN(MAX(AT13-(0),0),$D$57*100)*($D$57*100)/IF(($D$57*100)=0,1,$D$57*100)</f>
        <v>15000</v>
      </c>
      <c r="AU14" s="32">
        <f>MIN(MAX(AU13-(0),0),$D$57*100)*($D$57*100)/IF(($D$57*100)=0,1,$D$57*100)</f>
        <v>15000</v>
      </c>
      <c r="AV14" s="32">
        <f>MIN(MAX(AV13-(0),0),$D$57*100)*($D$57*100)/IF(($D$57*100)=0,1,$D$57*100)</f>
        <v>15000</v>
      </c>
      <c r="AW14" s="32">
        <f>MIN(MAX(AW13-(0),0),$D$57*100)*($D$57*100)/IF(($D$57*100)=0,1,$D$57*100)</f>
        <v>15000</v>
      </c>
      <c r="AX14" s="32">
        <f>MIN(MAX(AX13-(0),0),$D$57*100)*($D$57*100)/IF(($D$57*100)=0,1,$D$57*100)</f>
        <v>15000</v>
      </c>
      <c r="AY14" s="32">
        <f>MIN(MAX(AY13-(0),0),$D$57*100)*($D$57*100)/IF(($D$57*100)=0,1,$D$57*100)</f>
        <v>15000</v>
      </c>
      <c r="AZ14" s="32">
        <f>MIN(MAX(AZ13-(0),0),$D$57*100)*($D$57*100)/IF(($D$57*100)=0,1,$D$57*100)</f>
        <v>15000</v>
      </c>
      <c r="BA14" s="32">
        <f>MIN(MAX(BA13-(0),0),$D$57*100)*($D$57*100)/IF(($D$57*100)=0,1,$D$57*100)</f>
        <v>15000</v>
      </c>
      <c r="BB14" s="32">
        <f>MIN(MAX(BB13-(0),0),$D$57*100)*($D$57*100)/IF(($D$57*100)=0,1,$D$57*100)</f>
        <v>15000</v>
      </c>
      <c r="BC14" s="32">
        <f>MIN(MAX(BC13-(0),0),$D$57*100)*($D$57*100)/IF(($D$57*100)=0,1,$D$57*100)</f>
        <v>15000</v>
      </c>
      <c r="BD14" s="32">
        <f>MIN(MAX(BD13-(0),0),$D$57*100)*($D$57*100)/IF(($D$57*100)=0,1,$D$57*100)</f>
        <v>15000</v>
      </c>
      <c r="BE14" s="32">
        <f>MIN(MAX(BE13-(0),0),$D$57*100)*($D$57*100)/IF(($D$57*100)=0,1,$D$57*100)</f>
        <v>15000</v>
      </c>
      <c r="BF14" s="32">
        <f>MIN(MAX(BF13-(0),0),$D$57*100)*($D$57*100)/IF(($D$57*100)=0,1,$D$57*100)</f>
        <v>15000</v>
      </c>
      <c r="BG14" s="32">
        <f>MIN(MAX(BG13-(0),0),$D$57*100)*($D$57*100)/IF(($D$57*100)=0,1,$D$57*100)</f>
        <v>15000</v>
      </c>
      <c r="BH14" s="32">
        <f>MIN(MAX(BH13-(0),0),$D$57*100)*($D$57*100)/IF(($D$57*100)=0,1,$D$57*100)</f>
        <v>15000</v>
      </c>
      <c r="BI14" s="32">
        <f>MIN(MAX(BI13-(0),0),$D$57*100)*($D$57*100)/IF(($D$57*100)=0,1,$D$57*100)</f>
        <v>15000</v>
      </c>
      <c r="BJ14" s="32">
        <f>MIN(MAX(BJ13-(0),0),$D$57*100)*($D$57*100)/IF(($D$57*100)=0,1,$D$57*100)</f>
        <v>15000</v>
      </c>
      <c r="BK14" s="32">
        <f>MIN(MAX(BK13-(0),0),$D$57*100)*($D$57*100)/IF(($D$57*100)=0,1,$D$57*100)</f>
        <v>15000</v>
      </c>
      <c r="BL14" s="32">
        <f>MIN(MAX(BL13-(0),0),$D$57*100)*($D$57*100)/IF(($D$57*100)=0,1,$D$57*100)</f>
        <v>15000</v>
      </c>
      <c r="BM14" s="32">
        <f>MIN(MAX(BM13-(0),0),$D$57*100)*($D$57*100)/IF(($D$57*100)=0,1,$D$57*100)</f>
        <v>15000</v>
      </c>
      <c r="BN14" s="32">
        <f>MIN(MAX(BN13-(0),0),$D$57*100)*($D$57*100)/IF(($D$57*100)=0,1,$D$57*100)</f>
        <v>15000</v>
      </c>
      <c r="BO14" s="32">
        <f>MIN(MAX(BO13-(0),0),$D$57*100)*($D$57*100)/IF(($D$57*100)=0,1,$D$57*100)</f>
        <v>15000</v>
      </c>
      <c r="BP14" s="32">
        <f>MIN(MAX(BP13-(0),0),$D$57*100)*($D$57*100)/IF(($D$57*100)=0,1,$D$57*100)</f>
        <v>15000</v>
      </c>
      <c r="BQ14" s="32">
        <f>MIN(MAX(BQ13-(0),0),$D$57*100)*($D$57*100)/IF(($D$57*100)=0,1,$D$57*100)</f>
        <v>15000</v>
      </c>
      <c r="BR14" s="32">
        <f>MIN(MAX(BR13-(0),0),$D$57*100)*($D$57*100)/IF(($D$57*100)=0,1,$D$57*100)</f>
        <v>15000</v>
      </c>
      <c r="BS14" s="32">
        <f>MIN(MAX(BS13-(0),0),$D$57*100)*($D$57*100)/IF(($D$57*100)=0,1,$D$57*100)</f>
        <v>15000</v>
      </c>
      <c r="BT14" s="32">
        <f>MIN(MAX(BT13-(0),0),$D$57*100)*($D$57*100)/IF(($D$57*100)=0,1,$D$57*100)</f>
        <v>15000</v>
      </c>
      <c r="BU14" s="32">
        <f>MIN(MAX(BU13-(0),0),$D$57*100)*($D$57*100)/IF(($D$57*100)=0,1,$D$57*100)</f>
        <v>15000</v>
      </c>
      <c r="BV14" s="32">
        <f>MIN(MAX(BV13-(0),0),$D$57*100)*($D$57*100)/IF(($D$57*100)=0,1,$D$57*100)</f>
        <v>15000</v>
      </c>
      <c r="BW14" s="32">
        <f>MIN(MAX(BW13-(0),0),$D$57*100)*($D$57*100)/IF(($D$57*100)=0,1,$D$57*100)</f>
        <v>15000</v>
      </c>
      <c r="BX14" s="32">
        <f>MIN(MAX(BX13-(0),0),$D$57*100)*($D$57*100)/IF(($D$57*100)=0,1,$D$57*100)</f>
        <v>15000</v>
      </c>
      <c r="BY14" s="32">
        <f>MIN(MAX(BY13-(0),0),$D$57*100)*($D$57*100)/IF(($D$57*100)=0,1,$D$57*100)</f>
        <v>15000</v>
      </c>
      <c r="BZ14" s="32">
        <f>MIN(MAX(BZ13-(0),0),$D$57*100)*($D$57*100)/IF(($D$57*100)=0,1,$D$57*100)</f>
        <v>15000</v>
      </c>
      <c r="CA14" s="32">
        <f>MIN(MAX(CA13-(0),0),$D$57*100)*($D$57*100)/IF(($D$57*100)=0,1,$D$57*100)</f>
        <v>15000</v>
      </c>
      <c r="CB14" s="32">
        <f>MIN(MAX(CB13-(0),0),$D$57*100)*($D$57*100)/IF(($D$57*100)=0,1,$D$57*100)</f>
        <v>15000</v>
      </c>
      <c r="CC14" s="32">
        <f>MIN(MAX(CC13-(0),0),$D$57*100)*($D$57*100)/IF(($D$57*100)=0,1,$D$57*100)</f>
        <v>15000</v>
      </c>
      <c r="CD14" s="32">
        <f>MIN(MAX(CD13-(0),0),$D$57*100)*($D$57*100)/IF(($D$57*100)=0,1,$D$57*100)</f>
        <v>15000</v>
      </c>
      <c r="CE14" s="32">
        <f>MIN(MAX(CE13-(0),0),$D$57*100)*($D$57*100)/IF(($D$57*100)=0,1,$D$57*100)</f>
        <v>15000</v>
      </c>
      <c r="CF14" s="32">
        <f>MIN(MAX(CF13-(0),0),$D$57*100)*($D$57*100)/IF(($D$57*100)=0,1,$D$57*100)</f>
        <v>15000</v>
      </c>
      <c r="CG14" s="32">
        <f>MIN(MAX(CG13-(0),0),$D$57*100)*($D$57*100)/IF(($D$57*100)=0,1,$D$57*100)</f>
        <v>15000</v>
      </c>
      <c r="CH14" s="32">
        <f>MIN(MAX(CH13-(0),0),$D$57*100)*($D$57*100)/IF(($D$57*100)=0,1,$D$57*100)</f>
        <v>15000</v>
      </c>
      <c r="CI14" s="32">
        <f>MIN(MAX(CI13-(0),0),$D$57*100)*($D$57*100)/IF(($D$57*100)=0,1,$D$57*100)</f>
        <v>15000</v>
      </c>
      <c r="CJ14" s="32">
        <f>MIN(MAX(CJ13-(0),0),$D$57*100)*($D$57*100)/IF(($D$57*100)=0,1,$D$57*100)</f>
        <v>15000</v>
      </c>
      <c r="CK14" s="32">
        <f>MIN(MAX(CK13-(0),0),$D$57*100)*($D$57*100)/IF(($D$57*100)=0,1,$D$57*100)</f>
        <v>15000</v>
      </c>
      <c r="CL14" s="32">
        <f>MIN(MAX(CL13-(0),0),$D$57*100)*($D$57*100)/IF(($D$57*100)=0,1,$D$57*100)</f>
        <v>15000</v>
      </c>
    </row>
    <row r="15" spans="2:90" x14ac:dyDescent="0.25">
      <c r="B15" s="34" t="s">
        <v>235</v>
      </c>
      <c r="C15" s="35" t="s">
        <v>228</v>
      </c>
      <c r="E15" s="32">
        <f>MIN(MAX(E13-($D$57*100),0),$D$58*100+$D$61*100)*($D$58*100)/IF(($D$58*100+$D$61*100)=0,1,$D$58*100+$D$61*100)</f>
        <v>0</v>
      </c>
      <c r="F15" s="32">
        <f>MIN(MAX(F13-($D$57*100),0),$D$58*100+$D$61*100)*($D$58*100)/IF(($D$58*100+$D$61*100)=0,1,$D$58*100+$D$61*100)</f>
        <v>12861.052280893806</v>
      </c>
      <c r="G15" s="32">
        <f>MIN(MAX(G13-($D$57*100),0),$D$58*100+$D$61*100)*($D$58*100)/IF(($D$58*100+$D$61*100)=0,1,$D$58*100+$D$61*100)</f>
        <v>30943.651461069887</v>
      </c>
      <c r="H15" s="32">
        <f>MIN(MAX(H13-($D$57*100),0),$D$58*100+$D$61*100)*($D$58*100)/IF(($D$58*100+$D$61*100)=0,1,$D$58*100+$D$61*100)</f>
        <v>53753.684910806536</v>
      </c>
      <c r="I15" s="32">
        <f>MIN(MAX(I13-($D$57*100),0),$D$58*100+$D$61*100)*($D$58*100)/IF(($D$58*100+$D$61*100)=0,1,$D$58*100+$D$61*100)</f>
        <v>72405.0451311204</v>
      </c>
      <c r="J15" s="32">
        <f>MIN(MAX(J13-($D$57*100),0),$D$58*100+$D$61*100)*($D$58*100)/IF(($D$58*100+$D$61*100)=0,1,$D$58*100+$D$61*100)</f>
        <v>80000</v>
      </c>
      <c r="K15" s="32">
        <f>MIN(MAX(K13-($D$57*100),0),$D$58*100+$D$61*100)*($D$58*100)/IF(($D$58*100+$D$61*100)=0,1,$D$58*100+$D$61*100)</f>
        <v>80000</v>
      </c>
      <c r="L15" s="32">
        <f>MIN(MAX(L13-($D$57*100),0),$D$58*100+$D$61*100)*($D$58*100)/IF(($D$58*100+$D$61*100)=0,1,$D$58*100+$D$61*100)</f>
        <v>80000</v>
      </c>
      <c r="M15" s="32">
        <f>MIN(MAX(M13-($D$57*100),0),$D$58*100+$D$61*100)*($D$58*100)/IF(($D$58*100+$D$61*100)=0,1,$D$58*100+$D$61*100)</f>
        <v>80000</v>
      </c>
      <c r="N15" s="32">
        <f>MIN(MAX(N13-($D$57*100),0),$D$58*100+$D$61*100)*($D$58*100)/IF(($D$58*100+$D$61*100)=0,1,$D$58*100+$D$61*100)</f>
        <v>80000</v>
      </c>
      <c r="O15" s="32">
        <f>MIN(MAX(O13-($D$57*100),0),$D$58*100+$D$61*100)*($D$58*100)/IF(($D$58*100+$D$61*100)=0,1,$D$58*100+$D$61*100)</f>
        <v>80000</v>
      </c>
      <c r="P15" s="32">
        <f>MIN(MAX(P13-($D$57*100),0),$D$58*100+$D$61*100)*($D$58*100)/IF(($D$58*100+$D$61*100)=0,1,$D$58*100+$D$61*100)</f>
        <v>80000</v>
      </c>
      <c r="Q15" s="32">
        <f>MIN(MAX(Q13-($D$57*100),0),$D$58*100+$D$61*100)*($D$58*100)/IF(($D$58*100+$D$61*100)=0,1,$D$58*100+$D$61*100)</f>
        <v>80000</v>
      </c>
      <c r="R15" s="32">
        <f>MIN(MAX(R13-($D$57*100),0),$D$58*100+$D$61*100)*($D$58*100)/IF(($D$58*100+$D$61*100)=0,1,$D$58*100+$D$61*100)</f>
        <v>80000</v>
      </c>
      <c r="S15" s="32">
        <f>MIN(MAX(S13-($D$57*100),0),$D$58*100+$D$61*100)*($D$58*100)/IF(($D$58*100+$D$61*100)=0,1,$D$58*100+$D$61*100)</f>
        <v>80000</v>
      </c>
      <c r="T15" s="32">
        <f>MIN(MAX(T13-($D$57*100),0),$D$58*100+$D$61*100)*($D$58*100)/IF(($D$58*100+$D$61*100)=0,1,$D$58*100+$D$61*100)</f>
        <v>80000</v>
      </c>
      <c r="U15" s="32">
        <f>MIN(MAX(U13-($D$57*100),0),$D$58*100+$D$61*100)*($D$58*100)/IF(($D$58*100+$D$61*100)=0,1,$D$58*100+$D$61*100)</f>
        <v>80000</v>
      </c>
      <c r="V15" s="32">
        <f>MIN(MAX(V13-($D$57*100),0),$D$58*100+$D$61*100)*($D$58*100)/IF(($D$58*100+$D$61*100)=0,1,$D$58*100+$D$61*100)</f>
        <v>80000</v>
      </c>
      <c r="W15" s="32">
        <f>MIN(MAX(W13-($D$57*100),0),$D$58*100+$D$61*100)*($D$58*100)/IF(($D$58*100+$D$61*100)=0,1,$D$58*100+$D$61*100)</f>
        <v>80000</v>
      </c>
      <c r="X15" s="32">
        <f>MIN(MAX(X13-($D$57*100),0),$D$58*100+$D$61*100)*($D$58*100)/IF(($D$58*100+$D$61*100)=0,1,$D$58*100+$D$61*100)</f>
        <v>80000</v>
      </c>
      <c r="Y15" s="32">
        <f>MIN(MAX(Y13-($D$57*100),0),$D$58*100+$D$61*100)*($D$58*100)/IF(($D$58*100+$D$61*100)=0,1,$D$58*100+$D$61*100)</f>
        <v>80000</v>
      </c>
      <c r="Z15" s="32">
        <f>MIN(MAX(Z13-($D$57*100),0),$D$58*100+$D$61*100)*($D$58*100)/IF(($D$58*100+$D$61*100)=0,1,$D$58*100+$D$61*100)</f>
        <v>80000</v>
      </c>
      <c r="AA15" s="32">
        <f>MIN(MAX(AA13-($D$57*100),0),$D$58*100+$D$61*100)*($D$58*100)/IF(($D$58*100+$D$61*100)=0,1,$D$58*100+$D$61*100)</f>
        <v>80000</v>
      </c>
      <c r="AB15" s="32">
        <f>MIN(MAX(AB13-($D$57*100),0),$D$58*100+$D$61*100)*($D$58*100)/IF(($D$58*100+$D$61*100)=0,1,$D$58*100+$D$61*100)</f>
        <v>80000</v>
      </c>
      <c r="AC15" s="32">
        <f>MIN(MAX(AC13-($D$57*100),0),$D$58*100+$D$61*100)*($D$58*100)/IF(($D$58*100+$D$61*100)=0,1,$D$58*100+$D$61*100)</f>
        <v>80000</v>
      </c>
      <c r="AD15" s="32">
        <f>MIN(MAX(AD13-($D$57*100),0),$D$58*100+$D$61*100)*($D$58*100)/IF(($D$58*100+$D$61*100)=0,1,$D$58*100+$D$61*100)</f>
        <v>80000</v>
      </c>
      <c r="AE15" s="32">
        <f>MIN(MAX(AE13-($D$57*100),0),$D$58*100+$D$61*100)*($D$58*100)/IF(($D$58*100+$D$61*100)=0,1,$D$58*100+$D$61*100)</f>
        <v>80000</v>
      </c>
      <c r="AF15" s="32">
        <f>MIN(MAX(AF13-($D$57*100),0),$D$58*100+$D$61*100)*($D$58*100)/IF(($D$58*100+$D$61*100)=0,1,$D$58*100+$D$61*100)</f>
        <v>80000</v>
      </c>
      <c r="AG15" s="32">
        <f>MIN(MAX(AG13-($D$57*100),0),$D$58*100+$D$61*100)*($D$58*100)/IF(($D$58*100+$D$61*100)=0,1,$D$58*100+$D$61*100)</f>
        <v>80000</v>
      </c>
      <c r="AH15" s="32">
        <f>MIN(MAX(AH13-($D$57*100),0),$D$58*100+$D$61*100)*($D$58*100)/IF(($D$58*100+$D$61*100)=0,1,$D$58*100+$D$61*100)</f>
        <v>80000</v>
      </c>
      <c r="AI15" s="32">
        <f>MIN(MAX(AI13-($D$57*100),0),$D$58*100+$D$61*100)*($D$58*100)/IF(($D$58*100+$D$61*100)=0,1,$D$58*100+$D$61*100)</f>
        <v>80000</v>
      </c>
      <c r="AJ15" s="32">
        <f>MIN(MAX(AJ13-($D$57*100),0),$D$58*100+$D$61*100)*($D$58*100)/IF(($D$58*100+$D$61*100)=0,1,$D$58*100+$D$61*100)</f>
        <v>80000</v>
      </c>
      <c r="AK15" s="32">
        <f>MIN(MAX(AK13-($D$57*100),0),$D$58*100+$D$61*100)*($D$58*100)/IF(($D$58*100+$D$61*100)=0,1,$D$58*100+$D$61*100)</f>
        <v>80000</v>
      </c>
      <c r="AL15" s="32">
        <f>MIN(MAX(AL13-($D$57*100),0),$D$58*100+$D$61*100)*($D$58*100)/IF(($D$58*100+$D$61*100)=0,1,$D$58*100+$D$61*100)</f>
        <v>80000</v>
      </c>
      <c r="AM15" s="32">
        <f>MIN(MAX(AM13-($D$57*100),0),$D$58*100+$D$61*100)*($D$58*100)/IF(($D$58*100+$D$61*100)=0,1,$D$58*100+$D$61*100)</f>
        <v>80000</v>
      </c>
      <c r="AN15" s="32">
        <f>MIN(MAX(AN13-($D$57*100),0),$D$58*100+$D$61*100)*($D$58*100)/IF(($D$58*100+$D$61*100)=0,1,$D$58*100+$D$61*100)</f>
        <v>80000</v>
      </c>
      <c r="AO15" s="32">
        <f>MIN(MAX(AO13-($D$57*100),0),$D$58*100+$D$61*100)*($D$58*100)/IF(($D$58*100+$D$61*100)=0,1,$D$58*100+$D$61*100)</f>
        <v>80000</v>
      </c>
      <c r="AP15" s="32">
        <f>MIN(MAX(AP13-($D$57*100),0),$D$58*100+$D$61*100)*($D$58*100)/IF(($D$58*100+$D$61*100)=0,1,$D$58*100+$D$61*100)</f>
        <v>80000</v>
      </c>
      <c r="AQ15" s="32">
        <f>MIN(MAX(AQ13-($D$57*100),0),$D$58*100+$D$61*100)*($D$58*100)/IF(($D$58*100+$D$61*100)=0,1,$D$58*100+$D$61*100)</f>
        <v>80000</v>
      </c>
      <c r="AR15" s="32">
        <f>MIN(MAX(AR13-($D$57*100),0),$D$58*100+$D$61*100)*($D$58*100)/IF(($D$58*100+$D$61*100)=0,1,$D$58*100+$D$61*100)</f>
        <v>80000</v>
      </c>
      <c r="AS15" s="32">
        <f>MIN(MAX(AS13-($D$57*100),0),$D$58*100+$D$61*100)*($D$58*100)/IF(($D$58*100+$D$61*100)=0,1,$D$58*100+$D$61*100)</f>
        <v>80000</v>
      </c>
      <c r="AT15" s="32">
        <f>MIN(MAX(AT13-($D$57*100),0),$D$58*100+$D$61*100)*($D$58*100)/IF(($D$58*100+$D$61*100)=0,1,$D$58*100+$D$61*100)</f>
        <v>80000</v>
      </c>
      <c r="AU15" s="32">
        <f>MIN(MAX(AU13-($D$57*100),0),$D$58*100+$D$61*100)*($D$58*100)/IF(($D$58*100+$D$61*100)=0,1,$D$58*100+$D$61*100)</f>
        <v>80000</v>
      </c>
      <c r="AV15" s="32">
        <f>MIN(MAX(AV13-($D$57*100),0),$D$58*100+$D$61*100)*($D$58*100)/IF(($D$58*100+$D$61*100)=0,1,$D$58*100+$D$61*100)</f>
        <v>80000</v>
      </c>
      <c r="AW15" s="32">
        <f>MIN(MAX(AW13-($D$57*100),0),$D$58*100+$D$61*100)*($D$58*100)/IF(($D$58*100+$D$61*100)=0,1,$D$58*100+$D$61*100)</f>
        <v>80000</v>
      </c>
      <c r="AX15" s="32">
        <f>MIN(MAX(AX13-($D$57*100),0),$D$58*100+$D$61*100)*($D$58*100)/IF(($D$58*100+$D$61*100)=0,1,$D$58*100+$D$61*100)</f>
        <v>80000</v>
      </c>
      <c r="AY15" s="32">
        <f>MIN(MAX(AY13-($D$57*100),0),$D$58*100+$D$61*100)*($D$58*100)/IF(($D$58*100+$D$61*100)=0,1,$D$58*100+$D$61*100)</f>
        <v>80000</v>
      </c>
      <c r="AZ15" s="32">
        <f>MIN(MAX(AZ13-($D$57*100),0),$D$58*100+$D$61*100)*($D$58*100)/IF(($D$58*100+$D$61*100)=0,1,$D$58*100+$D$61*100)</f>
        <v>80000</v>
      </c>
      <c r="BA15" s="32">
        <f>MIN(MAX(BA13-($D$57*100),0),$D$58*100+$D$61*100)*($D$58*100)/IF(($D$58*100+$D$61*100)=0,1,$D$58*100+$D$61*100)</f>
        <v>80000</v>
      </c>
      <c r="BB15" s="32">
        <f>MIN(MAX(BB13-($D$57*100),0),$D$58*100+$D$61*100)*($D$58*100)/IF(($D$58*100+$D$61*100)=0,1,$D$58*100+$D$61*100)</f>
        <v>80000</v>
      </c>
      <c r="BC15" s="32">
        <f>MIN(MAX(BC13-($D$57*100),0),$D$58*100+$D$61*100)*($D$58*100)/IF(($D$58*100+$D$61*100)=0,1,$D$58*100+$D$61*100)</f>
        <v>80000</v>
      </c>
      <c r="BD15" s="32">
        <f>MIN(MAX(BD13-($D$57*100),0),$D$58*100+$D$61*100)*($D$58*100)/IF(($D$58*100+$D$61*100)=0,1,$D$58*100+$D$61*100)</f>
        <v>80000</v>
      </c>
      <c r="BE15" s="32">
        <f>MIN(MAX(BE13-($D$57*100),0),$D$58*100+$D$61*100)*($D$58*100)/IF(($D$58*100+$D$61*100)=0,1,$D$58*100+$D$61*100)</f>
        <v>80000</v>
      </c>
      <c r="BF15" s="32">
        <f>MIN(MAX(BF13-($D$57*100),0),$D$58*100+$D$61*100)*($D$58*100)/IF(($D$58*100+$D$61*100)=0,1,$D$58*100+$D$61*100)</f>
        <v>80000</v>
      </c>
      <c r="BG15" s="32">
        <f>MIN(MAX(BG13-($D$57*100),0),$D$58*100+$D$61*100)*($D$58*100)/IF(($D$58*100+$D$61*100)=0,1,$D$58*100+$D$61*100)</f>
        <v>80000</v>
      </c>
      <c r="BH15" s="32">
        <f>MIN(MAX(BH13-($D$57*100),0),$D$58*100+$D$61*100)*($D$58*100)/IF(($D$58*100+$D$61*100)=0,1,$D$58*100+$D$61*100)</f>
        <v>80000</v>
      </c>
      <c r="BI15" s="32">
        <f>MIN(MAX(BI13-($D$57*100),0),$D$58*100+$D$61*100)*($D$58*100)/IF(($D$58*100+$D$61*100)=0,1,$D$58*100+$D$61*100)</f>
        <v>80000</v>
      </c>
      <c r="BJ15" s="32">
        <f>MIN(MAX(BJ13-($D$57*100),0),$D$58*100+$D$61*100)*($D$58*100)/IF(($D$58*100+$D$61*100)=0,1,$D$58*100+$D$61*100)</f>
        <v>80000</v>
      </c>
      <c r="BK15" s="32">
        <f>MIN(MAX(BK13-($D$57*100),0),$D$58*100+$D$61*100)*($D$58*100)/IF(($D$58*100+$D$61*100)=0,1,$D$58*100+$D$61*100)</f>
        <v>80000</v>
      </c>
      <c r="BL15" s="32">
        <f>MIN(MAX(BL13-($D$57*100),0),$D$58*100+$D$61*100)*($D$58*100)/IF(($D$58*100+$D$61*100)=0,1,$D$58*100+$D$61*100)</f>
        <v>80000</v>
      </c>
      <c r="BM15" s="32">
        <f>MIN(MAX(BM13-($D$57*100),0),$D$58*100+$D$61*100)*($D$58*100)/IF(($D$58*100+$D$61*100)=0,1,$D$58*100+$D$61*100)</f>
        <v>80000</v>
      </c>
      <c r="BN15" s="32">
        <f>MIN(MAX(BN13-($D$57*100),0),$D$58*100+$D$61*100)*($D$58*100)/IF(($D$58*100+$D$61*100)=0,1,$D$58*100+$D$61*100)</f>
        <v>80000</v>
      </c>
      <c r="BO15" s="32">
        <f>MIN(MAX(BO13-($D$57*100),0),$D$58*100+$D$61*100)*($D$58*100)/IF(($D$58*100+$D$61*100)=0,1,$D$58*100+$D$61*100)</f>
        <v>80000</v>
      </c>
      <c r="BP15" s="32">
        <f>MIN(MAX(BP13-($D$57*100),0),$D$58*100+$D$61*100)*($D$58*100)/IF(($D$58*100+$D$61*100)=0,1,$D$58*100+$D$61*100)</f>
        <v>80000</v>
      </c>
      <c r="BQ15" s="32">
        <f>MIN(MAX(BQ13-($D$57*100),0),$D$58*100+$D$61*100)*($D$58*100)/IF(($D$58*100+$D$61*100)=0,1,$D$58*100+$D$61*100)</f>
        <v>80000</v>
      </c>
      <c r="BR15" s="32">
        <f>MIN(MAX(BR13-($D$57*100),0),$D$58*100+$D$61*100)*($D$58*100)/IF(($D$58*100+$D$61*100)=0,1,$D$58*100+$D$61*100)</f>
        <v>80000</v>
      </c>
      <c r="BS15" s="32">
        <f>MIN(MAX(BS13-($D$57*100),0),$D$58*100+$D$61*100)*($D$58*100)/IF(($D$58*100+$D$61*100)=0,1,$D$58*100+$D$61*100)</f>
        <v>80000</v>
      </c>
      <c r="BT15" s="32">
        <f>MIN(MAX(BT13-($D$57*100),0),$D$58*100+$D$61*100)*($D$58*100)/IF(($D$58*100+$D$61*100)=0,1,$D$58*100+$D$61*100)</f>
        <v>80000</v>
      </c>
      <c r="BU15" s="32">
        <f>MIN(MAX(BU13-($D$57*100),0),$D$58*100+$D$61*100)*($D$58*100)/IF(($D$58*100+$D$61*100)=0,1,$D$58*100+$D$61*100)</f>
        <v>80000</v>
      </c>
      <c r="BV15" s="32">
        <f>MIN(MAX(BV13-($D$57*100),0),$D$58*100+$D$61*100)*($D$58*100)/IF(($D$58*100+$D$61*100)=0,1,$D$58*100+$D$61*100)</f>
        <v>80000</v>
      </c>
      <c r="BW15" s="32">
        <f>MIN(MAX(BW13-($D$57*100),0),$D$58*100+$D$61*100)*($D$58*100)/IF(($D$58*100+$D$61*100)=0,1,$D$58*100+$D$61*100)</f>
        <v>80000</v>
      </c>
      <c r="BX15" s="32">
        <f>MIN(MAX(BX13-($D$57*100),0),$D$58*100+$D$61*100)*($D$58*100)/IF(($D$58*100+$D$61*100)=0,1,$D$58*100+$D$61*100)</f>
        <v>80000</v>
      </c>
      <c r="BY15" s="32">
        <f>MIN(MAX(BY13-($D$57*100),0),$D$58*100+$D$61*100)*($D$58*100)/IF(($D$58*100+$D$61*100)=0,1,$D$58*100+$D$61*100)</f>
        <v>80000</v>
      </c>
      <c r="BZ15" s="32">
        <f>MIN(MAX(BZ13-($D$57*100),0),$D$58*100+$D$61*100)*($D$58*100)/IF(($D$58*100+$D$61*100)=0,1,$D$58*100+$D$61*100)</f>
        <v>80000</v>
      </c>
      <c r="CA15" s="32">
        <f>MIN(MAX(CA13-($D$57*100),0),$D$58*100+$D$61*100)*($D$58*100)/IF(($D$58*100+$D$61*100)=0,1,$D$58*100+$D$61*100)</f>
        <v>80000</v>
      </c>
      <c r="CB15" s="32">
        <f>MIN(MAX(CB13-($D$57*100),0),$D$58*100+$D$61*100)*($D$58*100)/IF(($D$58*100+$D$61*100)=0,1,$D$58*100+$D$61*100)</f>
        <v>80000</v>
      </c>
      <c r="CC15" s="32">
        <f>MIN(MAX(CC13-($D$57*100),0),$D$58*100+$D$61*100)*($D$58*100)/IF(($D$58*100+$D$61*100)=0,1,$D$58*100+$D$61*100)</f>
        <v>80000</v>
      </c>
      <c r="CD15" s="32">
        <f>MIN(MAX(CD13-($D$57*100),0),$D$58*100+$D$61*100)*($D$58*100)/IF(($D$58*100+$D$61*100)=0,1,$D$58*100+$D$61*100)</f>
        <v>80000</v>
      </c>
      <c r="CE15" s="32">
        <f>MIN(MAX(CE13-($D$57*100),0),$D$58*100+$D$61*100)*($D$58*100)/IF(($D$58*100+$D$61*100)=0,1,$D$58*100+$D$61*100)</f>
        <v>80000</v>
      </c>
      <c r="CF15" s="32">
        <f>MIN(MAX(CF13-($D$57*100),0),$D$58*100+$D$61*100)*($D$58*100)/IF(($D$58*100+$D$61*100)=0,1,$D$58*100+$D$61*100)</f>
        <v>80000</v>
      </c>
      <c r="CG15" s="32">
        <f>MIN(MAX(CG13-($D$57*100),0),$D$58*100+$D$61*100)*($D$58*100)/IF(($D$58*100+$D$61*100)=0,1,$D$58*100+$D$61*100)</f>
        <v>80000</v>
      </c>
      <c r="CH15" s="32">
        <f>MIN(MAX(CH13-($D$57*100),0),$D$58*100+$D$61*100)*($D$58*100)/IF(($D$58*100+$D$61*100)=0,1,$D$58*100+$D$61*100)</f>
        <v>80000</v>
      </c>
      <c r="CI15" s="32">
        <f>MIN(MAX(CI13-($D$57*100),0),$D$58*100+$D$61*100)*($D$58*100)/IF(($D$58*100+$D$61*100)=0,1,$D$58*100+$D$61*100)</f>
        <v>80000</v>
      </c>
      <c r="CJ15" s="32">
        <f>MIN(MAX(CJ13-($D$57*100),0),$D$58*100+$D$61*100)*($D$58*100)/IF(($D$58*100+$D$61*100)=0,1,$D$58*100+$D$61*100)</f>
        <v>80000</v>
      </c>
      <c r="CK15" s="32">
        <f>MIN(MAX(CK13-($D$57*100),0),$D$58*100+$D$61*100)*($D$58*100)/IF(($D$58*100+$D$61*100)=0,1,$D$58*100+$D$61*100)</f>
        <v>80000</v>
      </c>
      <c r="CL15" s="32">
        <f>MIN(MAX(CL13-($D$57*100),0),$D$58*100+$D$61*100)*($D$58*100)/IF(($D$58*100+$D$61*100)=0,1,$D$58*100+$D$61*100)</f>
        <v>80000</v>
      </c>
    </row>
    <row r="16" spans="2:90" x14ac:dyDescent="0.25">
      <c r="B16" s="34" t="s">
        <v>236</v>
      </c>
      <c r="C16" s="35" t="s">
        <v>228</v>
      </c>
      <c r="E16" s="32">
        <f>MIN(MAX(E13-($D$57*100),0),$D$58*100+$D$61*100)*($D$61*100)/IF(($D$58*100+$D$61*100)=0,1,$D$58*100+$D$61*100)</f>
        <v>0</v>
      </c>
      <c r="F16" s="32">
        <f>MIN(MAX(F13-($D$57*100),0),$D$58*100+$D$61*100)*($D$61*100)/IF(($D$58*100+$D$61*100)=0,1,$D$58*100+$D$61*100)</f>
        <v>7406.19771910621</v>
      </c>
      <c r="G16" s="32">
        <f>MIN(MAX(G13-($D$57*100),0),$D$58*100+$D$61*100)*($D$61*100)/IF(($D$58*100+$D$61*100)=0,1,$D$58*100+$D$61*100)</f>
        <v>17819.28848950036</v>
      </c>
      <c r="H16" s="32">
        <f>MIN(MAX(H13-($D$57*100),0),$D$58*100+$D$61*100)*($D$61*100)/IF(($D$58*100+$D$61*100)=0,1,$D$58*100+$D$61*100)</f>
        <v>30954.73137694933</v>
      </c>
      <c r="I16" s="32">
        <f>MIN(MAX(I13-($D$57*100),0),$D$58*100+$D$61*100)*($D$61*100)/IF(($D$58*100+$D$61*100)=0,1,$D$58*100+$D$61*100)</f>
        <v>41695.35030181982</v>
      </c>
      <c r="J16" s="32">
        <f>MIN(MAX(J13-($D$57*100),0),$D$58*100+$D$61*100)*($D$61*100)/IF(($D$58*100+$D$61*100)=0,1,$D$58*100+$D$61*100)</f>
        <v>46069</v>
      </c>
      <c r="K16" s="32">
        <f>MIN(MAX(K13-($D$57*100),0),$D$58*100+$D$61*100)*($D$61*100)/IF(($D$58*100+$D$61*100)=0,1,$D$58*100+$D$61*100)</f>
        <v>46069</v>
      </c>
      <c r="L16" s="32">
        <f>MIN(MAX(L13-($D$57*100),0),$D$58*100+$D$61*100)*($D$61*100)/IF(($D$58*100+$D$61*100)=0,1,$D$58*100+$D$61*100)</f>
        <v>46069</v>
      </c>
      <c r="M16" s="32">
        <f>MIN(MAX(M13-($D$57*100),0),$D$58*100+$D$61*100)*($D$61*100)/IF(($D$58*100+$D$61*100)=0,1,$D$58*100+$D$61*100)</f>
        <v>46069</v>
      </c>
      <c r="N16" s="32">
        <f>MIN(MAX(N13-($D$57*100),0),$D$58*100+$D$61*100)*($D$61*100)/IF(($D$58*100+$D$61*100)=0,1,$D$58*100+$D$61*100)</f>
        <v>46069</v>
      </c>
      <c r="O16" s="32">
        <f>MIN(MAX(O13-($D$57*100),0),$D$58*100+$D$61*100)*($D$61*100)/IF(($D$58*100+$D$61*100)=0,1,$D$58*100+$D$61*100)</f>
        <v>46069</v>
      </c>
      <c r="P16" s="32">
        <f>MIN(MAX(P13-($D$57*100),0),$D$58*100+$D$61*100)*($D$61*100)/IF(($D$58*100+$D$61*100)=0,1,$D$58*100+$D$61*100)</f>
        <v>46069</v>
      </c>
      <c r="Q16" s="32">
        <f>MIN(MAX(Q13-($D$57*100),0),$D$58*100+$D$61*100)*($D$61*100)/IF(($D$58*100+$D$61*100)=0,1,$D$58*100+$D$61*100)</f>
        <v>46069</v>
      </c>
      <c r="R16" s="32">
        <f>MIN(MAX(R13-($D$57*100),0),$D$58*100+$D$61*100)*($D$61*100)/IF(($D$58*100+$D$61*100)=0,1,$D$58*100+$D$61*100)</f>
        <v>46069</v>
      </c>
      <c r="S16" s="32">
        <f>MIN(MAX(S13-($D$57*100),0),$D$58*100+$D$61*100)*($D$61*100)/IF(($D$58*100+$D$61*100)=0,1,$D$58*100+$D$61*100)</f>
        <v>46069</v>
      </c>
      <c r="T16" s="32">
        <f>MIN(MAX(T13-($D$57*100),0),$D$58*100+$D$61*100)*($D$61*100)/IF(($D$58*100+$D$61*100)=0,1,$D$58*100+$D$61*100)</f>
        <v>46069</v>
      </c>
      <c r="U16" s="32">
        <f>MIN(MAX(U13-($D$57*100),0),$D$58*100+$D$61*100)*($D$61*100)/IF(($D$58*100+$D$61*100)=0,1,$D$58*100+$D$61*100)</f>
        <v>46069</v>
      </c>
      <c r="V16" s="32">
        <f>MIN(MAX(V13-($D$57*100),0),$D$58*100+$D$61*100)*($D$61*100)/IF(($D$58*100+$D$61*100)=0,1,$D$58*100+$D$61*100)</f>
        <v>46069</v>
      </c>
      <c r="W16" s="32">
        <f>MIN(MAX(W13-($D$57*100),0),$D$58*100+$D$61*100)*($D$61*100)/IF(($D$58*100+$D$61*100)=0,1,$D$58*100+$D$61*100)</f>
        <v>46069</v>
      </c>
      <c r="X16" s="32">
        <f>MIN(MAX(X13-($D$57*100),0),$D$58*100+$D$61*100)*($D$61*100)/IF(($D$58*100+$D$61*100)=0,1,$D$58*100+$D$61*100)</f>
        <v>46069</v>
      </c>
      <c r="Y16" s="32">
        <f>MIN(MAX(Y13-($D$57*100),0),$D$58*100+$D$61*100)*($D$61*100)/IF(($D$58*100+$D$61*100)=0,1,$D$58*100+$D$61*100)</f>
        <v>46069</v>
      </c>
      <c r="Z16" s="32">
        <f>MIN(MAX(Z13-($D$57*100),0),$D$58*100+$D$61*100)*($D$61*100)/IF(($D$58*100+$D$61*100)=0,1,$D$58*100+$D$61*100)</f>
        <v>46069</v>
      </c>
      <c r="AA16" s="32">
        <f>MIN(MAX(AA13-($D$57*100),0),$D$58*100+$D$61*100)*($D$61*100)/IF(($D$58*100+$D$61*100)=0,1,$D$58*100+$D$61*100)</f>
        <v>46069</v>
      </c>
      <c r="AB16" s="32">
        <f>MIN(MAX(AB13-($D$57*100),0),$D$58*100+$D$61*100)*($D$61*100)/IF(($D$58*100+$D$61*100)=0,1,$D$58*100+$D$61*100)</f>
        <v>46069</v>
      </c>
      <c r="AC16" s="32">
        <f>MIN(MAX(AC13-($D$57*100),0),$D$58*100+$D$61*100)*($D$61*100)/IF(($D$58*100+$D$61*100)=0,1,$D$58*100+$D$61*100)</f>
        <v>46069</v>
      </c>
      <c r="AD16" s="32">
        <f>MIN(MAX(AD13-($D$57*100),0),$D$58*100+$D$61*100)*($D$61*100)/IF(($D$58*100+$D$61*100)=0,1,$D$58*100+$D$61*100)</f>
        <v>46069</v>
      </c>
      <c r="AE16" s="32">
        <f>MIN(MAX(AE13-($D$57*100),0),$D$58*100+$D$61*100)*($D$61*100)/IF(($D$58*100+$D$61*100)=0,1,$D$58*100+$D$61*100)</f>
        <v>46069</v>
      </c>
      <c r="AF16" s="32">
        <f>MIN(MAX(AF13-($D$57*100),0),$D$58*100+$D$61*100)*($D$61*100)/IF(($D$58*100+$D$61*100)=0,1,$D$58*100+$D$61*100)</f>
        <v>46069</v>
      </c>
      <c r="AG16" s="32">
        <f>MIN(MAX(AG13-($D$57*100),0),$D$58*100+$D$61*100)*($D$61*100)/IF(($D$58*100+$D$61*100)=0,1,$D$58*100+$D$61*100)</f>
        <v>46069</v>
      </c>
      <c r="AH16" s="32">
        <f>MIN(MAX(AH13-($D$57*100),0),$D$58*100+$D$61*100)*($D$61*100)/IF(($D$58*100+$D$61*100)=0,1,$D$58*100+$D$61*100)</f>
        <v>46069</v>
      </c>
      <c r="AI16" s="32">
        <f>MIN(MAX(AI13-($D$57*100),0),$D$58*100+$D$61*100)*($D$61*100)/IF(($D$58*100+$D$61*100)=0,1,$D$58*100+$D$61*100)</f>
        <v>46069</v>
      </c>
      <c r="AJ16" s="32">
        <f>MIN(MAX(AJ13-($D$57*100),0),$D$58*100+$D$61*100)*($D$61*100)/IF(($D$58*100+$D$61*100)=0,1,$D$58*100+$D$61*100)</f>
        <v>46069</v>
      </c>
      <c r="AK16" s="32">
        <f>MIN(MAX(AK13-($D$57*100),0),$D$58*100+$D$61*100)*($D$61*100)/IF(($D$58*100+$D$61*100)=0,1,$D$58*100+$D$61*100)</f>
        <v>46069</v>
      </c>
      <c r="AL16" s="32">
        <f>MIN(MAX(AL13-($D$57*100),0),$D$58*100+$D$61*100)*($D$61*100)/IF(($D$58*100+$D$61*100)=0,1,$D$58*100+$D$61*100)</f>
        <v>46069</v>
      </c>
      <c r="AM16" s="32">
        <f>MIN(MAX(AM13-($D$57*100),0),$D$58*100+$D$61*100)*($D$61*100)/IF(($D$58*100+$D$61*100)=0,1,$D$58*100+$D$61*100)</f>
        <v>46069</v>
      </c>
      <c r="AN16" s="32">
        <f>MIN(MAX(AN13-($D$57*100),0),$D$58*100+$D$61*100)*($D$61*100)/IF(($D$58*100+$D$61*100)=0,1,$D$58*100+$D$61*100)</f>
        <v>46069</v>
      </c>
      <c r="AO16" s="32">
        <f>MIN(MAX(AO13-($D$57*100),0),$D$58*100+$D$61*100)*($D$61*100)/IF(($D$58*100+$D$61*100)=0,1,$D$58*100+$D$61*100)</f>
        <v>46069</v>
      </c>
      <c r="AP16" s="32">
        <f>MIN(MAX(AP13-($D$57*100),0),$D$58*100+$D$61*100)*($D$61*100)/IF(($D$58*100+$D$61*100)=0,1,$D$58*100+$D$61*100)</f>
        <v>46069</v>
      </c>
      <c r="AQ16" s="32">
        <f>MIN(MAX(AQ13-($D$57*100),0),$D$58*100+$D$61*100)*($D$61*100)/IF(($D$58*100+$D$61*100)=0,1,$D$58*100+$D$61*100)</f>
        <v>46069</v>
      </c>
      <c r="AR16" s="32">
        <f>MIN(MAX(AR13-($D$57*100),0),$D$58*100+$D$61*100)*($D$61*100)/IF(($D$58*100+$D$61*100)=0,1,$D$58*100+$D$61*100)</f>
        <v>46069</v>
      </c>
      <c r="AS16" s="32">
        <f>MIN(MAX(AS13-($D$57*100),0),$D$58*100+$D$61*100)*($D$61*100)/IF(($D$58*100+$D$61*100)=0,1,$D$58*100+$D$61*100)</f>
        <v>46069</v>
      </c>
      <c r="AT16" s="32">
        <f>MIN(MAX(AT13-($D$57*100),0),$D$58*100+$D$61*100)*($D$61*100)/IF(($D$58*100+$D$61*100)=0,1,$D$58*100+$D$61*100)</f>
        <v>46069</v>
      </c>
      <c r="AU16" s="32">
        <f>MIN(MAX(AU13-($D$57*100),0),$D$58*100+$D$61*100)*($D$61*100)/IF(($D$58*100+$D$61*100)=0,1,$D$58*100+$D$61*100)</f>
        <v>46069</v>
      </c>
      <c r="AV16" s="32">
        <f>MIN(MAX(AV13-($D$57*100),0),$D$58*100+$D$61*100)*($D$61*100)/IF(($D$58*100+$D$61*100)=0,1,$D$58*100+$D$61*100)</f>
        <v>46069</v>
      </c>
      <c r="AW16" s="32">
        <f>MIN(MAX(AW13-($D$57*100),0),$D$58*100+$D$61*100)*($D$61*100)/IF(($D$58*100+$D$61*100)=0,1,$D$58*100+$D$61*100)</f>
        <v>46069</v>
      </c>
      <c r="AX16" s="32">
        <f>MIN(MAX(AX13-($D$57*100),0),$D$58*100+$D$61*100)*($D$61*100)/IF(($D$58*100+$D$61*100)=0,1,$D$58*100+$D$61*100)</f>
        <v>46069</v>
      </c>
      <c r="AY16" s="32">
        <f>MIN(MAX(AY13-($D$57*100),0),$D$58*100+$D$61*100)*($D$61*100)/IF(($D$58*100+$D$61*100)=0,1,$D$58*100+$D$61*100)</f>
        <v>46069</v>
      </c>
      <c r="AZ16" s="32">
        <f>MIN(MAX(AZ13-($D$57*100),0),$D$58*100+$D$61*100)*($D$61*100)/IF(($D$58*100+$D$61*100)=0,1,$D$58*100+$D$61*100)</f>
        <v>46069</v>
      </c>
      <c r="BA16" s="32">
        <f>MIN(MAX(BA13-($D$57*100),0),$D$58*100+$D$61*100)*($D$61*100)/IF(($D$58*100+$D$61*100)=0,1,$D$58*100+$D$61*100)</f>
        <v>46069</v>
      </c>
      <c r="BB16" s="32">
        <f>MIN(MAX(BB13-($D$57*100),0),$D$58*100+$D$61*100)*($D$61*100)/IF(($D$58*100+$D$61*100)=0,1,$D$58*100+$D$61*100)</f>
        <v>46069</v>
      </c>
      <c r="BC16" s="32">
        <f>MIN(MAX(BC13-($D$57*100),0),$D$58*100+$D$61*100)*($D$61*100)/IF(($D$58*100+$D$61*100)=0,1,$D$58*100+$D$61*100)</f>
        <v>46069</v>
      </c>
      <c r="BD16" s="32">
        <f>MIN(MAX(BD13-($D$57*100),0),$D$58*100+$D$61*100)*($D$61*100)/IF(($D$58*100+$D$61*100)=0,1,$D$58*100+$D$61*100)</f>
        <v>46069</v>
      </c>
      <c r="BE16" s="32">
        <f>MIN(MAX(BE13-($D$57*100),0),$D$58*100+$D$61*100)*($D$61*100)/IF(($D$58*100+$D$61*100)=0,1,$D$58*100+$D$61*100)</f>
        <v>46069</v>
      </c>
      <c r="BF16" s="32">
        <f>MIN(MAX(BF13-($D$57*100),0),$D$58*100+$D$61*100)*($D$61*100)/IF(($D$58*100+$D$61*100)=0,1,$D$58*100+$D$61*100)</f>
        <v>46069</v>
      </c>
      <c r="BG16" s="32">
        <f>MIN(MAX(BG13-($D$57*100),0),$D$58*100+$D$61*100)*($D$61*100)/IF(($D$58*100+$D$61*100)=0,1,$D$58*100+$D$61*100)</f>
        <v>46069</v>
      </c>
      <c r="BH16" s="32">
        <f>MIN(MAX(BH13-($D$57*100),0),$D$58*100+$D$61*100)*($D$61*100)/IF(($D$58*100+$D$61*100)=0,1,$D$58*100+$D$61*100)</f>
        <v>46069</v>
      </c>
      <c r="BI16" s="32">
        <f>MIN(MAX(BI13-($D$57*100),0),$D$58*100+$D$61*100)*($D$61*100)/IF(($D$58*100+$D$61*100)=0,1,$D$58*100+$D$61*100)</f>
        <v>46069</v>
      </c>
      <c r="BJ16" s="32">
        <f>MIN(MAX(BJ13-($D$57*100),0),$D$58*100+$D$61*100)*($D$61*100)/IF(($D$58*100+$D$61*100)=0,1,$D$58*100+$D$61*100)</f>
        <v>46069</v>
      </c>
      <c r="BK16" s="32">
        <f>MIN(MAX(BK13-($D$57*100),0),$D$58*100+$D$61*100)*($D$61*100)/IF(($D$58*100+$D$61*100)=0,1,$D$58*100+$D$61*100)</f>
        <v>46069</v>
      </c>
      <c r="BL16" s="32">
        <f>MIN(MAX(BL13-($D$57*100),0),$D$58*100+$D$61*100)*($D$61*100)/IF(($D$58*100+$D$61*100)=0,1,$D$58*100+$D$61*100)</f>
        <v>46069</v>
      </c>
      <c r="BM16" s="32">
        <f>MIN(MAX(BM13-($D$57*100),0),$D$58*100+$D$61*100)*($D$61*100)/IF(($D$58*100+$D$61*100)=0,1,$D$58*100+$D$61*100)</f>
        <v>46069</v>
      </c>
      <c r="BN16" s="32">
        <f>MIN(MAX(BN13-($D$57*100),0),$D$58*100+$D$61*100)*($D$61*100)/IF(($D$58*100+$D$61*100)=0,1,$D$58*100+$D$61*100)</f>
        <v>46069</v>
      </c>
      <c r="BO16" s="32">
        <f>MIN(MAX(BO13-($D$57*100),0),$D$58*100+$D$61*100)*($D$61*100)/IF(($D$58*100+$D$61*100)=0,1,$D$58*100+$D$61*100)</f>
        <v>46069</v>
      </c>
      <c r="BP16" s="32">
        <f>MIN(MAX(BP13-($D$57*100),0),$D$58*100+$D$61*100)*($D$61*100)/IF(($D$58*100+$D$61*100)=0,1,$D$58*100+$D$61*100)</f>
        <v>46069</v>
      </c>
      <c r="BQ16" s="32">
        <f>MIN(MAX(BQ13-($D$57*100),0),$D$58*100+$D$61*100)*($D$61*100)/IF(($D$58*100+$D$61*100)=0,1,$D$58*100+$D$61*100)</f>
        <v>46069</v>
      </c>
      <c r="BR16" s="32">
        <f>MIN(MAX(BR13-($D$57*100),0),$D$58*100+$D$61*100)*($D$61*100)/IF(($D$58*100+$D$61*100)=0,1,$D$58*100+$D$61*100)</f>
        <v>46069</v>
      </c>
      <c r="BS16" s="32">
        <f>MIN(MAX(BS13-($D$57*100),0),$D$58*100+$D$61*100)*($D$61*100)/IF(($D$58*100+$D$61*100)=0,1,$D$58*100+$D$61*100)</f>
        <v>46069</v>
      </c>
      <c r="BT16" s="32">
        <f>MIN(MAX(BT13-($D$57*100),0),$D$58*100+$D$61*100)*($D$61*100)/IF(($D$58*100+$D$61*100)=0,1,$D$58*100+$D$61*100)</f>
        <v>46069</v>
      </c>
      <c r="BU16" s="32">
        <f>MIN(MAX(BU13-($D$57*100),0),$D$58*100+$D$61*100)*($D$61*100)/IF(($D$58*100+$D$61*100)=0,1,$D$58*100+$D$61*100)</f>
        <v>46069</v>
      </c>
      <c r="BV16" s="32">
        <f>MIN(MAX(BV13-($D$57*100),0),$D$58*100+$D$61*100)*($D$61*100)/IF(($D$58*100+$D$61*100)=0,1,$D$58*100+$D$61*100)</f>
        <v>46069</v>
      </c>
      <c r="BW16" s="32">
        <f>MIN(MAX(BW13-($D$57*100),0),$D$58*100+$D$61*100)*($D$61*100)/IF(($D$58*100+$D$61*100)=0,1,$D$58*100+$D$61*100)</f>
        <v>46069</v>
      </c>
      <c r="BX16" s="32">
        <f>MIN(MAX(BX13-($D$57*100),0),$D$58*100+$D$61*100)*($D$61*100)/IF(($D$58*100+$D$61*100)=0,1,$D$58*100+$D$61*100)</f>
        <v>46069</v>
      </c>
      <c r="BY16" s="32">
        <f>MIN(MAX(BY13-($D$57*100),0),$D$58*100+$D$61*100)*($D$61*100)/IF(($D$58*100+$D$61*100)=0,1,$D$58*100+$D$61*100)</f>
        <v>46069</v>
      </c>
      <c r="BZ16" s="32">
        <f>MIN(MAX(BZ13-($D$57*100),0),$D$58*100+$D$61*100)*($D$61*100)/IF(($D$58*100+$D$61*100)=0,1,$D$58*100+$D$61*100)</f>
        <v>46069</v>
      </c>
      <c r="CA16" s="32">
        <f>MIN(MAX(CA13-($D$57*100),0),$D$58*100+$D$61*100)*($D$61*100)/IF(($D$58*100+$D$61*100)=0,1,$D$58*100+$D$61*100)</f>
        <v>46069</v>
      </c>
      <c r="CB16" s="32">
        <f>MIN(MAX(CB13-($D$57*100),0),$D$58*100+$D$61*100)*($D$61*100)/IF(($D$58*100+$D$61*100)=0,1,$D$58*100+$D$61*100)</f>
        <v>46069</v>
      </c>
      <c r="CC16" s="32">
        <f>MIN(MAX(CC13-($D$57*100),0),$D$58*100+$D$61*100)*($D$61*100)/IF(($D$58*100+$D$61*100)=0,1,$D$58*100+$D$61*100)</f>
        <v>46069</v>
      </c>
      <c r="CD16" s="32">
        <f>MIN(MAX(CD13-($D$57*100),0),$D$58*100+$D$61*100)*($D$61*100)/IF(($D$58*100+$D$61*100)=0,1,$D$58*100+$D$61*100)</f>
        <v>46069</v>
      </c>
      <c r="CE16" s="32">
        <f>MIN(MAX(CE13-($D$57*100),0),$D$58*100+$D$61*100)*($D$61*100)/IF(($D$58*100+$D$61*100)=0,1,$D$58*100+$D$61*100)</f>
        <v>46069</v>
      </c>
      <c r="CF16" s="32">
        <f>MIN(MAX(CF13-($D$57*100),0),$D$58*100+$D$61*100)*($D$61*100)/IF(($D$58*100+$D$61*100)=0,1,$D$58*100+$D$61*100)</f>
        <v>46069</v>
      </c>
      <c r="CG16" s="32">
        <f>MIN(MAX(CG13-($D$57*100),0),$D$58*100+$D$61*100)*($D$61*100)/IF(($D$58*100+$D$61*100)=0,1,$D$58*100+$D$61*100)</f>
        <v>46069</v>
      </c>
      <c r="CH16" s="32">
        <f>MIN(MAX(CH13-($D$57*100),0),$D$58*100+$D$61*100)*($D$61*100)/IF(($D$58*100+$D$61*100)=0,1,$D$58*100+$D$61*100)</f>
        <v>46069</v>
      </c>
      <c r="CI16" s="32">
        <f>MIN(MAX(CI13-($D$57*100),0),$D$58*100+$D$61*100)*($D$61*100)/IF(($D$58*100+$D$61*100)=0,1,$D$58*100+$D$61*100)</f>
        <v>46069</v>
      </c>
      <c r="CJ16" s="32">
        <f>MIN(MAX(CJ13-($D$57*100),0),$D$58*100+$D$61*100)*($D$61*100)/IF(($D$58*100+$D$61*100)=0,1,$D$58*100+$D$61*100)</f>
        <v>46069</v>
      </c>
      <c r="CK16" s="32">
        <f>MIN(MAX(CK13-($D$57*100),0),$D$58*100+$D$61*100)*($D$61*100)/IF(($D$58*100+$D$61*100)=0,1,$D$58*100+$D$61*100)</f>
        <v>46069</v>
      </c>
      <c r="CL16" s="32">
        <f>MIN(MAX(CL13-($D$57*100),0),$D$58*100+$D$61*100)*($D$61*100)/IF(($D$58*100+$D$61*100)=0,1,$D$58*100+$D$61*100)</f>
        <v>46069</v>
      </c>
    </row>
    <row r="19" spans="2:91" x14ac:dyDescent="0.25">
      <c r="B19" s="9" t="s">
        <v>237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</row>
    <row r="21" spans="2:90" x14ac:dyDescent="0.25">
      <c r="B21" s="28" t="s">
        <v>96</v>
      </c>
      <c r="C21" s="28" t="s">
        <v>97</v>
      </c>
      <c r="D21" s="28" t="s">
        <v>98</v>
      </c>
      <c r="E21" s="33" t="s">
        <v>99</v>
      </c>
      <c r="F21" s="33" t="s">
        <v>100</v>
      </c>
      <c r="G21" s="33" t="s">
        <v>101</v>
      </c>
      <c r="H21" s="33" t="s">
        <v>102</v>
      </c>
      <c r="I21" s="33" t="s">
        <v>103</v>
      </c>
      <c r="J21" s="33" t="s">
        <v>104</v>
      </c>
      <c r="K21" s="33" t="s">
        <v>105</v>
      </c>
      <c r="L21" s="33" t="s">
        <v>106</v>
      </c>
      <c r="M21" s="33" t="s">
        <v>107</v>
      </c>
      <c r="N21" s="33" t="s">
        <v>108</v>
      </c>
      <c r="O21" s="33" t="s">
        <v>109</v>
      </c>
      <c r="P21" s="33" t="s">
        <v>110</v>
      </c>
      <c r="Q21" s="33" t="s">
        <v>111</v>
      </c>
      <c r="R21" s="33" t="s">
        <v>112</v>
      </c>
      <c r="S21" s="33" t="s">
        <v>113</v>
      </c>
      <c r="T21" s="33" t="s">
        <v>114</v>
      </c>
      <c r="U21" s="33" t="s">
        <v>115</v>
      </c>
      <c r="V21" s="33" t="s">
        <v>116</v>
      </c>
      <c r="W21" s="33" t="s">
        <v>117</v>
      </c>
      <c r="X21" s="33" t="s">
        <v>118</v>
      </c>
      <c r="Y21" s="33" t="s">
        <v>119</v>
      </c>
      <c r="Z21" s="33" t="s">
        <v>120</v>
      </c>
      <c r="AA21" s="33" t="s">
        <v>121</v>
      </c>
      <c r="AB21" s="33" t="s">
        <v>122</v>
      </c>
      <c r="AC21" s="33" t="s">
        <v>123</v>
      </c>
      <c r="AD21" s="33" t="s">
        <v>124</v>
      </c>
      <c r="AE21" s="33" t="s">
        <v>125</v>
      </c>
      <c r="AF21" s="33" t="s">
        <v>126</v>
      </c>
      <c r="AG21" s="33" t="s">
        <v>127</v>
      </c>
      <c r="AH21" s="33" t="s">
        <v>128</v>
      </c>
      <c r="AI21" s="33" t="s">
        <v>129</v>
      </c>
      <c r="AJ21" s="33" t="s">
        <v>130</v>
      </c>
      <c r="AK21" s="33" t="s">
        <v>131</v>
      </c>
      <c r="AL21" s="33" t="s">
        <v>132</v>
      </c>
      <c r="AM21" s="33" t="s">
        <v>133</v>
      </c>
      <c r="AN21" s="33" t="s">
        <v>134</v>
      </c>
      <c r="AO21" s="33" t="s">
        <v>135</v>
      </c>
      <c r="AP21" s="33" t="s">
        <v>136</v>
      </c>
      <c r="AQ21" s="33" t="s">
        <v>137</v>
      </c>
      <c r="AR21" s="33" t="s">
        <v>138</v>
      </c>
      <c r="AS21" s="33" t="s">
        <v>139</v>
      </c>
      <c r="AT21" s="33" t="s">
        <v>140</v>
      </c>
      <c r="AU21" s="33" t="s">
        <v>141</v>
      </c>
      <c r="AV21" s="33" t="s">
        <v>142</v>
      </c>
      <c r="AW21" s="33" t="s">
        <v>143</v>
      </c>
      <c r="AX21" s="33" t="s">
        <v>144</v>
      </c>
      <c r="AY21" s="33" t="s">
        <v>145</v>
      </c>
      <c r="AZ21" s="33" t="s">
        <v>146</v>
      </c>
      <c r="BA21" s="33" t="s">
        <v>147</v>
      </c>
      <c r="BB21" s="33" t="s">
        <v>148</v>
      </c>
      <c r="BC21" s="33" t="s">
        <v>149</v>
      </c>
      <c r="BD21" s="33" t="s">
        <v>150</v>
      </c>
      <c r="BE21" s="33" t="s">
        <v>151</v>
      </c>
      <c r="BF21" s="33" t="s">
        <v>152</v>
      </c>
      <c r="BG21" s="33" t="s">
        <v>153</v>
      </c>
      <c r="BH21" s="33" t="s">
        <v>154</v>
      </c>
      <c r="BI21" s="33" t="s">
        <v>155</v>
      </c>
      <c r="BJ21" s="33" t="s">
        <v>156</v>
      </c>
      <c r="BK21" s="33" t="s">
        <v>157</v>
      </c>
      <c r="BL21" s="33" t="s">
        <v>158</v>
      </c>
      <c r="BM21" s="33" t="s">
        <v>159</v>
      </c>
      <c r="BN21" s="33" t="s">
        <v>160</v>
      </c>
      <c r="BO21" s="33" t="s">
        <v>161</v>
      </c>
      <c r="BP21" s="33" t="s">
        <v>162</v>
      </c>
      <c r="BQ21" s="33" t="s">
        <v>163</v>
      </c>
      <c r="BR21" s="33" t="s">
        <v>164</v>
      </c>
      <c r="BS21" s="33" t="s">
        <v>165</v>
      </c>
      <c r="BT21" s="33" t="s">
        <v>166</v>
      </c>
      <c r="BU21" s="33" t="s">
        <v>167</v>
      </c>
      <c r="BV21" s="33" t="s">
        <v>168</v>
      </c>
      <c r="BW21" s="33" t="s">
        <v>169</v>
      </c>
      <c r="BX21" s="33" t="s">
        <v>170</v>
      </c>
      <c r="BY21" s="33" t="s">
        <v>171</v>
      </c>
      <c r="BZ21" s="33" t="s">
        <v>172</v>
      </c>
      <c r="CA21" s="33" t="s">
        <v>173</v>
      </c>
      <c r="CB21" s="33" t="s">
        <v>174</v>
      </c>
      <c r="CC21" s="33" t="s">
        <v>175</v>
      </c>
      <c r="CD21" s="33" t="s">
        <v>176</v>
      </c>
      <c r="CE21" s="33" t="s">
        <v>177</v>
      </c>
      <c r="CF21" s="33" t="s">
        <v>178</v>
      </c>
      <c r="CG21" s="33" t="s">
        <v>179</v>
      </c>
      <c r="CH21" s="33" t="s">
        <v>180</v>
      </c>
      <c r="CI21" s="33" t="s">
        <v>181</v>
      </c>
      <c r="CJ21" s="33" t="s">
        <v>182</v>
      </c>
      <c r="CK21" s="33" t="s">
        <v>183</v>
      </c>
      <c r="CL21" s="33" t="s">
        <v>184</v>
      </c>
    </row>
    <row r="23" spans="2:91" x14ac:dyDescent="0.25">
      <c r="B23" s="48" t="s">
        <v>92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</row>
    <row r="24" spans="2:90" x14ac:dyDescent="0.25">
      <c r="B24" s="34" t="s">
        <v>238</v>
      </c>
      <c r="C24" s="35" t="s">
        <v>228</v>
      </c>
      <c r="E24" s="32">
        <v>0</v>
      </c>
      <c r="F24" s="32">
        <f>E29</f>
        <v>0</v>
      </c>
      <c r="G24" s="32">
        <f>F29</f>
        <v>12861.052280893806</v>
      </c>
      <c r="H24" s="32">
        <f>G29</f>
        <v>30943.651461069887</v>
      </c>
      <c r="I24" s="32">
        <f>H29</f>
        <v>53753.684910806536</v>
      </c>
      <c r="J24" s="32">
        <f>I29</f>
        <v>72405.0451311204</v>
      </c>
      <c r="K24" s="32">
        <f>J29</f>
        <v>80000</v>
      </c>
      <c r="L24" s="32">
        <f>K29</f>
        <v>80000</v>
      </c>
      <c r="M24" s="32">
        <f>L29</f>
        <v>80000</v>
      </c>
      <c r="N24" s="32">
        <f>M29</f>
        <v>80000</v>
      </c>
      <c r="O24" s="32">
        <f>N29</f>
        <v>80000</v>
      </c>
      <c r="P24" s="32">
        <f>O29</f>
        <v>78750</v>
      </c>
      <c r="Q24" s="32">
        <f>P29</f>
        <v>77500</v>
      </c>
      <c r="R24" s="32">
        <f>Q29</f>
        <v>76250</v>
      </c>
      <c r="S24" s="32">
        <f>R29</f>
        <v>75000</v>
      </c>
      <c r="T24" s="32">
        <f>S29</f>
        <v>73750</v>
      </c>
      <c r="U24" s="32">
        <f>T29</f>
        <v>72500</v>
      </c>
      <c r="V24" s="32">
        <f>U29</f>
        <v>71250</v>
      </c>
      <c r="W24" s="32">
        <f>V29</f>
        <v>70000</v>
      </c>
      <c r="X24" s="32">
        <f>W29</f>
        <v>68750</v>
      </c>
      <c r="Y24" s="32">
        <f>X29</f>
        <v>67500</v>
      </c>
      <c r="Z24" s="32">
        <f>Y29</f>
        <v>66250</v>
      </c>
      <c r="AA24" s="32">
        <f>Z29</f>
        <v>65000</v>
      </c>
      <c r="AB24" s="32">
        <f>AA29</f>
        <v>63750</v>
      </c>
      <c r="AC24" s="32">
        <f>AB29</f>
        <v>62500</v>
      </c>
      <c r="AD24" s="32">
        <f>AC29</f>
        <v>61250</v>
      </c>
      <c r="AE24" s="32">
        <f>AD29</f>
        <v>60000</v>
      </c>
      <c r="AF24" s="32">
        <f>AE29</f>
        <v>58750</v>
      </c>
      <c r="AG24" s="32">
        <f>AF29</f>
        <v>57500</v>
      </c>
      <c r="AH24" s="32">
        <f>AG29</f>
        <v>56250</v>
      </c>
      <c r="AI24" s="32">
        <f>AH29</f>
        <v>55000</v>
      </c>
      <c r="AJ24" s="32">
        <f>AI29</f>
        <v>53750</v>
      </c>
      <c r="AK24" s="32">
        <f>AJ29</f>
        <v>52500</v>
      </c>
      <c r="AL24" s="32">
        <f>AK29</f>
        <v>51250</v>
      </c>
      <c r="AM24" s="32">
        <f>AL29</f>
        <v>50000</v>
      </c>
      <c r="AN24" s="32">
        <f>AM29</f>
        <v>48750</v>
      </c>
      <c r="AO24" s="32">
        <f>AN29</f>
        <v>47500</v>
      </c>
      <c r="AP24" s="32">
        <f>AO29</f>
        <v>46250</v>
      </c>
      <c r="AQ24" s="32">
        <f>AP29</f>
        <v>45000</v>
      </c>
      <c r="AR24" s="32">
        <f>AQ29</f>
        <v>43750</v>
      </c>
      <c r="AS24" s="32">
        <f>AR29</f>
        <v>42500</v>
      </c>
      <c r="AT24" s="32">
        <f>AS29</f>
        <v>41250</v>
      </c>
      <c r="AU24" s="32">
        <f>AT29</f>
        <v>40000</v>
      </c>
      <c r="AV24" s="32">
        <f>AU29</f>
        <v>38750</v>
      </c>
      <c r="AW24" s="32">
        <f>AV29</f>
        <v>37500</v>
      </c>
      <c r="AX24" s="32">
        <f>AW29</f>
        <v>36250</v>
      </c>
      <c r="AY24" s="32">
        <f>AX29</f>
        <v>35000</v>
      </c>
      <c r="AZ24" s="32">
        <f>AY29</f>
        <v>33750</v>
      </c>
      <c r="BA24" s="32">
        <f>AZ29</f>
        <v>32500</v>
      </c>
      <c r="BB24" s="32">
        <f>BA29</f>
        <v>31250</v>
      </c>
      <c r="BC24" s="32">
        <f>BB29</f>
        <v>30000</v>
      </c>
      <c r="BD24" s="32">
        <f>BC29</f>
        <v>28750</v>
      </c>
      <c r="BE24" s="32">
        <f>BD29</f>
        <v>27500</v>
      </c>
      <c r="BF24" s="32">
        <f>BE29</f>
        <v>26250</v>
      </c>
      <c r="BG24" s="32">
        <f>BF29</f>
        <v>25000</v>
      </c>
      <c r="BH24" s="32">
        <f>BG29</f>
        <v>23750</v>
      </c>
      <c r="BI24" s="32">
        <f>BH29</f>
        <v>22500</v>
      </c>
      <c r="BJ24" s="32">
        <f>BI29</f>
        <v>21250</v>
      </c>
      <c r="BK24" s="32">
        <f>BJ29</f>
        <v>20000</v>
      </c>
      <c r="BL24" s="32">
        <f>BK29</f>
        <v>18750</v>
      </c>
      <c r="BM24" s="32">
        <f>BL29</f>
        <v>17500</v>
      </c>
      <c r="BN24" s="32">
        <f>BM29</f>
        <v>16250</v>
      </c>
      <c r="BO24" s="32">
        <f>BN29</f>
        <v>15000</v>
      </c>
      <c r="BP24" s="32">
        <f>BO29</f>
        <v>13750</v>
      </c>
      <c r="BQ24" s="32">
        <f>BP29</f>
        <v>12500</v>
      </c>
      <c r="BR24" s="32">
        <f>BQ29</f>
        <v>11250</v>
      </c>
      <c r="BS24" s="32">
        <f>BR29</f>
        <v>10000</v>
      </c>
      <c r="BT24" s="32">
        <f>BS29</f>
        <v>8750</v>
      </c>
      <c r="BU24" s="32">
        <f>BT29</f>
        <v>7500</v>
      </c>
      <c r="BV24" s="32">
        <f>BU29</f>
        <v>6250</v>
      </c>
      <c r="BW24" s="32">
        <f>BV29</f>
        <v>5000</v>
      </c>
      <c r="BX24" s="32">
        <f>BW29</f>
        <v>3750</v>
      </c>
      <c r="BY24" s="32">
        <f>BX29</f>
        <v>2500</v>
      </c>
      <c r="BZ24" s="32">
        <f>BY29</f>
        <v>1250</v>
      </c>
      <c r="CA24" s="32">
        <f>BZ29</f>
        <v>0</v>
      </c>
      <c r="CB24" s="32">
        <f>CA29</f>
        <v>0</v>
      </c>
      <c r="CC24" s="32">
        <f>CB29</f>
        <v>0</v>
      </c>
      <c r="CD24" s="32">
        <f>CC29</f>
        <v>0</v>
      </c>
      <c r="CE24" s="32">
        <f>CD29</f>
        <v>0</v>
      </c>
      <c r="CF24" s="32">
        <f>CE29</f>
        <v>0</v>
      </c>
      <c r="CG24" s="32">
        <f>CF29</f>
        <v>0</v>
      </c>
      <c r="CH24" s="32">
        <f>CG29</f>
        <v>0</v>
      </c>
      <c r="CI24" s="32">
        <f>CH29</f>
        <v>0</v>
      </c>
      <c r="CJ24" s="32">
        <f>CI29</f>
        <v>0</v>
      </c>
      <c r="CK24" s="32">
        <f>CJ29</f>
        <v>0</v>
      </c>
      <c r="CL24" s="32">
        <f>CK29</f>
        <v>0</v>
      </c>
    </row>
    <row r="25" spans="2:90" x14ac:dyDescent="0.25">
      <c r="B25" s="34" t="s">
        <v>239</v>
      </c>
      <c r="C25" s="35" t="s">
        <v>228</v>
      </c>
      <c r="D25" s="32">
        <f>SUM(E25:CL25)</f>
        <v>80000</v>
      </c>
      <c r="E25" s="32">
        <f>E15</f>
        <v>0</v>
      </c>
      <c r="F25" s="32">
        <f>F15-E15</f>
        <v>12861.052280893806</v>
      </c>
      <c r="G25" s="32">
        <f>G15-F15</f>
        <v>18082.599180176083</v>
      </c>
      <c r="H25" s="32">
        <f>H15-G15</f>
        <v>22810.03344973665</v>
      </c>
      <c r="I25" s="32">
        <f>I15-H15</f>
        <v>18651.360220313858</v>
      </c>
      <c r="J25" s="32">
        <f>J15-I15</f>
        <v>7594.954868879606</v>
      </c>
      <c r="K25" s="32">
        <f>K15-J15</f>
        <v>0</v>
      </c>
      <c r="L25" s="32">
        <f>L15-K15</f>
        <v>0</v>
      </c>
      <c r="M25" s="32">
        <f>M15-L15</f>
        <v>0</v>
      </c>
      <c r="N25" s="32">
        <f>N15-M15</f>
        <v>0</v>
      </c>
      <c r="O25" s="32">
        <f>O15-N15</f>
        <v>0</v>
      </c>
      <c r="P25" s="32">
        <f>P15-O15</f>
        <v>0</v>
      </c>
      <c r="Q25" s="32">
        <f>Q15-P15</f>
        <v>0</v>
      </c>
      <c r="R25" s="32">
        <f>R15-Q15</f>
        <v>0</v>
      </c>
      <c r="S25" s="32">
        <f>S15-R15</f>
        <v>0</v>
      </c>
      <c r="T25" s="32">
        <f>T15-S15</f>
        <v>0</v>
      </c>
      <c r="U25" s="32">
        <f>U15-T15</f>
        <v>0</v>
      </c>
      <c r="V25" s="32">
        <f>V15-U15</f>
        <v>0</v>
      </c>
      <c r="W25" s="32">
        <f>W15-V15</f>
        <v>0</v>
      </c>
      <c r="X25" s="32">
        <f>X15-W15</f>
        <v>0</v>
      </c>
      <c r="Y25" s="32">
        <f>Y15-X15</f>
        <v>0</v>
      </c>
      <c r="Z25" s="32">
        <f>Z15-Y15</f>
        <v>0</v>
      </c>
      <c r="AA25" s="32">
        <f>AA15-Z15</f>
        <v>0</v>
      </c>
      <c r="AB25" s="32">
        <f>AB15-AA15</f>
        <v>0</v>
      </c>
      <c r="AC25" s="32">
        <f>AC15-AB15</f>
        <v>0</v>
      </c>
      <c r="AD25" s="32">
        <f>AD15-AC15</f>
        <v>0</v>
      </c>
      <c r="AE25" s="32">
        <f>AE15-AD15</f>
        <v>0</v>
      </c>
      <c r="AF25" s="32">
        <f>AF15-AE15</f>
        <v>0</v>
      </c>
      <c r="AG25" s="32">
        <f>AG15-AF15</f>
        <v>0</v>
      </c>
      <c r="AH25" s="32">
        <f>AH15-AG15</f>
        <v>0</v>
      </c>
      <c r="AI25" s="32">
        <f>AI15-AH15</f>
        <v>0</v>
      </c>
      <c r="AJ25" s="32">
        <f>AJ15-AI15</f>
        <v>0</v>
      </c>
      <c r="AK25" s="32">
        <f>AK15-AJ15</f>
        <v>0</v>
      </c>
      <c r="AL25" s="32">
        <f>AL15-AK15</f>
        <v>0</v>
      </c>
      <c r="AM25" s="32">
        <f>AM15-AL15</f>
        <v>0</v>
      </c>
      <c r="AN25" s="32">
        <f>AN15-AM15</f>
        <v>0</v>
      </c>
      <c r="AO25" s="32">
        <f>AO15-AN15</f>
        <v>0</v>
      </c>
      <c r="AP25" s="32">
        <f>AP15-AO15</f>
        <v>0</v>
      </c>
      <c r="AQ25" s="32">
        <f>AQ15-AP15</f>
        <v>0</v>
      </c>
      <c r="AR25" s="32">
        <f>AR15-AQ15</f>
        <v>0</v>
      </c>
      <c r="AS25" s="32">
        <f>AS15-AR15</f>
        <v>0</v>
      </c>
      <c r="AT25" s="32">
        <f>AT15-AS15</f>
        <v>0</v>
      </c>
      <c r="AU25" s="32">
        <f>AU15-AT15</f>
        <v>0</v>
      </c>
      <c r="AV25" s="32">
        <f>AV15-AU15</f>
        <v>0</v>
      </c>
      <c r="AW25" s="32">
        <f>AW15-AV15</f>
        <v>0</v>
      </c>
      <c r="AX25" s="32">
        <f>AX15-AW15</f>
        <v>0</v>
      </c>
      <c r="AY25" s="32">
        <f>AY15-AX15</f>
        <v>0</v>
      </c>
      <c r="AZ25" s="32">
        <f>AZ15-AY15</f>
        <v>0</v>
      </c>
      <c r="BA25" s="32">
        <f>BA15-AZ15</f>
        <v>0</v>
      </c>
      <c r="BB25" s="32">
        <f>BB15-BA15</f>
        <v>0</v>
      </c>
      <c r="BC25" s="32">
        <f>BC15-BB15</f>
        <v>0</v>
      </c>
      <c r="BD25" s="32">
        <f>BD15-BC15</f>
        <v>0</v>
      </c>
      <c r="BE25" s="32">
        <f>BE15-BD15</f>
        <v>0</v>
      </c>
      <c r="BF25" s="32">
        <f>BF15-BE15</f>
        <v>0</v>
      </c>
      <c r="BG25" s="32">
        <f>BG15-BF15</f>
        <v>0</v>
      </c>
      <c r="BH25" s="32">
        <f>BH15-BG15</f>
        <v>0</v>
      </c>
      <c r="BI25" s="32">
        <f>BI15-BH15</f>
        <v>0</v>
      </c>
      <c r="BJ25" s="32">
        <f>BJ15-BI15</f>
        <v>0</v>
      </c>
      <c r="BK25" s="32">
        <f>BK15-BJ15</f>
        <v>0</v>
      </c>
      <c r="BL25" s="32">
        <f>BL15-BK15</f>
        <v>0</v>
      </c>
      <c r="BM25" s="32">
        <f>BM15-BL15</f>
        <v>0</v>
      </c>
      <c r="BN25" s="32">
        <f>BN15-BM15</f>
        <v>0</v>
      </c>
      <c r="BO25" s="32">
        <f>BO15-BN15</f>
        <v>0</v>
      </c>
      <c r="BP25" s="32">
        <f>BP15-BO15</f>
        <v>0</v>
      </c>
      <c r="BQ25" s="32">
        <f>BQ15-BP15</f>
        <v>0</v>
      </c>
      <c r="BR25" s="32">
        <f>BR15-BQ15</f>
        <v>0</v>
      </c>
      <c r="BS25" s="32">
        <f>BS15-BR15</f>
        <v>0</v>
      </c>
      <c r="BT25" s="32">
        <f>BT15-BS15</f>
        <v>0</v>
      </c>
      <c r="BU25" s="32">
        <f>BU15-BT15</f>
        <v>0</v>
      </c>
      <c r="BV25" s="32">
        <f>BV15-BU15</f>
        <v>0</v>
      </c>
      <c r="BW25" s="32">
        <f>BW15-BV15</f>
        <v>0</v>
      </c>
      <c r="BX25" s="32">
        <f>BX15-BW15</f>
        <v>0</v>
      </c>
      <c r="BY25" s="32">
        <f>BY15-BX15</f>
        <v>0</v>
      </c>
      <c r="BZ25" s="32">
        <f>BZ15-BY15</f>
        <v>0</v>
      </c>
      <c r="CA25" s="32">
        <f>CA15-BZ15</f>
        <v>0</v>
      </c>
      <c r="CB25" s="32">
        <f>CB15-CA15</f>
        <v>0</v>
      </c>
      <c r="CC25" s="32">
        <f>CC15-CB15</f>
        <v>0</v>
      </c>
      <c r="CD25" s="32">
        <f>CD15-CC15</f>
        <v>0</v>
      </c>
      <c r="CE25" s="32">
        <f>CE15-CD15</f>
        <v>0</v>
      </c>
      <c r="CF25" s="32">
        <f>CF15-CE15</f>
        <v>0</v>
      </c>
      <c r="CG25" s="32">
        <f>CG15-CF15</f>
        <v>0</v>
      </c>
      <c r="CH25" s="32">
        <f>CH15-CG15</f>
        <v>0</v>
      </c>
      <c r="CI25" s="32">
        <f>CI15-CH15</f>
        <v>0</v>
      </c>
      <c r="CJ25" s="32">
        <f>CJ15-CI15</f>
        <v>0</v>
      </c>
      <c r="CK25" s="32">
        <f>CK15-CJ15</f>
        <v>0</v>
      </c>
      <c r="CL25" s="32">
        <f>CL15-CK15</f>
        <v>0</v>
      </c>
    </row>
    <row r="26" spans="2:90" x14ac:dyDescent="0.25">
      <c r="B26" s="34" t="s">
        <v>201</v>
      </c>
      <c r="C26" s="35" t="s">
        <v>228</v>
      </c>
      <c r="D26" s="32">
        <f>SUM(E26:CL26)</f>
        <v>2379.4880729744687</v>
      </c>
      <c r="E26" s="32">
        <f>E10</f>
        <v>0</v>
      </c>
      <c r="F26" s="32">
        <f>F10</f>
        <v>0</v>
      </c>
      <c r="G26" s="32">
        <f>G10</f>
        <v>180.05473193251325</v>
      </c>
      <c r="H26" s="32">
        <f>H10</f>
        <v>433.21112045497836</v>
      </c>
      <c r="I26" s="32">
        <f>I10</f>
        <v>752.5515887512914</v>
      </c>
      <c r="J26" s="32">
        <f>J10</f>
        <v>1013.6706318356854</v>
      </c>
      <c r="K26" s="32">
        <f>K10</f>
        <v>0</v>
      </c>
      <c r="L26" s="32">
        <f>L10</f>
        <v>0</v>
      </c>
      <c r="M26" s="32">
        <f>M10</f>
        <v>0</v>
      </c>
      <c r="N26" s="32">
        <f>N10</f>
        <v>0</v>
      </c>
      <c r="O26" s="32">
        <f>O10</f>
        <v>0</v>
      </c>
      <c r="P26" s="32">
        <f>P10</f>
        <v>0</v>
      </c>
      <c r="Q26" s="32">
        <f>Q10</f>
        <v>0</v>
      </c>
      <c r="R26" s="32">
        <f>R10</f>
        <v>0</v>
      </c>
      <c r="S26" s="32">
        <f>S10</f>
        <v>0</v>
      </c>
      <c r="T26" s="32">
        <f>T10</f>
        <v>0</v>
      </c>
      <c r="U26" s="32">
        <f>U10</f>
        <v>0</v>
      </c>
      <c r="V26" s="32">
        <f>V10</f>
        <v>0</v>
      </c>
      <c r="W26" s="32">
        <f>W10</f>
        <v>0</v>
      </c>
      <c r="X26" s="32">
        <f>X10</f>
        <v>0</v>
      </c>
      <c r="Y26" s="32">
        <f>Y10</f>
        <v>0</v>
      </c>
      <c r="Z26" s="32">
        <f>Z10</f>
        <v>0</v>
      </c>
      <c r="AA26" s="32">
        <f>AA10</f>
        <v>0</v>
      </c>
      <c r="AB26" s="32">
        <f>AB10</f>
        <v>0</v>
      </c>
      <c r="AC26" s="32">
        <f>AC10</f>
        <v>0</v>
      </c>
      <c r="AD26" s="32">
        <f>AD10</f>
        <v>0</v>
      </c>
      <c r="AE26" s="32">
        <f>AE10</f>
        <v>0</v>
      </c>
      <c r="AF26" s="32">
        <f>AF10</f>
        <v>0</v>
      </c>
      <c r="AG26" s="32">
        <f>AG10</f>
        <v>0</v>
      </c>
      <c r="AH26" s="32">
        <f>AH10</f>
        <v>0</v>
      </c>
      <c r="AI26" s="32">
        <f>AI10</f>
        <v>0</v>
      </c>
      <c r="AJ26" s="32">
        <f>AJ10</f>
        <v>0</v>
      </c>
      <c r="AK26" s="32">
        <f>AK10</f>
        <v>0</v>
      </c>
      <c r="AL26" s="32">
        <f>AL10</f>
        <v>0</v>
      </c>
      <c r="AM26" s="32">
        <f>AM10</f>
        <v>0</v>
      </c>
      <c r="AN26" s="32">
        <f>AN10</f>
        <v>0</v>
      </c>
      <c r="AO26" s="32">
        <f>AO10</f>
        <v>0</v>
      </c>
      <c r="AP26" s="32">
        <f>AP10</f>
        <v>0</v>
      </c>
      <c r="AQ26" s="32">
        <f>AQ10</f>
        <v>0</v>
      </c>
      <c r="AR26" s="32">
        <f>AR10</f>
        <v>0</v>
      </c>
      <c r="AS26" s="32">
        <f>AS10</f>
        <v>0</v>
      </c>
      <c r="AT26" s="32">
        <f>AT10</f>
        <v>0</v>
      </c>
      <c r="AU26" s="32">
        <f>AU10</f>
        <v>0</v>
      </c>
      <c r="AV26" s="32">
        <f>AV10</f>
        <v>0</v>
      </c>
      <c r="AW26" s="32">
        <f>AW10</f>
        <v>0</v>
      </c>
      <c r="AX26" s="32">
        <f>AX10</f>
        <v>0</v>
      </c>
      <c r="AY26" s="32">
        <f>AY10</f>
        <v>0</v>
      </c>
      <c r="AZ26" s="32">
        <f>AZ10</f>
        <v>0</v>
      </c>
      <c r="BA26" s="32">
        <f>BA10</f>
        <v>0</v>
      </c>
      <c r="BB26" s="32">
        <f>BB10</f>
        <v>0</v>
      </c>
      <c r="BC26" s="32">
        <f>BC10</f>
        <v>0</v>
      </c>
      <c r="BD26" s="32">
        <f>BD10</f>
        <v>0</v>
      </c>
      <c r="BE26" s="32">
        <f>BE10</f>
        <v>0</v>
      </c>
      <c r="BF26" s="32">
        <f>BF10</f>
        <v>0</v>
      </c>
      <c r="BG26" s="32">
        <f>BG10</f>
        <v>0</v>
      </c>
      <c r="BH26" s="32">
        <f>BH10</f>
        <v>0</v>
      </c>
      <c r="BI26" s="32">
        <f>BI10</f>
        <v>0</v>
      </c>
      <c r="BJ26" s="32">
        <f>BJ10</f>
        <v>0</v>
      </c>
      <c r="BK26" s="32">
        <f>BK10</f>
        <v>0</v>
      </c>
      <c r="BL26" s="32">
        <f>BL10</f>
        <v>0</v>
      </c>
      <c r="BM26" s="32">
        <f>BM10</f>
        <v>0</v>
      </c>
      <c r="BN26" s="32">
        <f>BN10</f>
        <v>0</v>
      </c>
      <c r="BO26" s="32">
        <f>BO10</f>
        <v>0</v>
      </c>
      <c r="BP26" s="32">
        <f>BP10</f>
        <v>0</v>
      </c>
      <c r="BQ26" s="32">
        <f>BQ10</f>
        <v>0</v>
      </c>
      <c r="BR26" s="32">
        <f>BR10</f>
        <v>0</v>
      </c>
      <c r="BS26" s="32">
        <f>BS10</f>
        <v>0</v>
      </c>
      <c r="BT26" s="32">
        <f>BT10</f>
        <v>0</v>
      </c>
      <c r="BU26" s="32">
        <f>BU10</f>
        <v>0</v>
      </c>
      <c r="BV26" s="32">
        <f>BV10</f>
        <v>0</v>
      </c>
      <c r="BW26" s="32">
        <f>BW10</f>
        <v>0</v>
      </c>
      <c r="BX26" s="32">
        <f>BX10</f>
        <v>0</v>
      </c>
      <c r="BY26" s="32">
        <f>BY10</f>
        <v>0</v>
      </c>
      <c r="BZ26" s="32">
        <f>BZ10</f>
        <v>0</v>
      </c>
      <c r="CA26" s="32">
        <f>CA10</f>
        <v>0</v>
      </c>
      <c r="CB26" s="32">
        <f>CB10</f>
        <v>0</v>
      </c>
      <c r="CC26" s="32">
        <f>CC10</f>
        <v>0</v>
      </c>
      <c r="CD26" s="32">
        <f>CD10</f>
        <v>0</v>
      </c>
      <c r="CE26" s="32">
        <f>CE10</f>
        <v>0</v>
      </c>
      <c r="CF26" s="32">
        <f>CF10</f>
        <v>0</v>
      </c>
      <c r="CG26" s="32">
        <f>CG10</f>
        <v>0</v>
      </c>
      <c r="CH26" s="32">
        <f>CH10</f>
        <v>0</v>
      </c>
      <c r="CI26" s="32">
        <f>CI10</f>
        <v>0</v>
      </c>
      <c r="CJ26" s="32">
        <f>CJ10</f>
        <v>0</v>
      </c>
      <c r="CK26" s="32">
        <f>CK10</f>
        <v>0</v>
      </c>
      <c r="CL26" s="32">
        <f>CL10</f>
        <v>0</v>
      </c>
    </row>
    <row r="27" spans="2:90" x14ac:dyDescent="0.25">
      <c r="B27" s="34" t="s">
        <v>240</v>
      </c>
      <c r="C27" s="35" t="s">
        <v>228</v>
      </c>
      <c r="D27" s="14">
        <f>SUM(E27:CL27)</f>
        <v>40880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f>K24*$D$60/4</f>
        <v>1119.9999999999998</v>
      </c>
      <c r="L27" s="32">
        <f>L24*$D$60/4</f>
        <v>1119.9999999999998</v>
      </c>
      <c r="M27" s="32">
        <f>M24*$D$60/4</f>
        <v>1119.9999999999998</v>
      </c>
      <c r="N27" s="32">
        <f>N24*$D$60/4</f>
        <v>1119.9999999999998</v>
      </c>
      <c r="O27" s="32">
        <f>O24*$D$60/4</f>
        <v>1119.9999999999998</v>
      </c>
      <c r="P27" s="32">
        <f>P24*$D$60/4</f>
        <v>1102.5</v>
      </c>
      <c r="Q27" s="32">
        <f>Q24*$D$60/4</f>
        <v>1085</v>
      </c>
      <c r="R27" s="32">
        <f>R24*$D$60/4</f>
        <v>1067.5</v>
      </c>
      <c r="S27" s="32">
        <f>S24*$D$60/4</f>
        <v>1050</v>
      </c>
      <c r="T27" s="32">
        <f>T24*$D$60/4</f>
        <v>1032.5</v>
      </c>
      <c r="U27" s="32">
        <f>U24*$D$60/4</f>
        <v>1014.9999999999999</v>
      </c>
      <c r="V27" s="32">
        <f>V24*$D$60/4</f>
        <v>997.4999999999999</v>
      </c>
      <c r="W27" s="32">
        <f>W24*$D$60/4</f>
        <v>979.9999999999999</v>
      </c>
      <c r="X27" s="32">
        <f>X24*$D$60/4</f>
        <v>962.4999999999999</v>
      </c>
      <c r="Y27" s="32">
        <f>Y24*$D$60/4</f>
        <v>944.9999999999999</v>
      </c>
      <c r="Z27" s="32">
        <f>Z24*$D$60/4</f>
        <v>927.4999999999999</v>
      </c>
      <c r="AA27" s="32">
        <f>AA24*$D$60/4</f>
        <v>909.9999999999999</v>
      </c>
      <c r="AB27" s="32">
        <f>AB24*$D$60/4</f>
        <v>892.4999999999999</v>
      </c>
      <c r="AC27" s="32">
        <f>AC24*$D$60/4</f>
        <v>874.9999999999999</v>
      </c>
      <c r="AD27" s="32">
        <f>AD24*$D$60/4</f>
        <v>857.4999999999999</v>
      </c>
      <c r="AE27" s="32">
        <f>AE24*$D$60/4</f>
        <v>839.9999999999999</v>
      </c>
      <c r="AF27" s="32">
        <f>AF24*$D$60/4</f>
        <v>822.4999999999999</v>
      </c>
      <c r="AG27" s="32">
        <f>AG24*$D$60/4</f>
        <v>804.9999999999999</v>
      </c>
      <c r="AH27" s="32">
        <f>AH24*$D$60/4</f>
        <v>787.4999999999999</v>
      </c>
      <c r="AI27" s="32">
        <f>AI24*$D$60/4</f>
        <v>769.9999999999999</v>
      </c>
      <c r="AJ27" s="32">
        <f>AJ24*$D$60/4</f>
        <v>752.4999999999999</v>
      </c>
      <c r="AK27" s="32">
        <f>AK24*$D$60/4</f>
        <v>734.9999999999999</v>
      </c>
      <c r="AL27" s="32">
        <f>AL24*$D$60/4</f>
        <v>717.4999999999999</v>
      </c>
      <c r="AM27" s="32">
        <f>AM24*$D$60/4</f>
        <v>699.9999999999999</v>
      </c>
      <c r="AN27" s="32">
        <f>AN24*$D$60/4</f>
        <v>682.4999999999999</v>
      </c>
      <c r="AO27" s="32">
        <f>AO24*$D$60/4</f>
        <v>664.9999999999999</v>
      </c>
      <c r="AP27" s="32">
        <f>AP24*$D$60/4</f>
        <v>647.4999999999999</v>
      </c>
      <c r="AQ27" s="32">
        <f>AQ24*$D$60/4</f>
        <v>629.9999999999999</v>
      </c>
      <c r="AR27" s="32">
        <f>AR24*$D$60/4</f>
        <v>612.4999999999999</v>
      </c>
      <c r="AS27" s="32">
        <f>AS24*$D$60/4</f>
        <v>594.9999999999999</v>
      </c>
      <c r="AT27" s="32">
        <f>AT24*$D$60/4</f>
        <v>577.4999999999999</v>
      </c>
      <c r="AU27" s="32">
        <f>AU24*$D$60/4</f>
        <v>559.9999999999999</v>
      </c>
      <c r="AV27" s="32">
        <f>AV24*$D$60/4</f>
        <v>542.5</v>
      </c>
      <c r="AW27" s="32">
        <f>AW24*$D$60/4</f>
        <v>525</v>
      </c>
      <c r="AX27" s="32">
        <f>AX24*$D$60/4</f>
        <v>507.49999999999994</v>
      </c>
      <c r="AY27" s="32">
        <f>AY24*$D$60/4</f>
        <v>489.99999999999994</v>
      </c>
      <c r="AZ27" s="32">
        <f>AZ24*$D$60/4</f>
        <v>472.49999999999994</v>
      </c>
      <c r="BA27" s="32">
        <f>BA24*$D$60/4</f>
        <v>454.99999999999994</v>
      </c>
      <c r="BB27" s="32">
        <f>BB24*$D$60/4</f>
        <v>437.49999999999994</v>
      </c>
      <c r="BC27" s="32">
        <f>BC24*$D$60/4</f>
        <v>419.99999999999994</v>
      </c>
      <c r="BD27" s="32">
        <f>BD24*$D$60/4</f>
        <v>402.49999999999994</v>
      </c>
      <c r="BE27" s="32">
        <f>BE24*$D$60/4</f>
        <v>384.99999999999994</v>
      </c>
      <c r="BF27" s="32">
        <f>BF24*$D$60/4</f>
        <v>367.49999999999994</v>
      </c>
      <c r="BG27" s="32">
        <f>BG24*$D$60/4</f>
        <v>349.99999999999994</v>
      </c>
      <c r="BH27" s="32">
        <f>BH24*$D$60/4</f>
        <v>332.49999999999994</v>
      </c>
      <c r="BI27" s="32">
        <f>BI24*$D$60/4</f>
        <v>314.99999999999994</v>
      </c>
      <c r="BJ27" s="32">
        <f>BJ24*$D$60/4</f>
        <v>297.49999999999994</v>
      </c>
      <c r="BK27" s="32">
        <f>BK24*$D$60/4</f>
        <v>279.99999999999994</v>
      </c>
      <c r="BL27" s="32">
        <f>BL24*$D$60/4</f>
        <v>262.5</v>
      </c>
      <c r="BM27" s="32">
        <f>BM24*$D$60/4</f>
        <v>244.99999999999997</v>
      </c>
      <c r="BN27" s="32">
        <f>BN24*$D$60/4</f>
        <v>227.49999999999997</v>
      </c>
      <c r="BO27" s="32">
        <f>BO24*$D$60/4</f>
        <v>209.99999999999997</v>
      </c>
      <c r="BP27" s="32">
        <f>BP24*$D$60/4</f>
        <v>192.49999999999997</v>
      </c>
      <c r="BQ27" s="32">
        <f>BQ24*$D$60/4</f>
        <v>174.99999999999997</v>
      </c>
      <c r="BR27" s="32">
        <f>BR24*$D$60/4</f>
        <v>157.49999999999997</v>
      </c>
      <c r="BS27" s="32">
        <f>BS24*$D$60/4</f>
        <v>139.99999999999997</v>
      </c>
      <c r="BT27" s="32">
        <f>BT24*$D$60/4</f>
        <v>122.49999999999999</v>
      </c>
      <c r="BU27" s="32">
        <f>BU24*$D$60/4</f>
        <v>104.99999999999999</v>
      </c>
      <c r="BV27" s="32">
        <f>BV24*$D$60/4</f>
        <v>87.49999999999999</v>
      </c>
      <c r="BW27" s="32">
        <f>BW24*$D$60/4</f>
        <v>69.99999999999999</v>
      </c>
      <c r="BX27" s="32">
        <f>BX24*$D$60/4</f>
        <v>52.49999999999999</v>
      </c>
      <c r="BY27" s="32">
        <f>BY24*$D$60/4</f>
        <v>34.99999999999999</v>
      </c>
      <c r="BZ27" s="32">
        <f>BZ24*$D$60/4</f>
        <v>17.499999999999996</v>
      </c>
      <c r="CA27" s="32">
        <f>CA24*$D$60/4</f>
        <v>0</v>
      </c>
      <c r="CB27" s="32">
        <f>CB24*$D$60/4</f>
        <v>0</v>
      </c>
      <c r="CC27" s="32">
        <f>CC24*$D$60/4</f>
        <v>0</v>
      </c>
      <c r="CD27" s="32">
        <f>CD24*$D$60/4</f>
        <v>0</v>
      </c>
      <c r="CE27" s="32">
        <f>CE24*$D$60/4</f>
        <v>0</v>
      </c>
      <c r="CF27" s="32">
        <f>CF24*$D$60/4</f>
        <v>0</v>
      </c>
      <c r="CG27" s="32">
        <f>CG24*$D$60/4</f>
        <v>0</v>
      </c>
      <c r="CH27" s="32">
        <f>CH24*$D$60/4</f>
        <v>0</v>
      </c>
      <c r="CI27" s="32">
        <f>CI24*$D$60/4</f>
        <v>0</v>
      </c>
      <c r="CJ27" s="32">
        <f>CJ24*$D$60/4</f>
        <v>0</v>
      </c>
      <c r="CK27" s="32">
        <f>CK24*$D$60/4</f>
        <v>0</v>
      </c>
      <c r="CL27" s="32">
        <f>CL24*$D$60/4</f>
        <v>0</v>
      </c>
    </row>
    <row r="28" spans="2:90" x14ac:dyDescent="0.25">
      <c r="B28" s="34" t="s">
        <v>241</v>
      </c>
      <c r="C28" s="35" t="s">
        <v>228</v>
      </c>
      <c r="D28" s="14">
        <f>SUM(E28:CL28)</f>
        <v>80000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f>D25/64</f>
        <v>1250</v>
      </c>
      <c r="P28" s="32">
        <f>D25/64</f>
        <v>1250</v>
      </c>
      <c r="Q28" s="32">
        <f>D25/64</f>
        <v>1250</v>
      </c>
      <c r="R28" s="32">
        <f>D25/64</f>
        <v>1250</v>
      </c>
      <c r="S28" s="32">
        <f>D25/64</f>
        <v>1250</v>
      </c>
      <c r="T28" s="32">
        <f>D25/64</f>
        <v>1250</v>
      </c>
      <c r="U28" s="32">
        <f>D25/64</f>
        <v>1250</v>
      </c>
      <c r="V28" s="32">
        <f>D25/64</f>
        <v>1250</v>
      </c>
      <c r="W28" s="32">
        <f>D25/64</f>
        <v>1250</v>
      </c>
      <c r="X28" s="32">
        <f>D25/64</f>
        <v>1250</v>
      </c>
      <c r="Y28" s="32">
        <f>D25/64</f>
        <v>1250</v>
      </c>
      <c r="Z28" s="32">
        <f>D25/64</f>
        <v>1250</v>
      </c>
      <c r="AA28" s="32">
        <f>D25/64</f>
        <v>1250</v>
      </c>
      <c r="AB28" s="32">
        <f>D25/64</f>
        <v>1250</v>
      </c>
      <c r="AC28" s="32">
        <f>D25/64</f>
        <v>1250</v>
      </c>
      <c r="AD28" s="32">
        <f>D25/64</f>
        <v>1250</v>
      </c>
      <c r="AE28" s="32">
        <f>D25/64</f>
        <v>1250</v>
      </c>
      <c r="AF28" s="32">
        <f>D25/64</f>
        <v>1250</v>
      </c>
      <c r="AG28" s="32">
        <f>D25/64</f>
        <v>1250</v>
      </c>
      <c r="AH28" s="32">
        <f>D25/64</f>
        <v>1250</v>
      </c>
      <c r="AI28" s="32">
        <f>D25/64</f>
        <v>1250</v>
      </c>
      <c r="AJ28" s="32">
        <f>D25/64</f>
        <v>1250</v>
      </c>
      <c r="AK28" s="32">
        <f>D25/64</f>
        <v>1250</v>
      </c>
      <c r="AL28" s="32">
        <f>D25/64</f>
        <v>1250</v>
      </c>
      <c r="AM28" s="32">
        <f>D25/64</f>
        <v>1250</v>
      </c>
      <c r="AN28" s="32">
        <f>D25/64</f>
        <v>1250</v>
      </c>
      <c r="AO28" s="32">
        <f>D25/64</f>
        <v>1250</v>
      </c>
      <c r="AP28" s="32">
        <f>D25/64</f>
        <v>1250</v>
      </c>
      <c r="AQ28" s="32">
        <f>D25/64</f>
        <v>1250</v>
      </c>
      <c r="AR28" s="32">
        <f>D25/64</f>
        <v>1250</v>
      </c>
      <c r="AS28" s="32">
        <f>D25/64</f>
        <v>1250</v>
      </c>
      <c r="AT28" s="32">
        <f>D25/64</f>
        <v>1250</v>
      </c>
      <c r="AU28" s="32">
        <f>D25/64</f>
        <v>1250</v>
      </c>
      <c r="AV28" s="32">
        <f>D25/64</f>
        <v>1250</v>
      </c>
      <c r="AW28" s="32">
        <f>D25/64</f>
        <v>1250</v>
      </c>
      <c r="AX28" s="32">
        <f>D25/64</f>
        <v>1250</v>
      </c>
      <c r="AY28" s="32">
        <f>D25/64</f>
        <v>1250</v>
      </c>
      <c r="AZ28" s="32">
        <f>D25/64</f>
        <v>1250</v>
      </c>
      <c r="BA28" s="32">
        <f>D25/64</f>
        <v>1250</v>
      </c>
      <c r="BB28" s="32">
        <f>D25/64</f>
        <v>1250</v>
      </c>
      <c r="BC28" s="32">
        <f>D25/64</f>
        <v>1250</v>
      </c>
      <c r="BD28" s="32">
        <f>D25/64</f>
        <v>1250</v>
      </c>
      <c r="BE28" s="32">
        <f>D25/64</f>
        <v>1250</v>
      </c>
      <c r="BF28" s="32">
        <f>D25/64</f>
        <v>1250</v>
      </c>
      <c r="BG28" s="32">
        <f>D25/64</f>
        <v>1250</v>
      </c>
      <c r="BH28" s="32">
        <f>D25/64</f>
        <v>1250</v>
      </c>
      <c r="BI28" s="32">
        <f>D25/64</f>
        <v>1250</v>
      </c>
      <c r="BJ28" s="32">
        <f>D25/64</f>
        <v>1250</v>
      </c>
      <c r="BK28" s="32">
        <f>D25/64</f>
        <v>1250</v>
      </c>
      <c r="BL28" s="32">
        <f>D25/64</f>
        <v>1250</v>
      </c>
      <c r="BM28" s="32">
        <f>D25/64</f>
        <v>1250</v>
      </c>
      <c r="BN28" s="32">
        <f>D25/64</f>
        <v>1250</v>
      </c>
      <c r="BO28" s="32">
        <f>D25/64</f>
        <v>1250</v>
      </c>
      <c r="BP28" s="32">
        <f>D25/64</f>
        <v>1250</v>
      </c>
      <c r="BQ28" s="32">
        <f>D25/64</f>
        <v>1250</v>
      </c>
      <c r="BR28" s="32">
        <f>D25/64</f>
        <v>1250</v>
      </c>
      <c r="BS28" s="32">
        <f>D25/64</f>
        <v>1250</v>
      </c>
      <c r="BT28" s="32">
        <f>D25/64</f>
        <v>1250</v>
      </c>
      <c r="BU28" s="32">
        <f>D25/64</f>
        <v>1250</v>
      </c>
      <c r="BV28" s="32">
        <f>D25/64</f>
        <v>1250</v>
      </c>
      <c r="BW28" s="32">
        <f>D25/64</f>
        <v>1250</v>
      </c>
      <c r="BX28" s="32">
        <f>D25/64</f>
        <v>1250</v>
      </c>
      <c r="BY28" s="32">
        <f>D25/64</f>
        <v>1250</v>
      </c>
      <c r="BZ28" s="32">
        <f>D25/64</f>
        <v>1250</v>
      </c>
      <c r="CA28" s="32">
        <v>0</v>
      </c>
      <c r="CB28" s="32">
        <v>0</v>
      </c>
      <c r="CC28" s="32">
        <v>0</v>
      </c>
      <c r="CD28" s="32">
        <v>0</v>
      </c>
      <c r="CE28" s="32">
        <v>0</v>
      </c>
      <c r="CF28" s="32">
        <v>0</v>
      </c>
      <c r="CG28" s="32">
        <v>0</v>
      </c>
      <c r="CH28" s="32">
        <v>0</v>
      </c>
      <c r="CI28" s="32">
        <v>0</v>
      </c>
      <c r="CJ28" s="32">
        <v>0</v>
      </c>
      <c r="CK28" s="32">
        <v>0</v>
      </c>
      <c r="CL28" s="32">
        <v>0</v>
      </c>
    </row>
    <row r="29" spans="2:90" x14ac:dyDescent="0.25">
      <c r="B29" s="47" t="s">
        <v>242</v>
      </c>
      <c r="C29" s="35" t="s">
        <v>228</v>
      </c>
      <c r="E29" s="14">
        <f>E24+E25-E28</f>
        <v>0</v>
      </c>
      <c r="F29" s="14">
        <f>F24+F25-F28</f>
        <v>12861.052280893806</v>
      </c>
      <c r="G29" s="14">
        <f>G24+G25-G28</f>
        <v>30943.651461069887</v>
      </c>
      <c r="H29" s="14">
        <f>H24+H25-H28</f>
        <v>53753.684910806536</v>
      </c>
      <c r="I29" s="14">
        <f>I24+I25-I28</f>
        <v>72405.0451311204</v>
      </c>
      <c r="J29" s="14">
        <f>J24+J25-J28</f>
        <v>80000</v>
      </c>
      <c r="K29" s="14">
        <f>K24+K25-K28</f>
        <v>80000</v>
      </c>
      <c r="L29" s="14">
        <f>L24+L25-L28</f>
        <v>80000</v>
      </c>
      <c r="M29" s="14">
        <f>M24+M25-M28</f>
        <v>80000</v>
      </c>
      <c r="N29" s="14">
        <f>N24+N25-N28</f>
        <v>80000</v>
      </c>
      <c r="O29" s="14">
        <f>O24+O25-O28</f>
        <v>78750</v>
      </c>
      <c r="P29" s="14">
        <f>P24+P25-P28</f>
        <v>77500</v>
      </c>
      <c r="Q29" s="14">
        <f>Q24+Q25-Q28</f>
        <v>76250</v>
      </c>
      <c r="R29" s="14">
        <f>R24+R25-R28</f>
        <v>75000</v>
      </c>
      <c r="S29" s="14">
        <f>S24+S25-S28</f>
        <v>73750</v>
      </c>
      <c r="T29" s="14">
        <f>T24+T25-T28</f>
        <v>72500</v>
      </c>
      <c r="U29" s="14">
        <f>U24+U25-U28</f>
        <v>71250</v>
      </c>
      <c r="V29" s="14">
        <f>V24+V25-V28</f>
        <v>70000</v>
      </c>
      <c r="W29" s="14">
        <f>W24+W25-W28</f>
        <v>68750</v>
      </c>
      <c r="X29" s="14">
        <f>X24+X25-X28</f>
        <v>67500</v>
      </c>
      <c r="Y29" s="14">
        <f>Y24+Y25-Y28</f>
        <v>66250</v>
      </c>
      <c r="Z29" s="14">
        <f>Z24+Z25-Z28</f>
        <v>65000</v>
      </c>
      <c r="AA29" s="14">
        <f>AA24+AA25-AA28</f>
        <v>63750</v>
      </c>
      <c r="AB29" s="14">
        <f>AB24+AB25-AB28</f>
        <v>62500</v>
      </c>
      <c r="AC29" s="14">
        <f>AC24+AC25-AC28</f>
        <v>61250</v>
      </c>
      <c r="AD29" s="14">
        <f>AD24+AD25-AD28</f>
        <v>60000</v>
      </c>
      <c r="AE29" s="14">
        <f>AE24+AE25-AE28</f>
        <v>58750</v>
      </c>
      <c r="AF29" s="14">
        <f>AF24+AF25-AF28</f>
        <v>57500</v>
      </c>
      <c r="AG29" s="14">
        <f>AG24+AG25-AG28</f>
        <v>56250</v>
      </c>
      <c r="AH29" s="14">
        <f>AH24+AH25-AH28</f>
        <v>55000</v>
      </c>
      <c r="AI29" s="14">
        <f>AI24+AI25-AI28</f>
        <v>53750</v>
      </c>
      <c r="AJ29" s="14">
        <f>AJ24+AJ25-AJ28</f>
        <v>52500</v>
      </c>
      <c r="AK29" s="14">
        <f>AK24+AK25-AK28</f>
        <v>51250</v>
      </c>
      <c r="AL29" s="14">
        <f>AL24+AL25-AL28</f>
        <v>50000</v>
      </c>
      <c r="AM29" s="14">
        <f>AM24+AM25-AM28</f>
        <v>48750</v>
      </c>
      <c r="AN29" s="14">
        <f>AN24+AN25-AN28</f>
        <v>47500</v>
      </c>
      <c r="AO29" s="14">
        <f>AO24+AO25-AO28</f>
        <v>46250</v>
      </c>
      <c r="AP29" s="14">
        <f>AP24+AP25-AP28</f>
        <v>45000</v>
      </c>
      <c r="AQ29" s="14">
        <f>AQ24+AQ25-AQ28</f>
        <v>43750</v>
      </c>
      <c r="AR29" s="14">
        <f>AR24+AR25-AR28</f>
        <v>42500</v>
      </c>
      <c r="AS29" s="14">
        <f>AS24+AS25-AS28</f>
        <v>41250</v>
      </c>
      <c r="AT29" s="14">
        <f>AT24+AT25-AT28</f>
        <v>40000</v>
      </c>
      <c r="AU29" s="14">
        <f>AU24+AU25-AU28</f>
        <v>38750</v>
      </c>
      <c r="AV29" s="14">
        <f>AV24+AV25-AV28</f>
        <v>37500</v>
      </c>
      <c r="AW29" s="14">
        <f>AW24+AW25-AW28</f>
        <v>36250</v>
      </c>
      <c r="AX29" s="14">
        <f>AX24+AX25-AX28</f>
        <v>35000</v>
      </c>
      <c r="AY29" s="14">
        <f>AY24+AY25-AY28</f>
        <v>33750</v>
      </c>
      <c r="AZ29" s="14">
        <f>AZ24+AZ25-AZ28</f>
        <v>32500</v>
      </c>
      <c r="BA29" s="14">
        <f>BA24+BA25-BA28</f>
        <v>31250</v>
      </c>
      <c r="BB29" s="14">
        <f>BB24+BB25-BB28</f>
        <v>30000</v>
      </c>
      <c r="BC29" s="14">
        <f>BC24+BC25-BC28</f>
        <v>28750</v>
      </c>
      <c r="BD29" s="14">
        <f>BD24+BD25-BD28</f>
        <v>27500</v>
      </c>
      <c r="BE29" s="14">
        <f>BE24+BE25-BE28</f>
        <v>26250</v>
      </c>
      <c r="BF29" s="14">
        <f>BF24+BF25-BF28</f>
        <v>25000</v>
      </c>
      <c r="BG29" s="14">
        <f>BG24+BG25-BG28</f>
        <v>23750</v>
      </c>
      <c r="BH29" s="14">
        <f>BH24+BH25-BH28</f>
        <v>22500</v>
      </c>
      <c r="BI29" s="14">
        <f>BI24+BI25-BI28</f>
        <v>21250</v>
      </c>
      <c r="BJ29" s="14">
        <f>BJ24+BJ25-BJ28</f>
        <v>20000</v>
      </c>
      <c r="BK29" s="14">
        <f>BK24+BK25-BK28</f>
        <v>18750</v>
      </c>
      <c r="BL29" s="14">
        <f>BL24+BL25-BL28</f>
        <v>17500</v>
      </c>
      <c r="BM29" s="14">
        <f>BM24+BM25-BM28</f>
        <v>16250</v>
      </c>
      <c r="BN29" s="14">
        <f>BN24+BN25-BN28</f>
        <v>15000</v>
      </c>
      <c r="BO29" s="14">
        <f>BO24+BO25-BO28</f>
        <v>13750</v>
      </c>
      <c r="BP29" s="14">
        <f>BP24+BP25-BP28</f>
        <v>12500</v>
      </c>
      <c r="BQ29" s="14">
        <f>BQ24+BQ25-BQ28</f>
        <v>11250</v>
      </c>
      <c r="BR29" s="14">
        <f>BR24+BR25-BR28</f>
        <v>10000</v>
      </c>
      <c r="BS29" s="14">
        <f>BS24+BS25-BS28</f>
        <v>8750</v>
      </c>
      <c r="BT29" s="14">
        <f>BT24+BT25-BT28</f>
        <v>7500</v>
      </c>
      <c r="BU29" s="14">
        <f>BU24+BU25-BU28</f>
        <v>6250</v>
      </c>
      <c r="BV29" s="14">
        <f>BV24+BV25-BV28</f>
        <v>5000</v>
      </c>
      <c r="BW29" s="14">
        <f>BW24+BW25-BW28</f>
        <v>3750</v>
      </c>
      <c r="BX29" s="14">
        <f>BX24+BX25-BX28</f>
        <v>2500</v>
      </c>
      <c r="BY29" s="14">
        <f>BY24+BY25-BY28</f>
        <v>1250</v>
      </c>
      <c r="BZ29" s="14">
        <f>BZ24+BZ25-BZ28</f>
        <v>0</v>
      </c>
      <c r="CA29" s="14">
        <f>CA24+CA25-CA28</f>
        <v>0</v>
      </c>
      <c r="CB29" s="14">
        <f>CB24+CB25-CB28</f>
        <v>0</v>
      </c>
      <c r="CC29" s="14">
        <f>CC24+CC25-CC28</f>
        <v>0</v>
      </c>
      <c r="CD29" s="14">
        <f>CD24+CD25-CD28</f>
        <v>0</v>
      </c>
      <c r="CE29" s="14">
        <f>CE24+CE25-CE28</f>
        <v>0</v>
      </c>
      <c r="CF29" s="14">
        <f>CF24+CF25-CF28</f>
        <v>0</v>
      </c>
      <c r="CG29" s="14">
        <f>CG24+CG25-CG28</f>
        <v>0</v>
      </c>
      <c r="CH29" s="14">
        <f>CH24+CH25-CH28</f>
        <v>0</v>
      </c>
      <c r="CI29" s="14">
        <f>CI24+CI25-CI28</f>
        <v>0</v>
      </c>
      <c r="CJ29" s="14">
        <f>CJ24+CJ25-CJ28</f>
        <v>0</v>
      </c>
      <c r="CK29" s="14">
        <f>CK24+CK25-CK28</f>
        <v>0</v>
      </c>
      <c r="CL29" s="14">
        <f>CL24+CL25-CL28</f>
        <v>0</v>
      </c>
    </row>
    <row r="30" spans="2:6" x14ac:dyDescent="0.25">
      <c r="B30" s="34" t="s">
        <v>243</v>
      </c>
      <c r="C30" s="35" t="s">
        <v>228</v>
      </c>
      <c r="D30" s="32">
        <f>CL29</f>
        <v>0</v>
      </c>
      <c r="F30" s="31" t="str">
        <f>IF(ABS(D30)&lt;1,"완전상환 확인 (OK)","경고: 미상환 잔액")</f>
        <v>완전상환 확인 (OK)</v>
      </c>
    </row>
    <row r="31" spans="2:6" x14ac:dyDescent="0.25">
      <c r="B31" s="34" t="s">
        <v>244</v>
      </c>
      <c r="F31" s="50" t="str">
        <f>IF(AND(E15&lt;1,F15&gt;1),"인출 시작 분기 일치 (OK)","경고: 첫 인출 분기가 생성 당시(2024-09-30)와 달라졌습니다. 상환 스케줄이 들어간 열은 고정이라 실제와 어긋납니다 — 화면(HTML)에서 다시 생성하세요.")</f>
        <v>인출 시작 분기 일치 (OK)</v>
      </c>
    </row>
    <row r="33" spans="2:91" x14ac:dyDescent="0.25">
      <c r="B33" s="48" t="s">
        <v>93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</row>
    <row r="34" spans="2:90" x14ac:dyDescent="0.25">
      <c r="B34" s="34" t="s">
        <v>238</v>
      </c>
      <c r="C34" s="35" t="s">
        <v>228</v>
      </c>
      <c r="E34" s="32">
        <v>0</v>
      </c>
      <c r="F34" s="32">
        <f>E39</f>
        <v>0</v>
      </c>
      <c r="G34" s="32">
        <f>F39</f>
        <v>7406.19771910621</v>
      </c>
      <c r="H34" s="32">
        <f>G39</f>
        <v>17819.28848950036</v>
      </c>
      <c r="I34" s="32">
        <f>H39</f>
        <v>30954.73137694933</v>
      </c>
      <c r="J34" s="32">
        <f>I39</f>
        <v>41695.35030181982</v>
      </c>
      <c r="K34" s="32">
        <f>J39</f>
        <v>46069</v>
      </c>
      <c r="L34" s="32">
        <f>K39</f>
        <v>46069</v>
      </c>
      <c r="M34" s="32">
        <f>L39</f>
        <v>46069</v>
      </c>
      <c r="N34" s="32">
        <f>M39</f>
        <v>46069</v>
      </c>
      <c r="O34" s="32">
        <f>N39</f>
        <v>46069</v>
      </c>
      <c r="P34" s="32">
        <f>O39</f>
        <v>45349.171875</v>
      </c>
      <c r="Q34" s="32">
        <f>P39</f>
        <v>44629.34375</v>
      </c>
      <c r="R34" s="32">
        <f>Q39</f>
        <v>43909.515625</v>
      </c>
      <c r="S34" s="32">
        <f>R39</f>
        <v>43189.6875</v>
      </c>
      <c r="T34" s="32">
        <f>S39</f>
        <v>42469.859375</v>
      </c>
      <c r="U34" s="32">
        <f>T39</f>
        <v>41750.03125</v>
      </c>
      <c r="V34" s="32">
        <f>U39</f>
        <v>41030.203125</v>
      </c>
      <c r="W34" s="32">
        <f>V39</f>
        <v>40310.375</v>
      </c>
      <c r="X34" s="32">
        <f>W39</f>
        <v>39590.546875</v>
      </c>
      <c r="Y34" s="32">
        <f>X39</f>
        <v>38870.71875</v>
      </c>
      <c r="Z34" s="32">
        <f>Y39</f>
        <v>38150.890625</v>
      </c>
      <c r="AA34" s="32">
        <f>Z39</f>
        <v>37431.0625</v>
      </c>
      <c r="AB34" s="32">
        <f>AA39</f>
        <v>36711.234375</v>
      </c>
      <c r="AC34" s="32">
        <f>AB39</f>
        <v>35991.40625</v>
      </c>
      <c r="AD34" s="32">
        <f>AC39</f>
        <v>35271.578125</v>
      </c>
      <c r="AE34" s="32">
        <f>AD39</f>
        <v>34551.75</v>
      </c>
      <c r="AF34" s="32">
        <f>AE39</f>
        <v>33831.921875</v>
      </c>
      <c r="AG34" s="32">
        <f>AF39</f>
        <v>33112.09375</v>
      </c>
      <c r="AH34" s="32">
        <f>AG39</f>
        <v>32392.265625</v>
      </c>
      <c r="AI34" s="32">
        <f>AH39</f>
        <v>31672.4375</v>
      </c>
      <c r="AJ34" s="32">
        <f>AI39</f>
        <v>30952.609375</v>
      </c>
      <c r="AK34" s="32">
        <f>AJ39</f>
        <v>30232.78125</v>
      </c>
      <c r="AL34" s="32">
        <f>AK39</f>
        <v>29512.953125</v>
      </c>
      <c r="AM34" s="32">
        <f>AL39</f>
        <v>28793.125</v>
      </c>
      <c r="AN34" s="32">
        <f>AM39</f>
        <v>28073.296875</v>
      </c>
      <c r="AO34" s="32">
        <f>AN39</f>
        <v>27353.46875</v>
      </c>
      <c r="AP34" s="32">
        <f>AO39</f>
        <v>26633.640625</v>
      </c>
      <c r="AQ34" s="32">
        <f>AP39</f>
        <v>25913.8125</v>
      </c>
      <c r="AR34" s="32">
        <f>AQ39</f>
        <v>25193.984375</v>
      </c>
      <c r="AS34" s="32">
        <f>AR39</f>
        <v>24474.15625</v>
      </c>
      <c r="AT34" s="32">
        <f>AS39</f>
        <v>23754.328125</v>
      </c>
      <c r="AU34" s="32">
        <f>AT39</f>
        <v>23034.5</v>
      </c>
      <c r="AV34" s="32">
        <f>AU39</f>
        <v>22314.671875</v>
      </c>
      <c r="AW34" s="32">
        <f>AV39</f>
        <v>21594.84375</v>
      </c>
      <c r="AX34" s="32">
        <f>AW39</f>
        <v>20875.015625</v>
      </c>
      <c r="AY34" s="32">
        <f>AX39</f>
        <v>20155.1875</v>
      </c>
      <c r="AZ34" s="32">
        <f>AY39</f>
        <v>19435.359375</v>
      </c>
      <c r="BA34" s="32">
        <f>AZ39</f>
        <v>18715.53125</v>
      </c>
      <c r="BB34" s="32">
        <f>BA39</f>
        <v>17995.703125</v>
      </c>
      <c r="BC34" s="32">
        <f>BB39</f>
        <v>17275.875</v>
      </c>
      <c r="BD34" s="32">
        <f>BC39</f>
        <v>16556.046875</v>
      </c>
      <c r="BE34" s="32">
        <f>BD39</f>
        <v>15836.21875</v>
      </c>
      <c r="BF34" s="32">
        <f>BE39</f>
        <v>15116.390625</v>
      </c>
      <c r="BG34" s="32">
        <f>BF39</f>
        <v>14396.5625</v>
      </c>
      <c r="BH34" s="32">
        <f>BG39</f>
        <v>13676.734375</v>
      </c>
      <c r="BI34" s="32">
        <f>BH39</f>
        <v>12956.90625</v>
      </c>
      <c r="BJ34" s="32">
        <f>BI39</f>
        <v>12237.078125</v>
      </c>
      <c r="BK34" s="32">
        <f>BJ39</f>
        <v>11517.25</v>
      </c>
      <c r="BL34" s="32">
        <f>BK39</f>
        <v>10797.421875</v>
      </c>
      <c r="BM34" s="32">
        <f>BL39</f>
        <v>10077.59375</v>
      </c>
      <c r="BN34" s="32">
        <f>BM39</f>
        <v>9357.765625</v>
      </c>
      <c r="BO34" s="32">
        <f>BN39</f>
        <v>8637.9375</v>
      </c>
      <c r="BP34" s="32">
        <f>BO39</f>
        <v>7918.109375</v>
      </c>
      <c r="BQ34" s="32">
        <f>BP39</f>
        <v>7198.28125</v>
      </c>
      <c r="BR34" s="32">
        <f>BQ39</f>
        <v>6478.453125</v>
      </c>
      <c r="BS34" s="32">
        <f>BR39</f>
        <v>5758.625</v>
      </c>
      <c r="BT34" s="32">
        <f>BS39</f>
        <v>5038.796875</v>
      </c>
      <c r="BU34" s="32">
        <f>BT39</f>
        <v>4318.96875</v>
      </c>
      <c r="BV34" s="32">
        <f>BU39</f>
        <v>3599.140625</v>
      </c>
      <c r="BW34" s="32">
        <f>BV39</f>
        <v>2879.3125</v>
      </c>
      <c r="BX34" s="32">
        <f>BW39</f>
        <v>2159.484375</v>
      </c>
      <c r="BY34" s="32">
        <f>BX39</f>
        <v>1439.65625</v>
      </c>
      <c r="BZ34" s="32">
        <f>BY39</f>
        <v>719.828125</v>
      </c>
      <c r="CA34" s="32">
        <f>BZ39</f>
        <v>0</v>
      </c>
      <c r="CB34" s="32">
        <f>CA39</f>
        <v>0</v>
      </c>
      <c r="CC34" s="32">
        <f>CB39</f>
        <v>0</v>
      </c>
      <c r="CD34" s="32">
        <f>CC39</f>
        <v>0</v>
      </c>
      <c r="CE34" s="32">
        <f>CD39</f>
        <v>0</v>
      </c>
      <c r="CF34" s="32">
        <f>CE39</f>
        <v>0</v>
      </c>
      <c r="CG34" s="32">
        <f>CF39</f>
        <v>0</v>
      </c>
      <c r="CH34" s="32">
        <f>CG39</f>
        <v>0</v>
      </c>
      <c r="CI34" s="32">
        <f>CH39</f>
        <v>0</v>
      </c>
      <c r="CJ34" s="32">
        <f>CI39</f>
        <v>0</v>
      </c>
      <c r="CK34" s="32">
        <f>CJ39</f>
        <v>0</v>
      </c>
      <c r="CL34" s="32">
        <f>CK39</f>
        <v>0</v>
      </c>
    </row>
    <row r="35" spans="2:90" x14ac:dyDescent="0.25">
      <c r="B35" s="34" t="s">
        <v>239</v>
      </c>
      <c r="C35" s="35" t="s">
        <v>228</v>
      </c>
      <c r="D35" s="32">
        <f>SUM(E35:CL35)</f>
        <v>46069</v>
      </c>
      <c r="E35" s="32">
        <f>E16</f>
        <v>0</v>
      </c>
      <c r="F35" s="32">
        <f>F16-E16</f>
        <v>7406.19771910621</v>
      </c>
      <c r="G35" s="32">
        <f>G16-F16</f>
        <v>10413.090770394148</v>
      </c>
      <c r="H35" s="32">
        <f>H16-G16</f>
        <v>13135.442887448971</v>
      </c>
      <c r="I35" s="32">
        <f>I16-H16</f>
        <v>10740.618924870487</v>
      </c>
      <c r="J35" s="32">
        <f>J16-I16</f>
        <v>4373.649698180183</v>
      </c>
      <c r="K35" s="32">
        <f>K16-J16</f>
        <v>0</v>
      </c>
      <c r="L35" s="32">
        <f>L16-K16</f>
        <v>0</v>
      </c>
      <c r="M35" s="32">
        <f>M16-L16</f>
        <v>0</v>
      </c>
      <c r="N35" s="32">
        <f>N16-M16</f>
        <v>0</v>
      </c>
      <c r="O35" s="32">
        <f>O16-N16</f>
        <v>0</v>
      </c>
      <c r="P35" s="32">
        <f>P16-O16</f>
        <v>0</v>
      </c>
      <c r="Q35" s="32">
        <f>Q16-P16</f>
        <v>0</v>
      </c>
      <c r="R35" s="32">
        <f>R16-Q16</f>
        <v>0</v>
      </c>
      <c r="S35" s="32">
        <f>S16-R16</f>
        <v>0</v>
      </c>
      <c r="T35" s="32">
        <f>T16-S16</f>
        <v>0</v>
      </c>
      <c r="U35" s="32">
        <f>U16-T16</f>
        <v>0</v>
      </c>
      <c r="V35" s="32">
        <f>V16-U16</f>
        <v>0</v>
      </c>
      <c r="W35" s="32">
        <f>W16-V16</f>
        <v>0</v>
      </c>
      <c r="X35" s="32">
        <f>X16-W16</f>
        <v>0</v>
      </c>
      <c r="Y35" s="32">
        <f>Y16-X16</f>
        <v>0</v>
      </c>
      <c r="Z35" s="32">
        <f>Z16-Y16</f>
        <v>0</v>
      </c>
      <c r="AA35" s="32">
        <f>AA16-Z16</f>
        <v>0</v>
      </c>
      <c r="AB35" s="32">
        <f>AB16-AA16</f>
        <v>0</v>
      </c>
      <c r="AC35" s="32">
        <f>AC16-AB16</f>
        <v>0</v>
      </c>
      <c r="AD35" s="32">
        <f>AD16-AC16</f>
        <v>0</v>
      </c>
      <c r="AE35" s="32">
        <f>AE16-AD16</f>
        <v>0</v>
      </c>
      <c r="AF35" s="32">
        <f>AF16-AE16</f>
        <v>0</v>
      </c>
      <c r="AG35" s="32">
        <f>AG16-AF16</f>
        <v>0</v>
      </c>
      <c r="AH35" s="32">
        <f>AH16-AG16</f>
        <v>0</v>
      </c>
      <c r="AI35" s="32">
        <f>AI16-AH16</f>
        <v>0</v>
      </c>
      <c r="AJ35" s="32">
        <f>AJ16-AI16</f>
        <v>0</v>
      </c>
      <c r="AK35" s="32">
        <f>AK16-AJ16</f>
        <v>0</v>
      </c>
      <c r="AL35" s="32">
        <f>AL16-AK16</f>
        <v>0</v>
      </c>
      <c r="AM35" s="32">
        <f>AM16-AL16</f>
        <v>0</v>
      </c>
      <c r="AN35" s="32">
        <f>AN16-AM16</f>
        <v>0</v>
      </c>
      <c r="AO35" s="32">
        <f>AO16-AN16</f>
        <v>0</v>
      </c>
      <c r="AP35" s="32">
        <f>AP16-AO16</f>
        <v>0</v>
      </c>
      <c r="AQ35" s="32">
        <f>AQ16-AP16</f>
        <v>0</v>
      </c>
      <c r="AR35" s="32">
        <f>AR16-AQ16</f>
        <v>0</v>
      </c>
      <c r="AS35" s="32">
        <f>AS16-AR16</f>
        <v>0</v>
      </c>
      <c r="AT35" s="32">
        <f>AT16-AS16</f>
        <v>0</v>
      </c>
      <c r="AU35" s="32">
        <f>AU16-AT16</f>
        <v>0</v>
      </c>
      <c r="AV35" s="32">
        <f>AV16-AU16</f>
        <v>0</v>
      </c>
      <c r="AW35" s="32">
        <f>AW16-AV16</f>
        <v>0</v>
      </c>
      <c r="AX35" s="32">
        <f>AX16-AW16</f>
        <v>0</v>
      </c>
      <c r="AY35" s="32">
        <f>AY16-AX16</f>
        <v>0</v>
      </c>
      <c r="AZ35" s="32">
        <f>AZ16-AY16</f>
        <v>0</v>
      </c>
      <c r="BA35" s="32">
        <f>BA16-AZ16</f>
        <v>0</v>
      </c>
      <c r="BB35" s="32">
        <f>BB16-BA16</f>
        <v>0</v>
      </c>
      <c r="BC35" s="32">
        <f>BC16-BB16</f>
        <v>0</v>
      </c>
      <c r="BD35" s="32">
        <f>BD16-BC16</f>
        <v>0</v>
      </c>
      <c r="BE35" s="32">
        <f>BE16-BD16</f>
        <v>0</v>
      </c>
      <c r="BF35" s="32">
        <f>BF16-BE16</f>
        <v>0</v>
      </c>
      <c r="BG35" s="32">
        <f>BG16-BF16</f>
        <v>0</v>
      </c>
      <c r="BH35" s="32">
        <f>BH16-BG16</f>
        <v>0</v>
      </c>
      <c r="BI35" s="32">
        <f>BI16-BH16</f>
        <v>0</v>
      </c>
      <c r="BJ35" s="32">
        <f>BJ16-BI16</f>
        <v>0</v>
      </c>
      <c r="BK35" s="32">
        <f>BK16-BJ16</f>
        <v>0</v>
      </c>
      <c r="BL35" s="32">
        <f>BL16-BK16</f>
        <v>0</v>
      </c>
      <c r="BM35" s="32">
        <f>BM16-BL16</f>
        <v>0</v>
      </c>
      <c r="BN35" s="32">
        <f>BN16-BM16</f>
        <v>0</v>
      </c>
      <c r="BO35" s="32">
        <f>BO16-BN16</f>
        <v>0</v>
      </c>
      <c r="BP35" s="32">
        <f>BP16-BO16</f>
        <v>0</v>
      </c>
      <c r="BQ35" s="32">
        <f>BQ16-BP16</f>
        <v>0</v>
      </c>
      <c r="BR35" s="32">
        <f>BR16-BQ16</f>
        <v>0</v>
      </c>
      <c r="BS35" s="32">
        <f>BS16-BR16</f>
        <v>0</v>
      </c>
      <c r="BT35" s="32">
        <f>BT16-BS16</f>
        <v>0</v>
      </c>
      <c r="BU35" s="32">
        <f>BU16-BT16</f>
        <v>0</v>
      </c>
      <c r="BV35" s="32">
        <f>BV16-BU16</f>
        <v>0</v>
      </c>
      <c r="BW35" s="32">
        <f>BW16-BV16</f>
        <v>0</v>
      </c>
      <c r="BX35" s="32">
        <f>BX16-BW16</f>
        <v>0</v>
      </c>
      <c r="BY35" s="32">
        <f>BY16-BX16</f>
        <v>0</v>
      </c>
      <c r="BZ35" s="32">
        <f>BZ16-BY16</f>
        <v>0</v>
      </c>
      <c r="CA35" s="32">
        <f>CA16-BZ16</f>
        <v>0</v>
      </c>
      <c r="CB35" s="32">
        <f>CB16-CA16</f>
        <v>0</v>
      </c>
      <c r="CC35" s="32">
        <f>CC16-CB16</f>
        <v>0</v>
      </c>
      <c r="CD35" s="32">
        <f>CD16-CC16</f>
        <v>0</v>
      </c>
      <c r="CE35" s="32">
        <f>CE16-CD16</f>
        <v>0</v>
      </c>
      <c r="CF35" s="32">
        <f>CF16-CE16</f>
        <v>0</v>
      </c>
      <c r="CG35" s="32">
        <f>CG16-CF16</f>
        <v>0</v>
      </c>
      <c r="CH35" s="32">
        <f>CH16-CG16</f>
        <v>0</v>
      </c>
      <c r="CI35" s="32">
        <f>CI16-CH16</f>
        <v>0</v>
      </c>
      <c r="CJ35" s="32">
        <f>CJ16-CI16</f>
        <v>0</v>
      </c>
      <c r="CK35" s="32">
        <f>CK16-CJ16</f>
        <v>0</v>
      </c>
      <c r="CL35" s="32">
        <f>CL16-CK16</f>
        <v>0</v>
      </c>
    </row>
    <row r="36" spans="2:90" x14ac:dyDescent="0.25">
      <c r="B36" s="34" t="s">
        <v>201</v>
      </c>
      <c r="C36" s="35" t="s">
        <v>228</v>
      </c>
      <c r="D36" s="32">
        <f>SUM(E36:CL36)</f>
        <v>1345.7890584514162</v>
      </c>
      <c r="E36" s="32">
        <f>E11</f>
        <v>0</v>
      </c>
      <c r="F36" s="32">
        <f>F11</f>
        <v>0</v>
      </c>
      <c r="G36" s="32">
        <f>G11</f>
        <v>101.83521863771038</v>
      </c>
      <c r="H36" s="32">
        <f>H11</f>
        <v>245.01521673062993</v>
      </c>
      <c r="I36" s="32">
        <f>I11</f>
        <v>425.6275564330533</v>
      </c>
      <c r="J36" s="32">
        <f>J11</f>
        <v>573.3110666500224</v>
      </c>
      <c r="K36" s="32">
        <f>K11</f>
        <v>0</v>
      </c>
      <c r="L36" s="32">
        <f>L11</f>
        <v>0</v>
      </c>
      <c r="M36" s="32">
        <f>M11</f>
        <v>0</v>
      </c>
      <c r="N36" s="32">
        <f>N11</f>
        <v>0</v>
      </c>
      <c r="O36" s="32">
        <f>O11</f>
        <v>0</v>
      </c>
      <c r="P36" s="32">
        <f>P11</f>
        <v>0</v>
      </c>
      <c r="Q36" s="32">
        <f>Q11</f>
        <v>0</v>
      </c>
      <c r="R36" s="32">
        <f>R11</f>
        <v>0</v>
      </c>
      <c r="S36" s="32">
        <f>S11</f>
        <v>0</v>
      </c>
      <c r="T36" s="32">
        <f>T11</f>
        <v>0</v>
      </c>
      <c r="U36" s="32">
        <f>U11</f>
        <v>0</v>
      </c>
      <c r="V36" s="32">
        <f>V11</f>
        <v>0</v>
      </c>
      <c r="W36" s="32">
        <f>W11</f>
        <v>0</v>
      </c>
      <c r="X36" s="32">
        <f>X11</f>
        <v>0</v>
      </c>
      <c r="Y36" s="32">
        <f>Y11</f>
        <v>0</v>
      </c>
      <c r="Z36" s="32">
        <f>Z11</f>
        <v>0</v>
      </c>
      <c r="AA36" s="32">
        <f>AA11</f>
        <v>0</v>
      </c>
      <c r="AB36" s="32">
        <f>AB11</f>
        <v>0</v>
      </c>
      <c r="AC36" s="32">
        <f>AC11</f>
        <v>0</v>
      </c>
      <c r="AD36" s="32">
        <f>AD11</f>
        <v>0</v>
      </c>
      <c r="AE36" s="32">
        <f>AE11</f>
        <v>0</v>
      </c>
      <c r="AF36" s="32">
        <f>AF11</f>
        <v>0</v>
      </c>
      <c r="AG36" s="32">
        <f>AG11</f>
        <v>0</v>
      </c>
      <c r="AH36" s="32">
        <f>AH11</f>
        <v>0</v>
      </c>
      <c r="AI36" s="32">
        <f>AI11</f>
        <v>0</v>
      </c>
      <c r="AJ36" s="32">
        <f>AJ11</f>
        <v>0</v>
      </c>
      <c r="AK36" s="32">
        <f>AK11</f>
        <v>0</v>
      </c>
      <c r="AL36" s="32">
        <f>AL11</f>
        <v>0</v>
      </c>
      <c r="AM36" s="32">
        <f>AM11</f>
        <v>0</v>
      </c>
      <c r="AN36" s="32">
        <f>AN11</f>
        <v>0</v>
      </c>
      <c r="AO36" s="32">
        <f>AO11</f>
        <v>0</v>
      </c>
      <c r="AP36" s="32">
        <f>AP11</f>
        <v>0</v>
      </c>
      <c r="AQ36" s="32">
        <f>AQ11</f>
        <v>0</v>
      </c>
      <c r="AR36" s="32">
        <f>AR11</f>
        <v>0</v>
      </c>
      <c r="AS36" s="32">
        <f>AS11</f>
        <v>0</v>
      </c>
      <c r="AT36" s="32">
        <f>AT11</f>
        <v>0</v>
      </c>
      <c r="AU36" s="32">
        <f>AU11</f>
        <v>0</v>
      </c>
      <c r="AV36" s="32">
        <f>AV11</f>
        <v>0</v>
      </c>
      <c r="AW36" s="32">
        <f>AW11</f>
        <v>0</v>
      </c>
      <c r="AX36" s="32">
        <f>AX11</f>
        <v>0</v>
      </c>
      <c r="AY36" s="32">
        <f>AY11</f>
        <v>0</v>
      </c>
      <c r="AZ36" s="32">
        <f>AZ11</f>
        <v>0</v>
      </c>
      <c r="BA36" s="32">
        <f>BA11</f>
        <v>0</v>
      </c>
      <c r="BB36" s="32">
        <f>BB11</f>
        <v>0</v>
      </c>
      <c r="BC36" s="32">
        <f>BC11</f>
        <v>0</v>
      </c>
      <c r="BD36" s="32">
        <f>BD11</f>
        <v>0</v>
      </c>
      <c r="BE36" s="32">
        <f>BE11</f>
        <v>0</v>
      </c>
      <c r="BF36" s="32">
        <f>BF11</f>
        <v>0</v>
      </c>
      <c r="BG36" s="32">
        <f>BG11</f>
        <v>0</v>
      </c>
      <c r="BH36" s="32">
        <f>BH11</f>
        <v>0</v>
      </c>
      <c r="BI36" s="32">
        <f>BI11</f>
        <v>0</v>
      </c>
      <c r="BJ36" s="32">
        <f>BJ11</f>
        <v>0</v>
      </c>
      <c r="BK36" s="32">
        <f>BK11</f>
        <v>0</v>
      </c>
      <c r="BL36" s="32">
        <f>BL11</f>
        <v>0</v>
      </c>
      <c r="BM36" s="32">
        <f>BM11</f>
        <v>0</v>
      </c>
      <c r="BN36" s="32">
        <f>BN11</f>
        <v>0</v>
      </c>
      <c r="BO36" s="32">
        <f>BO11</f>
        <v>0</v>
      </c>
      <c r="BP36" s="32">
        <f>BP11</f>
        <v>0</v>
      </c>
      <c r="BQ36" s="32">
        <f>BQ11</f>
        <v>0</v>
      </c>
      <c r="BR36" s="32">
        <f>BR11</f>
        <v>0</v>
      </c>
      <c r="BS36" s="32">
        <f>BS11</f>
        <v>0</v>
      </c>
      <c r="BT36" s="32">
        <f>BT11</f>
        <v>0</v>
      </c>
      <c r="BU36" s="32">
        <f>BU11</f>
        <v>0</v>
      </c>
      <c r="BV36" s="32">
        <f>BV11</f>
        <v>0</v>
      </c>
      <c r="BW36" s="32">
        <f>BW11</f>
        <v>0</v>
      </c>
      <c r="BX36" s="32">
        <f>BX11</f>
        <v>0</v>
      </c>
      <c r="BY36" s="32">
        <f>BY11</f>
        <v>0</v>
      </c>
      <c r="BZ36" s="32">
        <f>BZ11</f>
        <v>0</v>
      </c>
      <c r="CA36" s="32">
        <f>CA11</f>
        <v>0</v>
      </c>
      <c r="CB36" s="32">
        <f>CB11</f>
        <v>0</v>
      </c>
      <c r="CC36" s="32">
        <f>CC11</f>
        <v>0</v>
      </c>
      <c r="CD36" s="32">
        <f>CD11</f>
        <v>0</v>
      </c>
      <c r="CE36" s="32">
        <f>CE11</f>
        <v>0</v>
      </c>
      <c r="CF36" s="32">
        <f>CF11</f>
        <v>0</v>
      </c>
      <c r="CG36" s="32">
        <f>CG11</f>
        <v>0</v>
      </c>
      <c r="CH36" s="32">
        <f>CH11</f>
        <v>0</v>
      </c>
      <c r="CI36" s="32">
        <f>CI11</f>
        <v>0</v>
      </c>
      <c r="CJ36" s="32">
        <f>CJ11</f>
        <v>0</v>
      </c>
      <c r="CK36" s="32">
        <f>CK11</f>
        <v>0</v>
      </c>
      <c r="CL36" s="32">
        <f>CL11</f>
        <v>0</v>
      </c>
    </row>
    <row r="37" spans="2:90" x14ac:dyDescent="0.25">
      <c r="B37" s="34" t="s">
        <v>240</v>
      </c>
      <c r="C37" s="35" t="s">
        <v>228</v>
      </c>
      <c r="D37" s="14">
        <f>SUM(E37:CL37)</f>
        <v>23120.879375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f>K34*$D$63/4</f>
        <v>633.44875</v>
      </c>
      <c r="L37" s="32">
        <f>L34*$D$63/4</f>
        <v>633.44875</v>
      </c>
      <c r="M37" s="32">
        <f>M34*$D$63/4</f>
        <v>633.44875</v>
      </c>
      <c r="N37" s="32">
        <f>N34*$D$63/4</f>
        <v>633.44875</v>
      </c>
      <c r="O37" s="32">
        <f>O34*$D$63/4</f>
        <v>633.44875</v>
      </c>
      <c r="P37" s="32">
        <f>P34*$D$63/4</f>
        <v>623.55111328125</v>
      </c>
      <c r="Q37" s="32">
        <f>Q34*$D$63/4</f>
        <v>613.6534765625</v>
      </c>
      <c r="R37" s="32">
        <f>R34*$D$63/4</f>
        <v>603.75583984375</v>
      </c>
      <c r="S37" s="32">
        <f>S34*$D$63/4</f>
        <v>593.858203125</v>
      </c>
      <c r="T37" s="32">
        <f>T34*$D$63/4</f>
        <v>583.96056640625</v>
      </c>
      <c r="U37" s="32">
        <f>U34*$D$63/4</f>
        <v>574.0629296875001</v>
      </c>
      <c r="V37" s="32">
        <f>V34*$D$63/4</f>
        <v>564.16529296875</v>
      </c>
      <c r="W37" s="32">
        <f>W34*$D$63/4</f>
        <v>554.26765625</v>
      </c>
      <c r="X37" s="32">
        <f>X34*$D$63/4</f>
        <v>544.37001953125</v>
      </c>
      <c r="Y37" s="32">
        <f>Y34*$D$63/4</f>
        <v>534.4723828125</v>
      </c>
      <c r="Z37" s="32">
        <f>Z34*$D$63/4</f>
        <v>524.57474609375</v>
      </c>
      <c r="AA37" s="32">
        <f>AA34*$D$63/4</f>
        <v>514.677109375</v>
      </c>
      <c r="AB37" s="32">
        <f>AB34*$D$63/4</f>
        <v>504.77947265625</v>
      </c>
      <c r="AC37" s="32">
        <f>AC34*$D$63/4</f>
        <v>494.8818359375</v>
      </c>
      <c r="AD37" s="32">
        <f>AD34*$D$63/4</f>
        <v>484.98419921875</v>
      </c>
      <c r="AE37" s="32">
        <f>AE34*$D$63/4</f>
        <v>475.0865625</v>
      </c>
      <c r="AF37" s="32">
        <f>AF34*$D$63/4</f>
        <v>465.18892578125</v>
      </c>
      <c r="AG37" s="32">
        <f>AG34*$D$63/4</f>
        <v>455.2912890625</v>
      </c>
      <c r="AH37" s="32">
        <f>AH34*$D$63/4</f>
        <v>445.39365234375</v>
      </c>
      <c r="AI37" s="32">
        <f>AI34*$D$63/4</f>
        <v>435.496015625</v>
      </c>
      <c r="AJ37" s="32">
        <f>AJ34*$D$63/4</f>
        <v>425.59837890625</v>
      </c>
      <c r="AK37" s="32">
        <f>AK34*$D$63/4</f>
        <v>415.7007421875</v>
      </c>
      <c r="AL37" s="32">
        <f>AL34*$D$63/4</f>
        <v>405.80310546875</v>
      </c>
      <c r="AM37" s="32">
        <f>AM34*$D$63/4</f>
        <v>395.90546875</v>
      </c>
      <c r="AN37" s="32">
        <f>AN34*$D$63/4</f>
        <v>386.00783203125</v>
      </c>
      <c r="AO37" s="32">
        <f>AO34*$D$63/4</f>
        <v>376.1101953125</v>
      </c>
      <c r="AP37" s="32">
        <f>AP34*$D$63/4</f>
        <v>366.21255859375</v>
      </c>
      <c r="AQ37" s="32">
        <f>AQ34*$D$63/4</f>
        <v>356.314921875</v>
      </c>
      <c r="AR37" s="32">
        <f>AR34*$D$63/4</f>
        <v>346.41728515625</v>
      </c>
      <c r="AS37" s="32">
        <f>AS34*$D$63/4</f>
        <v>336.5196484375</v>
      </c>
      <c r="AT37" s="32">
        <f>AT34*$D$63/4</f>
        <v>326.62201171875</v>
      </c>
      <c r="AU37" s="32">
        <f>AU34*$D$63/4</f>
        <v>316.724375</v>
      </c>
      <c r="AV37" s="32">
        <f>AV34*$D$63/4</f>
        <v>306.82673828125</v>
      </c>
      <c r="AW37" s="32">
        <f>AW34*$D$63/4</f>
        <v>296.9291015625</v>
      </c>
      <c r="AX37" s="32">
        <f>AX34*$D$63/4</f>
        <v>287.03146484375003</v>
      </c>
      <c r="AY37" s="32">
        <f>AY34*$D$63/4</f>
        <v>277.133828125</v>
      </c>
      <c r="AZ37" s="32">
        <f>AZ34*$D$63/4</f>
        <v>267.23619140625</v>
      </c>
      <c r="BA37" s="32">
        <f>BA34*$D$63/4</f>
        <v>257.3385546875</v>
      </c>
      <c r="BB37" s="32">
        <f>BB34*$D$63/4</f>
        <v>247.44091796875</v>
      </c>
      <c r="BC37" s="32">
        <f>BC34*$D$63/4</f>
        <v>237.54328125</v>
      </c>
      <c r="BD37" s="32">
        <f>BD34*$D$63/4</f>
        <v>227.64564453125</v>
      </c>
      <c r="BE37" s="32">
        <f>BE34*$D$63/4</f>
        <v>217.7480078125</v>
      </c>
      <c r="BF37" s="32">
        <f>BF34*$D$63/4</f>
        <v>207.85037109375</v>
      </c>
      <c r="BG37" s="32">
        <f>BG34*$D$63/4</f>
        <v>197.952734375</v>
      </c>
      <c r="BH37" s="32">
        <f>BH34*$D$63/4</f>
        <v>188.05509765625</v>
      </c>
      <c r="BI37" s="32">
        <f>BI34*$D$63/4</f>
        <v>178.1574609375</v>
      </c>
      <c r="BJ37" s="32">
        <f>BJ34*$D$63/4</f>
        <v>168.25982421875</v>
      </c>
      <c r="BK37" s="32">
        <f>BK34*$D$63/4</f>
        <v>158.3621875</v>
      </c>
      <c r="BL37" s="32">
        <f>BL34*$D$63/4</f>
        <v>148.46455078125</v>
      </c>
      <c r="BM37" s="32">
        <f>BM34*$D$63/4</f>
        <v>138.5669140625</v>
      </c>
      <c r="BN37" s="32">
        <f>BN34*$D$63/4</f>
        <v>128.66927734375</v>
      </c>
      <c r="BO37" s="32">
        <f>BO34*$D$63/4</f>
        <v>118.771640625</v>
      </c>
      <c r="BP37" s="32">
        <f>BP34*$D$63/4</f>
        <v>108.87400390625</v>
      </c>
      <c r="BQ37" s="32">
        <f>BQ34*$D$63/4</f>
        <v>98.9763671875</v>
      </c>
      <c r="BR37" s="32">
        <f>BR34*$D$63/4</f>
        <v>89.07873046875</v>
      </c>
      <c r="BS37" s="32">
        <f>BS34*$D$63/4</f>
        <v>79.18109375</v>
      </c>
      <c r="BT37" s="32">
        <f>BT34*$D$63/4</f>
        <v>69.28345703125</v>
      </c>
      <c r="BU37" s="32">
        <f>BU34*$D$63/4</f>
        <v>59.3858203125</v>
      </c>
      <c r="BV37" s="32">
        <f>BV34*$D$63/4</f>
        <v>49.48818359375</v>
      </c>
      <c r="BW37" s="32">
        <f>BW34*$D$63/4</f>
        <v>39.590546875</v>
      </c>
      <c r="BX37" s="32">
        <f>BX34*$D$63/4</f>
        <v>29.69291015625</v>
      </c>
      <c r="BY37" s="32">
        <f>BY34*$D$63/4</f>
        <v>19.7952734375</v>
      </c>
      <c r="BZ37" s="32">
        <f>BZ34*$D$63/4</f>
        <v>9.89763671875</v>
      </c>
      <c r="CA37" s="32">
        <f>CA34*$D$63/4</f>
        <v>0</v>
      </c>
      <c r="CB37" s="32">
        <f>CB34*$D$63/4</f>
        <v>0</v>
      </c>
      <c r="CC37" s="32">
        <f>CC34*$D$63/4</f>
        <v>0</v>
      </c>
      <c r="CD37" s="32">
        <f>CD34*$D$63/4</f>
        <v>0</v>
      </c>
      <c r="CE37" s="32">
        <f>CE34*$D$63/4</f>
        <v>0</v>
      </c>
      <c r="CF37" s="32">
        <f>CF34*$D$63/4</f>
        <v>0</v>
      </c>
      <c r="CG37" s="32">
        <f>CG34*$D$63/4</f>
        <v>0</v>
      </c>
      <c r="CH37" s="32">
        <f>CH34*$D$63/4</f>
        <v>0</v>
      </c>
      <c r="CI37" s="32">
        <f>CI34*$D$63/4</f>
        <v>0</v>
      </c>
      <c r="CJ37" s="32">
        <f>CJ34*$D$63/4</f>
        <v>0</v>
      </c>
      <c r="CK37" s="32">
        <f>CK34*$D$63/4</f>
        <v>0</v>
      </c>
      <c r="CL37" s="32">
        <f>CL34*$D$63/4</f>
        <v>0</v>
      </c>
    </row>
    <row r="38" spans="2:90" x14ac:dyDescent="0.25">
      <c r="B38" s="34" t="s">
        <v>241</v>
      </c>
      <c r="C38" s="35" t="s">
        <v>228</v>
      </c>
      <c r="D38" s="14">
        <f>SUM(E38:CL38)</f>
        <v>46069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f>D35/64</f>
        <v>719.828125</v>
      </c>
      <c r="P38" s="32">
        <f>D35/64</f>
        <v>719.828125</v>
      </c>
      <c r="Q38" s="32">
        <f>D35/64</f>
        <v>719.828125</v>
      </c>
      <c r="R38" s="32">
        <f>D35/64</f>
        <v>719.828125</v>
      </c>
      <c r="S38" s="32">
        <f>D35/64</f>
        <v>719.828125</v>
      </c>
      <c r="T38" s="32">
        <f>D35/64</f>
        <v>719.828125</v>
      </c>
      <c r="U38" s="32">
        <f>D35/64</f>
        <v>719.828125</v>
      </c>
      <c r="V38" s="32">
        <f>D35/64</f>
        <v>719.828125</v>
      </c>
      <c r="W38" s="32">
        <f>D35/64</f>
        <v>719.828125</v>
      </c>
      <c r="X38" s="32">
        <f>D35/64</f>
        <v>719.828125</v>
      </c>
      <c r="Y38" s="32">
        <f>D35/64</f>
        <v>719.828125</v>
      </c>
      <c r="Z38" s="32">
        <f>D35/64</f>
        <v>719.828125</v>
      </c>
      <c r="AA38" s="32">
        <f>D35/64</f>
        <v>719.828125</v>
      </c>
      <c r="AB38" s="32">
        <f>D35/64</f>
        <v>719.828125</v>
      </c>
      <c r="AC38" s="32">
        <f>D35/64</f>
        <v>719.828125</v>
      </c>
      <c r="AD38" s="32">
        <f>D35/64</f>
        <v>719.828125</v>
      </c>
      <c r="AE38" s="32">
        <f>D35/64</f>
        <v>719.828125</v>
      </c>
      <c r="AF38" s="32">
        <f>D35/64</f>
        <v>719.828125</v>
      </c>
      <c r="AG38" s="32">
        <f>D35/64</f>
        <v>719.828125</v>
      </c>
      <c r="AH38" s="32">
        <f>D35/64</f>
        <v>719.828125</v>
      </c>
      <c r="AI38" s="32">
        <f>D35/64</f>
        <v>719.828125</v>
      </c>
      <c r="AJ38" s="32">
        <f>D35/64</f>
        <v>719.828125</v>
      </c>
      <c r="AK38" s="32">
        <f>D35/64</f>
        <v>719.828125</v>
      </c>
      <c r="AL38" s="32">
        <f>D35/64</f>
        <v>719.828125</v>
      </c>
      <c r="AM38" s="32">
        <f>D35/64</f>
        <v>719.828125</v>
      </c>
      <c r="AN38" s="32">
        <f>D35/64</f>
        <v>719.828125</v>
      </c>
      <c r="AO38" s="32">
        <f>D35/64</f>
        <v>719.828125</v>
      </c>
      <c r="AP38" s="32">
        <f>D35/64</f>
        <v>719.828125</v>
      </c>
      <c r="AQ38" s="32">
        <f>D35/64</f>
        <v>719.828125</v>
      </c>
      <c r="AR38" s="32">
        <f>D35/64</f>
        <v>719.828125</v>
      </c>
      <c r="AS38" s="32">
        <f>D35/64</f>
        <v>719.828125</v>
      </c>
      <c r="AT38" s="32">
        <f>D35/64</f>
        <v>719.828125</v>
      </c>
      <c r="AU38" s="32">
        <f>D35/64</f>
        <v>719.828125</v>
      </c>
      <c r="AV38" s="32">
        <f>D35/64</f>
        <v>719.828125</v>
      </c>
      <c r="AW38" s="32">
        <f>D35/64</f>
        <v>719.828125</v>
      </c>
      <c r="AX38" s="32">
        <f>D35/64</f>
        <v>719.828125</v>
      </c>
      <c r="AY38" s="32">
        <f>D35/64</f>
        <v>719.828125</v>
      </c>
      <c r="AZ38" s="32">
        <f>D35/64</f>
        <v>719.828125</v>
      </c>
      <c r="BA38" s="32">
        <f>D35/64</f>
        <v>719.828125</v>
      </c>
      <c r="BB38" s="32">
        <f>D35/64</f>
        <v>719.828125</v>
      </c>
      <c r="BC38" s="32">
        <f>D35/64</f>
        <v>719.828125</v>
      </c>
      <c r="BD38" s="32">
        <f>D35/64</f>
        <v>719.828125</v>
      </c>
      <c r="BE38" s="32">
        <f>D35/64</f>
        <v>719.828125</v>
      </c>
      <c r="BF38" s="32">
        <f>D35/64</f>
        <v>719.828125</v>
      </c>
      <c r="BG38" s="32">
        <f>D35/64</f>
        <v>719.828125</v>
      </c>
      <c r="BH38" s="32">
        <f>D35/64</f>
        <v>719.828125</v>
      </c>
      <c r="BI38" s="32">
        <f>D35/64</f>
        <v>719.828125</v>
      </c>
      <c r="BJ38" s="32">
        <f>D35/64</f>
        <v>719.828125</v>
      </c>
      <c r="BK38" s="32">
        <f>D35/64</f>
        <v>719.828125</v>
      </c>
      <c r="BL38" s="32">
        <f>D35/64</f>
        <v>719.828125</v>
      </c>
      <c r="BM38" s="32">
        <f>D35/64</f>
        <v>719.828125</v>
      </c>
      <c r="BN38" s="32">
        <f>D35/64</f>
        <v>719.828125</v>
      </c>
      <c r="BO38" s="32">
        <f>D35/64</f>
        <v>719.828125</v>
      </c>
      <c r="BP38" s="32">
        <f>D35/64</f>
        <v>719.828125</v>
      </c>
      <c r="BQ38" s="32">
        <f>D35/64</f>
        <v>719.828125</v>
      </c>
      <c r="BR38" s="32">
        <f>D35/64</f>
        <v>719.828125</v>
      </c>
      <c r="BS38" s="32">
        <f>D35/64</f>
        <v>719.828125</v>
      </c>
      <c r="BT38" s="32">
        <f>D35/64</f>
        <v>719.828125</v>
      </c>
      <c r="BU38" s="32">
        <f>D35/64</f>
        <v>719.828125</v>
      </c>
      <c r="BV38" s="32">
        <f>D35/64</f>
        <v>719.828125</v>
      </c>
      <c r="BW38" s="32">
        <f>D35/64</f>
        <v>719.828125</v>
      </c>
      <c r="BX38" s="32">
        <f>D35/64</f>
        <v>719.828125</v>
      </c>
      <c r="BY38" s="32">
        <f>D35/64</f>
        <v>719.828125</v>
      </c>
      <c r="BZ38" s="32">
        <f>D35/64</f>
        <v>719.828125</v>
      </c>
      <c r="CA38" s="32">
        <v>0</v>
      </c>
      <c r="CB38" s="32">
        <v>0</v>
      </c>
      <c r="CC38" s="32">
        <v>0</v>
      </c>
      <c r="CD38" s="32">
        <v>0</v>
      </c>
      <c r="CE38" s="32">
        <v>0</v>
      </c>
      <c r="CF38" s="32">
        <v>0</v>
      </c>
      <c r="CG38" s="32">
        <v>0</v>
      </c>
      <c r="CH38" s="32">
        <v>0</v>
      </c>
      <c r="CI38" s="32">
        <v>0</v>
      </c>
      <c r="CJ38" s="32">
        <v>0</v>
      </c>
      <c r="CK38" s="32">
        <v>0</v>
      </c>
      <c r="CL38" s="32">
        <v>0</v>
      </c>
    </row>
    <row r="39" spans="2:90" x14ac:dyDescent="0.25">
      <c r="B39" s="47" t="s">
        <v>242</v>
      </c>
      <c r="C39" s="35" t="s">
        <v>228</v>
      </c>
      <c r="E39" s="14">
        <f>E34+E35-E38</f>
        <v>0</v>
      </c>
      <c r="F39" s="14">
        <f>F34+F35-F38</f>
        <v>7406.19771910621</v>
      </c>
      <c r="G39" s="14">
        <f>G34+G35-G38</f>
        <v>17819.28848950036</v>
      </c>
      <c r="H39" s="14">
        <f>H34+H35-H38</f>
        <v>30954.73137694933</v>
      </c>
      <c r="I39" s="14">
        <f>I34+I35-I38</f>
        <v>41695.35030181982</v>
      </c>
      <c r="J39" s="14">
        <f>J34+J35-J38</f>
        <v>46069</v>
      </c>
      <c r="K39" s="14">
        <f>K34+K35-K38</f>
        <v>46069</v>
      </c>
      <c r="L39" s="14">
        <f>L34+L35-L38</f>
        <v>46069</v>
      </c>
      <c r="M39" s="14">
        <f>M34+M35-M38</f>
        <v>46069</v>
      </c>
      <c r="N39" s="14">
        <f>N34+N35-N38</f>
        <v>46069</v>
      </c>
      <c r="O39" s="14">
        <f>O34+O35-O38</f>
        <v>45349.171875</v>
      </c>
      <c r="P39" s="14">
        <f>P34+P35-P38</f>
        <v>44629.34375</v>
      </c>
      <c r="Q39" s="14">
        <f>Q34+Q35-Q38</f>
        <v>43909.515625</v>
      </c>
      <c r="R39" s="14">
        <f>R34+R35-R38</f>
        <v>43189.6875</v>
      </c>
      <c r="S39" s="14">
        <f>S34+S35-S38</f>
        <v>42469.859375</v>
      </c>
      <c r="T39" s="14">
        <f>T34+T35-T38</f>
        <v>41750.03125</v>
      </c>
      <c r="U39" s="14">
        <f>U34+U35-U38</f>
        <v>41030.203125</v>
      </c>
      <c r="V39" s="14">
        <f>V34+V35-V38</f>
        <v>40310.375</v>
      </c>
      <c r="W39" s="14">
        <f>W34+W35-W38</f>
        <v>39590.546875</v>
      </c>
      <c r="X39" s="14">
        <f>X34+X35-X38</f>
        <v>38870.71875</v>
      </c>
      <c r="Y39" s="14">
        <f>Y34+Y35-Y38</f>
        <v>38150.890625</v>
      </c>
      <c r="Z39" s="14">
        <f>Z34+Z35-Z38</f>
        <v>37431.0625</v>
      </c>
      <c r="AA39" s="14">
        <f>AA34+AA35-AA38</f>
        <v>36711.234375</v>
      </c>
      <c r="AB39" s="14">
        <f>AB34+AB35-AB38</f>
        <v>35991.40625</v>
      </c>
      <c r="AC39" s="14">
        <f>AC34+AC35-AC38</f>
        <v>35271.578125</v>
      </c>
      <c r="AD39" s="14">
        <f>AD34+AD35-AD38</f>
        <v>34551.75</v>
      </c>
      <c r="AE39" s="14">
        <f>AE34+AE35-AE38</f>
        <v>33831.921875</v>
      </c>
      <c r="AF39" s="14">
        <f>AF34+AF35-AF38</f>
        <v>33112.09375</v>
      </c>
      <c r="AG39" s="14">
        <f>AG34+AG35-AG38</f>
        <v>32392.265625</v>
      </c>
      <c r="AH39" s="14">
        <f>AH34+AH35-AH38</f>
        <v>31672.4375</v>
      </c>
      <c r="AI39" s="14">
        <f>AI34+AI35-AI38</f>
        <v>30952.609375</v>
      </c>
      <c r="AJ39" s="14">
        <f>AJ34+AJ35-AJ38</f>
        <v>30232.78125</v>
      </c>
      <c r="AK39" s="14">
        <f>AK34+AK35-AK38</f>
        <v>29512.953125</v>
      </c>
      <c r="AL39" s="14">
        <f>AL34+AL35-AL38</f>
        <v>28793.125</v>
      </c>
      <c r="AM39" s="14">
        <f>AM34+AM35-AM38</f>
        <v>28073.296875</v>
      </c>
      <c r="AN39" s="14">
        <f>AN34+AN35-AN38</f>
        <v>27353.46875</v>
      </c>
      <c r="AO39" s="14">
        <f>AO34+AO35-AO38</f>
        <v>26633.640625</v>
      </c>
      <c r="AP39" s="14">
        <f>AP34+AP35-AP38</f>
        <v>25913.8125</v>
      </c>
      <c r="AQ39" s="14">
        <f>AQ34+AQ35-AQ38</f>
        <v>25193.984375</v>
      </c>
      <c r="AR39" s="14">
        <f>AR34+AR35-AR38</f>
        <v>24474.15625</v>
      </c>
      <c r="AS39" s="14">
        <f>AS34+AS35-AS38</f>
        <v>23754.328125</v>
      </c>
      <c r="AT39" s="14">
        <f>AT34+AT35-AT38</f>
        <v>23034.5</v>
      </c>
      <c r="AU39" s="14">
        <f>AU34+AU35-AU38</f>
        <v>22314.671875</v>
      </c>
      <c r="AV39" s="14">
        <f>AV34+AV35-AV38</f>
        <v>21594.84375</v>
      </c>
      <c r="AW39" s="14">
        <f>AW34+AW35-AW38</f>
        <v>20875.015625</v>
      </c>
      <c r="AX39" s="14">
        <f>AX34+AX35-AX38</f>
        <v>20155.1875</v>
      </c>
      <c r="AY39" s="14">
        <f>AY34+AY35-AY38</f>
        <v>19435.359375</v>
      </c>
      <c r="AZ39" s="14">
        <f>AZ34+AZ35-AZ38</f>
        <v>18715.53125</v>
      </c>
      <c r="BA39" s="14">
        <f>BA34+BA35-BA38</f>
        <v>17995.703125</v>
      </c>
      <c r="BB39" s="14">
        <f>BB34+BB35-BB38</f>
        <v>17275.875</v>
      </c>
      <c r="BC39" s="14">
        <f>BC34+BC35-BC38</f>
        <v>16556.046875</v>
      </c>
      <c r="BD39" s="14">
        <f>BD34+BD35-BD38</f>
        <v>15836.21875</v>
      </c>
      <c r="BE39" s="14">
        <f>BE34+BE35-BE38</f>
        <v>15116.390625</v>
      </c>
      <c r="BF39" s="14">
        <f>BF34+BF35-BF38</f>
        <v>14396.5625</v>
      </c>
      <c r="BG39" s="14">
        <f>BG34+BG35-BG38</f>
        <v>13676.734375</v>
      </c>
      <c r="BH39" s="14">
        <f>BH34+BH35-BH38</f>
        <v>12956.90625</v>
      </c>
      <c r="BI39" s="14">
        <f>BI34+BI35-BI38</f>
        <v>12237.078125</v>
      </c>
      <c r="BJ39" s="14">
        <f>BJ34+BJ35-BJ38</f>
        <v>11517.25</v>
      </c>
      <c r="BK39" s="14">
        <f>BK34+BK35-BK38</f>
        <v>10797.421875</v>
      </c>
      <c r="BL39" s="14">
        <f>BL34+BL35-BL38</f>
        <v>10077.59375</v>
      </c>
      <c r="BM39" s="14">
        <f>BM34+BM35-BM38</f>
        <v>9357.765625</v>
      </c>
      <c r="BN39" s="14">
        <f>BN34+BN35-BN38</f>
        <v>8637.9375</v>
      </c>
      <c r="BO39" s="14">
        <f>BO34+BO35-BO38</f>
        <v>7918.109375</v>
      </c>
      <c r="BP39" s="14">
        <f>BP34+BP35-BP38</f>
        <v>7198.28125</v>
      </c>
      <c r="BQ39" s="14">
        <f>BQ34+BQ35-BQ38</f>
        <v>6478.453125</v>
      </c>
      <c r="BR39" s="14">
        <f>BR34+BR35-BR38</f>
        <v>5758.625</v>
      </c>
      <c r="BS39" s="14">
        <f>BS34+BS35-BS38</f>
        <v>5038.796875</v>
      </c>
      <c r="BT39" s="14">
        <f>BT34+BT35-BT38</f>
        <v>4318.96875</v>
      </c>
      <c r="BU39" s="14">
        <f>BU34+BU35-BU38</f>
        <v>3599.140625</v>
      </c>
      <c r="BV39" s="14">
        <f>BV34+BV35-BV38</f>
        <v>2879.3125</v>
      </c>
      <c r="BW39" s="14">
        <f>BW34+BW35-BW38</f>
        <v>2159.484375</v>
      </c>
      <c r="BX39" s="14">
        <f>BX34+BX35-BX38</f>
        <v>1439.65625</v>
      </c>
      <c r="BY39" s="14">
        <f>BY34+BY35-BY38</f>
        <v>719.828125</v>
      </c>
      <c r="BZ39" s="14">
        <f>BZ34+BZ35-BZ38</f>
        <v>0</v>
      </c>
      <c r="CA39" s="14">
        <f>CA34+CA35-CA38</f>
        <v>0</v>
      </c>
      <c r="CB39" s="14">
        <f>CB34+CB35-CB38</f>
        <v>0</v>
      </c>
      <c r="CC39" s="14">
        <f>CC34+CC35-CC38</f>
        <v>0</v>
      </c>
      <c r="CD39" s="14">
        <f>CD34+CD35-CD38</f>
        <v>0</v>
      </c>
      <c r="CE39" s="14">
        <f>CE34+CE35-CE38</f>
        <v>0</v>
      </c>
      <c r="CF39" s="14">
        <f>CF34+CF35-CF38</f>
        <v>0</v>
      </c>
      <c r="CG39" s="14">
        <f>CG34+CG35-CG38</f>
        <v>0</v>
      </c>
      <c r="CH39" s="14">
        <f>CH34+CH35-CH38</f>
        <v>0</v>
      </c>
      <c r="CI39" s="14">
        <f>CI34+CI35-CI38</f>
        <v>0</v>
      </c>
      <c r="CJ39" s="14">
        <f>CJ34+CJ35-CJ38</f>
        <v>0</v>
      </c>
      <c r="CK39" s="14">
        <f>CK34+CK35-CK38</f>
        <v>0</v>
      </c>
      <c r="CL39" s="14">
        <f>CL34+CL35-CL38</f>
        <v>0</v>
      </c>
    </row>
    <row r="40" spans="2:6" x14ac:dyDescent="0.25">
      <c r="B40" s="34" t="s">
        <v>243</v>
      </c>
      <c r="C40" s="35" t="s">
        <v>228</v>
      </c>
      <c r="D40" s="32">
        <f>CL39</f>
        <v>0</v>
      </c>
      <c r="F40" s="31" t="str">
        <f>IF(ABS(D40)&lt;1,"완전상환 확인 (OK)","경고: 미상환 잔액")</f>
        <v>완전상환 확인 (OK)</v>
      </c>
    </row>
    <row r="41" spans="2:6" x14ac:dyDescent="0.25">
      <c r="B41" s="34" t="s">
        <v>244</v>
      </c>
      <c r="F41" s="50" t="str">
        <f>IF(AND(E16&lt;1,F16&gt;1),"인출 시작 분기 일치 (OK)","경고: 첫 인출 분기가 생성 당시(2024-09-30)와 달라졌습니다. 상환 스케줄이 들어간 열은 고정이라 실제와 어긋납니다 — 화면(HTML)에서 다시 생성하세요.")</f>
        <v>인출 시작 분기 일치 (OK)</v>
      </c>
    </row>
    <row r="43" spans="2:91" x14ac:dyDescent="0.25">
      <c r="B43" s="9" t="s">
        <v>245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</row>
    <row r="44" spans="2:90" x14ac:dyDescent="0.25">
      <c r="B44" s="34" t="s">
        <v>238</v>
      </c>
      <c r="C44" s="35" t="s">
        <v>228</v>
      </c>
      <c r="E44" s="32">
        <f>E24+E34</f>
        <v>0</v>
      </c>
      <c r="F44" s="32">
        <f>F24+F34</f>
        <v>0</v>
      </c>
      <c r="G44" s="32">
        <f>G24+G34</f>
        <v>20267.250000000015</v>
      </c>
      <c r="H44" s="32">
        <f>H24+H34</f>
        <v>48762.939950570246</v>
      </c>
      <c r="I44" s="32">
        <f>I24+I34</f>
        <v>84708.41628775587</v>
      </c>
      <c r="J44" s="32">
        <f>J24+J34</f>
        <v>114100.39543294022</v>
      </c>
      <c r="K44" s="32">
        <f>K24+K34</f>
        <v>126069</v>
      </c>
      <c r="L44" s="32">
        <f>L24+L34</f>
        <v>126069</v>
      </c>
      <c r="M44" s="32">
        <f>M24+M34</f>
        <v>126069</v>
      </c>
      <c r="N44" s="32">
        <f>N24+N34</f>
        <v>126069</v>
      </c>
      <c r="O44" s="32">
        <f>O24+O34</f>
        <v>126069</v>
      </c>
      <c r="P44" s="32">
        <f>P24+P34</f>
        <v>124099.171875</v>
      </c>
      <c r="Q44" s="32">
        <f>Q24+Q34</f>
        <v>122129.34375</v>
      </c>
      <c r="R44" s="32">
        <f>R24+R34</f>
        <v>120159.515625</v>
      </c>
      <c r="S44" s="32">
        <f>S24+S34</f>
        <v>118189.6875</v>
      </c>
      <c r="T44" s="32">
        <f>T24+T34</f>
        <v>116219.859375</v>
      </c>
      <c r="U44" s="32">
        <f>U24+U34</f>
        <v>114250.03125</v>
      </c>
      <c r="V44" s="32">
        <f>V24+V34</f>
        <v>112280.203125</v>
      </c>
      <c r="W44" s="32">
        <f>W24+W34</f>
        <v>110310.375</v>
      </c>
      <c r="X44" s="32">
        <f>X24+X34</f>
        <v>108340.546875</v>
      </c>
      <c r="Y44" s="32">
        <f>Y24+Y34</f>
        <v>106370.71875</v>
      </c>
      <c r="Z44" s="32">
        <f>Z24+Z34</f>
        <v>104400.890625</v>
      </c>
      <c r="AA44" s="32">
        <f>AA24+AA34</f>
        <v>102431.0625</v>
      </c>
      <c r="AB44" s="32">
        <f>AB24+AB34</f>
        <v>100461.234375</v>
      </c>
      <c r="AC44" s="32">
        <f>AC24+AC34</f>
        <v>98491.40625</v>
      </c>
      <c r="AD44" s="32">
        <f>AD24+AD34</f>
        <v>96521.578125</v>
      </c>
      <c r="AE44" s="32">
        <f>AE24+AE34</f>
        <v>94551.75</v>
      </c>
      <c r="AF44" s="32">
        <f>AF24+AF34</f>
        <v>92581.921875</v>
      </c>
      <c r="AG44" s="32">
        <f>AG24+AG34</f>
        <v>90612.09375</v>
      </c>
      <c r="AH44" s="32">
        <f>AH24+AH34</f>
        <v>88642.265625</v>
      </c>
      <c r="AI44" s="32">
        <f>AI24+AI34</f>
        <v>86672.4375</v>
      </c>
      <c r="AJ44" s="32">
        <f>AJ24+AJ34</f>
        <v>84702.609375</v>
      </c>
      <c r="AK44" s="32">
        <f>AK24+AK34</f>
        <v>82732.78125</v>
      </c>
      <c r="AL44" s="32">
        <f>AL24+AL34</f>
        <v>80762.953125</v>
      </c>
      <c r="AM44" s="32">
        <f>AM24+AM34</f>
        <v>78793.125</v>
      </c>
      <c r="AN44" s="32">
        <f>AN24+AN34</f>
        <v>76823.296875</v>
      </c>
      <c r="AO44" s="32">
        <f>AO24+AO34</f>
        <v>74853.46875</v>
      </c>
      <c r="AP44" s="32">
        <f>AP24+AP34</f>
        <v>72883.640625</v>
      </c>
      <c r="AQ44" s="32">
        <f>AQ24+AQ34</f>
        <v>70913.8125</v>
      </c>
      <c r="AR44" s="32">
        <f>AR24+AR34</f>
        <v>68943.984375</v>
      </c>
      <c r="AS44" s="32">
        <f>AS24+AS34</f>
        <v>66974.15625</v>
      </c>
      <c r="AT44" s="32">
        <f>AT24+AT34</f>
        <v>65004.328125</v>
      </c>
      <c r="AU44" s="32">
        <f>AU24+AU34</f>
        <v>63034.5</v>
      </c>
      <c r="AV44" s="32">
        <f>AV24+AV34</f>
        <v>61064.671875</v>
      </c>
      <c r="AW44" s="32">
        <f>AW24+AW34</f>
        <v>59094.84375</v>
      </c>
      <c r="AX44" s="32">
        <f>AX24+AX34</f>
        <v>57125.015625</v>
      </c>
      <c r="AY44" s="32">
        <f>AY24+AY34</f>
        <v>55155.1875</v>
      </c>
      <c r="AZ44" s="32">
        <f>AZ24+AZ34</f>
        <v>53185.359375</v>
      </c>
      <c r="BA44" s="32">
        <f>BA24+BA34</f>
        <v>51215.53125</v>
      </c>
      <c r="BB44" s="32">
        <f>BB24+BB34</f>
        <v>49245.703125</v>
      </c>
      <c r="BC44" s="32">
        <f>BC24+BC34</f>
        <v>47275.875</v>
      </c>
      <c r="BD44" s="32">
        <f>BD24+BD34</f>
        <v>45306.046875</v>
      </c>
      <c r="BE44" s="32">
        <f>BE24+BE34</f>
        <v>43336.21875</v>
      </c>
      <c r="BF44" s="32">
        <f>BF24+BF34</f>
        <v>41366.390625</v>
      </c>
      <c r="BG44" s="32">
        <f>BG24+BG34</f>
        <v>39396.5625</v>
      </c>
      <c r="BH44" s="32">
        <f>BH24+BH34</f>
        <v>37426.734375</v>
      </c>
      <c r="BI44" s="32">
        <f>BI24+BI34</f>
        <v>35456.90625</v>
      </c>
      <c r="BJ44" s="32">
        <f>BJ24+BJ34</f>
        <v>33487.078125</v>
      </c>
      <c r="BK44" s="32">
        <f>BK24+BK34</f>
        <v>31517.25</v>
      </c>
      <c r="BL44" s="32">
        <f>BL24+BL34</f>
        <v>29547.421875</v>
      </c>
      <c r="BM44" s="32">
        <f>BM24+BM34</f>
        <v>27577.59375</v>
      </c>
      <c r="BN44" s="32">
        <f>BN24+BN34</f>
        <v>25607.765625</v>
      </c>
      <c r="BO44" s="32">
        <f>BO24+BO34</f>
        <v>23637.9375</v>
      </c>
      <c r="BP44" s="32">
        <f>BP24+BP34</f>
        <v>21668.109375</v>
      </c>
      <c r="BQ44" s="32">
        <f>BQ24+BQ34</f>
        <v>19698.28125</v>
      </c>
      <c r="BR44" s="32">
        <f>BR24+BR34</f>
        <v>17728.453125</v>
      </c>
      <c r="BS44" s="32">
        <f>BS24+BS34</f>
        <v>15758.625</v>
      </c>
      <c r="BT44" s="32">
        <f>BT24+BT34</f>
        <v>13788.796875</v>
      </c>
      <c r="BU44" s="32">
        <f>BU24+BU34</f>
        <v>11818.96875</v>
      </c>
      <c r="BV44" s="32">
        <f>BV24+BV34</f>
        <v>9849.140625</v>
      </c>
      <c r="BW44" s="32">
        <f>BW24+BW34</f>
        <v>7879.3125</v>
      </c>
      <c r="BX44" s="32">
        <f>BX24+BX34</f>
        <v>5909.484375</v>
      </c>
      <c r="BY44" s="32">
        <f>BY24+BY34</f>
        <v>3939.65625</v>
      </c>
      <c r="BZ44" s="32">
        <f>BZ24+BZ34</f>
        <v>1969.828125</v>
      </c>
      <c r="CA44" s="32">
        <f>CA24+CA34</f>
        <v>0</v>
      </c>
      <c r="CB44" s="32">
        <f>CB24+CB34</f>
        <v>0</v>
      </c>
      <c r="CC44" s="32">
        <f>CC24+CC34</f>
        <v>0</v>
      </c>
      <c r="CD44" s="32">
        <f>CD24+CD34</f>
        <v>0</v>
      </c>
      <c r="CE44" s="32">
        <f>CE24+CE34</f>
        <v>0</v>
      </c>
      <c r="CF44" s="32">
        <f>CF24+CF34</f>
        <v>0</v>
      </c>
      <c r="CG44" s="32">
        <f>CG24+CG34</f>
        <v>0</v>
      </c>
      <c r="CH44" s="32">
        <f>CH24+CH34</f>
        <v>0</v>
      </c>
      <c r="CI44" s="32">
        <f>CI24+CI34</f>
        <v>0</v>
      </c>
      <c r="CJ44" s="32">
        <f>CJ24+CJ34</f>
        <v>0</v>
      </c>
      <c r="CK44" s="32">
        <f>CK24+CK34</f>
        <v>0</v>
      </c>
      <c r="CL44" s="32">
        <f>CL24+CL34</f>
        <v>0</v>
      </c>
    </row>
    <row r="45" spans="2:90" x14ac:dyDescent="0.25">
      <c r="B45" s="34" t="s">
        <v>246</v>
      </c>
      <c r="C45" s="35" t="s">
        <v>228</v>
      </c>
      <c r="D45" s="14">
        <f>SUM(E45:CL45)</f>
        <v>64000.87937499999</v>
      </c>
      <c r="E45" s="32">
        <f>E27+E37</f>
        <v>0</v>
      </c>
      <c r="F45" s="32">
        <f>F27+F37</f>
        <v>0</v>
      </c>
      <c r="G45" s="32">
        <f>G27+G37</f>
        <v>0</v>
      </c>
      <c r="H45" s="32">
        <f>H27+H37</f>
        <v>0</v>
      </c>
      <c r="I45" s="32">
        <f>I27+I37</f>
        <v>0</v>
      </c>
      <c r="J45" s="32">
        <f>J27+J37</f>
        <v>0</v>
      </c>
      <c r="K45" s="32">
        <f>K27+K37</f>
        <v>1753.4487499999998</v>
      </c>
      <c r="L45" s="32">
        <f>L27+L37</f>
        <v>1753.4487499999998</v>
      </c>
      <c r="M45" s="32">
        <f>M27+M37</f>
        <v>1753.4487499999998</v>
      </c>
      <c r="N45" s="32">
        <f>N27+N37</f>
        <v>1753.4487499999998</v>
      </c>
      <c r="O45" s="32">
        <f>O27+O37</f>
        <v>1753.4487499999998</v>
      </c>
      <c r="P45" s="32">
        <f>P27+P37</f>
        <v>1726.0511132812499</v>
      </c>
      <c r="Q45" s="32">
        <f>Q27+Q37</f>
        <v>1698.6534765625001</v>
      </c>
      <c r="R45" s="32">
        <f>R27+R37</f>
        <v>1671.25583984375</v>
      </c>
      <c r="S45" s="32">
        <f>S27+S37</f>
        <v>1643.858203125</v>
      </c>
      <c r="T45" s="32">
        <f>T27+T37</f>
        <v>1616.46056640625</v>
      </c>
      <c r="U45" s="32">
        <f>U27+U37</f>
        <v>1589.0629296875</v>
      </c>
      <c r="V45" s="32">
        <f>V27+V37</f>
        <v>1561.6652929687498</v>
      </c>
      <c r="W45" s="32">
        <f>W27+W37</f>
        <v>1534.2676562499998</v>
      </c>
      <c r="X45" s="32">
        <f>X27+X37</f>
        <v>1506.87001953125</v>
      </c>
      <c r="Y45" s="32">
        <f>Y27+Y37</f>
        <v>1479.4723828124997</v>
      </c>
      <c r="Z45" s="32">
        <f>Z27+Z37</f>
        <v>1452.07474609375</v>
      </c>
      <c r="AA45" s="32">
        <f>AA27+AA37</f>
        <v>1424.6771093749999</v>
      </c>
      <c r="AB45" s="32">
        <f>AB27+AB37</f>
        <v>1397.27947265625</v>
      </c>
      <c r="AC45" s="32">
        <f>AC27+AC37</f>
        <v>1369.8818359375</v>
      </c>
      <c r="AD45" s="32">
        <f>AD27+AD37</f>
        <v>1342.4841992187498</v>
      </c>
      <c r="AE45" s="32">
        <f>AE27+AE37</f>
        <v>1315.0865625</v>
      </c>
      <c r="AF45" s="32">
        <f>AF27+AF37</f>
        <v>1287.68892578125</v>
      </c>
      <c r="AG45" s="32">
        <f>AG27+AG37</f>
        <v>1260.2912890624998</v>
      </c>
      <c r="AH45" s="32">
        <f>AH27+AH37</f>
        <v>1232.8936523437499</v>
      </c>
      <c r="AI45" s="32">
        <f>AI27+AI37</f>
        <v>1205.496015625</v>
      </c>
      <c r="AJ45" s="32">
        <f>AJ27+AJ37</f>
        <v>1178.0983789062498</v>
      </c>
      <c r="AK45" s="32">
        <f>AK27+AK37</f>
        <v>1150.7007421874998</v>
      </c>
      <c r="AL45" s="32">
        <f>AL27+AL37</f>
        <v>1123.30310546875</v>
      </c>
      <c r="AM45" s="32">
        <f>AM27+AM37</f>
        <v>1095.90546875</v>
      </c>
      <c r="AN45" s="32">
        <f>AN27+AN37</f>
        <v>1068.50783203125</v>
      </c>
      <c r="AO45" s="32">
        <f>AO27+AO37</f>
        <v>1041.1101953124999</v>
      </c>
      <c r="AP45" s="32">
        <f>AP27+AP37</f>
        <v>1013.7125585937499</v>
      </c>
      <c r="AQ45" s="32">
        <f>AQ27+AQ37</f>
        <v>986.3149218749999</v>
      </c>
      <c r="AR45" s="32">
        <f>AR27+AR37</f>
        <v>958.9172851562498</v>
      </c>
      <c r="AS45" s="32">
        <f>AS27+AS37</f>
        <v>931.5196484374999</v>
      </c>
      <c r="AT45" s="32">
        <f>AT27+AT37</f>
        <v>904.12201171875</v>
      </c>
      <c r="AU45" s="32">
        <f>AU27+AU37</f>
        <v>876.7243749999999</v>
      </c>
      <c r="AV45" s="32">
        <f>AV27+AV37</f>
        <v>849.3267382812501</v>
      </c>
      <c r="AW45" s="32">
        <f>AW27+AW37</f>
        <v>821.9291015625</v>
      </c>
      <c r="AX45" s="32">
        <f>AX27+AX37</f>
        <v>794.53146484375</v>
      </c>
      <c r="AY45" s="32">
        <f>AY27+AY37</f>
        <v>767.1338281249999</v>
      </c>
      <c r="AZ45" s="32">
        <f>AZ27+AZ37</f>
        <v>739.7361914062499</v>
      </c>
      <c r="BA45" s="32">
        <f>BA27+BA37</f>
        <v>712.3385546874999</v>
      </c>
      <c r="BB45" s="32">
        <f>BB27+BB37</f>
        <v>684.94091796875</v>
      </c>
      <c r="BC45" s="32">
        <f>BC27+BC37</f>
        <v>657.54328125</v>
      </c>
      <c r="BD45" s="32">
        <f>BD27+BD37</f>
        <v>630.1456445312499</v>
      </c>
      <c r="BE45" s="32">
        <f>BE27+BE37</f>
        <v>602.7480078125</v>
      </c>
      <c r="BF45" s="32">
        <f>BF27+BF37</f>
        <v>575.3503710937499</v>
      </c>
      <c r="BG45" s="32">
        <f>BG27+BG37</f>
        <v>547.952734375</v>
      </c>
      <c r="BH45" s="32">
        <f>BH27+BH37</f>
        <v>520.5550976562499</v>
      </c>
      <c r="BI45" s="32">
        <f>BI27+BI37</f>
        <v>493.15746093749993</v>
      </c>
      <c r="BJ45" s="32">
        <f>BJ27+BJ37</f>
        <v>465.75982421874994</v>
      </c>
      <c r="BK45" s="32">
        <f>BK27+BK37</f>
        <v>438.36218749999995</v>
      </c>
      <c r="BL45" s="32">
        <f>BL27+BL37</f>
        <v>410.96455078125</v>
      </c>
      <c r="BM45" s="32">
        <f>BM27+BM37</f>
        <v>383.56691406249996</v>
      </c>
      <c r="BN45" s="32">
        <f>BN27+BN37</f>
        <v>356.16927734374997</v>
      </c>
      <c r="BO45" s="32">
        <f>BO27+BO37</f>
        <v>328.771640625</v>
      </c>
      <c r="BP45" s="32">
        <f>BP27+BP37</f>
        <v>301.37400390625</v>
      </c>
      <c r="BQ45" s="32">
        <f>BQ27+BQ37</f>
        <v>273.9763671875</v>
      </c>
      <c r="BR45" s="32">
        <f>BR27+BR37</f>
        <v>246.57873046874997</v>
      </c>
      <c r="BS45" s="32">
        <f>BS27+BS37</f>
        <v>219.18109374999997</v>
      </c>
      <c r="BT45" s="32">
        <f>BT27+BT37</f>
        <v>191.78345703124998</v>
      </c>
      <c r="BU45" s="32">
        <f>BU27+BU37</f>
        <v>164.3858203125</v>
      </c>
      <c r="BV45" s="32">
        <f>BV27+BV37</f>
        <v>136.98818359375</v>
      </c>
      <c r="BW45" s="32">
        <f>BW27+BW37</f>
        <v>109.59054687499999</v>
      </c>
      <c r="BX45" s="32">
        <f>BX27+BX37</f>
        <v>82.19291015625</v>
      </c>
      <c r="BY45" s="32">
        <f>BY27+BY37</f>
        <v>54.79527343749999</v>
      </c>
      <c r="BZ45" s="32">
        <f>BZ27+BZ37</f>
        <v>27.397636718749997</v>
      </c>
      <c r="CA45" s="32">
        <f>CA27+CA37</f>
        <v>0</v>
      </c>
      <c r="CB45" s="32">
        <f>CB27+CB37</f>
        <v>0</v>
      </c>
      <c r="CC45" s="32">
        <f>CC27+CC37</f>
        <v>0</v>
      </c>
      <c r="CD45" s="32">
        <f>CD27+CD37</f>
        <v>0</v>
      </c>
      <c r="CE45" s="32">
        <f>CE27+CE37</f>
        <v>0</v>
      </c>
      <c r="CF45" s="32">
        <f>CF27+CF37</f>
        <v>0</v>
      </c>
      <c r="CG45" s="32">
        <f>CG27+CG37</f>
        <v>0</v>
      </c>
      <c r="CH45" s="32">
        <f>CH27+CH37</f>
        <v>0</v>
      </c>
      <c r="CI45" s="32">
        <f>CI27+CI37</f>
        <v>0</v>
      </c>
      <c r="CJ45" s="32">
        <f>CJ27+CJ37</f>
        <v>0</v>
      </c>
      <c r="CK45" s="32">
        <f>CK27+CK37</f>
        <v>0</v>
      </c>
      <c r="CL45" s="32">
        <f>CL27+CL37</f>
        <v>0</v>
      </c>
    </row>
    <row r="46" spans="2:90" x14ac:dyDescent="0.25">
      <c r="B46" s="34" t="s">
        <v>241</v>
      </c>
      <c r="C46" s="35" t="s">
        <v>228</v>
      </c>
      <c r="D46" s="14">
        <f>SUM(E46:CL46)</f>
        <v>126069</v>
      </c>
      <c r="E46" s="32">
        <f>E28+E38</f>
        <v>0</v>
      </c>
      <c r="F46" s="32">
        <f>F28+F38</f>
        <v>0</v>
      </c>
      <c r="G46" s="32">
        <f>G28+G38</f>
        <v>0</v>
      </c>
      <c r="H46" s="32">
        <f>H28+H38</f>
        <v>0</v>
      </c>
      <c r="I46" s="32">
        <f>I28+I38</f>
        <v>0</v>
      </c>
      <c r="J46" s="32">
        <f>J28+J38</f>
        <v>0</v>
      </c>
      <c r="K46" s="32">
        <f>K28+K38</f>
        <v>0</v>
      </c>
      <c r="L46" s="32">
        <f>L28+L38</f>
        <v>0</v>
      </c>
      <c r="M46" s="32">
        <f>M28+M38</f>
        <v>0</v>
      </c>
      <c r="N46" s="32">
        <f>N28+N38</f>
        <v>0</v>
      </c>
      <c r="O46" s="32">
        <f>O28+O38</f>
        <v>1969.828125</v>
      </c>
      <c r="P46" s="32">
        <f>P28+P38</f>
        <v>1969.828125</v>
      </c>
      <c r="Q46" s="32">
        <f>Q28+Q38</f>
        <v>1969.828125</v>
      </c>
      <c r="R46" s="32">
        <f>R28+R38</f>
        <v>1969.828125</v>
      </c>
      <c r="S46" s="32">
        <f>S28+S38</f>
        <v>1969.828125</v>
      </c>
      <c r="T46" s="32">
        <f>T28+T38</f>
        <v>1969.828125</v>
      </c>
      <c r="U46" s="32">
        <f>U28+U38</f>
        <v>1969.828125</v>
      </c>
      <c r="V46" s="32">
        <f>V28+V38</f>
        <v>1969.828125</v>
      </c>
      <c r="W46" s="32">
        <f>W28+W38</f>
        <v>1969.828125</v>
      </c>
      <c r="X46" s="32">
        <f>X28+X38</f>
        <v>1969.828125</v>
      </c>
      <c r="Y46" s="32">
        <f>Y28+Y38</f>
        <v>1969.828125</v>
      </c>
      <c r="Z46" s="32">
        <f>Z28+Z38</f>
        <v>1969.828125</v>
      </c>
      <c r="AA46" s="32">
        <f>AA28+AA38</f>
        <v>1969.828125</v>
      </c>
      <c r="AB46" s="32">
        <f>AB28+AB38</f>
        <v>1969.828125</v>
      </c>
      <c r="AC46" s="32">
        <f>AC28+AC38</f>
        <v>1969.828125</v>
      </c>
      <c r="AD46" s="32">
        <f>AD28+AD38</f>
        <v>1969.828125</v>
      </c>
      <c r="AE46" s="32">
        <f>AE28+AE38</f>
        <v>1969.828125</v>
      </c>
      <c r="AF46" s="32">
        <f>AF28+AF38</f>
        <v>1969.828125</v>
      </c>
      <c r="AG46" s="32">
        <f>AG28+AG38</f>
        <v>1969.828125</v>
      </c>
      <c r="AH46" s="32">
        <f>AH28+AH38</f>
        <v>1969.828125</v>
      </c>
      <c r="AI46" s="32">
        <f>AI28+AI38</f>
        <v>1969.828125</v>
      </c>
      <c r="AJ46" s="32">
        <f>AJ28+AJ38</f>
        <v>1969.828125</v>
      </c>
      <c r="AK46" s="32">
        <f>AK28+AK38</f>
        <v>1969.828125</v>
      </c>
      <c r="AL46" s="32">
        <f>AL28+AL38</f>
        <v>1969.828125</v>
      </c>
      <c r="AM46" s="32">
        <f>AM28+AM38</f>
        <v>1969.828125</v>
      </c>
      <c r="AN46" s="32">
        <f>AN28+AN38</f>
        <v>1969.828125</v>
      </c>
      <c r="AO46" s="32">
        <f>AO28+AO38</f>
        <v>1969.828125</v>
      </c>
      <c r="AP46" s="32">
        <f>AP28+AP38</f>
        <v>1969.828125</v>
      </c>
      <c r="AQ46" s="32">
        <f>AQ28+AQ38</f>
        <v>1969.828125</v>
      </c>
      <c r="AR46" s="32">
        <f>AR28+AR38</f>
        <v>1969.828125</v>
      </c>
      <c r="AS46" s="32">
        <f>AS28+AS38</f>
        <v>1969.828125</v>
      </c>
      <c r="AT46" s="32">
        <f>AT28+AT38</f>
        <v>1969.828125</v>
      </c>
      <c r="AU46" s="32">
        <f>AU28+AU38</f>
        <v>1969.828125</v>
      </c>
      <c r="AV46" s="32">
        <f>AV28+AV38</f>
        <v>1969.828125</v>
      </c>
      <c r="AW46" s="32">
        <f>AW28+AW38</f>
        <v>1969.828125</v>
      </c>
      <c r="AX46" s="32">
        <f>AX28+AX38</f>
        <v>1969.828125</v>
      </c>
      <c r="AY46" s="32">
        <f>AY28+AY38</f>
        <v>1969.828125</v>
      </c>
      <c r="AZ46" s="32">
        <f>AZ28+AZ38</f>
        <v>1969.828125</v>
      </c>
      <c r="BA46" s="32">
        <f>BA28+BA38</f>
        <v>1969.828125</v>
      </c>
      <c r="BB46" s="32">
        <f>BB28+BB38</f>
        <v>1969.828125</v>
      </c>
      <c r="BC46" s="32">
        <f>BC28+BC38</f>
        <v>1969.828125</v>
      </c>
      <c r="BD46" s="32">
        <f>BD28+BD38</f>
        <v>1969.828125</v>
      </c>
      <c r="BE46" s="32">
        <f>BE28+BE38</f>
        <v>1969.828125</v>
      </c>
      <c r="BF46" s="32">
        <f>BF28+BF38</f>
        <v>1969.828125</v>
      </c>
      <c r="BG46" s="32">
        <f>BG28+BG38</f>
        <v>1969.828125</v>
      </c>
      <c r="BH46" s="32">
        <f>BH28+BH38</f>
        <v>1969.828125</v>
      </c>
      <c r="BI46" s="32">
        <f>BI28+BI38</f>
        <v>1969.828125</v>
      </c>
      <c r="BJ46" s="32">
        <f>BJ28+BJ38</f>
        <v>1969.828125</v>
      </c>
      <c r="BK46" s="32">
        <f>BK28+BK38</f>
        <v>1969.828125</v>
      </c>
      <c r="BL46" s="32">
        <f>BL28+BL38</f>
        <v>1969.828125</v>
      </c>
      <c r="BM46" s="32">
        <f>BM28+BM38</f>
        <v>1969.828125</v>
      </c>
      <c r="BN46" s="32">
        <f>BN28+BN38</f>
        <v>1969.828125</v>
      </c>
      <c r="BO46" s="32">
        <f>BO28+BO38</f>
        <v>1969.828125</v>
      </c>
      <c r="BP46" s="32">
        <f>BP28+BP38</f>
        <v>1969.828125</v>
      </c>
      <c r="BQ46" s="32">
        <f>BQ28+BQ38</f>
        <v>1969.828125</v>
      </c>
      <c r="BR46" s="32">
        <f>BR28+BR38</f>
        <v>1969.828125</v>
      </c>
      <c r="BS46" s="32">
        <f>BS28+BS38</f>
        <v>1969.828125</v>
      </c>
      <c r="BT46" s="32">
        <f>BT28+BT38</f>
        <v>1969.828125</v>
      </c>
      <c r="BU46" s="32">
        <f>BU28+BU38</f>
        <v>1969.828125</v>
      </c>
      <c r="BV46" s="32">
        <f>BV28+BV38</f>
        <v>1969.828125</v>
      </c>
      <c r="BW46" s="32">
        <f>BW28+BW38</f>
        <v>1969.828125</v>
      </c>
      <c r="BX46" s="32">
        <f>BX28+BX38</f>
        <v>1969.828125</v>
      </c>
      <c r="BY46" s="32">
        <f>BY28+BY38</f>
        <v>1969.828125</v>
      </c>
      <c r="BZ46" s="32">
        <f>BZ28+BZ38</f>
        <v>1969.828125</v>
      </c>
      <c r="CA46" s="32">
        <f>CA28+CA38</f>
        <v>0</v>
      </c>
      <c r="CB46" s="32">
        <f>CB28+CB38</f>
        <v>0</v>
      </c>
      <c r="CC46" s="32">
        <f>CC28+CC38</f>
        <v>0</v>
      </c>
      <c r="CD46" s="32">
        <f>CD28+CD38</f>
        <v>0</v>
      </c>
      <c r="CE46" s="32">
        <f>CE28+CE38</f>
        <v>0</v>
      </c>
      <c r="CF46" s="32">
        <f>CF28+CF38</f>
        <v>0</v>
      </c>
      <c r="CG46" s="32">
        <f>CG28+CG38</f>
        <v>0</v>
      </c>
      <c r="CH46" s="32">
        <f>CH28+CH38</f>
        <v>0</v>
      </c>
      <c r="CI46" s="32">
        <f>CI28+CI38</f>
        <v>0</v>
      </c>
      <c r="CJ46" s="32">
        <f>CJ28+CJ38</f>
        <v>0</v>
      </c>
      <c r="CK46" s="32">
        <f>CK28+CK38</f>
        <v>0</v>
      </c>
      <c r="CL46" s="32">
        <f>CL28+CL38</f>
        <v>0</v>
      </c>
    </row>
    <row r="47" spans="2:91" x14ac:dyDescent="0.25">
      <c r="B47" s="48" t="s">
        <v>247</v>
      </c>
      <c r="C47" s="51" t="s">
        <v>228</v>
      </c>
      <c r="D47" s="43">
        <f>SUM(E47:CL47)</f>
        <v>190069.879375</v>
      </c>
      <c r="E47" s="43">
        <f>E45+E46</f>
        <v>0</v>
      </c>
      <c r="F47" s="43">
        <f>F45+F46</f>
        <v>0</v>
      </c>
      <c r="G47" s="43">
        <f>G45+G46</f>
        <v>0</v>
      </c>
      <c r="H47" s="43">
        <f>H45+H46</f>
        <v>0</v>
      </c>
      <c r="I47" s="43">
        <f>I45+I46</f>
        <v>0</v>
      </c>
      <c r="J47" s="43">
        <f>J45+J46</f>
        <v>0</v>
      </c>
      <c r="K47" s="43">
        <f>K45+K46</f>
        <v>1753.4487499999998</v>
      </c>
      <c r="L47" s="43">
        <f>L45+L46</f>
        <v>1753.4487499999998</v>
      </c>
      <c r="M47" s="43">
        <f>M45+M46</f>
        <v>1753.4487499999998</v>
      </c>
      <c r="N47" s="43">
        <f>N45+N46</f>
        <v>1753.4487499999998</v>
      </c>
      <c r="O47" s="43">
        <f>O45+O46</f>
        <v>3723.2768749999996</v>
      </c>
      <c r="P47" s="43">
        <f>P45+P46</f>
        <v>3695.87923828125</v>
      </c>
      <c r="Q47" s="43">
        <f>Q45+Q46</f>
        <v>3668.4816015625</v>
      </c>
      <c r="R47" s="43">
        <f>R45+R46</f>
        <v>3641.08396484375</v>
      </c>
      <c r="S47" s="43">
        <f>S45+S46</f>
        <v>3613.686328125</v>
      </c>
      <c r="T47" s="43">
        <f>T45+T46</f>
        <v>3586.28869140625</v>
      </c>
      <c r="U47" s="43">
        <f>U45+U46</f>
        <v>3558.8910546875</v>
      </c>
      <c r="V47" s="43">
        <f>V45+V46</f>
        <v>3531.49341796875</v>
      </c>
      <c r="W47" s="43">
        <f>W45+W46</f>
        <v>3504.09578125</v>
      </c>
      <c r="X47" s="43">
        <f>X45+X46</f>
        <v>3476.69814453125</v>
      </c>
      <c r="Y47" s="43">
        <f>Y45+Y46</f>
        <v>3449.3005078124997</v>
      </c>
      <c r="Z47" s="43">
        <f>Z45+Z46</f>
        <v>3421.90287109375</v>
      </c>
      <c r="AA47" s="43">
        <f>AA45+AA46</f>
        <v>3394.505234375</v>
      </c>
      <c r="AB47" s="43">
        <f>AB45+AB46</f>
        <v>3367.1075976562497</v>
      </c>
      <c r="AC47" s="43">
        <f>AC45+AC46</f>
        <v>3339.7099609375</v>
      </c>
      <c r="AD47" s="43">
        <f>AD45+AD46</f>
        <v>3312.31232421875</v>
      </c>
      <c r="AE47" s="43">
        <f>AE45+AE46</f>
        <v>3284.9146874999997</v>
      </c>
      <c r="AF47" s="43">
        <f>AF45+AF46</f>
        <v>3257.51705078125</v>
      </c>
      <c r="AG47" s="43">
        <f>AG45+AG46</f>
        <v>3230.1194140625</v>
      </c>
      <c r="AH47" s="43">
        <f>AH45+AH46</f>
        <v>3202.7217773437496</v>
      </c>
      <c r="AI47" s="43">
        <f>AI45+AI46</f>
        <v>3175.324140625</v>
      </c>
      <c r="AJ47" s="43">
        <f>AJ45+AJ46</f>
        <v>3147.9265039062498</v>
      </c>
      <c r="AK47" s="43">
        <f>AK45+AK46</f>
        <v>3120.5288671874996</v>
      </c>
      <c r="AL47" s="43">
        <f>AL45+AL46</f>
        <v>3093.13123046875</v>
      </c>
      <c r="AM47" s="43">
        <f>AM45+AM46</f>
        <v>3065.73359375</v>
      </c>
      <c r="AN47" s="43">
        <f>AN45+AN46</f>
        <v>3038.33595703125</v>
      </c>
      <c r="AO47" s="43">
        <f>AO45+AO46</f>
        <v>3010.9383203125</v>
      </c>
      <c r="AP47" s="43">
        <f>AP45+AP46</f>
        <v>2983.54068359375</v>
      </c>
      <c r="AQ47" s="43">
        <f>AQ45+AQ46</f>
        <v>2956.143046875</v>
      </c>
      <c r="AR47" s="43">
        <f>AR45+AR46</f>
        <v>2928.74541015625</v>
      </c>
      <c r="AS47" s="43">
        <f>AS45+AS46</f>
        <v>2901.3477734375</v>
      </c>
      <c r="AT47" s="43">
        <f>AT45+AT46</f>
        <v>2873.95013671875</v>
      </c>
      <c r="AU47" s="43">
        <f>AU45+AU46</f>
        <v>2846.5525</v>
      </c>
      <c r="AV47" s="43">
        <f>AV45+AV46</f>
        <v>2819.15486328125</v>
      </c>
      <c r="AW47" s="43">
        <f>AW45+AW46</f>
        <v>2791.7572265625</v>
      </c>
      <c r="AX47" s="43">
        <f>AX45+AX46</f>
        <v>2764.3595898437497</v>
      </c>
      <c r="AY47" s="43">
        <f>AY45+AY46</f>
        <v>2736.961953125</v>
      </c>
      <c r="AZ47" s="43">
        <f>AZ45+AZ46</f>
        <v>2709.56431640625</v>
      </c>
      <c r="BA47" s="43">
        <f>BA45+BA46</f>
        <v>2682.1666796874997</v>
      </c>
      <c r="BB47" s="43">
        <f>BB45+BB46</f>
        <v>2654.76904296875</v>
      </c>
      <c r="BC47" s="43">
        <f>BC45+BC46</f>
        <v>2627.37140625</v>
      </c>
      <c r="BD47" s="43">
        <f>BD45+BD46</f>
        <v>2599.9737695312497</v>
      </c>
      <c r="BE47" s="43">
        <f>BE45+BE46</f>
        <v>2572.5761328125</v>
      </c>
      <c r="BF47" s="43">
        <f>BF45+BF46</f>
        <v>2545.17849609375</v>
      </c>
      <c r="BG47" s="43">
        <f>BG45+BG46</f>
        <v>2517.780859375</v>
      </c>
      <c r="BH47" s="43">
        <f>BH45+BH46</f>
        <v>2490.38322265625</v>
      </c>
      <c r="BI47" s="43">
        <f>BI45+BI46</f>
        <v>2462.9855859374998</v>
      </c>
      <c r="BJ47" s="43">
        <f>BJ45+BJ46</f>
        <v>2435.58794921875</v>
      </c>
      <c r="BK47" s="43">
        <f>BK45+BK46</f>
        <v>2408.1903125</v>
      </c>
      <c r="BL47" s="43">
        <f>BL45+BL46</f>
        <v>2380.79267578125</v>
      </c>
      <c r="BM47" s="43">
        <f>BM45+BM46</f>
        <v>2353.3950390625</v>
      </c>
      <c r="BN47" s="43">
        <f>BN45+BN46</f>
        <v>2325.99740234375</v>
      </c>
      <c r="BO47" s="43">
        <f>BO45+BO46</f>
        <v>2298.599765625</v>
      </c>
      <c r="BP47" s="43">
        <f>BP45+BP46</f>
        <v>2271.20212890625</v>
      </c>
      <c r="BQ47" s="43">
        <f>BQ45+BQ46</f>
        <v>2243.8044921875</v>
      </c>
      <c r="BR47" s="43">
        <f>BR45+BR46</f>
        <v>2216.40685546875</v>
      </c>
      <c r="BS47" s="43">
        <f>BS45+BS46</f>
        <v>2189.00921875</v>
      </c>
      <c r="BT47" s="43">
        <f>BT45+BT46</f>
        <v>2161.61158203125</v>
      </c>
      <c r="BU47" s="43">
        <f>BU45+BU46</f>
        <v>2134.2139453125</v>
      </c>
      <c r="BV47" s="43">
        <f>BV45+BV46</f>
        <v>2106.81630859375</v>
      </c>
      <c r="BW47" s="43">
        <f>BW45+BW46</f>
        <v>2079.418671875</v>
      </c>
      <c r="BX47" s="43">
        <f>BX45+BX46</f>
        <v>2052.02103515625</v>
      </c>
      <c r="BY47" s="43">
        <f>BY45+BY46</f>
        <v>2024.6233984375</v>
      </c>
      <c r="BZ47" s="43">
        <f>BZ45+BZ46</f>
        <v>1997.22576171875</v>
      </c>
      <c r="CA47" s="43">
        <f>CA45+CA46</f>
        <v>0</v>
      </c>
      <c r="CB47" s="43">
        <f>CB45+CB46</f>
        <v>0</v>
      </c>
      <c r="CC47" s="43">
        <f>CC45+CC46</f>
        <v>0</v>
      </c>
      <c r="CD47" s="43">
        <f>CD45+CD46</f>
        <v>0</v>
      </c>
      <c r="CE47" s="43">
        <f>CE45+CE46</f>
        <v>0</v>
      </c>
      <c r="CF47" s="43">
        <f>CF45+CF46</f>
        <v>0</v>
      </c>
      <c r="CG47" s="43">
        <f>CG45+CG46</f>
        <v>0</v>
      </c>
      <c r="CH47" s="43">
        <f>CH45+CH46</f>
        <v>0</v>
      </c>
      <c r="CI47" s="43">
        <f>CI45+CI46</f>
        <v>0</v>
      </c>
      <c r="CJ47" s="43">
        <f>CJ45+CJ46</f>
        <v>0</v>
      </c>
      <c r="CK47" s="43">
        <f>CK45+CK46</f>
        <v>0</v>
      </c>
      <c r="CL47" s="43">
        <f>CL45+CL46</f>
        <v>0</v>
      </c>
      <c r="CM47" s="49"/>
    </row>
    <row r="48" spans="2:90" x14ac:dyDescent="0.25">
      <c r="B48" s="34" t="s">
        <v>242</v>
      </c>
      <c r="C48" s="35" t="s">
        <v>228</v>
      </c>
      <c r="E48" s="32">
        <f>E29+E39</f>
        <v>0</v>
      </c>
      <c r="F48" s="32">
        <f>F29+F39</f>
        <v>20267.250000000015</v>
      </c>
      <c r="G48" s="32">
        <f>G29+G39</f>
        <v>48762.939950570246</v>
      </c>
      <c r="H48" s="32">
        <f>H29+H39</f>
        <v>84708.41628775587</v>
      </c>
      <c r="I48" s="32">
        <f>I29+I39</f>
        <v>114100.39543294022</v>
      </c>
      <c r="J48" s="32">
        <f>J29+J39</f>
        <v>126069</v>
      </c>
      <c r="K48" s="32">
        <f>K29+K39</f>
        <v>126069</v>
      </c>
      <c r="L48" s="32">
        <f>L29+L39</f>
        <v>126069</v>
      </c>
      <c r="M48" s="32">
        <f>M29+M39</f>
        <v>126069</v>
      </c>
      <c r="N48" s="32">
        <f>N29+N39</f>
        <v>126069</v>
      </c>
      <c r="O48" s="32">
        <f>O29+O39</f>
        <v>124099.171875</v>
      </c>
      <c r="P48" s="32">
        <f>P29+P39</f>
        <v>122129.34375</v>
      </c>
      <c r="Q48" s="32">
        <f>Q29+Q39</f>
        <v>120159.515625</v>
      </c>
      <c r="R48" s="32">
        <f>R29+R39</f>
        <v>118189.6875</v>
      </c>
      <c r="S48" s="32">
        <f>S29+S39</f>
        <v>116219.859375</v>
      </c>
      <c r="T48" s="32">
        <f>T29+T39</f>
        <v>114250.03125</v>
      </c>
      <c r="U48" s="32">
        <f>U29+U39</f>
        <v>112280.203125</v>
      </c>
      <c r="V48" s="32">
        <f>V29+V39</f>
        <v>110310.375</v>
      </c>
      <c r="W48" s="32">
        <f>W29+W39</f>
        <v>108340.546875</v>
      </c>
      <c r="X48" s="32">
        <f>X29+X39</f>
        <v>106370.71875</v>
      </c>
      <c r="Y48" s="32">
        <f>Y29+Y39</f>
        <v>104400.890625</v>
      </c>
      <c r="Z48" s="32">
        <f>Z29+Z39</f>
        <v>102431.0625</v>
      </c>
      <c r="AA48" s="32">
        <f>AA29+AA39</f>
        <v>100461.234375</v>
      </c>
      <c r="AB48" s="32">
        <f>AB29+AB39</f>
        <v>98491.40625</v>
      </c>
      <c r="AC48" s="32">
        <f>AC29+AC39</f>
        <v>96521.578125</v>
      </c>
      <c r="AD48" s="32">
        <f>AD29+AD39</f>
        <v>94551.75</v>
      </c>
      <c r="AE48" s="32">
        <f>AE29+AE39</f>
        <v>92581.921875</v>
      </c>
      <c r="AF48" s="32">
        <f>AF29+AF39</f>
        <v>90612.09375</v>
      </c>
      <c r="AG48" s="32">
        <f>AG29+AG39</f>
        <v>88642.265625</v>
      </c>
      <c r="AH48" s="32">
        <f>AH29+AH39</f>
        <v>86672.4375</v>
      </c>
      <c r="AI48" s="32">
        <f>AI29+AI39</f>
        <v>84702.609375</v>
      </c>
      <c r="AJ48" s="32">
        <f>AJ29+AJ39</f>
        <v>82732.78125</v>
      </c>
      <c r="AK48" s="32">
        <f>AK29+AK39</f>
        <v>80762.953125</v>
      </c>
      <c r="AL48" s="32">
        <f>AL29+AL39</f>
        <v>78793.125</v>
      </c>
      <c r="AM48" s="32">
        <f>AM29+AM39</f>
        <v>76823.296875</v>
      </c>
      <c r="AN48" s="32">
        <f>AN29+AN39</f>
        <v>74853.46875</v>
      </c>
      <c r="AO48" s="32">
        <f>AO29+AO39</f>
        <v>72883.640625</v>
      </c>
      <c r="AP48" s="32">
        <f>AP29+AP39</f>
        <v>70913.8125</v>
      </c>
      <c r="AQ48" s="32">
        <f>AQ29+AQ39</f>
        <v>68943.984375</v>
      </c>
      <c r="AR48" s="32">
        <f>AR29+AR39</f>
        <v>66974.15625</v>
      </c>
      <c r="AS48" s="32">
        <f>AS29+AS39</f>
        <v>65004.328125</v>
      </c>
      <c r="AT48" s="32">
        <f>AT29+AT39</f>
        <v>63034.5</v>
      </c>
      <c r="AU48" s="32">
        <f>AU29+AU39</f>
        <v>61064.671875</v>
      </c>
      <c r="AV48" s="32">
        <f>AV29+AV39</f>
        <v>59094.84375</v>
      </c>
      <c r="AW48" s="32">
        <f>AW29+AW39</f>
        <v>57125.015625</v>
      </c>
      <c r="AX48" s="32">
        <f>AX29+AX39</f>
        <v>55155.1875</v>
      </c>
      <c r="AY48" s="32">
        <f>AY29+AY39</f>
        <v>53185.359375</v>
      </c>
      <c r="AZ48" s="32">
        <f>AZ29+AZ39</f>
        <v>51215.53125</v>
      </c>
      <c r="BA48" s="32">
        <f>BA29+BA39</f>
        <v>49245.703125</v>
      </c>
      <c r="BB48" s="32">
        <f>BB29+BB39</f>
        <v>47275.875</v>
      </c>
      <c r="BC48" s="32">
        <f>BC29+BC39</f>
        <v>45306.046875</v>
      </c>
      <c r="BD48" s="32">
        <f>BD29+BD39</f>
        <v>43336.21875</v>
      </c>
      <c r="BE48" s="32">
        <f>BE29+BE39</f>
        <v>41366.390625</v>
      </c>
      <c r="BF48" s="32">
        <f>BF29+BF39</f>
        <v>39396.5625</v>
      </c>
      <c r="BG48" s="32">
        <f>BG29+BG39</f>
        <v>37426.734375</v>
      </c>
      <c r="BH48" s="32">
        <f>BH29+BH39</f>
        <v>35456.90625</v>
      </c>
      <c r="BI48" s="32">
        <f>BI29+BI39</f>
        <v>33487.078125</v>
      </c>
      <c r="BJ48" s="32">
        <f>BJ29+BJ39</f>
        <v>31517.25</v>
      </c>
      <c r="BK48" s="32">
        <f>BK29+BK39</f>
        <v>29547.421875</v>
      </c>
      <c r="BL48" s="32">
        <f>BL29+BL39</f>
        <v>27577.59375</v>
      </c>
      <c r="BM48" s="32">
        <f>BM29+BM39</f>
        <v>25607.765625</v>
      </c>
      <c r="BN48" s="32">
        <f>BN29+BN39</f>
        <v>23637.9375</v>
      </c>
      <c r="BO48" s="32">
        <f>BO29+BO39</f>
        <v>21668.109375</v>
      </c>
      <c r="BP48" s="32">
        <f>BP29+BP39</f>
        <v>19698.28125</v>
      </c>
      <c r="BQ48" s="32">
        <f>BQ29+BQ39</f>
        <v>17728.453125</v>
      </c>
      <c r="BR48" s="32">
        <f>BR29+BR39</f>
        <v>15758.625</v>
      </c>
      <c r="BS48" s="32">
        <f>BS29+BS39</f>
        <v>13788.796875</v>
      </c>
      <c r="BT48" s="32">
        <f>BT29+BT39</f>
        <v>11818.96875</v>
      </c>
      <c r="BU48" s="32">
        <f>BU29+BU39</f>
        <v>9849.140625</v>
      </c>
      <c r="BV48" s="32">
        <f>BV29+BV39</f>
        <v>7879.3125</v>
      </c>
      <c r="BW48" s="32">
        <f>BW29+BW39</f>
        <v>5909.484375</v>
      </c>
      <c r="BX48" s="32">
        <f>BX29+BX39</f>
        <v>3939.65625</v>
      </c>
      <c r="BY48" s="32">
        <f>BY29+BY39</f>
        <v>1969.828125</v>
      </c>
      <c r="BZ48" s="32">
        <f>BZ29+BZ39</f>
        <v>0</v>
      </c>
      <c r="CA48" s="32">
        <f>CA29+CA39</f>
        <v>0</v>
      </c>
      <c r="CB48" s="32">
        <f>CB29+CB39</f>
        <v>0</v>
      </c>
      <c r="CC48" s="32">
        <f>CC29+CC39</f>
        <v>0</v>
      </c>
      <c r="CD48" s="32">
        <f>CD29+CD39</f>
        <v>0</v>
      </c>
      <c r="CE48" s="32">
        <f>CE29+CE39</f>
        <v>0</v>
      </c>
      <c r="CF48" s="32">
        <f>CF29+CF39</f>
        <v>0</v>
      </c>
      <c r="CG48" s="32">
        <f>CG29+CG39</f>
        <v>0</v>
      </c>
      <c r="CH48" s="32">
        <f>CH29+CH39</f>
        <v>0</v>
      </c>
      <c r="CI48" s="32">
        <f>CI29+CI39</f>
        <v>0</v>
      </c>
      <c r="CJ48" s="32">
        <f>CJ29+CJ39</f>
        <v>0</v>
      </c>
      <c r="CK48" s="32">
        <f>CK29+CK39</f>
        <v>0</v>
      </c>
      <c r="CL48" s="32">
        <f>CL29+CL39</f>
        <v>0</v>
      </c>
    </row>
    <row r="50" spans="2:90" x14ac:dyDescent="0.25">
      <c r="B50" s="34" t="s">
        <v>248</v>
      </c>
      <c r="C50" s="35" t="s">
        <v>228</v>
      </c>
      <c r="E50" s="32">
        <f>0</f>
        <v>0</v>
      </c>
      <c r="F50" s="32">
        <f>E51</f>
        <v>0</v>
      </c>
      <c r="G50" s="32">
        <f>F51</f>
        <v>0</v>
      </c>
      <c r="H50" s="32">
        <f>G51</f>
        <v>0</v>
      </c>
      <c r="I50" s="32">
        <f>H51</f>
        <v>0</v>
      </c>
      <c r="J50" s="32">
        <f>'입력값'!C23*100</f>
        <v>5000</v>
      </c>
      <c r="K50" s="32">
        <f>J51</f>
        <v>5000</v>
      </c>
      <c r="L50" s="32">
        <f>K51</f>
        <v>3506.8974999999996</v>
      </c>
      <c r="M50" s="32">
        <f>L51</f>
        <v>3506.8974999999996</v>
      </c>
      <c r="N50" s="32">
        <f>M51</f>
        <v>5476.725624999999</v>
      </c>
      <c r="O50" s="32">
        <f>N51</f>
        <v>7419.156113281249</v>
      </c>
      <c r="P50" s="32">
        <f>O51</f>
        <v>7364.36083984375</v>
      </c>
      <c r="Q50" s="32">
        <f>P51</f>
        <v>7309.565566406251</v>
      </c>
      <c r="R50" s="32">
        <f>Q51</f>
        <v>7254.770292968749</v>
      </c>
      <c r="S50" s="32">
        <f>R51</f>
        <v>7199.97501953125</v>
      </c>
      <c r="T50" s="32">
        <f>S51</f>
        <v>7145.1797460937505</v>
      </c>
      <c r="U50" s="32">
        <f>T51</f>
        <v>7090.384472656249</v>
      </c>
      <c r="V50" s="32">
        <f>U51</f>
        <v>7035.58919921875</v>
      </c>
      <c r="W50" s="32">
        <f>V51</f>
        <v>6980.79392578125</v>
      </c>
      <c r="X50" s="32">
        <f>W51</f>
        <v>6925.998652343749</v>
      </c>
      <c r="Y50" s="32">
        <f>X51</f>
        <v>6871.20337890625</v>
      </c>
      <c r="Z50" s="32">
        <f>Y51</f>
        <v>6816.40810546875</v>
      </c>
      <c r="AA50" s="32">
        <f>Z51</f>
        <v>6761.612832031249</v>
      </c>
      <c r="AB50" s="32">
        <f>AA51</f>
        <v>6706.81755859375</v>
      </c>
      <c r="AC50" s="32">
        <f>AB51</f>
        <v>6652.02228515625</v>
      </c>
      <c r="AD50" s="32">
        <f>AC51</f>
        <v>6597.227011718749</v>
      </c>
      <c r="AE50" s="32">
        <f>AD51</f>
        <v>6542.43173828125</v>
      </c>
      <c r="AF50" s="32">
        <f>AE51</f>
        <v>6487.63646484375</v>
      </c>
      <c r="AG50" s="32">
        <f>AF51</f>
        <v>6432.841191406249</v>
      </c>
      <c r="AH50" s="32">
        <f>AG51</f>
        <v>6378.04591796875</v>
      </c>
      <c r="AI50" s="32">
        <f>AH51</f>
        <v>6323.25064453125</v>
      </c>
      <c r="AJ50" s="32">
        <f>AI51</f>
        <v>6268.455371093749</v>
      </c>
      <c r="AK50" s="32">
        <f>AJ51</f>
        <v>6213.6600976562495</v>
      </c>
      <c r="AL50" s="32">
        <f>AK51</f>
        <v>6158.86482421875</v>
      </c>
      <c r="AM50" s="32">
        <f>AL51</f>
        <v>6104.069550781251</v>
      </c>
      <c r="AN50" s="32">
        <f>AM51</f>
        <v>6049.274277343749</v>
      </c>
      <c r="AO50" s="32">
        <f>AN51</f>
        <v>5994.47900390625</v>
      </c>
      <c r="AP50" s="32">
        <f>AO51</f>
        <v>5939.683730468751</v>
      </c>
      <c r="AQ50" s="32">
        <f>AP51</f>
        <v>5884.888457031249</v>
      </c>
      <c r="AR50" s="32">
        <f>AQ51</f>
        <v>5830.09318359375</v>
      </c>
      <c r="AS50" s="32">
        <f>AR51</f>
        <v>5775.2979101562505</v>
      </c>
      <c r="AT50" s="32">
        <f>AS51</f>
        <v>5720.502636718749</v>
      </c>
      <c r="AU50" s="32">
        <f>AT51</f>
        <v>5665.70736328125</v>
      </c>
      <c r="AV50" s="32">
        <f>AU51</f>
        <v>5610.91208984375</v>
      </c>
      <c r="AW50" s="32">
        <f>AV51</f>
        <v>5556.116816406249</v>
      </c>
      <c r="AX50" s="32">
        <f>AW51</f>
        <v>5501.32154296875</v>
      </c>
      <c r="AY50" s="32">
        <f>AX51</f>
        <v>5446.52626953125</v>
      </c>
      <c r="AZ50" s="32">
        <f>AY51</f>
        <v>5391.730996093749</v>
      </c>
      <c r="BA50" s="32">
        <f>AZ51</f>
        <v>5336.93572265625</v>
      </c>
      <c r="BB50" s="32">
        <f>BA51</f>
        <v>5282.14044921875</v>
      </c>
      <c r="BC50" s="32">
        <f>BB51</f>
        <v>5227.345175781249</v>
      </c>
      <c r="BD50" s="32">
        <f>BC51</f>
        <v>5172.54990234375</v>
      </c>
      <c r="BE50" s="32">
        <f>BD51</f>
        <v>5117.75462890625</v>
      </c>
      <c r="BF50" s="32">
        <f>BE51</f>
        <v>5062.95935546875</v>
      </c>
      <c r="BG50" s="32">
        <f>BF51</f>
        <v>5008.16408203125</v>
      </c>
      <c r="BH50" s="32">
        <f>BG51</f>
        <v>4953.36880859375</v>
      </c>
      <c r="BI50" s="32">
        <f>BH51</f>
        <v>4898.57353515625</v>
      </c>
      <c r="BJ50" s="32">
        <f>BI51</f>
        <v>4843.7782617187495</v>
      </c>
      <c r="BK50" s="32">
        <f>BJ51</f>
        <v>4788.98298828125</v>
      </c>
      <c r="BL50" s="32">
        <f>BK51</f>
        <v>4734.187714843751</v>
      </c>
      <c r="BM50" s="32">
        <f>BL51</f>
        <v>4679.392441406249</v>
      </c>
      <c r="BN50" s="32">
        <f>BM51</f>
        <v>4624.59716796875</v>
      </c>
      <c r="BO50" s="32">
        <f>BN51</f>
        <v>4569.801894531251</v>
      </c>
      <c r="BP50" s="32">
        <f>BO51</f>
        <v>4515.006621093749</v>
      </c>
      <c r="BQ50" s="32">
        <f>BP51</f>
        <v>4460.21134765625</v>
      </c>
      <c r="BR50" s="32">
        <f>BQ51</f>
        <v>4405.4160742187505</v>
      </c>
      <c r="BS50" s="32">
        <f>BR51</f>
        <v>4350.620800781249</v>
      </c>
      <c r="BT50" s="32">
        <f>BS51</f>
        <v>4295.82552734375</v>
      </c>
      <c r="BU50" s="32">
        <f>BT51</f>
        <v>4241.03025390625</v>
      </c>
      <c r="BV50" s="32">
        <f>BU51</f>
        <v>4186.23498046875</v>
      </c>
      <c r="BW50" s="32">
        <f>BV51</f>
        <v>4131.43970703125</v>
      </c>
      <c r="BX50" s="32">
        <f>BW51</f>
        <v>4076.6444335937504</v>
      </c>
      <c r="BY50" s="32">
        <f>BX51</f>
        <v>4021.84916015625</v>
      </c>
      <c r="BZ50" s="32">
        <f>BY51</f>
        <v>1997.22576171875</v>
      </c>
      <c r="CA50" s="32">
        <f>BZ51</f>
        <v>0</v>
      </c>
      <c r="CB50" s="32">
        <f>CA51</f>
        <v>0</v>
      </c>
      <c r="CC50" s="32">
        <f>CB51</f>
        <v>0</v>
      </c>
      <c r="CD50" s="32">
        <f>CC51</f>
        <v>0</v>
      </c>
      <c r="CE50" s="32">
        <f>CD51</f>
        <v>0</v>
      </c>
      <c r="CF50" s="32">
        <f>CE51</f>
        <v>0</v>
      </c>
      <c r="CG50" s="32">
        <f>CF51</f>
        <v>0</v>
      </c>
      <c r="CH50" s="32">
        <f>CG51</f>
        <v>0</v>
      </c>
      <c r="CI50" s="32">
        <f>CH51</f>
        <v>0</v>
      </c>
      <c r="CJ50" s="32">
        <f>CI51</f>
        <v>0</v>
      </c>
      <c r="CK50" s="32">
        <f>CJ51</f>
        <v>0</v>
      </c>
      <c r="CL50" s="32">
        <f>CK51</f>
        <v>0</v>
      </c>
    </row>
    <row r="51" spans="2:90" x14ac:dyDescent="0.25">
      <c r="B51" s="34" t="s">
        <v>249</v>
      </c>
      <c r="C51" s="35" t="s">
        <v>228</v>
      </c>
      <c r="E51" s="32">
        <f>E50</f>
        <v>0</v>
      </c>
      <c r="F51" s="32">
        <f>F50</f>
        <v>0</v>
      </c>
      <c r="G51" s="32">
        <f>G50</f>
        <v>0</v>
      </c>
      <c r="H51" s="32">
        <f>H50</f>
        <v>0</v>
      </c>
      <c r="I51" s="32">
        <f>I50</f>
        <v>0</v>
      </c>
      <c r="J51" s="32">
        <f>J50</f>
        <v>5000</v>
      </c>
      <c r="K51" s="32">
        <f>L47+M47</f>
        <v>3506.8974999999996</v>
      </c>
      <c r="L51" s="32">
        <f>M47+N47</f>
        <v>3506.8974999999996</v>
      </c>
      <c r="M51" s="32">
        <f>N47+O47</f>
        <v>5476.725624999999</v>
      </c>
      <c r="N51" s="32">
        <f>O47+P47</f>
        <v>7419.156113281249</v>
      </c>
      <c r="O51" s="32">
        <f>P47+Q47</f>
        <v>7364.36083984375</v>
      </c>
      <c r="P51" s="32">
        <f>Q47+R47</f>
        <v>7309.565566406251</v>
      </c>
      <c r="Q51" s="32">
        <f>R47+S47</f>
        <v>7254.770292968749</v>
      </c>
      <c r="R51" s="32">
        <f>S47+T47</f>
        <v>7199.97501953125</v>
      </c>
      <c r="S51" s="32">
        <f>T47+U47</f>
        <v>7145.1797460937505</v>
      </c>
      <c r="T51" s="32">
        <f>U47+V47</f>
        <v>7090.384472656249</v>
      </c>
      <c r="U51" s="32">
        <f>V47+W47</f>
        <v>7035.58919921875</v>
      </c>
      <c r="V51" s="32">
        <f>W47+X47</f>
        <v>6980.79392578125</v>
      </c>
      <c r="W51" s="32">
        <f>X47+Y47</f>
        <v>6925.998652343749</v>
      </c>
      <c r="X51" s="32">
        <f>Y47+Z47</f>
        <v>6871.20337890625</v>
      </c>
      <c r="Y51" s="32">
        <f>Z47+AA47</f>
        <v>6816.40810546875</v>
      </c>
      <c r="Z51" s="32">
        <f>AA47+AB47</f>
        <v>6761.612832031249</v>
      </c>
      <c r="AA51" s="32">
        <f>AB47+AC47</f>
        <v>6706.81755859375</v>
      </c>
      <c r="AB51" s="32">
        <f>AC47+AD47</f>
        <v>6652.02228515625</v>
      </c>
      <c r="AC51" s="32">
        <f>AD47+AE47</f>
        <v>6597.227011718749</v>
      </c>
      <c r="AD51" s="32">
        <f>AE47+AF47</f>
        <v>6542.43173828125</v>
      </c>
      <c r="AE51" s="32">
        <f>AF47+AG47</f>
        <v>6487.63646484375</v>
      </c>
      <c r="AF51" s="32">
        <f>AG47+AH47</f>
        <v>6432.841191406249</v>
      </c>
      <c r="AG51" s="32">
        <f>AH47+AI47</f>
        <v>6378.04591796875</v>
      </c>
      <c r="AH51" s="32">
        <f>AI47+AJ47</f>
        <v>6323.25064453125</v>
      </c>
      <c r="AI51" s="32">
        <f>AJ47+AK47</f>
        <v>6268.455371093749</v>
      </c>
      <c r="AJ51" s="32">
        <f>AK47+AL47</f>
        <v>6213.6600976562495</v>
      </c>
      <c r="AK51" s="32">
        <f>AL47+AM47</f>
        <v>6158.86482421875</v>
      </c>
      <c r="AL51" s="32">
        <f>AM47+AN47</f>
        <v>6104.069550781251</v>
      </c>
      <c r="AM51" s="32">
        <f>AN47+AO47</f>
        <v>6049.274277343749</v>
      </c>
      <c r="AN51" s="32">
        <f>AO47+AP47</f>
        <v>5994.47900390625</v>
      </c>
      <c r="AO51" s="32">
        <f>AP47+AQ47</f>
        <v>5939.683730468751</v>
      </c>
      <c r="AP51" s="32">
        <f>AQ47+AR47</f>
        <v>5884.888457031249</v>
      </c>
      <c r="AQ51" s="32">
        <f>AR47+AS47</f>
        <v>5830.09318359375</v>
      </c>
      <c r="AR51" s="32">
        <f>AS47+AT47</f>
        <v>5775.2979101562505</v>
      </c>
      <c r="AS51" s="32">
        <f>AT47+AU47</f>
        <v>5720.502636718749</v>
      </c>
      <c r="AT51" s="32">
        <f>AU47+AV47</f>
        <v>5665.70736328125</v>
      </c>
      <c r="AU51" s="32">
        <f>AV47+AW47</f>
        <v>5610.91208984375</v>
      </c>
      <c r="AV51" s="32">
        <f>AW47+AX47</f>
        <v>5556.116816406249</v>
      </c>
      <c r="AW51" s="32">
        <f>AX47+AY47</f>
        <v>5501.32154296875</v>
      </c>
      <c r="AX51" s="32">
        <f>AY47+AZ47</f>
        <v>5446.52626953125</v>
      </c>
      <c r="AY51" s="32">
        <f>AZ47+BA47</f>
        <v>5391.730996093749</v>
      </c>
      <c r="AZ51" s="32">
        <f>BA47+BB47</f>
        <v>5336.93572265625</v>
      </c>
      <c r="BA51" s="32">
        <f>BB47+BC47</f>
        <v>5282.14044921875</v>
      </c>
      <c r="BB51" s="32">
        <f>BC47+BD47</f>
        <v>5227.345175781249</v>
      </c>
      <c r="BC51" s="32">
        <f>BD47+BE47</f>
        <v>5172.54990234375</v>
      </c>
      <c r="BD51" s="32">
        <f>BE47+BF47</f>
        <v>5117.75462890625</v>
      </c>
      <c r="BE51" s="32">
        <f>BF47+BG47</f>
        <v>5062.95935546875</v>
      </c>
      <c r="BF51" s="32">
        <f>BG47+BH47</f>
        <v>5008.16408203125</v>
      </c>
      <c r="BG51" s="32">
        <f>BH47+BI47</f>
        <v>4953.36880859375</v>
      </c>
      <c r="BH51" s="32">
        <f>BI47+BJ47</f>
        <v>4898.57353515625</v>
      </c>
      <c r="BI51" s="32">
        <f>BJ47+BK47</f>
        <v>4843.7782617187495</v>
      </c>
      <c r="BJ51" s="32">
        <f>BK47+BL47</f>
        <v>4788.98298828125</v>
      </c>
      <c r="BK51" s="32">
        <f>BL47+BM47</f>
        <v>4734.187714843751</v>
      </c>
      <c r="BL51" s="32">
        <f>BM47+BN47</f>
        <v>4679.392441406249</v>
      </c>
      <c r="BM51" s="32">
        <f>BN47+BO47</f>
        <v>4624.59716796875</v>
      </c>
      <c r="BN51" s="32">
        <f>BO47+BP47</f>
        <v>4569.801894531251</v>
      </c>
      <c r="BO51" s="32">
        <f>BP47+BQ47</f>
        <v>4515.006621093749</v>
      </c>
      <c r="BP51" s="32">
        <f>BQ47+BR47</f>
        <v>4460.21134765625</v>
      </c>
      <c r="BQ51" s="32">
        <f>BR47+BS47</f>
        <v>4405.4160742187505</v>
      </c>
      <c r="BR51" s="32">
        <f>BS47+BT47</f>
        <v>4350.620800781249</v>
      </c>
      <c r="BS51" s="32">
        <f>BT47+BU47</f>
        <v>4295.82552734375</v>
      </c>
      <c r="BT51" s="32">
        <f>BU47+BV47</f>
        <v>4241.03025390625</v>
      </c>
      <c r="BU51" s="32">
        <f>BV47+BW47</f>
        <v>4186.23498046875</v>
      </c>
      <c r="BV51" s="32">
        <f>BW47+BX47</f>
        <v>4131.43970703125</v>
      </c>
      <c r="BW51" s="32">
        <f>BX47+BY47</f>
        <v>4076.6444335937504</v>
      </c>
      <c r="BX51" s="32">
        <f>BY47+BZ47</f>
        <v>4021.84916015625</v>
      </c>
      <c r="BY51" s="32">
        <f>BZ47+CA47</f>
        <v>1997.22576171875</v>
      </c>
      <c r="BZ51" s="32">
        <f>CA47+CB47</f>
        <v>0</v>
      </c>
      <c r="CA51" s="32">
        <f>CB47+CC47</f>
        <v>0</v>
      </c>
      <c r="CB51" s="32">
        <f>CC47+CD47</f>
        <v>0</v>
      </c>
      <c r="CC51" s="32">
        <f>CD47+CE47</f>
        <v>0</v>
      </c>
      <c r="CD51" s="32">
        <f>CE47+CF47</f>
        <v>0</v>
      </c>
      <c r="CE51" s="32">
        <f>CF47+CG47</f>
        <v>0</v>
      </c>
      <c r="CF51" s="32">
        <f>CG47+CH47</f>
        <v>0</v>
      </c>
      <c r="CG51" s="32">
        <f>CH47+CI47</f>
        <v>0</v>
      </c>
      <c r="CH51" s="32">
        <f>CI47+CJ47</f>
        <v>0</v>
      </c>
      <c r="CI51" s="32">
        <f>CJ47+CK47</f>
        <v>0</v>
      </c>
      <c r="CJ51" s="32">
        <f>CK47+CL47</f>
        <v>0</v>
      </c>
      <c r="CK51" s="32">
        <f>CL47</f>
        <v>0</v>
      </c>
      <c r="CL51" s="32">
        <f>0</f>
        <v>0</v>
      </c>
    </row>
    <row r="54" spans="2:91" x14ac:dyDescent="0.25">
      <c r="B54" s="9" t="s">
        <v>212</v>
      </c>
      <c r="C54" s="10"/>
      <c r="D54" s="44" t="s">
        <v>213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</row>
    <row r="55" spans="2:2" x14ac:dyDescent="0.25">
      <c r="B55" s="38" t="s">
        <v>214</v>
      </c>
    </row>
    <row r="56" spans="2:4" x14ac:dyDescent="0.25">
      <c r="B56" s="34" t="s">
        <v>215</v>
      </c>
      <c r="C56" s="45" t="s">
        <v>216</v>
      </c>
      <c r="D56" s="46">
        <f>'입력값'!C8</f>
        <v>1410.69</v>
      </c>
    </row>
    <row r="57" spans="2:4" x14ac:dyDescent="0.25">
      <c r="B57" s="34" t="s">
        <v>217</v>
      </c>
      <c r="C57" s="45" t="s">
        <v>218</v>
      </c>
      <c r="D57" s="46">
        <f>'입력값'!C9</f>
        <v>150</v>
      </c>
    </row>
    <row r="58" spans="2:4" x14ac:dyDescent="0.25">
      <c r="B58" s="34" t="s">
        <v>221</v>
      </c>
      <c r="C58" s="45" t="s">
        <v>222</v>
      </c>
      <c r="D58" s="46">
        <f>'입력값'!C41</f>
        <v>800</v>
      </c>
    </row>
    <row r="59" spans="2:4" x14ac:dyDescent="0.25">
      <c r="B59" s="34" t="s">
        <v>250</v>
      </c>
      <c r="C59" s="45" t="s">
        <v>251</v>
      </c>
      <c r="D59" s="52">
        <f>'입력값'!D41</f>
        <v>0.055999999999999994</v>
      </c>
    </row>
    <row r="60" spans="2:4" x14ac:dyDescent="0.25">
      <c r="B60" s="34" t="s">
        <v>252</v>
      </c>
      <c r="C60" s="45" t="s">
        <v>253</v>
      </c>
      <c r="D60" s="52">
        <f>'입력값'!E41</f>
        <v>0.055999999999999994</v>
      </c>
    </row>
    <row r="61" spans="2:4" x14ac:dyDescent="0.25">
      <c r="B61" s="34" t="s">
        <v>223</v>
      </c>
      <c r="C61" s="45" t="s">
        <v>224</v>
      </c>
      <c r="D61" s="46">
        <f>'입력값'!C42</f>
        <v>460.69</v>
      </c>
    </row>
    <row r="62" spans="2:4" x14ac:dyDescent="0.25">
      <c r="B62" s="34" t="s">
        <v>254</v>
      </c>
      <c r="C62" s="45" t="s">
        <v>255</v>
      </c>
      <c r="D62" s="52">
        <f>'입력값'!D42</f>
        <v>0.055</v>
      </c>
    </row>
    <row r="63" spans="2:4" x14ac:dyDescent="0.25">
      <c r="B63" s="34" t="s">
        <v>256</v>
      </c>
      <c r="C63" s="45" t="s">
        <v>257</v>
      </c>
      <c r="D63" s="52">
        <f>'입력값'!E42</f>
        <v>0.055</v>
      </c>
    </row>
    <row r="64" spans="2:10" x14ac:dyDescent="0.25">
      <c r="B64" s="34" t="s">
        <v>258</v>
      </c>
      <c r="C64" s="45" t="s">
        <v>259</v>
      </c>
      <c r="E64" s="53">
        <f>'입력값'!E49</f>
        <v>0.10000000000000002</v>
      </c>
      <c r="F64" s="53">
        <f>'입력값'!F49</f>
        <v>0.15000000000000002</v>
      </c>
      <c r="G64" s="53">
        <f>'입력값'!G49</f>
        <v>0.20000000000000004</v>
      </c>
      <c r="H64" s="53">
        <f>'입력값'!H49</f>
        <v>0.25000000000000006</v>
      </c>
      <c r="I64" s="53">
        <f>'입력값'!I49</f>
        <v>0.20000000000000004</v>
      </c>
      <c r="J64" s="53">
        <f>'입력값'!J49</f>
        <v>0.10000000000000002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3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260</v>
      </c>
    </row>
    <row r="4" spans="2:91" x14ac:dyDescent="0.25">
      <c r="B4" s="9" t="s">
        <v>261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8" t="s">
        <v>96</v>
      </c>
      <c r="C6" s="28" t="s">
        <v>97</v>
      </c>
      <c r="D6" s="28" t="s">
        <v>98</v>
      </c>
      <c r="E6" s="33" t="s">
        <v>99</v>
      </c>
      <c r="F6" s="33" t="s">
        <v>100</v>
      </c>
      <c r="G6" s="33" t="s">
        <v>101</v>
      </c>
      <c r="H6" s="33" t="s">
        <v>102</v>
      </c>
      <c r="I6" s="33" t="s">
        <v>103</v>
      </c>
      <c r="J6" s="33" t="s">
        <v>104</v>
      </c>
      <c r="K6" s="33" t="s">
        <v>105</v>
      </c>
      <c r="L6" s="33" t="s">
        <v>106</v>
      </c>
      <c r="M6" s="33" t="s">
        <v>107</v>
      </c>
      <c r="N6" s="33" t="s">
        <v>108</v>
      </c>
      <c r="O6" s="33" t="s">
        <v>109</v>
      </c>
      <c r="P6" s="33" t="s">
        <v>110</v>
      </c>
      <c r="Q6" s="33" t="s">
        <v>111</v>
      </c>
      <c r="R6" s="33" t="s">
        <v>112</v>
      </c>
      <c r="S6" s="33" t="s">
        <v>113</v>
      </c>
      <c r="T6" s="33" t="s">
        <v>114</v>
      </c>
      <c r="U6" s="33" t="s">
        <v>115</v>
      </c>
      <c r="V6" s="33" t="s">
        <v>116</v>
      </c>
      <c r="W6" s="33" t="s">
        <v>117</v>
      </c>
      <c r="X6" s="33" t="s">
        <v>118</v>
      </c>
      <c r="Y6" s="33" t="s">
        <v>119</v>
      </c>
      <c r="Z6" s="33" t="s">
        <v>120</v>
      </c>
      <c r="AA6" s="33" t="s">
        <v>121</v>
      </c>
      <c r="AB6" s="33" t="s">
        <v>122</v>
      </c>
      <c r="AC6" s="33" t="s">
        <v>123</v>
      </c>
      <c r="AD6" s="33" t="s">
        <v>124</v>
      </c>
      <c r="AE6" s="33" t="s">
        <v>125</v>
      </c>
      <c r="AF6" s="33" t="s">
        <v>126</v>
      </c>
      <c r="AG6" s="33" t="s">
        <v>127</v>
      </c>
      <c r="AH6" s="33" t="s">
        <v>128</v>
      </c>
      <c r="AI6" s="33" t="s">
        <v>129</v>
      </c>
      <c r="AJ6" s="33" t="s">
        <v>130</v>
      </c>
      <c r="AK6" s="33" t="s">
        <v>131</v>
      </c>
      <c r="AL6" s="33" t="s">
        <v>132</v>
      </c>
      <c r="AM6" s="33" t="s">
        <v>133</v>
      </c>
      <c r="AN6" s="33" t="s">
        <v>134</v>
      </c>
      <c r="AO6" s="33" t="s">
        <v>135</v>
      </c>
      <c r="AP6" s="33" t="s">
        <v>136</v>
      </c>
      <c r="AQ6" s="33" t="s">
        <v>137</v>
      </c>
      <c r="AR6" s="33" t="s">
        <v>138</v>
      </c>
      <c r="AS6" s="33" t="s">
        <v>139</v>
      </c>
      <c r="AT6" s="33" t="s">
        <v>140</v>
      </c>
      <c r="AU6" s="33" t="s">
        <v>141</v>
      </c>
      <c r="AV6" s="33" t="s">
        <v>142</v>
      </c>
      <c r="AW6" s="33" t="s">
        <v>143</v>
      </c>
      <c r="AX6" s="33" t="s">
        <v>144</v>
      </c>
      <c r="AY6" s="33" t="s">
        <v>145</v>
      </c>
      <c r="AZ6" s="33" t="s">
        <v>146</v>
      </c>
      <c r="BA6" s="33" t="s">
        <v>147</v>
      </c>
      <c r="BB6" s="33" t="s">
        <v>148</v>
      </c>
      <c r="BC6" s="33" t="s">
        <v>149</v>
      </c>
      <c r="BD6" s="33" t="s">
        <v>150</v>
      </c>
      <c r="BE6" s="33" t="s">
        <v>151</v>
      </c>
      <c r="BF6" s="33" t="s">
        <v>152</v>
      </c>
      <c r="BG6" s="33" t="s">
        <v>153</v>
      </c>
      <c r="BH6" s="33" t="s">
        <v>154</v>
      </c>
      <c r="BI6" s="33" t="s">
        <v>155</v>
      </c>
      <c r="BJ6" s="33" t="s">
        <v>156</v>
      </c>
      <c r="BK6" s="33" t="s">
        <v>157</v>
      </c>
      <c r="BL6" s="33" t="s">
        <v>158</v>
      </c>
      <c r="BM6" s="33" t="s">
        <v>159</v>
      </c>
      <c r="BN6" s="33" t="s">
        <v>160</v>
      </c>
      <c r="BO6" s="33" t="s">
        <v>161</v>
      </c>
      <c r="BP6" s="33" t="s">
        <v>162</v>
      </c>
      <c r="BQ6" s="33" t="s">
        <v>163</v>
      </c>
      <c r="BR6" s="33" t="s">
        <v>164</v>
      </c>
      <c r="BS6" s="33" t="s">
        <v>165</v>
      </c>
      <c r="BT6" s="33" t="s">
        <v>166</v>
      </c>
      <c r="BU6" s="33" t="s">
        <v>167</v>
      </c>
      <c r="BV6" s="33" t="s">
        <v>168</v>
      </c>
      <c r="BW6" s="33" t="s">
        <v>169</v>
      </c>
      <c r="BX6" s="33" t="s">
        <v>170</v>
      </c>
      <c r="BY6" s="33" t="s">
        <v>171</v>
      </c>
      <c r="BZ6" s="33" t="s">
        <v>172</v>
      </c>
      <c r="CA6" s="33" t="s">
        <v>173</v>
      </c>
      <c r="CB6" s="33" t="s">
        <v>174</v>
      </c>
      <c r="CC6" s="33" t="s">
        <v>175</v>
      </c>
      <c r="CD6" s="33" t="s">
        <v>176</v>
      </c>
      <c r="CE6" s="33" t="s">
        <v>177</v>
      </c>
      <c r="CF6" s="33" t="s">
        <v>178</v>
      </c>
      <c r="CG6" s="33" t="s">
        <v>179</v>
      </c>
      <c r="CH6" s="33" t="s">
        <v>180</v>
      </c>
      <c r="CI6" s="33" t="s">
        <v>181</v>
      </c>
      <c r="CJ6" s="33" t="s">
        <v>182</v>
      </c>
      <c r="CK6" s="33" t="s">
        <v>183</v>
      </c>
      <c r="CL6" s="33" t="s">
        <v>184</v>
      </c>
    </row>
    <row r="8" spans="2:90" x14ac:dyDescent="0.25">
      <c r="B8" s="34" t="s">
        <v>262</v>
      </c>
      <c r="C8" s="35" t="s">
        <v>263</v>
      </c>
      <c r="E8" s="54">
        <v>0</v>
      </c>
      <c r="F8" s="54">
        <v>0</v>
      </c>
      <c r="G8" s="54">
        <v>0</v>
      </c>
      <c r="H8" s="54">
        <v>0</v>
      </c>
      <c r="I8" s="54">
        <v>0</v>
      </c>
      <c r="J8" s="54">
        <v>0</v>
      </c>
      <c r="K8" s="54">
        <v>0</v>
      </c>
      <c r="L8" s="54">
        <v>0</v>
      </c>
      <c r="M8" s="54">
        <v>0</v>
      </c>
      <c r="N8" s="54">
        <v>0</v>
      </c>
      <c r="O8" s="54">
        <v>1</v>
      </c>
      <c r="P8" s="54">
        <v>1</v>
      </c>
      <c r="Q8" s="54">
        <v>1</v>
      </c>
      <c r="R8" s="54">
        <v>1</v>
      </c>
      <c r="S8" s="54">
        <v>2</v>
      </c>
      <c r="T8" s="54">
        <v>2</v>
      </c>
      <c r="U8" s="54">
        <v>2</v>
      </c>
      <c r="V8" s="54">
        <v>2</v>
      </c>
      <c r="W8" s="54">
        <v>3</v>
      </c>
      <c r="X8" s="54">
        <v>3</v>
      </c>
      <c r="Y8" s="54">
        <v>3</v>
      </c>
      <c r="Z8" s="54">
        <v>3</v>
      </c>
      <c r="AA8" s="54">
        <v>4</v>
      </c>
      <c r="AB8" s="54">
        <v>4</v>
      </c>
      <c r="AC8" s="54">
        <v>4</v>
      </c>
      <c r="AD8" s="54">
        <v>4</v>
      </c>
      <c r="AE8" s="54">
        <v>5</v>
      </c>
      <c r="AF8" s="54">
        <v>5</v>
      </c>
      <c r="AG8" s="54">
        <v>5</v>
      </c>
      <c r="AH8" s="54">
        <v>5</v>
      </c>
      <c r="AI8" s="54">
        <v>6</v>
      </c>
      <c r="AJ8" s="54">
        <v>6</v>
      </c>
      <c r="AK8" s="54">
        <v>6</v>
      </c>
      <c r="AL8" s="54">
        <v>6</v>
      </c>
      <c r="AM8" s="54">
        <v>7</v>
      </c>
      <c r="AN8" s="54">
        <v>7</v>
      </c>
      <c r="AO8" s="54">
        <v>7</v>
      </c>
      <c r="AP8" s="54">
        <v>7</v>
      </c>
      <c r="AQ8" s="54">
        <v>8</v>
      </c>
      <c r="AR8" s="54">
        <v>8</v>
      </c>
      <c r="AS8" s="54">
        <v>8</v>
      </c>
      <c r="AT8" s="54">
        <v>8</v>
      </c>
      <c r="AU8" s="54">
        <v>9</v>
      </c>
      <c r="AV8" s="54">
        <v>9</v>
      </c>
      <c r="AW8" s="54">
        <v>9</v>
      </c>
      <c r="AX8" s="54">
        <v>9</v>
      </c>
      <c r="AY8" s="54">
        <v>10</v>
      </c>
      <c r="AZ8" s="54">
        <v>10</v>
      </c>
      <c r="BA8" s="54">
        <v>10</v>
      </c>
      <c r="BB8" s="54">
        <v>10</v>
      </c>
      <c r="BC8" s="54">
        <v>11</v>
      </c>
      <c r="BD8" s="54">
        <v>11</v>
      </c>
      <c r="BE8" s="54">
        <v>11</v>
      </c>
      <c r="BF8" s="54">
        <v>11</v>
      </c>
      <c r="BG8" s="54">
        <v>12</v>
      </c>
      <c r="BH8" s="54">
        <v>12</v>
      </c>
      <c r="BI8" s="54">
        <v>12</v>
      </c>
      <c r="BJ8" s="54">
        <v>12</v>
      </c>
      <c r="BK8" s="54">
        <v>13</v>
      </c>
      <c r="BL8" s="54">
        <v>13</v>
      </c>
      <c r="BM8" s="54">
        <v>13</v>
      </c>
      <c r="BN8" s="54">
        <v>13</v>
      </c>
      <c r="BO8" s="54">
        <v>14</v>
      </c>
      <c r="BP8" s="54">
        <v>14</v>
      </c>
      <c r="BQ8" s="54">
        <v>14</v>
      </c>
      <c r="BR8" s="54">
        <v>14</v>
      </c>
      <c r="BS8" s="54">
        <v>15</v>
      </c>
      <c r="BT8" s="54">
        <v>15</v>
      </c>
      <c r="BU8" s="54">
        <v>15</v>
      </c>
      <c r="BV8" s="54">
        <v>15</v>
      </c>
      <c r="BW8" s="54">
        <v>16</v>
      </c>
      <c r="BX8" s="54">
        <v>16</v>
      </c>
      <c r="BY8" s="54">
        <v>16</v>
      </c>
      <c r="BZ8" s="54">
        <v>16</v>
      </c>
      <c r="CA8" s="54">
        <v>17</v>
      </c>
      <c r="CB8" s="54">
        <v>17</v>
      </c>
      <c r="CC8" s="54">
        <v>17</v>
      </c>
      <c r="CD8" s="54">
        <v>17</v>
      </c>
      <c r="CE8" s="54">
        <v>18</v>
      </c>
      <c r="CF8" s="54">
        <v>18</v>
      </c>
      <c r="CG8" s="54">
        <v>18</v>
      </c>
      <c r="CH8" s="54">
        <v>18</v>
      </c>
      <c r="CI8" s="54">
        <v>19</v>
      </c>
      <c r="CJ8" s="54">
        <v>19</v>
      </c>
      <c r="CK8" s="54">
        <v>19</v>
      </c>
      <c r="CL8" s="54">
        <v>19</v>
      </c>
    </row>
    <row r="9" spans="2:90" x14ac:dyDescent="0.25">
      <c r="B9" s="34" t="s">
        <v>264</v>
      </c>
      <c r="C9" s="35" t="s">
        <v>265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0.25</v>
      </c>
      <c r="L9" s="55">
        <v>0.25</v>
      </c>
      <c r="M9" s="55">
        <v>0.25</v>
      </c>
      <c r="N9" s="55">
        <v>0.25</v>
      </c>
      <c r="O9" s="55">
        <v>0.25</v>
      </c>
      <c r="P9" s="55">
        <v>0.25</v>
      </c>
      <c r="Q9" s="55">
        <v>0.25</v>
      </c>
      <c r="R9" s="55">
        <v>0.25</v>
      </c>
      <c r="S9" s="55">
        <v>0.25</v>
      </c>
      <c r="T9" s="55">
        <v>0.25</v>
      </c>
      <c r="U9" s="55">
        <v>0.25</v>
      </c>
      <c r="V9" s="55">
        <v>0.25</v>
      </c>
      <c r="W9" s="55">
        <v>0.25</v>
      </c>
      <c r="X9" s="55">
        <v>0.25</v>
      </c>
      <c r="Y9" s="55">
        <v>0.25</v>
      </c>
      <c r="Z9" s="55">
        <v>0.25</v>
      </c>
      <c r="AA9" s="55">
        <v>0.25</v>
      </c>
      <c r="AB9" s="55">
        <v>0.25</v>
      </c>
      <c r="AC9" s="55">
        <v>0.25</v>
      </c>
      <c r="AD9" s="55">
        <v>0.25</v>
      </c>
      <c r="AE9" s="55">
        <v>0.25</v>
      </c>
      <c r="AF9" s="55">
        <v>0.25</v>
      </c>
      <c r="AG9" s="55">
        <v>0.25</v>
      </c>
      <c r="AH9" s="55">
        <v>0.25</v>
      </c>
      <c r="AI9" s="55">
        <v>0.25</v>
      </c>
      <c r="AJ9" s="55">
        <v>0.25</v>
      </c>
      <c r="AK9" s="55">
        <v>0.25</v>
      </c>
      <c r="AL9" s="55">
        <v>0.25</v>
      </c>
      <c r="AM9" s="55">
        <v>0.25</v>
      </c>
      <c r="AN9" s="55">
        <v>0.25</v>
      </c>
      <c r="AO9" s="55">
        <v>0.25</v>
      </c>
      <c r="AP9" s="55">
        <v>0.25</v>
      </c>
      <c r="AQ9" s="55">
        <v>0.25</v>
      </c>
      <c r="AR9" s="55">
        <v>0.25</v>
      </c>
      <c r="AS9" s="55">
        <v>0.25</v>
      </c>
      <c r="AT9" s="55">
        <v>0.25</v>
      </c>
      <c r="AU9" s="55">
        <v>0.25</v>
      </c>
      <c r="AV9" s="55">
        <v>0.25</v>
      </c>
      <c r="AW9" s="55">
        <v>0.25</v>
      </c>
      <c r="AX9" s="55">
        <v>0.25</v>
      </c>
      <c r="AY9" s="55">
        <v>0.25</v>
      </c>
      <c r="AZ9" s="55">
        <v>0.25</v>
      </c>
      <c r="BA9" s="55">
        <v>0.25</v>
      </c>
      <c r="BB9" s="55">
        <v>0.25</v>
      </c>
      <c r="BC9" s="55">
        <v>0.25</v>
      </c>
      <c r="BD9" s="55">
        <v>0.25</v>
      </c>
      <c r="BE9" s="55">
        <v>0.25</v>
      </c>
      <c r="BF9" s="55">
        <v>0.25</v>
      </c>
      <c r="BG9" s="55">
        <v>0.25</v>
      </c>
      <c r="BH9" s="55">
        <v>0.25</v>
      </c>
      <c r="BI9" s="55">
        <v>0.25</v>
      </c>
      <c r="BJ9" s="55">
        <v>0.25</v>
      </c>
      <c r="BK9" s="55">
        <v>0.25</v>
      </c>
      <c r="BL9" s="55">
        <v>0.25</v>
      </c>
      <c r="BM9" s="55">
        <v>0.25</v>
      </c>
      <c r="BN9" s="55">
        <v>0.25</v>
      </c>
      <c r="BO9" s="55">
        <v>0.25</v>
      </c>
      <c r="BP9" s="55">
        <v>0.25</v>
      </c>
      <c r="BQ9" s="55">
        <v>0.25</v>
      </c>
      <c r="BR9" s="55">
        <v>0.25</v>
      </c>
      <c r="BS9" s="55">
        <v>0.25</v>
      </c>
      <c r="BT9" s="55">
        <v>0.25</v>
      </c>
      <c r="BU9" s="55">
        <v>0.25</v>
      </c>
      <c r="BV9" s="55">
        <v>0.25</v>
      </c>
      <c r="BW9" s="55">
        <v>0.25</v>
      </c>
      <c r="BX9" s="55">
        <v>0.25</v>
      </c>
      <c r="BY9" s="55">
        <v>0.25</v>
      </c>
      <c r="BZ9" s="55">
        <v>0.25</v>
      </c>
      <c r="CA9" s="55">
        <v>0.25</v>
      </c>
      <c r="CB9" s="55">
        <v>0.25</v>
      </c>
      <c r="CC9" s="55">
        <v>0.25</v>
      </c>
      <c r="CD9" s="55">
        <v>0.25</v>
      </c>
      <c r="CE9" s="55">
        <v>0.25</v>
      </c>
      <c r="CF9" s="55">
        <v>0.25</v>
      </c>
      <c r="CG9" s="55">
        <v>0.25</v>
      </c>
      <c r="CH9" s="55">
        <v>0.25</v>
      </c>
      <c r="CI9" s="55">
        <v>0.25</v>
      </c>
      <c r="CJ9" s="55">
        <v>0.25</v>
      </c>
      <c r="CK9" s="55">
        <v>0.25</v>
      </c>
      <c r="CL9" s="55">
        <v>0.25</v>
      </c>
    </row>
    <row r="11" spans="2:90" x14ac:dyDescent="0.25">
      <c r="B11" s="47" t="s">
        <v>266</v>
      </c>
      <c r="C11" s="35" t="s">
        <v>267</v>
      </c>
      <c r="D11" s="56">
        <f>SUM(E11:CL11)</f>
        <v>2621375.25</v>
      </c>
      <c r="E11" s="56">
        <f>($D$25*$D$30*365)*MAX(0,1-$D$28/100*E8)*(1-$D$29/100)*E9</f>
        <v>0</v>
      </c>
      <c r="F11" s="56">
        <f>($D$25*$D$30*365)*MAX(0,1-$D$28/100*F8)*(1-$D$29/100)*F9</f>
        <v>0</v>
      </c>
      <c r="G11" s="56">
        <f>($D$25*$D$30*365)*MAX(0,1-$D$28/100*G8)*(1-$D$29/100)*G9</f>
        <v>0</v>
      </c>
      <c r="H11" s="56">
        <f>($D$25*$D$30*365)*MAX(0,1-$D$28/100*H8)*(1-$D$29/100)*H9</f>
        <v>0</v>
      </c>
      <c r="I11" s="56">
        <f>($D$25*$D$30*365)*MAX(0,1-$D$28/100*I8)*(1-$D$29/100)*I9</f>
        <v>0</v>
      </c>
      <c r="J11" s="56">
        <f>($D$25*$D$30*365)*MAX(0,1-$D$28/100*J8)*(1-$D$29/100)*J9</f>
        <v>0</v>
      </c>
      <c r="K11" s="56">
        <f>($D$25*$D$30*365)*MAX(0,1-$D$28/100*K8)*(1-$D$29/100)*K9</f>
        <v>34401.25</v>
      </c>
      <c r="L11" s="56">
        <f>($D$25*$D$30*365)*MAX(0,1-$D$28/100*L8)*(1-$D$29/100)*L9</f>
        <v>34401.25</v>
      </c>
      <c r="M11" s="56">
        <f>($D$25*$D$30*365)*MAX(0,1-$D$28/100*M8)*(1-$D$29/100)*M9</f>
        <v>34401.25</v>
      </c>
      <c r="N11" s="56">
        <f>($D$25*$D$30*365)*MAX(0,1-$D$28/100*N8)*(1-$D$29/100)*N9</f>
        <v>34401.25</v>
      </c>
      <c r="O11" s="56">
        <f>($D$25*$D$30*365)*MAX(0,1-$D$28/100*O8)*(1-$D$29/100)*O9</f>
        <v>34229.24375</v>
      </c>
      <c r="P11" s="56">
        <f>($D$25*$D$30*365)*MAX(0,1-$D$28/100*P8)*(1-$D$29/100)*P9</f>
        <v>34229.24375</v>
      </c>
      <c r="Q11" s="56">
        <f>($D$25*$D$30*365)*MAX(0,1-$D$28/100*Q8)*(1-$D$29/100)*Q9</f>
        <v>34229.24375</v>
      </c>
      <c r="R11" s="56">
        <f>($D$25*$D$30*365)*MAX(0,1-$D$28/100*R8)*(1-$D$29/100)*R9</f>
        <v>34229.24375</v>
      </c>
      <c r="S11" s="56">
        <f>($D$25*$D$30*365)*MAX(0,1-$D$28/100*S8)*(1-$D$29/100)*S9</f>
        <v>34057.2375</v>
      </c>
      <c r="T11" s="56">
        <f>($D$25*$D$30*365)*MAX(0,1-$D$28/100*T8)*(1-$D$29/100)*T9</f>
        <v>34057.2375</v>
      </c>
      <c r="U11" s="56">
        <f>($D$25*$D$30*365)*MAX(0,1-$D$28/100*U8)*(1-$D$29/100)*U9</f>
        <v>34057.2375</v>
      </c>
      <c r="V11" s="56">
        <f>($D$25*$D$30*365)*MAX(0,1-$D$28/100*V8)*(1-$D$29/100)*V9</f>
        <v>34057.2375</v>
      </c>
      <c r="W11" s="56">
        <f>($D$25*$D$30*365)*MAX(0,1-$D$28/100*W8)*(1-$D$29/100)*W9</f>
        <v>33885.23125</v>
      </c>
      <c r="X11" s="56">
        <f>($D$25*$D$30*365)*MAX(0,1-$D$28/100*X8)*(1-$D$29/100)*X9</f>
        <v>33885.23125</v>
      </c>
      <c r="Y11" s="56">
        <f>($D$25*$D$30*365)*MAX(0,1-$D$28/100*Y8)*(1-$D$29/100)*Y9</f>
        <v>33885.23125</v>
      </c>
      <c r="Z11" s="56">
        <f>($D$25*$D$30*365)*MAX(0,1-$D$28/100*Z8)*(1-$D$29/100)*Z9</f>
        <v>33885.23125</v>
      </c>
      <c r="AA11" s="56">
        <f>($D$25*$D$30*365)*MAX(0,1-$D$28/100*AA8)*(1-$D$29/100)*AA9</f>
        <v>33713.225</v>
      </c>
      <c r="AB11" s="56">
        <f>($D$25*$D$30*365)*MAX(0,1-$D$28/100*AB8)*(1-$D$29/100)*AB9</f>
        <v>33713.225</v>
      </c>
      <c r="AC11" s="56">
        <f>($D$25*$D$30*365)*MAX(0,1-$D$28/100*AC8)*(1-$D$29/100)*AC9</f>
        <v>33713.225</v>
      </c>
      <c r="AD11" s="56">
        <f>($D$25*$D$30*365)*MAX(0,1-$D$28/100*AD8)*(1-$D$29/100)*AD9</f>
        <v>33713.225</v>
      </c>
      <c r="AE11" s="56">
        <f>($D$25*$D$30*365)*MAX(0,1-$D$28/100*AE8)*(1-$D$29/100)*AE9</f>
        <v>33541.21875</v>
      </c>
      <c r="AF11" s="56">
        <f>($D$25*$D$30*365)*MAX(0,1-$D$28/100*AF8)*(1-$D$29/100)*AF9</f>
        <v>33541.21875</v>
      </c>
      <c r="AG11" s="56">
        <f>($D$25*$D$30*365)*MAX(0,1-$D$28/100*AG8)*(1-$D$29/100)*AG9</f>
        <v>33541.21875</v>
      </c>
      <c r="AH11" s="56">
        <f>($D$25*$D$30*365)*MAX(0,1-$D$28/100*AH8)*(1-$D$29/100)*AH9</f>
        <v>33541.21875</v>
      </c>
      <c r="AI11" s="56">
        <f>($D$25*$D$30*365)*MAX(0,1-$D$28/100*AI8)*(1-$D$29/100)*AI9</f>
        <v>33369.2125</v>
      </c>
      <c r="AJ11" s="56">
        <f>($D$25*$D$30*365)*MAX(0,1-$D$28/100*AJ8)*(1-$D$29/100)*AJ9</f>
        <v>33369.2125</v>
      </c>
      <c r="AK11" s="56">
        <f>($D$25*$D$30*365)*MAX(0,1-$D$28/100*AK8)*(1-$D$29/100)*AK9</f>
        <v>33369.2125</v>
      </c>
      <c r="AL11" s="56">
        <f>($D$25*$D$30*365)*MAX(0,1-$D$28/100*AL8)*(1-$D$29/100)*AL9</f>
        <v>33369.2125</v>
      </c>
      <c r="AM11" s="56">
        <f>($D$25*$D$30*365)*MAX(0,1-$D$28/100*AM8)*(1-$D$29/100)*AM9</f>
        <v>33197.206249999996</v>
      </c>
      <c r="AN11" s="56">
        <f>($D$25*$D$30*365)*MAX(0,1-$D$28/100*AN8)*(1-$D$29/100)*AN9</f>
        <v>33197.206249999996</v>
      </c>
      <c r="AO11" s="56">
        <f>($D$25*$D$30*365)*MAX(0,1-$D$28/100*AO8)*(1-$D$29/100)*AO9</f>
        <v>33197.206249999996</v>
      </c>
      <c r="AP11" s="56">
        <f>($D$25*$D$30*365)*MAX(0,1-$D$28/100*AP8)*(1-$D$29/100)*AP9</f>
        <v>33197.206249999996</v>
      </c>
      <c r="AQ11" s="56">
        <f>($D$25*$D$30*365)*MAX(0,1-$D$28/100*AQ8)*(1-$D$29/100)*AQ9</f>
        <v>33025.2</v>
      </c>
      <c r="AR11" s="56">
        <f>($D$25*$D$30*365)*MAX(0,1-$D$28/100*AR8)*(1-$D$29/100)*AR9</f>
        <v>33025.2</v>
      </c>
      <c r="AS11" s="56">
        <f>($D$25*$D$30*365)*MAX(0,1-$D$28/100*AS8)*(1-$D$29/100)*AS9</f>
        <v>33025.2</v>
      </c>
      <c r="AT11" s="56">
        <f>($D$25*$D$30*365)*MAX(0,1-$D$28/100*AT8)*(1-$D$29/100)*AT9</f>
        <v>33025.2</v>
      </c>
      <c r="AU11" s="56">
        <f>($D$25*$D$30*365)*MAX(0,1-$D$28/100*AU8)*(1-$D$29/100)*AU9</f>
        <v>32853.19375</v>
      </c>
      <c r="AV11" s="56">
        <f>($D$25*$D$30*365)*MAX(0,1-$D$28/100*AV8)*(1-$D$29/100)*AV9</f>
        <v>32853.19375</v>
      </c>
      <c r="AW11" s="56">
        <f>($D$25*$D$30*365)*MAX(0,1-$D$28/100*AW8)*(1-$D$29/100)*AW9</f>
        <v>32853.19375</v>
      </c>
      <c r="AX11" s="56">
        <f>($D$25*$D$30*365)*MAX(0,1-$D$28/100*AX8)*(1-$D$29/100)*AX9</f>
        <v>32853.19375</v>
      </c>
      <c r="AY11" s="56">
        <f>($D$25*$D$30*365)*MAX(0,1-$D$28/100*AY8)*(1-$D$29/100)*AY9</f>
        <v>32681.1875</v>
      </c>
      <c r="AZ11" s="56">
        <f>($D$25*$D$30*365)*MAX(0,1-$D$28/100*AZ8)*(1-$D$29/100)*AZ9</f>
        <v>32681.1875</v>
      </c>
      <c r="BA11" s="56">
        <f>($D$25*$D$30*365)*MAX(0,1-$D$28/100*BA8)*(1-$D$29/100)*BA9</f>
        <v>32681.1875</v>
      </c>
      <c r="BB11" s="56">
        <f>($D$25*$D$30*365)*MAX(0,1-$D$28/100*BB8)*(1-$D$29/100)*BB9</f>
        <v>32681.1875</v>
      </c>
      <c r="BC11" s="56">
        <f>($D$25*$D$30*365)*MAX(0,1-$D$28/100*BC8)*(1-$D$29/100)*BC9</f>
        <v>32509.181249999998</v>
      </c>
      <c r="BD11" s="56">
        <f>($D$25*$D$30*365)*MAX(0,1-$D$28/100*BD8)*(1-$D$29/100)*BD9</f>
        <v>32509.181249999998</v>
      </c>
      <c r="BE11" s="56">
        <f>($D$25*$D$30*365)*MAX(0,1-$D$28/100*BE8)*(1-$D$29/100)*BE9</f>
        <v>32509.181249999998</v>
      </c>
      <c r="BF11" s="56">
        <f>($D$25*$D$30*365)*MAX(0,1-$D$28/100*BF8)*(1-$D$29/100)*BF9</f>
        <v>32509.181249999998</v>
      </c>
      <c r="BG11" s="56">
        <f>($D$25*$D$30*365)*MAX(0,1-$D$28/100*BG8)*(1-$D$29/100)*BG9</f>
        <v>32337.175</v>
      </c>
      <c r="BH11" s="56">
        <f>($D$25*$D$30*365)*MAX(0,1-$D$28/100*BH8)*(1-$D$29/100)*BH9</f>
        <v>32337.175</v>
      </c>
      <c r="BI11" s="56">
        <f>($D$25*$D$30*365)*MAX(0,1-$D$28/100*BI8)*(1-$D$29/100)*BI9</f>
        <v>32337.175</v>
      </c>
      <c r="BJ11" s="56">
        <f>($D$25*$D$30*365)*MAX(0,1-$D$28/100*BJ8)*(1-$D$29/100)*BJ9</f>
        <v>32337.175</v>
      </c>
      <c r="BK11" s="56">
        <f>($D$25*$D$30*365)*MAX(0,1-$D$28/100*BK8)*(1-$D$29/100)*BK9</f>
        <v>32165.16875</v>
      </c>
      <c r="BL11" s="56">
        <f>($D$25*$D$30*365)*MAX(0,1-$D$28/100*BL8)*(1-$D$29/100)*BL9</f>
        <v>32165.16875</v>
      </c>
      <c r="BM11" s="56">
        <f>($D$25*$D$30*365)*MAX(0,1-$D$28/100*BM8)*(1-$D$29/100)*BM9</f>
        <v>32165.16875</v>
      </c>
      <c r="BN11" s="56">
        <f>($D$25*$D$30*365)*MAX(0,1-$D$28/100*BN8)*(1-$D$29/100)*BN9</f>
        <v>32165.16875</v>
      </c>
      <c r="BO11" s="56">
        <f>($D$25*$D$30*365)*MAX(0,1-$D$28/100*BO8)*(1-$D$29/100)*BO9</f>
        <v>31993.1625</v>
      </c>
      <c r="BP11" s="56">
        <f>($D$25*$D$30*365)*MAX(0,1-$D$28/100*BP8)*(1-$D$29/100)*BP9</f>
        <v>31993.1625</v>
      </c>
      <c r="BQ11" s="56">
        <f>($D$25*$D$30*365)*MAX(0,1-$D$28/100*BQ8)*(1-$D$29/100)*BQ9</f>
        <v>31993.1625</v>
      </c>
      <c r="BR11" s="56">
        <f>($D$25*$D$30*365)*MAX(0,1-$D$28/100*BR8)*(1-$D$29/100)*BR9</f>
        <v>31993.1625</v>
      </c>
      <c r="BS11" s="56">
        <f>($D$25*$D$30*365)*MAX(0,1-$D$28/100*BS8)*(1-$D$29/100)*BS9</f>
        <v>31821.15625</v>
      </c>
      <c r="BT11" s="56">
        <f>($D$25*$D$30*365)*MAX(0,1-$D$28/100*BT8)*(1-$D$29/100)*BT9</f>
        <v>31821.15625</v>
      </c>
      <c r="BU11" s="56">
        <f>($D$25*$D$30*365)*MAX(0,1-$D$28/100*BU8)*(1-$D$29/100)*BU9</f>
        <v>31821.15625</v>
      </c>
      <c r="BV11" s="56">
        <f>($D$25*$D$30*365)*MAX(0,1-$D$28/100*BV8)*(1-$D$29/100)*BV9</f>
        <v>31821.15625</v>
      </c>
      <c r="BW11" s="56">
        <f>($D$25*$D$30*365)*MAX(0,1-$D$28/100*BW8)*(1-$D$29/100)*BW9</f>
        <v>31649.15</v>
      </c>
      <c r="BX11" s="56">
        <f>($D$25*$D$30*365)*MAX(0,1-$D$28/100*BX8)*(1-$D$29/100)*BX9</f>
        <v>31649.15</v>
      </c>
      <c r="BY11" s="56">
        <f>($D$25*$D$30*365)*MAX(0,1-$D$28/100*BY8)*(1-$D$29/100)*BY9</f>
        <v>31649.15</v>
      </c>
      <c r="BZ11" s="56">
        <f>($D$25*$D$30*365)*MAX(0,1-$D$28/100*BZ8)*(1-$D$29/100)*BZ9</f>
        <v>31649.15</v>
      </c>
      <c r="CA11" s="56">
        <f>($D$25*$D$30*365)*MAX(0,1-$D$28/100*CA8)*(1-$D$29/100)*CA9</f>
        <v>31477.143750000003</v>
      </c>
      <c r="CB11" s="56">
        <f>($D$25*$D$30*365)*MAX(0,1-$D$28/100*CB8)*(1-$D$29/100)*CB9</f>
        <v>31477.143750000003</v>
      </c>
      <c r="CC11" s="56">
        <f>($D$25*$D$30*365)*MAX(0,1-$D$28/100*CC8)*(1-$D$29/100)*CC9</f>
        <v>31477.143750000003</v>
      </c>
      <c r="CD11" s="56">
        <f>($D$25*$D$30*365)*MAX(0,1-$D$28/100*CD8)*(1-$D$29/100)*CD9</f>
        <v>31477.143750000003</v>
      </c>
      <c r="CE11" s="56">
        <f>($D$25*$D$30*365)*MAX(0,1-$D$28/100*CE8)*(1-$D$29/100)*CE9</f>
        <v>31305.1375</v>
      </c>
      <c r="CF11" s="56">
        <f>($D$25*$D$30*365)*MAX(0,1-$D$28/100*CF8)*(1-$D$29/100)*CF9</f>
        <v>31305.1375</v>
      </c>
      <c r="CG11" s="56">
        <f>($D$25*$D$30*365)*MAX(0,1-$D$28/100*CG8)*(1-$D$29/100)*CG9</f>
        <v>31305.1375</v>
      </c>
      <c r="CH11" s="56">
        <f>($D$25*$D$30*365)*MAX(0,1-$D$28/100*CH8)*(1-$D$29/100)*CH9</f>
        <v>31305.1375</v>
      </c>
      <c r="CI11" s="56">
        <f>($D$25*$D$30*365)*MAX(0,1-$D$28/100*CI8)*(1-$D$29/100)*CI9</f>
        <v>31133.131250000002</v>
      </c>
      <c r="CJ11" s="56">
        <f>($D$25*$D$30*365)*MAX(0,1-$D$28/100*CJ8)*(1-$D$29/100)*CJ9</f>
        <v>31133.131250000002</v>
      </c>
      <c r="CK11" s="56">
        <f>($D$25*$D$30*365)*MAX(0,1-$D$28/100*CK8)*(1-$D$29/100)*CK9</f>
        <v>31133.131250000002</v>
      </c>
      <c r="CL11" s="56">
        <f>($D$25*$D$30*365)*MAX(0,1-$D$28/100*CL8)*(1-$D$29/100)*CL9</f>
        <v>31133.131250000002</v>
      </c>
    </row>
    <row r="13" spans="2:90" x14ac:dyDescent="0.25">
      <c r="B13" s="34" t="s">
        <v>268</v>
      </c>
      <c r="C13" s="35" t="s">
        <v>269</v>
      </c>
      <c r="E13" s="57"/>
      <c r="F13" s="57"/>
      <c r="G13" s="57"/>
      <c r="H13" s="57"/>
      <c r="I13" s="57"/>
      <c r="J13" s="57"/>
      <c r="K13" s="57">
        <f>$D$26*(1+$D$27/100)^K8</f>
        <v>154.8</v>
      </c>
      <c r="L13" s="57">
        <f>$D$26*(1+$D$27/100)^L8</f>
        <v>154.8</v>
      </c>
      <c r="M13" s="57">
        <f>$D$26*(1+$D$27/100)^M8</f>
        <v>154.8</v>
      </c>
      <c r="N13" s="57">
        <f>$D$26*(1+$D$27/100)^N8</f>
        <v>154.8</v>
      </c>
      <c r="O13" s="57">
        <f>$D$26*(1+$D$27/100)^O8</f>
        <v>154.8</v>
      </c>
      <c r="P13" s="57">
        <f>$D$26*(1+$D$27/100)^P8</f>
        <v>154.8</v>
      </c>
      <c r="Q13" s="57">
        <f>$D$26*(1+$D$27/100)^Q8</f>
        <v>154.8</v>
      </c>
      <c r="R13" s="57">
        <f>$D$26*(1+$D$27/100)^R8</f>
        <v>154.8</v>
      </c>
      <c r="S13" s="57">
        <f>$D$26*(1+$D$27/100)^S8</f>
        <v>154.8</v>
      </c>
      <c r="T13" s="57">
        <f>$D$26*(1+$D$27/100)^T8</f>
        <v>154.8</v>
      </c>
      <c r="U13" s="57">
        <f>$D$26*(1+$D$27/100)^U8</f>
        <v>154.8</v>
      </c>
      <c r="V13" s="57">
        <f>$D$26*(1+$D$27/100)^V8</f>
        <v>154.8</v>
      </c>
      <c r="W13" s="57">
        <f>$D$26*(1+$D$27/100)^W8</f>
        <v>154.8</v>
      </c>
      <c r="X13" s="57">
        <f>$D$26*(1+$D$27/100)^X8</f>
        <v>154.8</v>
      </c>
      <c r="Y13" s="57">
        <f>$D$26*(1+$D$27/100)^Y8</f>
        <v>154.8</v>
      </c>
      <c r="Z13" s="57">
        <f>$D$26*(1+$D$27/100)^Z8</f>
        <v>154.8</v>
      </c>
      <c r="AA13" s="57">
        <f>$D$26*(1+$D$27/100)^AA8</f>
        <v>154.8</v>
      </c>
      <c r="AB13" s="57">
        <f>$D$26*(1+$D$27/100)^AB8</f>
        <v>154.8</v>
      </c>
      <c r="AC13" s="57">
        <f>$D$26*(1+$D$27/100)^AC8</f>
        <v>154.8</v>
      </c>
      <c r="AD13" s="57">
        <f>$D$26*(1+$D$27/100)^AD8</f>
        <v>154.8</v>
      </c>
      <c r="AE13" s="57">
        <f>$D$26*(1+$D$27/100)^AE8</f>
        <v>154.8</v>
      </c>
      <c r="AF13" s="57">
        <f>$D$26*(1+$D$27/100)^AF8</f>
        <v>154.8</v>
      </c>
      <c r="AG13" s="57">
        <f>$D$26*(1+$D$27/100)^AG8</f>
        <v>154.8</v>
      </c>
      <c r="AH13" s="57">
        <f>$D$26*(1+$D$27/100)^AH8</f>
        <v>154.8</v>
      </c>
      <c r="AI13" s="57">
        <f>$D$26*(1+$D$27/100)^AI8</f>
        <v>154.8</v>
      </c>
      <c r="AJ13" s="57">
        <f>$D$26*(1+$D$27/100)^AJ8</f>
        <v>154.8</v>
      </c>
      <c r="AK13" s="57">
        <f>$D$26*(1+$D$27/100)^AK8</f>
        <v>154.8</v>
      </c>
      <c r="AL13" s="57">
        <f>$D$26*(1+$D$27/100)^AL8</f>
        <v>154.8</v>
      </c>
      <c r="AM13" s="57">
        <f>$D$26*(1+$D$27/100)^AM8</f>
        <v>154.8</v>
      </c>
      <c r="AN13" s="57">
        <f>$D$26*(1+$D$27/100)^AN8</f>
        <v>154.8</v>
      </c>
      <c r="AO13" s="57">
        <f>$D$26*(1+$D$27/100)^AO8</f>
        <v>154.8</v>
      </c>
      <c r="AP13" s="57">
        <f>$D$26*(1+$D$27/100)^AP8</f>
        <v>154.8</v>
      </c>
      <c r="AQ13" s="57">
        <f>$D$26*(1+$D$27/100)^AQ8</f>
        <v>154.8</v>
      </c>
      <c r="AR13" s="57">
        <f>$D$26*(1+$D$27/100)^AR8</f>
        <v>154.8</v>
      </c>
      <c r="AS13" s="57">
        <f>$D$26*(1+$D$27/100)^AS8</f>
        <v>154.8</v>
      </c>
      <c r="AT13" s="57">
        <f>$D$26*(1+$D$27/100)^AT8</f>
        <v>154.8</v>
      </c>
      <c r="AU13" s="57">
        <f>$D$26*(1+$D$27/100)^AU8</f>
        <v>154.8</v>
      </c>
      <c r="AV13" s="57">
        <f>$D$26*(1+$D$27/100)^AV8</f>
        <v>154.8</v>
      </c>
      <c r="AW13" s="57">
        <f>$D$26*(1+$D$27/100)^AW8</f>
        <v>154.8</v>
      </c>
      <c r="AX13" s="57">
        <f>$D$26*(1+$D$27/100)^AX8</f>
        <v>154.8</v>
      </c>
      <c r="AY13" s="57">
        <f>$D$26*(1+$D$27/100)^AY8</f>
        <v>154.8</v>
      </c>
      <c r="AZ13" s="57">
        <f>$D$26*(1+$D$27/100)^AZ8</f>
        <v>154.8</v>
      </c>
      <c r="BA13" s="57">
        <f>$D$26*(1+$D$27/100)^BA8</f>
        <v>154.8</v>
      </c>
      <c r="BB13" s="57">
        <f>$D$26*(1+$D$27/100)^BB8</f>
        <v>154.8</v>
      </c>
      <c r="BC13" s="57">
        <f>$D$26*(1+$D$27/100)^BC8</f>
        <v>154.8</v>
      </c>
      <c r="BD13" s="57">
        <f>$D$26*(1+$D$27/100)^BD8</f>
        <v>154.8</v>
      </c>
      <c r="BE13" s="57">
        <f>$D$26*(1+$D$27/100)^BE8</f>
        <v>154.8</v>
      </c>
      <c r="BF13" s="57">
        <f>$D$26*(1+$D$27/100)^BF8</f>
        <v>154.8</v>
      </c>
      <c r="BG13" s="57">
        <f>$D$26*(1+$D$27/100)^BG8</f>
        <v>154.8</v>
      </c>
      <c r="BH13" s="57">
        <f>$D$26*(1+$D$27/100)^BH8</f>
        <v>154.8</v>
      </c>
      <c r="BI13" s="57">
        <f>$D$26*(1+$D$27/100)^BI8</f>
        <v>154.8</v>
      </c>
      <c r="BJ13" s="57">
        <f>$D$26*(1+$D$27/100)^BJ8</f>
        <v>154.8</v>
      </c>
      <c r="BK13" s="57">
        <f>$D$26*(1+$D$27/100)^BK8</f>
        <v>154.8</v>
      </c>
      <c r="BL13" s="57">
        <f>$D$26*(1+$D$27/100)^BL8</f>
        <v>154.8</v>
      </c>
      <c r="BM13" s="57">
        <f>$D$26*(1+$D$27/100)^BM8</f>
        <v>154.8</v>
      </c>
      <c r="BN13" s="57">
        <f>$D$26*(1+$D$27/100)^BN8</f>
        <v>154.8</v>
      </c>
      <c r="BO13" s="57">
        <f>$D$26*(1+$D$27/100)^BO8</f>
        <v>154.8</v>
      </c>
      <c r="BP13" s="57">
        <f>$D$26*(1+$D$27/100)^BP8</f>
        <v>154.8</v>
      </c>
      <c r="BQ13" s="57">
        <f>$D$26*(1+$D$27/100)^BQ8</f>
        <v>154.8</v>
      </c>
      <c r="BR13" s="57">
        <f>$D$26*(1+$D$27/100)^BR8</f>
        <v>154.8</v>
      </c>
      <c r="BS13" s="57">
        <f>$D$26*(1+$D$27/100)^BS8</f>
        <v>154.8</v>
      </c>
      <c r="BT13" s="57">
        <f>$D$26*(1+$D$27/100)^BT8</f>
        <v>154.8</v>
      </c>
      <c r="BU13" s="57">
        <f>$D$26*(1+$D$27/100)^BU8</f>
        <v>154.8</v>
      </c>
      <c r="BV13" s="57">
        <f>$D$26*(1+$D$27/100)^BV8</f>
        <v>154.8</v>
      </c>
      <c r="BW13" s="57">
        <f>$D$26*(1+$D$27/100)^BW8</f>
        <v>154.8</v>
      </c>
      <c r="BX13" s="57">
        <f>$D$26*(1+$D$27/100)^BX8</f>
        <v>154.8</v>
      </c>
      <c r="BY13" s="57">
        <f>$D$26*(1+$D$27/100)^BY8</f>
        <v>154.8</v>
      </c>
      <c r="BZ13" s="57">
        <f>$D$26*(1+$D$27/100)^BZ8</f>
        <v>154.8</v>
      </c>
      <c r="CA13" s="57">
        <f>$D$26*(1+$D$27/100)^CA8</f>
        <v>154.8</v>
      </c>
      <c r="CB13" s="57">
        <f>$D$26*(1+$D$27/100)^CB8</f>
        <v>154.8</v>
      </c>
      <c r="CC13" s="57">
        <f>$D$26*(1+$D$27/100)^CC8</f>
        <v>154.8</v>
      </c>
      <c r="CD13" s="57">
        <f>$D$26*(1+$D$27/100)^CD8</f>
        <v>154.8</v>
      </c>
      <c r="CE13" s="57">
        <f>$D$26*(1+$D$27/100)^CE8</f>
        <v>154.8</v>
      </c>
      <c r="CF13" s="57">
        <f>$D$26*(1+$D$27/100)^CF8</f>
        <v>154.8</v>
      </c>
      <c r="CG13" s="57">
        <f>$D$26*(1+$D$27/100)^CG8</f>
        <v>154.8</v>
      </c>
      <c r="CH13" s="57">
        <f>$D$26*(1+$D$27/100)^CH8</f>
        <v>154.8</v>
      </c>
      <c r="CI13" s="57">
        <f>$D$26*(1+$D$27/100)^CI8</f>
        <v>154.8</v>
      </c>
      <c r="CJ13" s="57">
        <f>$D$26*(1+$D$27/100)^CJ8</f>
        <v>154.8</v>
      </c>
      <c r="CK13" s="57">
        <f>$D$26*(1+$D$27/100)^CK8</f>
        <v>154.8</v>
      </c>
      <c r="CL13" s="57">
        <f>$D$26*(1+$D$27/100)^CL8</f>
        <v>154.8</v>
      </c>
    </row>
    <row r="14" spans="2:91" x14ac:dyDescent="0.25">
      <c r="B14" s="48" t="s">
        <v>270</v>
      </c>
      <c r="C14" s="51" t="s">
        <v>228</v>
      </c>
      <c r="D14" s="43">
        <f>SUM(E14:CL14)</f>
        <v>405788.8886999999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f>K11*K13/1000</f>
        <v>5325.3135</v>
      </c>
      <c r="L14" s="43">
        <f>L11*L13/1000</f>
        <v>5325.3135</v>
      </c>
      <c r="M14" s="43">
        <f>M11*M13/1000</f>
        <v>5325.3135</v>
      </c>
      <c r="N14" s="43">
        <f>N11*N13/1000</f>
        <v>5325.3135</v>
      </c>
      <c r="O14" s="43">
        <f>O11*O13/1000</f>
        <v>5298.686932500001</v>
      </c>
      <c r="P14" s="43">
        <f>P11*P13/1000</f>
        <v>5298.686932500001</v>
      </c>
      <c r="Q14" s="43">
        <f>Q11*Q13/1000</f>
        <v>5298.686932500001</v>
      </c>
      <c r="R14" s="43">
        <f>R11*R13/1000</f>
        <v>5298.686932500001</v>
      </c>
      <c r="S14" s="43">
        <f>S11*S13/1000</f>
        <v>5272.060365000001</v>
      </c>
      <c r="T14" s="43">
        <f>T11*T13/1000</f>
        <v>5272.060365000001</v>
      </c>
      <c r="U14" s="43">
        <f>U11*U13/1000</f>
        <v>5272.060365000001</v>
      </c>
      <c r="V14" s="43">
        <f>V11*V13/1000</f>
        <v>5272.060365000001</v>
      </c>
      <c r="W14" s="43">
        <f>W11*W13/1000</f>
        <v>5245.433797500001</v>
      </c>
      <c r="X14" s="43">
        <f>X11*X13/1000</f>
        <v>5245.433797500001</v>
      </c>
      <c r="Y14" s="43">
        <f>Y11*Y13/1000</f>
        <v>5245.433797500001</v>
      </c>
      <c r="Z14" s="43">
        <f>Z11*Z13/1000</f>
        <v>5245.433797500001</v>
      </c>
      <c r="AA14" s="43">
        <f>AA11*AA13/1000</f>
        <v>5218.80723</v>
      </c>
      <c r="AB14" s="43">
        <f>AB11*AB13/1000</f>
        <v>5218.80723</v>
      </c>
      <c r="AC14" s="43">
        <f>AC11*AC13/1000</f>
        <v>5218.80723</v>
      </c>
      <c r="AD14" s="43">
        <f>AD11*AD13/1000</f>
        <v>5218.80723</v>
      </c>
      <c r="AE14" s="43">
        <f>AE11*AE13/1000</f>
        <v>5192.180662500001</v>
      </c>
      <c r="AF14" s="43">
        <f>AF11*AF13/1000</f>
        <v>5192.180662500001</v>
      </c>
      <c r="AG14" s="43">
        <f>AG11*AG13/1000</f>
        <v>5192.180662500001</v>
      </c>
      <c r="AH14" s="43">
        <f>AH11*AH13/1000</f>
        <v>5192.180662500001</v>
      </c>
      <c r="AI14" s="43">
        <f>AI11*AI13/1000</f>
        <v>5165.554095</v>
      </c>
      <c r="AJ14" s="43">
        <f>AJ11*AJ13/1000</f>
        <v>5165.554095</v>
      </c>
      <c r="AK14" s="43">
        <f>AK11*AK13/1000</f>
        <v>5165.554095</v>
      </c>
      <c r="AL14" s="43">
        <f>AL11*AL13/1000</f>
        <v>5165.554095</v>
      </c>
      <c r="AM14" s="43">
        <f>AM11*AM13/1000</f>
        <v>5138.9275275</v>
      </c>
      <c r="AN14" s="43">
        <f>AN11*AN13/1000</f>
        <v>5138.9275275</v>
      </c>
      <c r="AO14" s="43">
        <f>AO11*AO13/1000</f>
        <v>5138.9275275</v>
      </c>
      <c r="AP14" s="43">
        <f>AP11*AP13/1000</f>
        <v>5138.9275275</v>
      </c>
      <c r="AQ14" s="43">
        <f>AQ11*AQ13/1000</f>
        <v>5112.30096</v>
      </c>
      <c r="AR14" s="43">
        <f>AR11*AR13/1000</f>
        <v>5112.30096</v>
      </c>
      <c r="AS14" s="43">
        <f>AS11*AS13/1000</f>
        <v>5112.30096</v>
      </c>
      <c r="AT14" s="43">
        <f>AT11*AT13/1000</f>
        <v>5112.30096</v>
      </c>
      <c r="AU14" s="43">
        <f>AU11*AU13/1000</f>
        <v>5085.6743925</v>
      </c>
      <c r="AV14" s="43">
        <f>AV11*AV13/1000</f>
        <v>5085.6743925</v>
      </c>
      <c r="AW14" s="43">
        <f>AW11*AW13/1000</f>
        <v>5085.6743925</v>
      </c>
      <c r="AX14" s="43">
        <f>AX11*AX13/1000</f>
        <v>5085.6743925</v>
      </c>
      <c r="AY14" s="43">
        <f>AY11*AY13/1000</f>
        <v>5059.047825000001</v>
      </c>
      <c r="AZ14" s="43">
        <f>AZ11*AZ13/1000</f>
        <v>5059.047825000001</v>
      </c>
      <c r="BA14" s="43">
        <f>BA11*BA13/1000</f>
        <v>5059.047825000001</v>
      </c>
      <c r="BB14" s="43">
        <f>BB11*BB13/1000</f>
        <v>5059.047825000001</v>
      </c>
      <c r="BC14" s="43">
        <f>BC11*BC13/1000</f>
        <v>5032.4212575</v>
      </c>
      <c r="BD14" s="43">
        <f>BD11*BD13/1000</f>
        <v>5032.4212575</v>
      </c>
      <c r="BE14" s="43">
        <f>BE11*BE13/1000</f>
        <v>5032.4212575</v>
      </c>
      <c r="BF14" s="43">
        <f>BF11*BF13/1000</f>
        <v>5032.4212575</v>
      </c>
      <c r="BG14" s="43">
        <f>BG11*BG13/1000</f>
        <v>5005.794690000001</v>
      </c>
      <c r="BH14" s="43">
        <f>BH11*BH13/1000</f>
        <v>5005.794690000001</v>
      </c>
      <c r="BI14" s="43">
        <f>BI11*BI13/1000</f>
        <v>5005.794690000001</v>
      </c>
      <c r="BJ14" s="43">
        <f>BJ11*BJ13/1000</f>
        <v>5005.794690000001</v>
      </c>
      <c r="BK14" s="43">
        <f>BK11*BK13/1000</f>
        <v>4979.1681225</v>
      </c>
      <c r="BL14" s="43">
        <f>BL11*BL13/1000</f>
        <v>4979.1681225</v>
      </c>
      <c r="BM14" s="43">
        <f>BM11*BM13/1000</f>
        <v>4979.1681225</v>
      </c>
      <c r="BN14" s="43">
        <f>BN11*BN13/1000</f>
        <v>4979.1681225</v>
      </c>
      <c r="BO14" s="43">
        <f>BO11*BO13/1000</f>
        <v>4952.541555</v>
      </c>
      <c r="BP14" s="43">
        <f>BP11*BP13/1000</f>
        <v>4952.541555</v>
      </c>
      <c r="BQ14" s="43">
        <f>BQ11*BQ13/1000</f>
        <v>4952.541555</v>
      </c>
      <c r="BR14" s="43">
        <f>BR11*BR13/1000</f>
        <v>4952.541555</v>
      </c>
      <c r="BS14" s="43">
        <f>BS11*BS13/1000</f>
        <v>4925.914987500001</v>
      </c>
      <c r="BT14" s="43">
        <f>BT11*BT13/1000</f>
        <v>4925.914987500001</v>
      </c>
      <c r="BU14" s="43">
        <f>BU11*BU13/1000</f>
        <v>4925.914987500001</v>
      </c>
      <c r="BV14" s="43">
        <f>BV11*BV13/1000</f>
        <v>4925.914987500001</v>
      </c>
      <c r="BW14" s="43">
        <f>BW11*BW13/1000</f>
        <v>4899.288420000001</v>
      </c>
      <c r="BX14" s="43">
        <f>BX11*BX13/1000</f>
        <v>4899.288420000001</v>
      </c>
      <c r="BY14" s="43">
        <f>BY11*BY13/1000</f>
        <v>4899.288420000001</v>
      </c>
      <c r="BZ14" s="43">
        <f>BZ11*BZ13/1000</f>
        <v>4899.288420000001</v>
      </c>
      <c r="CA14" s="43">
        <f>CA11*CA13/1000</f>
        <v>4872.661852500001</v>
      </c>
      <c r="CB14" s="43">
        <f>CB11*CB13/1000</f>
        <v>4872.661852500001</v>
      </c>
      <c r="CC14" s="43">
        <f>CC11*CC13/1000</f>
        <v>4872.661852500001</v>
      </c>
      <c r="CD14" s="43">
        <f>CD11*CD13/1000</f>
        <v>4872.661852500001</v>
      </c>
      <c r="CE14" s="43">
        <f>CE11*CE13/1000</f>
        <v>4846.035285</v>
      </c>
      <c r="CF14" s="43">
        <f>CF11*CF13/1000</f>
        <v>4846.035285</v>
      </c>
      <c r="CG14" s="43">
        <f>CG11*CG13/1000</f>
        <v>4846.035285</v>
      </c>
      <c r="CH14" s="43">
        <f>CH11*CH13/1000</f>
        <v>4846.035285</v>
      </c>
      <c r="CI14" s="43">
        <f>CI11*CI13/1000</f>
        <v>4819.4087175</v>
      </c>
      <c r="CJ14" s="43">
        <f>CJ11*CJ13/1000</f>
        <v>4819.4087175</v>
      </c>
      <c r="CK14" s="43">
        <f>CK11*CK13/1000</f>
        <v>4819.4087175</v>
      </c>
      <c r="CL14" s="43">
        <f>CL11*CL13/1000</f>
        <v>4819.4087175</v>
      </c>
      <c r="CM14" s="49"/>
    </row>
    <row r="16" spans="2:91" x14ac:dyDescent="0.25">
      <c r="B16" s="9" t="s">
        <v>271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</row>
    <row r="18" spans="2:90" x14ac:dyDescent="0.25">
      <c r="B18" s="34" t="s">
        <v>272</v>
      </c>
      <c r="C18" s="35" t="s">
        <v>228</v>
      </c>
      <c r="E18" s="32">
        <f>MIN(1,3)/3*E14</f>
        <v>0</v>
      </c>
      <c r="F18" s="32">
        <f>MIN(1,3)/3*F14+MAX(0,MIN(1-3,3))/3*E14</f>
        <v>0</v>
      </c>
      <c r="G18" s="32">
        <f>MIN(1,3)/3*G14+MAX(0,MIN(1-3,3))/3*F14+MAX(0,MIN(1-6,3))/3*E14</f>
        <v>0</v>
      </c>
      <c r="H18" s="32">
        <f>MIN(1,3)/3*H14+MAX(0,MIN(1-3,3))/3*G14+MAX(0,MIN(1-6,3))/3*F14+MAX(0,MIN(1-9,3))/3*E14</f>
        <v>0</v>
      </c>
      <c r="I18" s="32">
        <f>MIN(1,3)/3*I14+MAX(0,MIN(1-3,3))/3*H14+MAX(0,MIN(1-6,3))/3*G14+MAX(0,MIN(1-9,3))/3*F14</f>
        <v>0</v>
      </c>
      <c r="J18" s="32">
        <f>MIN(1,3)/3*J14+MAX(0,MIN(1-3,3))/3*I14+MAX(0,MIN(1-6,3))/3*H14+MAX(0,MIN(1-9,3))/3*G14</f>
        <v>0</v>
      </c>
      <c r="K18" s="32">
        <f>MIN(1,3)/3*K14+MAX(0,MIN(1-3,3))/3*J14+MAX(0,MIN(1-6,3))/3*I14+MAX(0,MIN(1-9,3))/3*H14</f>
        <v>1775.1045</v>
      </c>
      <c r="L18" s="32">
        <f>MIN(1,3)/3*L14+MAX(0,MIN(1-3,3))/3*K14+MAX(0,MIN(1-6,3))/3*J14+MAX(0,MIN(1-9,3))/3*I14</f>
        <v>1775.1045</v>
      </c>
      <c r="M18" s="32">
        <f>MIN(1,3)/3*M14+MAX(0,MIN(1-3,3))/3*L14+MAX(0,MIN(1-6,3))/3*K14+MAX(0,MIN(1-9,3))/3*J14</f>
        <v>1775.1045</v>
      </c>
      <c r="N18" s="32">
        <f>MIN(1,3)/3*N14+MAX(0,MIN(1-3,3))/3*M14+MAX(0,MIN(1-6,3))/3*L14+MAX(0,MIN(1-9,3))/3*K14</f>
        <v>1775.1045</v>
      </c>
      <c r="O18" s="32">
        <f>MIN(1,3)/3*O14+MAX(0,MIN(1-3,3))/3*N14+MAX(0,MIN(1-6,3))/3*M14+MAX(0,MIN(1-9,3))/3*L14</f>
        <v>1766.2289775000002</v>
      </c>
      <c r="P18" s="32">
        <f>MIN(1,3)/3*P14+MAX(0,MIN(1-3,3))/3*O14+MAX(0,MIN(1-6,3))/3*N14+MAX(0,MIN(1-9,3))/3*M14</f>
        <v>1766.2289775000002</v>
      </c>
      <c r="Q18" s="32">
        <f>MIN(1,3)/3*Q14+MAX(0,MIN(1-3,3))/3*P14+MAX(0,MIN(1-6,3))/3*O14+MAX(0,MIN(1-9,3))/3*N14</f>
        <v>1766.2289775000002</v>
      </c>
      <c r="R18" s="32">
        <f>MIN(1,3)/3*R14+MAX(0,MIN(1-3,3))/3*Q14+MAX(0,MIN(1-6,3))/3*P14+MAX(0,MIN(1-9,3))/3*O14</f>
        <v>1766.2289775000002</v>
      </c>
      <c r="S18" s="32">
        <f>MIN(1,3)/3*S14+MAX(0,MIN(1-3,3))/3*R14+MAX(0,MIN(1-6,3))/3*Q14+MAX(0,MIN(1-9,3))/3*P14</f>
        <v>1757.3534550000004</v>
      </c>
      <c r="T18" s="32">
        <f>MIN(1,3)/3*T14+MAX(0,MIN(1-3,3))/3*S14+MAX(0,MIN(1-6,3))/3*R14+MAX(0,MIN(1-9,3))/3*Q14</f>
        <v>1757.3534550000004</v>
      </c>
      <c r="U18" s="32">
        <f>MIN(1,3)/3*U14+MAX(0,MIN(1-3,3))/3*T14+MAX(0,MIN(1-6,3))/3*S14+MAX(0,MIN(1-9,3))/3*R14</f>
        <v>1757.3534550000004</v>
      </c>
      <c r="V18" s="32">
        <f>MIN(1,3)/3*V14+MAX(0,MIN(1-3,3))/3*U14+MAX(0,MIN(1-6,3))/3*T14+MAX(0,MIN(1-9,3))/3*S14</f>
        <v>1757.3534550000004</v>
      </c>
      <c r="W18" s="32">
        <f>MIN(1,3)/3*W14+MAX(0,MIN(1-3,3))/3*V14+MAX(0,MIN(1-6,3))/3*U14+MAX(0,MIN(1-9,3))/3*T14</f>
        <v>1748.4779325000002</v>
      </c>
      <c r="X18" s="32">
        <f>MIN(1,3)/3*X14+MAX(0,MIN(1-3,3))/3*W14+MAX(0,MIN(1-6,3))/3*V14+MAX(0,MIN(1-9,3))/3*U14</f>
        <v>1748.4779325000002</v>
      </c>
      <c r="Y18" s="32">
        <f>MIN(1,3)/3*Y14+MAX(0,MIN(1-3,3))/3*X14+MAX(0,MIN(1-6,3))/3*W14+MAX(0,MIN(1-9,3))/3*V14</f>
        <v>1748.4779325000002</v>
      </c>
      <c r="Z18" s="32">
        <f>MIN(1,3)/3*Z14+MAX(0,MIN(1-3,3))/3*Y14+MAX(0,MIN(1-6,3))/3*X14+MAX(0,MIN(1-9,3))/3*W14</f>
        <v>1748.4779325000002</v>
      </c>
      <c r="AA18" s="32">
        <f>MIN(1,3)/3*AA14+MAX(0,MIN(1-3,3))/3*Z14+MAX(0,MIN(1-6,3))/3*Y14+MAX(0,MIN(1-9,3))/3*X14</f>
        <v>1739.60241</v>
      </c>
      <c r="AB18" s="32">
        <f>MIN(1,3)/3*AB14+MAX(0,MIN(1-3,3))/3*AA14+MAX(0,MIN(1-6,3))/3*Z14+MAX(0,MIN(1-9,3))/3*Y14</f>
        <v>1739.60241</v>
      </c>
      <c r="AC18" s="32">
        <f>MIN(1,3)/3*AC14+MAX(0,MIN(1-3,3))/3*AB14+MAX(0,MIN(1-6,3))/3*AA14+MAX(0,MIN(1-9,3))/3*Z14</f>
        <v>1739.60241</v>
      </c>
      <c r="AD18" s="32">
        <f>MIN(1,3)/3*AD14+MAX(0,MIN(1-3,3))/3*AC14+MAX(0,MIN(1-6,3))/3*AB14+MAX(0,MIN(1-9,3))/3*AA14</f>
        <v>1739.60241</v>
      </c>
      <c r="AE18" s="32">
        <f>MIN(1,3)/3*AE14+MAX(0,MIN(1-3,3))/3*AD14+MAX(0,MIN(1-6,3))/3*AC14+MAX(0,MIN(1-9,3))/3*AB14</f>
        <v>1730.7268875000002</v>
      </c>
      <c r="AF18" s="32">
        <f>MIN(1,3)/3*AF14+MAX(0,MIN(1-3,3))/3*AE14+MAX(0,MIN(1-6,3))/3*AD14+MAX(0,MIN(1-9,3))/3*AC14</f>
        <v>1730.7268875000002</v>
      </c>
      <c r="AG18" s="32">
        <f>MIN(1,3)/3*AG14+MAX(0,MIN(1-3,3))/3*AF14+MAX(0,MIN(1-6,3))/3*AE14+MAX(0,MIN(1-9,3))/3*AD14</f>
        <v>1730.7268875000002</v>
      </c>
      <c r="AH18" s="32">
        <f>MIN(1,3)/3*AH14+MAX(0,MIN(1-3,3))/3*AG14+MAX(0,MIN(1-6,3))/3*AF14+MAX(0,MIN(1-9,3))/3*AE14</f>
        <v>1730.7268875000002</v>
      </c>
      <c r="AI18" s="32">
        <f>MIN(1,3)/3*AI14+MAX(0,MIN(1-3,3))/3*AH14+MAX(0,MIN(1-6,3))/3*AG14+MAX(0,MIN(1-9,3))/3*AF14</f>
        <v>1721.851365</v>
      </c>
      <c r="AJ18" s="32">
        <f>MIN(1,3)/3*AJ14+MAX(0,MIN(1-3,3))/3*AI14+MAX(0,MIN(1-6,3))/3*AH14+MAX(0,MIN(1-9,3))/3*AG14</f>
        <v>1721.851365</v>
      </c>
      <c r="AK18" s="32">
        <f>MIN(1,3)/3*AK14+MAX(0,MIN(1-3,3))/3*AJ14+MAX(0,MIN(1-6,3))/3*AI14+MAX(0,MIN(1-9,3))/3*AH14</f>
        <v>1721.851365</v>
      </c>
      <c r="AL18" s="32">
        <f>MIN(1,3)/3*AL14+MAX(0,MIN(1-3,3))/3*AK14+MAX(0,MIN(1-6,3))/3*AJ14+MAX(0,MIN(1-9,3))/3*AI14</f>
        <v>1721.851365</v>
      </c>
      <c r="AM18" s="32">
        <f>MIN(1,3)/3*AM14+MAX(0,MIN(1-3,3))/3*AL14+MAX(0,MIN(1-6,3))/3*AK14+MAX(0,MIN(1-9,3))/3*AJ14</f>
        <v>1712.9758425</v>
      </c>
      <c r="AN18" s="32">
        <f>MIN(1,3)/3*AN14+MAX(0,MIN(1-3,3))/3*AM14+MAX(0,MIN(1-6,3))/3*AL14+MAX(0,MIN(1-9,3))/3*AK14</f>
        <v>1712.9758425</v>
      </c>
      <c r="AO18" s="32">
        <f>MIN(1,3)/3*AO14+MAX(0,MIN(1-3,3))/3*AN14+MAX(0,MIN(1-6,3))/3*AM14+MAX(0,MIN(1-9,3))/3*AL14</f>
        <v>1712.9758425</v>
      </c>
      <c r="AP18" s="32">
        <f>MIN(1,3)/3*AP14+MAX(0,MIN(1-3,3))/3*AO14+MAX(0,MIN(1-6,3))/3*AN14+MAX(0,MIN(1-9,3))/3*AM14</f>
        <v>1712.9758425</v>
      </c>
      <c r="AQ18" s="32">
        <f>MIN(1,3)/3*AQ14+MAX(0,MIN(1-3,3))/3*AP14+MAX(0,MIN(1-6,3))/3*AO14+MAX(0,MIN(1-9,3))/3*AN14</f>
        <v>1704.1003199999998</v>
      </c>
      <c r="AR18" s="32">
        <f>MIN(1,3)/3*AR14+MAX(0,MIN(1-3,3))/3*AQ14+MAX(0,MIN(1-6,3))/3*AP14+MAX(0,MIN(1-9,3))/3*AO14</f>
        <v>1704.1003199999998</v>
      </c>
      <c r="AS18" s="32">
        <f>MIN(1,3)/3*AS14+MAX(0,MIN(1-3,3))/3*AR14+MAX(0,MIN(1-6,3))/3*AQ14+MAX(0,MIN(1-9,3))/3*AP14</f>
        <v>1704.1003199999998</v>
      </c>
      <c r="AT18" s="32">
        <f>MIN(1,3)/3*AT14+MAX(0,MIN(1-3,3))/3*AS14+MAX(0,MIN(1-6,3))/3*AR14+MAX(0,MIN(1-9,3))/3*AQ14</f>
        <v>1704.1003199999998</v>
      </c>
      <c r="AU18" s="32">
        <f>MIN(1,3)/3*AU14+MAX(0,MIN(1-3,3))/3*AT14+MAX(0,MIN(1-6,3))/3*AS14+MAX(0,MIN(1-9,3))/3*AR14</f>
        <v>1695.2247975</v>
      </c>
      <c r="AV18" s="32">
        <f>MIN(1,3)/3*AV14+MAX(0,MIN(1-3,3))/3*AU14+MAX(0,MIN(1-6,3))/3*AT14+MAX(0,MIN(1-9,3))/3*AS14</f>
        <v>1695.2247975</v>
      </c>
      <c r="AW18" s="32">
        <f>MIN(1,3)/3*AW14+MAX(0,MIN(1-3,3))/3*AV14+MAX(0,MIN(1-6,3))/3*AU14+MAX(0,MIN(1-9,3))/3*AT14</f>
        <v>1695.2247975</v>
      </c>
      <c r="AX18" s="32">
        <f>MIN(1,3)/3*AX14+MAX(0,MIN(1-3,3))/3*AW14+MAX(0,MIN(1-6,3))/3*AV14+MAX(0,MIN(1-9,3))/3*AU14</f>
        <v>1695.2247975</v>
      </c>
      <c r="AY18" s="32">
        <f>MIN(1,3)/3*AY14+MAX(0,MIN(1-3,3))/3*AX14+MAX(0,MIN(1-6,3))/3*AW14+MAX(0,MIN(1-9,3))/3*AV14</f>
        <v>1686.349275</v>
      </c>
      <c r="AZ18" s="32">
        <f>MIN(1,3)/3*AZ14+MAX(0,MIN(1-3,3))/3*AY14+MAX(0,MIN(1-6,3))/3*AX14+MAX(0,MIN(1-9,3))/3*AW14</f>
        <v>1686.349275</v>
      </c>
      <c r="BA18" s="32">
        <f>MIN(1,3)/3*BA14+MAX(0,MIN(1-3,3))/3*AZ14+MAX(0,MIN(1-6,3))/3*AY14+MAX(0,MIN(1-9,3))/3*AX14</f>
        <v>1686.349275</v>
      </c>
      <c r="BB18" s="32">
        <f>MIN(1,3)/3*BB14+MAX(0,MIN(1-3,3))/3*BA14+MAX(0,MIN(1-6,3))/3*AZ14+MAX(0,MIN(1-9,3))/3*AY14</f>
        <v>1686.349275</v>
      </c>
      <c r="BC18" s="32">
        <f>MIN(1,3)/3*BC14+MAX(0,MIN(1-3,3))/3*BB14+MAX(0,MIN(1-6,3))/3*BA14+MAX(0,MIN(1-9,3))/3*AZ14</f>
        <v>1677.4737525</v>
      </c>
      <c r="BD18" s="32">
        <f>MIN(1,3)/3*BD14+MAX(0,MIN(1-3,3))/3*BC14+MAX(0,MIN(1-6,3))/3*BB14+MAX(0,MIN(1-9,3))/3*BA14</f>
        <v>1677.4737525</v>
      </c>
      <c r="BE18" s="32">
        <f>MIN(1,3)/3*BE14+MAX(0,MIN(1-3,3))/3*BD14+MAX(0,MIN(1-6,3))/3*BC14+MAX(0,MIN(1-9,3))/3*BB14</f>
        <v>1677.4737525</v>
      </c>
      <c r="BF18" s="32">
        <f>MIN(1,3)/3*BF14+MAX(0,MIN(1-3,3))/3*BE14+MAX(0,MIN(1-6,3))/3*BD14+MAX(0,MIN(1-9,3))/3*BC14</f>
        <v>1677.4737525</v>
      </c>
      <c r="BG18" s="32">
        <f>MIN(1,3)/3*BG14+MAX(0,MIN(1-3,3))/3*BF14+MAX(0,MIN(1-6,3))/3*BE14+MAX(0,MIN(1-9,3))/3*BD14</f>
        <v>1668.59823</v>
      </c>
      <c r="BH18" s="32">
        <f>MIN(1,3)/3*BH14+MAX(0,MIN(1-3,3))/3*BG14+MAX(0,MIN(1-6,3))/3*BF14+MAX(0,MIN(1-9,3))/3*BE14</f>
        <v>1668.59823</v>
      </c>
      <c r="BI18" s="32">
        <f>MIN(1,3)/3*BI14+MAX(0,MIN(1-3,3))/3*BH14+MAX(0,MIN(1-6,3))/3*BG14+MAX(0,MIN(1-9,3))/3*BF14</f>
        <v>1668.59823</v>
      </c>
      <c r="BJ18" s="32">
        <f>MIN(1,3)/3*BJ14+MAX(0,MIN(1-3,3))/3*BI14+MAX(0,MIN(1-6,3))/3*BH14+MAX(0,MIN(1-9,3))/3*BG14</f>
        <v>1668.59823</v>
      </c>
      <c r="BK18" s="32">
        <f>MIN(1,3)/3*BK14+MAX(0,MIN(1-3,3))/3*BJ14+MAX(0,MIN(1-6,3))/3*BI14+MAX(0,MIN(1-9,3))/3*BH14</f>
        <v>1659.7227075</v>
      </c>
      <c r="BL18" s="32">
        <f>MIN(1,3)/3*BL14+MAX(0,MIN(1-3,3))/3*BK14+MAX(0,MIN(1-6,3))/3*BJ14+MAX(0,MIN(1-9,3))/3*BI14</f>
        <v>1659.7227075</v>
      </c>
      <c r="BM18" s="32">
        <f>MIN(1,3)/3*BM14+MAX(0,MIN(1-3,3))/3*BL14+MAX(0,MIN(1-6,3))/3*BK14+MAX(0,MIN(1-9,3))/3*BJ14</f>
        <v>1659.7227075</v>
      </c>
      <c r="BN18" s="32">
        <f>MIN(1,3)/3*BN14+MAX(0,MIN(1-3,3))/3*BM14+MAX(0,MIN(1-6,3))/3*BL14+MAX(0,MIN(1-9,3))/3*BK14</f>
        <v>1659.7227075</v>
      </c>
      <c r="BO18" s="32">
        <f>MIN(1,3)/3*BO14+MAX(0,MIN(1-3,3))/3*BN14+MAX(0,MIN(1-6,3))/3*BM14+MAX(0,MIN(1-9,3))/3*BL14</f>
        <v>1650.8471849999999</v>
      </c>
      <c r="BP18" s="32">
        <f>MIN(1,3)/3*BP14+MAX(0,MIN(1-3,3))/3*BO14+MAX(0,MIN(1-6,3))/3*BN14+MAX(0,MIN(1-9,3))/3*BM14</f>
        <v>1650.8471849999999</v>
      </c>
      <c r="BQ18" s="32">
        <f>MIN(1,3)/3*BQ14+MAX(0,MIN(1-3,3))/3*BP14+MAX(0,MIN(1-6,3))/3*BO14+MAX(0,MIN(1-9,3))/3*BN14</f>
        <v>1650.8471849999999</v>
      </c>
      <c r="BR18" s="32">
        <f>MIN(1,3)/3*BR14+MAX(0,MIN(1-3,3))/3*BQ14+MAX(0,MIN(1-6,3))/3*BP14+MAX(0,MIN(1-9,3))/3*BO14</f>
        <v>1650.8471849999999</v>
      </c>
      <c r="BS18" s="32">
        <f>MIN(1,3)/3*BS14+MAX(0,MIN(1-3,3))/3*BR14+MAX(0,MIN(1-6,3))/3*BQ14+MAX(0,MIN(1-9,3))/3*BP14</f>
        <v>1641.9716625000003</v>
      </c>
      <c r="BT18" s="32">
        <f>MIN(1,3)/3*BT14+MAX(0,MIN(1-3,3))/3*BS14+MAX(0,MIN(1-6,3))/3*BR14+MAX(0,MIN(1-9,3))/3*BQ14</f>
        <v>1641.9716625000003</v>
      </c>
      <c r="BU18" s="32">
        <f>MIN(1,3)/3*BU14+MAX(0,MIN(1-3,3))/3*BT14+MAX(0,MIN(1-6,3))/3*BS14+MAX(0,MIN(1-9,3))/3*BR14</f>
        <v>1641.9716625000003</v>
      </c>
      <c r="BV18" s="32">
        <f>MIN(1,3)/3*BV14+MAX(0,MIN(1-3,3))/3*BU14+MAX(0,MIN(1-6,3))/3*BT14+MAX(0,MIN(1-9,3))/3*BS14</f>
        <v>1641.9716625000003</v>
      </c>
      <c r="BW18" s="32">
        <f>MIN(1,3)/3*BW14+MAX(0,MIN(1-3,3))/3*BV14+MAX(0,MIN(1-6,3))/3*BU14+MAX(0,MIN(1-9,3))/3*BT14</f>
        <v>1633.09614</v>
      </c>
      <c r="BX18" s="32">
        <f>MIN(1,3)/3*BX14+MAX(0,MIN(1-3,3))/3*BW14+MAX(0,MIN(1-6,3))/3*BV14+MAX(0,MIN(1-9,3))/3*BU14</f>
        <v>1633.09614</v>
      </c>
      <c r="BY18" s="32">
        <f>MIN(1,3)/3*BY14+MAX(0,MIN(1-3,3))/3*BX14+MAX(0,MIN(1-6,3))/3*BW14+MAX(0,MIN(1-9,3))/3*BV14</f>
        <v>1633.09614</v>
      </c>
      <c r="BZ18" s="32">
        <f>MIN(1,3)/3*BZ14+MAX(0,MIN(1-3,3))/3*BY14+MAX(0,MIN(1-6,3))/3*BX14+MAX(0,MIN(1-9,3))/3*BW14</f>
        <v>1633.09614</v>
      </c>
      <c r="CA18" s="32">
        <f>MIN(1,3)/3*CA14+MAX(0,MIN(1-3,3))/3*BZ14+MAX(0,MIN(1-6,3))/3*BY14+MAX(0,MIN(1-9,3))/3*BX14</f>
        <v>1624.2206175000003</v>
      </c>
      <c r="CB18" s="32">
        <f>MIN(1,3)/3*CB14+MAX(0,MIN(1-3,3))/3*CA14+MAX(0,MIN(1-6,3))/3*BZ14+MAX(0,MIN(1-9,3))/3*BY14</f>
        <v>1624.2206175000003</v>
      </c>
      <c r="CC18" s="32">
        <f>MIN(1,3)/3*CC14+MAX(0,MIN(1-3,3))/3*CB14+MAX(0,MIN(1-6,3))/3*CA14+MAX(0,MIN(1-9,3))/3*BZ14</f>
        <v>1624.2206175000003</v>
      </c>
      <c r="CD18" s="32">
        <f>MIN(1,3)/3*CD14+MAX(0,MIN(1-3,3))/3*CC14+MAX(0,MIN(1-6,3))/3*CB14+MAX(0,MIN(1-9,3))/3*CA14</f>
        <v>1624.2206175000003</v>
      </c>
      <c r="CE18" s="32">
        <f>MIN(1,3)/3*CE14+MAX(0,MIN(1-3,3))/3*CD14+MAX(0,MIN(1-6,3))/3*CC14+MAX(0,MIN(1-9,3))/3*CB14</f>
        <v>1615.345095</v>
      </c>
      <c r="CF18" s="32">
        <f>MIN(1,3)/3*CF14+MAX(0,MIN(1-3,3))/3*CE14+MAX(0,MIN(1-6,3))/3*CD14+MAX(0,MIN(1-9,3))/3*CC14</f>
        <v>1615.345095</v>
      </c>
      <c r="CG18" s="32">
        <f>MIN(1,3)/3*CG14+MAX(0,MIN(1-3,3))/3*CF14+MAX(0,MIN(1-6,3))/3*CE14+MAX(0,MIN(1-9,3))/3*CD14</f>
        <v>1615.345095</v>
      </c>
      <c r="CH18" s="32">
        <f>MIN(1,3)/3*CH14+MAX(0,MIN(1-3,3))/3*CG14+MAX(0,MIN(1-6,3))/3*CF14+MAX(0,MIN(1-9,3))/3*CE14</f>
        <v>1615.345095</v>
      </c>
      <c r="CI18" s="32">
        <f>MIN(1,3)/3*CI14+MAX(0,MIN(1-3,3))/3*CH14+MAX(0,MIN(1-6,3))/3*CG14+MAX(0,MIN(1-9,3))/3*CF14</f>
        <v>1606.4695725000001</v>
      </c>
      <c r="CJ18" s="32">
        <f>MIN(1,3)/3*CJ14+MAX(0,MIN(1-3,3))/3*CI14+MAX(0,MIN(1-6,3))/3*CH14+MAX(0,MIN(1-9,3))/3*CG14</f>
        <v>1606.4695725000001</v>
      </c>
      <c r="CK18" s="32">
        <f>MIN(1,3)/3*CK14+MAX(0,MIN(1-3,3))/3*CJ14+MAX(0,MIN(1-6,3))/3*CI14+MAX(0,MIN(1-9,3))/3*CH14</f>
        <v>1606.4695725000001</v>
      </c>
      <c r="CL18" s="32">
        <v>0</v>
      </c>
    </row>
    <row r="19" spans="2:91" x14ac:dyDescent="0.25">
      <c r="B19" s="48" t="s">
        <v>273</v>
      </c>
      <c r="C19" s="51" t="s">
        <v>228</v>
      </c>
      <c r="D19" s="43">
        <f>SUM(E19:CL19)</f>
        <v>0</v>
      </c>
      <c r="E19" s="43">
        <f>0-E18</f>
        <v>0</v>
      </c>
      <c r="F19" s="43">
        <f>E18-F18</f>
        <v>0</v>
      </c>
      <c r="G19" s="43">
        <f>F18-G18</f>
        <v>0</v>
      </c>
      <c r="H19" s="43">
        <f>G18-H18</f>
        <v>0</v>
      </c>
      <c r="I19" s="43">
        <f>H18-I18</f>
        <v>0</v>
      </c>
      <c r="J19" s="43">
        <f>I18-J18</f>
        <v>0</v>
      </c>
      <c r="K19" s="43">
        <f>J18-K18</f>
        <v>-1775.1045</v>
      </c>
      <c r="L19" s="43">
        <f>K18-L18</f>
        <v>0</v>
      </c>
      <c r="M19" s="43">
        <f>L18-M18</f>
        <v>0</v>
      </c>
      <c r="N19" s="43">
        <f>M18-N18</f>
        <v>0</v>
      </c>
      <c r="O19" s="43">
        <f>N18-O18</f>
        <v>8.87552249999976</v>
      </c>
      <c r="P19" s="43">
        <f>O18-P18</f>
        <v>0</v>
      </c>
      <c r="Q19" s="43">
        <f>P18-Q18</f>
        <v>0</v>
      </c>
      <c r="R19" s="43">
        <f>Q18-R18</f>
        <v>0</v>
      </c>
      <c r="S19" s="43">
        <f>R18-S18</f>
        <v>8.87552249999976</v>
      </c>
      <c r="T19" s="43">
        <f>S18-T18</f>
        <v>0</v>
      </c>
      <c r="U19" s="43">
        <f>T18-U18</f>
        <v>0</v>
      </c>
      <c r="V19" s="43">
        <f>U18-V18</f>
        <v>0</v>
      </c>
      <c r="W19" s="43">
        <f>V18-W18</f>
        <v>8.875522500000216</v>
      </c>
      <c r="X19" s="43">
        <f>W18-X18</f>
        <v>0</v>
      </c>
      <c r="Y19" s="43">
        <f>X18-Y18</f>
        <v>0</v>
      </c>
      <c r="Z19" s="43">
        <f>Y18-Z18</f>
        <v>0</v>
      </c>
      <c r="AA19" s="43">
        <f>Z18-AA18</f>
        <v>8.875522500000216</v>
      </c>
      <c r="AB19" s="43">
        <f>AA18-AB18</f>
        <v>0</v>
      </c>
      <c r="AC19" s="43">
        <f>AB18-AC18</f>
        <v>0</v>
      </c>
      <c r="AD19" s="43">
        <f>AC18-AD18</f>
        <v>0</v>
      </c>
      <c r="AE19" s="43">
        <f>AD18-AE18</f>
        <v>8.87552249999976</v>
      </c>
      <c r="AF19" s="43">
        <f>AE18-AF18</f>
        <v>0</v>
      </c>
      <c r="AG19" s="43">
        <f>AF18-AG18</f>
        <v>0</v>
      </c>
      <c r="AH19" s="43">
        <f>AG18-AH18</f>
        <v>0</v>
      </c>
      <c r="AI19" s="43">
        <f>AH18-AI18</f>
        <v>8.875522500000216</v>
      </c>
      <c r="AJ19" s="43">
        <f>AI18-AJ18</f>
        <v>0</v>
      </c>
      <c r="AK19" s="43">
        <f>AJ18-AK18</f>
        <v>0</v>
      </c>
      <c r="AL19" s="43">
        <f>AK18-AL18</f>
        <v>0</v>
      </c>
      <c r="AM19" s="43">
        <f>AL18-AM18</f>
        <v>8.875522499999988</v>
      </c>
      <c r="AN19" s="43">
        <f>AM18-AN18</f>
        <v>0</v>
      </c>
      <c r="AO19" s="43">
        <f>AN18-AO18</f>
        <v>0</v>
      </c>
      <c r="AP19" s="43">
        <f>AO18-AP18</f>
        <v>0</v>
      </c>
      <c r="AQ19" s="43">
        <f>AP18-AQ18</f>
        <v>8.875522500000216</v>
      </c>
      <c r="AR19" s="43">
        <f>AQ18-AR18</f>
        <v>0</v>
      </c>
      <c r="AS19" s="43">
        <f>AR18-AS18</f>
        <v>0</v>
      </c>
      <c r="AT19" s="43">
        <f>AS18-AT18</f>
        <v>0</v>
      </c>
      <c r="AU19" s="43">
        <f>AT18-AU18</f>
        <v>8.87552249999976</v>
      </c>
      <c r="AV19" s="43">
        <f>AU18-AV18</f>
        <v>0</v>
      </c>
      <c r="AW19" s="43">
        <f>AV18-AW18</f>
        <v>0</v>
      </c>
      <c r="AX19" s="43">
        <f>AW18-AX18</f>
        <v>0</v>
      </c>
      <c r="AY19" s="43">
        <f>AX18-AY18</f>
        <v>8.875522499999988</v>
      </c>
      <c r="AZ19" s="43">
        <f>AY18-AZ18</f>
        <v>0</v>
      </c>
      <c r="BA19" s="43">
        <f>AZ18-BA18</f>
        <v>0</v>
      </c>
      <c r="BB19" s="43">
        <f>BA18-BB18</f>
        <v>0</v>
      </c>
      <c r="BC19" s="43">
        <f>BB18-BC18</f>
        <v>8.875522499999988</v>
      </c>
      <c r="BD19" s="43">
        <f>BC18-BD18</f>
        <v>0</v>
      </c>
      <c r="BE19" s="43">
        <f>BD18-BE18</f>
        <v>0</v>
      </c>
      <c r="BF19" s="43">
        <f>BE18-BF18</f>
        <v>0</v>
      </c>
      <c r="BG19" s="43">
        <f>BF18-BG18</f>
        <v>8.875522499999988</v>
      </c>
      <c r="BH19" s="43">
        <f>BG18-BH18</f>
        <v>0</v>
      </c>
      <c r="BI19" s="43">
        <f>BH18-BI18</f>
        <v>0</v>
      </c>
      <c r="BJ19" s="43">
        <f>BI18-BJ18</f>
        <v>0</v>
      </c>
      <c r="BK19" s="43">
        <f>BJ18-BK18</f>
        <v>8.875522499999988</v>
      </c>
      <c r="BL19" s="43">
        <f>BK18-BL18</f>
        <v>0</v>
      </c>
      <c r="BM19" s="43">
        <f>BL18-BM18</f>
        <v>0</v>
      </c>
      <c r="BN19" s="43">
        <f>BM18-BN18</f>
        <v>0</v>
      </c>
      <c r="BO19" s="43">
        <f>BN18-BO18</f>
        <v>8.875522500000216</v>
      </c>
      <c r="BP19" s="43">
        <f>BO18-BP18</f>
        <v>0</v>
      </c>
      <c r="BQ19" s="43">
        <f>BP18-BQ18</f>
        <v>0</v>
      </c>
      <c r="BR19" s="43">
        <f>BQ18-BR18</f>
        <v>0</v>
      </c>
      <c r="BS19" s="43">
        <f>BR18-BS18</f>
        <v>8.875522499999533</v>
      </c>
      <c r="BT19" s="43">
        <f>BS18-BT18</f>
        <v>0</v>
      </c>
      <c r="BU19" s="43">
        <f>BT18-BU18</f>
        <v>0</v>
      </c>
      <c r="BV19" s="43">
        <f>BU18-BV18</f>
        <v>0</v>
      </c>
      <c r="BW19" s="43">
        <f>BV18-BW18</f>
        <v>8.875522500000216</v>
      </c>
      <c r="BX19" s="43">
        <f>BW18-BX18</f>
        <v>0</v>
      </c>
      <c r="BY19" s="43">
        <f>BX18-BY18</f>
        <v>0</v>
      </c>
      <c r="BZ19" s="43">
        <f>BY18-BZ18</f>
        <v>0</v>
      </c>
      <c r="CA19" s="43">
        <f>BZ18-CA18</f>
        <v>8.87552249999976</v>
      </c>
      <c r="CB19" s="43">
        <f>CA18-CB18</f>
        <v>0</v>
      </c>
      <c r="CC19" s="43">
        <f>CB18-CC18</f>
        <v>0</v>
      </c>
      <c r="CD19" s="43">
        <f>CC18-CD18</f>
        <v>0</v>
      </c>
      <c r="CE19" s="43">
        <f>CD18-CE18</f>
        <v>8.875522500000443</v>
      </c>
      <c r="CF19" s="43">
        <f>CE18-CF18</f>
        <v>0</v>
      </c>
      <c r="CG19" s="43">
        <f>CF18-CG18</f>
        <v>0</v>
      </c>
      <c r="CH19" s="43">
        <f>CG18-CH18</f>
        <v>0</v>
      </c>
      <c r="CI19" s="43">
        <f>CH18-CI18</f>
        <v>8.87552249999976</v>
      </c>
      <c r="CJ19" s="43">
        <f>CI18-CJ18</f>
        <v>0</v>
      </c>
      <c r="CK19" s="43">
        <f>CJ18-CK18</f>
        <v>0</v>
      </c>
      <c r="CL19" s="43">
        <f>CK18-CL18</f>
        <v>1606.4695725000001</v>
      </c>
      <c r="CM19" s="49"/>
    </row>
    <row r="20" spans="2:2" x14ac:dyDescent="0.25">
      <c r="B20" s="38" t="s">
        <v>274</v>
      </c>
    </row>
    <row r="23" spans="2:91" x14ac:dyDescent="0.25">
      <c r="B23" s="9" t="s">
        <v>212</v>
      </c>
      <c r="C23" s="10"/>
      <c r="D23" s="44" t="s">
        <v>213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</row>
    <row r="24" spans="2:2" x14ac:dyDescent="0.25">
      <c r="B24" s="38" t="s">
        <v>214</v>
      </c>
    </row>
    <row r="25" spans="2:4" x14ac:dyDescent="0.25">
      <c r="B25" s="34" t="s">
        <v>275</v>
      </c>
      <c r="C25" s="45" t="s">
        <v>276</v>
      </c>
      <c r="D25" s="58">
        <f>'입력값'!C7</f>
        <v>100</v>
      </c>
    </row>
    <row r="26" spans="2:4" x14ac:dyDescent="0.25">
      <c r="B26" s="34" t="s">
        <v>277</v>
      </c>
      <c r="C26" s="45" t="s">
        <v>278</v>
      </c>
      <c r="D26" s="59">
        <f>'입력값'!C10</f>
        <v>154.8</v>
      </c>
    </row>
    <row r="27" spans="2:4" x14ac:dyDescent="0.25">
      <c r="B27" s="34" t="s">
        <v>279</v>
      </c>
      <c r="C27" s="45" t="s">
        <v>280</v>
      </c>
      <c r="D27" s="60">
        <f>'입력값'!C11</f>
        <v>0</v>
      </c>
    </row>
    <row r="28" spans="2:4" x14ac:dyDescent="0.25">
      <c r="B28" s="34" t="s">
        <v>281</v>
      </c>
      <c r="C28" s="45" t="s">
        <v>282</v>
      </c>
      <c r="D28" s="60">
        <f>'입력값'!C12</f>
        <v>0.5</v>
      </c>
    </row>
    <row r="29" spans="2:4" x14ac:dyDescent="0.25">
      <c r="B29" s="34" t="s">
        <v>283</v>
      </c>
      <c r="C29" s="45" t="s">
        <v>284</v>
      </c>
      <c r="D29" s="60">
        <f>'입력값'!C13</f>
        <v>0</v>
      </c>
    </row>
    <row r="30" spans="2:4" x14ac:dyDescent="0.25">
      <c r="B30" s="34" t="s">
        <v>285</v>
      </c>
      <c r="C30" s="45" t="s">
        <v>286</v>
      </c>
      <c r="D30" s="61">
        <f>'입력값'!C14</f>
        <v>3.77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9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287</v>
      </c>
    </row>
    <row r="4" spans="2:91" x14ac:dyDescent="0.25">
      <c r="B4" s="9" t="s">
        <v>288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8" t="s">
        <v>96</v>
      </c>
      <c r="C6" s="28" t="s">
        <v>97</v>
      </c>
      <c r="D6" s="28" t="s">
        <v>98</v>
      </c>
      <c r="E6" s="33" t="s">
        <v>99</v>
      </c>
      <c r="F6" s="33" t="s">
        <v>100</v>
      </c>
      <c r="G6" s="33" t="s">
        <v>101</v>
      </c>
      <c r="H6" s="33" t="s">
        <v>102</v>
      </c>
      <c r="I6" s="33" t="s">
        <v>103</v>
      </c>
      <c r="J6" s="33" t="s">
        <v>104</v>
      </c>
      <c r="K6" s="33" t="s">
        <v>105</v>
      </c>
      <c r="L6" s="33" t="s">
        <v>106</v>
      </c>
      <c r="M6" s="33" t="s">
        <v>107</v>
      </c>
      <c r="N6" s="33" t="s">
        <v>108</v>
      </c>
      <c r="O6" s="33" t="s">
        <v>109</v>
      </c>
      <c r="P6" s="33" t="s">
        <v>110</v>
      </c>
      <c r="Q6" s="33" t="s">
        <v>111</v>
      </c>
      <c r="R6" s="33" t="s">
        <v>112</v>
      </c>
      <c r="S6" s="33" t="s">
        <v>113</v>
      </c>
      <c r="T6" s="33" t="s">
        <v>114</v>
      </c>
      <c r="U6" s="33" t="s">
        <v>115</v>
      </c>
      <c r="V6" s="33" t="s">
        <v>116</v>
      </c>
      <c r="W6" s="33" t="s">
        <v>117</v>
      </c>
      <c r="X6" s="33" t="s">
        <v>118</v>
      </c>
      <c r="Y6" s="33" t="s">
        <v>119</v>
      </c>
      <c r="Z6" s="33" t="s">
        <v>120</v>
      </c>
      <c r="AA6" s="33" t="s">
        <v>121</v>
      </c>
      <c r="AB6" s="33" t="s">
        <v>122</v>
      </c>
      <c r="AC6" s="33" t="s">
        <v>123</v>
      </c>
      <c r="AD6" s="33" t="s">
        <v>124</v>
      </c>
      <c r="AE6" s="33" t="s">
        <v>125</v>
      </c>
      <c r="AF6" s="33" t="s">
        <v>126</v>
      </c>
      <c r="AG6" s="33" t="s">
        <v>127</v>
      </c>
      <c r="AH6" s="33" t="s">
        <v>128</v>
      </c>
      <c r="AI6" s="33" t="s">
        <v>129</v>
      </c>
      <c r="AJ6" s="33" t="s">
        <v>130</v>
      </c>
      <c r="AK6" s="33" t="s">
        <v>131</v>
      </c>
      <c r="AL6" s="33" t="s">
        <v>132</v>
      </c>
      <c r="AM6" s="33" t="s">
        <v>133</v>
      </c>
      <c r="AN6" s="33" t="s">
        <v>134</v>
      </c>
      <c r="AO6" s="33" t="s">
        <v>135</v>
      </c>
      <c r="AP6" s="33" t="s">
        <v>136</v>
      </c>
      <c r="AQ6" s="33" t="s">
        <v>137</v>
      </c>
      <c r="AR6" s="33" t="s">
        <v>138</v>
      </c>
      <c r="AS6" s="33" t="s">
        <v>139</v>
      </c>
      <c r="AT6" s="33" t="s">
        <v>140</v>
      </c>
      <c r="AU6" s="33" t="s">
        <v>141</v>
      </c>
      <c r="AV6" s="33" t="s">
        <v>142</v>
      </c>
      <c r="AW6" s="33" t="s">
        <v>143</v>
      </c>
      <c r="AX6" s="33" t="s">
        <v>144</v>
      </c>
      <c r="AY6" s="33" t="s">
        <v>145</v>
      </c>
      <c r="AZ6" s="33" t="s">
        <v>146</v>
      </c>
      <c r="BA6" s="33" t="s">
        <v>147</v>
      </c>
      <c r="BB6" s="33" t="s">
        <v>148</v>
      </c>
      <c r="BC6" s="33" t="s">
        <v>149</v>
      </c>
      <c r="BD6" s="33" t="s">
        <v>150</v>
      </c>
      <c r="BE6" s="33" t="s">
        <v>151</v>
      </c>
      <c r="BF6" s="33" t="s">
        <v>152</v>
      </c>
      <c r="BG6" s="33" t="s">
        <v>153</v>
      </c>
      <c r="BH6" s="33" t="s">
        <v>154</v>
      </c>
      <c r="BI6" s="33" t="s">
        <v>155</v>
      </c>
      <c r="BJ6" s="33" t="s">
        <v>156</v>
      </c>
      <c r="BK6" s="33" t="s">
        <v>157</v>
      </c>
      <c r="BL6" s="33" t="s">
        <v>158</v>
      </c>
      <c r="BM6" s="33" t="s">
        <v>159</v>
      </c>
      <c r="BN6" s="33" t="s">
        <v>160</v>
      </c>
      <c r="BO6" s="33" t="s">
        <v>161</v>
      </c>
      <c r="BP6" s="33" t="s">
        <v>162</v>
      </c>
      <c r="BQ6" s="33" t="s">
        <v>163</v>
      </c>
      <c r="BR6" s="33" t="s">
        <v>164</v>
      </c>
      <c r="BS6" s="33" t="s">
        <v>165</v>
      </c>
      <c r="BT6" s="33" t="s">
        <v>166</v>
      </c>
      <c r="BU6" s="33" t="s">
        <v>167</v>
      </c>
      <c r="BV6" s="33" t="s">
        <v>168</v>
      </c>
      <c r="BW6" s="33" t="s">
        <v>169</v>
      </c>
      <c r="BX6" s="33" t="s">
        <v>170</v>
      </c>
      <c r="BY6" s="33" t="s">
        <v>171</v>
      </c>
      <c r="BZ6" s="33" t="s">
        <v>172</v>
      </c>
      <c r="CA6" s="33" t="s">
        <v>173</v>
      </c>
      <c r="CB6" s="33" t="s">
        <v>174</v>
      </c>
      <c r="CC6" s="33" t="s">
        <v>175</v>
      </c>
      <c r="CD6" s="33" t="s">
        <v>176</v>
      </c>
      <c r="CE6" s="33" t="s">
        <v>177</v>
      </c>
      <c r="CF6" s="33" t="s">
        <v>178</v>
      </c>
      <c r="CG6" s="33" t="s">
        <v>179</v>
      </c>
      <c r="CH6" s="33" t="s">
        <v>180</v>
      </c>
      <c r="CI6" s="33" t="s">
        <v>181</v>
      </c>
      <c r="CJ6" s="33" t="s">
        <v>182</v>
      </c>
      <c r="CK6" s="33" t="s">
        <v>183</v>
      </c>
      <c r="CL6" s="33" t="s">
        <v>184</v>
      </c>
    </row>
    <row r="8" spans="2:90" x14ac:dyDescent="0.25">
      <c r="B8" s="34" t="s">
        <v>289</v>
      </c>
      <c r="C8" s="35" t="s">
        <v>228</v>
      </c>
      <c r="D8" s="32">
        <f>SUM(E8:CL8)</f>
        <v>106510.04740942549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f>K10-K9</f>
        <v>1245</v>
      </c>
      <c r="L8" s="32">
        <f>L10-L9</f>
        <v>1245</v>
      </c>
      <c r="M8" s="32">
        <f>M10-M9</f>
        <v>1245</v>
      </c>
      <c r="N8" s="32">
        <f>N10-N9</f>
        <v>1245</v>
      </c>
      <c r="O8" s="32">
        <f>O10-O9</f>
        <v>1253.715</v>
      </c>
      <c r="P8" s="32">
        <f>P10-P9</f>
        <v>1253.715</v>
      </c>
      <c r="Q8" s="32">
        <f>Q10-Q9</f>
        <v>1253.715</v>
      </c>
      <c r="R8" s="32">
        <f>R10-R9</f>
        <v>1253.715</v>
      </c>
      <c r="S8" s="32">
        <f>S10-S9</f>
        <v>1262.4910049999996</v>
      </c>
      <c r="T8" s="32">
        <f>T10-T9</f>
        <v>1262.4910049999996</v>
      </c>
      <c r="U8" s="32">
        <f>U10-U9</f>
        <v>1262.4910049999996</v>
      </c>
      <c r="V8" s="32">
        <f>V10-V9</f>
        <v>1262.4910049999996</v>
      </c>
      <c r="W8" s="32">
        <f>W10-W9</f>
        <v>1271.3284420349996</v>
      </c>
      <c r="X8" s="32">
        <f>X10-X9</f>
        <v>1271.3284420349996</v>
      </c>
      <c r="Y8" s="32">
        <f>Y10-Y9</f>
        <v>1271.3284420349996</v>
      </c>
      <c r="Z8" s="32">
        <f>Z10-Z9</f>
        <v>1271.3284420349996</v>
      </c>
      <c r="AA8" s="32">
        <f>AA10-AA9</f>
        <v>1280.2277411292444</v>
      </c>
      <c r="AB8" s="32">
        <f>AB10-AB9</f>
        <v>1280.2277411292444</v>
      </c>
      <c r="AC8" s="32">
        <f>AC10-AC9</f>
        <v>1280.2277411292444</v>
      </c>
      <c r="AD8" s="32">
        <f>AD10-AD9</f>
        <v>1280.2277411292444</v>
      </c>
      <c r="AE8" s="32">
        <f>AE10-AE9</f>
        <v>1289.189335317149</v>
      </c>
      <c r="AF8" s="32">
        <f>AF10-AF9</f>
        <v>1289.189335317149</v>
      </c>
      <c r="AG8" s="32">
        <f>AG10-AG9</f>
        <v>1289.189335317149</v>
      </c>
      <c r="AH8" s="32">
        <f>AH10-AH9</f>
        <v>1289.189335317149</v>
      </c>
      <c r="AI8" s="32">
        <f>AI10-AI9</f>
        <v>1298.213660664369</v>
      </c>
      <c r="AJ8" s="32">
        <f>AJ10-AJ9</f>
        <v>1298.213660664369</v>
      </c>
      <c r="AK8" s="32">
        <f>AK10-AK9</f>
        <v>1298.213660664369</v>
      </c>
      <c r="AL8" s="32">
        <f>AL10-AL9</f>
        <v>1298.213660664369</v>
      </c>
      <c r="AM8" s="32">
        <f>AM10-AM9</f>
        <v>1307.3011562890194</v>
      </c>
      <c r="AN8" s="32">
        <f>AN10-AN9</f>
        <v>1307.3011562890194</v>
      </c>
      <c r="AO8" s="32">
        <f>AO10-AO9</f>
        <v>1307.3011562890194</v>
      </c>
      <c r="AP8" s="32">
        <f>AP10-AP9</f>
        <v>1307.3011562890194</v>
      </c>
      <c r="AQ8" s="32">
        <f>AQ10-AQ9</f>
        <v>1316.4522643830423</v>
      </c>
      <c r="AR8" s="32">
        <f>AR10-AR9</f>
        <v>1316.4522643830423</v>
      </c>
      <c r="AS8" s="32">
        <f>AS10-AS9</f>
        <v>1316.4522643830423</v>
      </c>
      <c r="AT8" s="32">
        <f>AT10-AT9</f>
        <v>1316.4522643830423</v>
      </c>
      <c r="AU8" s="32">
        <f>AU10-AU9</f>
        <v>1325.6674302337235</v>
      </c>
      <c r="AV8" s="32">
        <f>AV10-AV9</f>
        <v>1325.6674302337235</v>
      </c>
      <c r="AW8" s="32">
        <f>AW10-AW9</f>
        <v>1325.6674302337235</v>
      </c>
      <c r="AX8" s="32">
        <f>AX10-AX9</f>
        <v>1325.6674302337235</v>
      </c>
      <c r="AY8" s="32">
        <f>AY10-AY9</f>
        <v>1334.9471022453597</v>
      </c>
      <c r="AZ8" s="32">
        <f>AZ10-AZ9</f>
        <v>1334.9471022453597</v>
      </c>
      <c r="BA8" s="32">
        <f>BA10-BA9</f>
        <v>1334.9471022453597</v>
      </c>
      <c r="BB8" s="32">
        <f>BB10-BB9</f>
        <v>1334.9471022453597</v>
      </c>
      <c r="BC8" s="32">
        <f>BC10-BC9</f>
        <v>1344.291731961077</v>
      </c>
      <c r="BD8" s="32">
        <f>BD10-BD9</f>
        <v>1344.291731961077</v>
      </c>
      <c r="BE8" s="32">
        <f>BE10-BE9</f>
        <v>1344.291731961077</v>
      </c>
      <c r="BF8" s="32">
        <f>BF10-BF9</f>
        <v>1344.291731961077</v>
      </c>
      <c r="BG8" s="32">
        <f>BG10-BG9</f>
        <v>1353.7017740848044</v>
      </c>
      <c r="BH8" s="32">
        <f>BH10-BH9</f>
        <v>1353.7017740848044</v>
      </c>
      <c r="BI8" s="32">
        <f>BI10-BI9</f>
        <v>1353.7017740848044</v>
      </c>
      <c r="BJ8" s="32">
        <f>BJ10-BJ9</f>
        <v>1353.7017740848044</v>
      </c>
      <c r="BK8" s="32">
        <f>BK10-BK9</f>
        <v>1363.1776865033978</v>
      </c>
      <c r="BL8" s="32">
        <f>BL10-BL9</f>
        <v>1363.1776865033978</v>
      </c>
      <c r="BM8" s="32">
        <f>BM10-BM9</f>
        <v>1363.1776865033978</v>
      </c>
      <c r="BN8" s="32">
        <f>BN10-BN9</f>
        <v>1363.1776865033978</v>
      </c>
      <c r="BO8" s="32">
        <f>BO10-BO9</f>
        <v>1372.7199303089214</v>
      </c>
      <c r="BP8" s="32">
        <f>BP10-BP9</f>
        <v>1372.7199303089214</v>
      </c>
      <c r="BQ8" s="32">
        <f>BQ10-BQ9</f>
        <v>1372.7199303089214</v>
      </c>
      <c r="BR8" s="32">
        <f>BR10-BR9</f>
        <v>1372.7199303089214</v>
      </c>
      <c r="BS8" s="32">
        <f>BS10-BS9</f>
        <v>1382.3289698210838</v>
      </c>
      <c r="BT8" s="32">
        <f>BT10-BT9</f>
        <v>1382.3289698210838</v>
      </c>
      <c r="BU8" s="32">
        <f>BU10-BU9</f>
        <v>1382.3289698210838</v>
      </c>
      <c r="BV8" s="32">
        <f>BV10-BV9</f>
        <v>1382.3289698210838</v>
      </c>
      <c r="BW8" s="32">
        <f>BW10-BW9</f>
        <v>1392.005272609831</v>
      </c>
      <c r="BX8" s="32">
        <f>BX10-BX9</f>
        <v>1392.005272609831</v>
      </c>
      <c r="BY8" s="32">
        <f>BY10-BY9</f>
        <v>1392.005272609831</v>
      </c>
      <c r="BZ8" s="32">
        <f>BZ10-BZ9</f>
        <v>1392.005272609831</v>
      </c>
      <c r="CA8" s="32">
        <f>CA10-CA9</f>
        <v>1401.7493095180998</v>
      </c>
      <c r="CB8" s="32">
        <f>CB10-CB9</f>
        <v>1401.7493095180998</v>
      </c>
      <c r="CC8" s="32">
        <f>CC10-CC9</f>
        <v>1401.7493095180998</v>
      </c>
      <c r="CD8" s="32">
        <f>CD10-CD9</f>
        <v>1401.7493095180998</v>
      </c>
      <c r="CE8" s="32">
        <f>CE10-CE9</f>
        <v>1411.5615546847264</v>
      </c>
      <c r="CF8" s="32">
        <f>CF10-CF9</f>
        <v>1411.5615546847264</v>
      </c>
      <c r="CG8" s="32">
        <f>CG10-CG9</f>
        <v>1411.5615546847264</v>
      </c>
      <c r="CH8" s="32">
        <f>CH10-CH9</f>
        <v>1411.5615546847264</v>
      </c>
      <c r="CI8" s="32">
        <f>CI10-CI9</f>
        <v>1421.4424855675193</v>
      </c>
      <c r="CJ8" s="32">
        <f>CJ10-CJ9</f>
        <v>1421.4424855675193</v>
      </c>
      <c r="CK8" s="32">
        <f>CK10-CK9</f>
        <v>1421.4424855675193</v>
      </c>
      <c r="CL8" s="32">
        <f>CL10-CL9</f>
        <v>1421.4424855675193</v>
      </c>
    </row>
    <row r="9" spans="2:90" x14ac:dyDescent="0.25">
      <c r="B9" s="34" t="s">
        <v>290</v>
      </c>
      <c r="C9" s="35" t="s">
        <v>228</v>
      </c>
      <c r="D9" s="32">
        <f>SUM(E9:CL9)</f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f>K10*$D$19/100</f>
        <v>0</v>
      </c>
      <c r="L9" s="32">
        <f>L10*$D$19/100</f>
        <v>0</v>
      </c>
      <c r="M9" s="32">
        <f>M10*$D$19/100</f>
        <v>0</v>
      </c>
      <c r="N9" s="32">
        <f>N10*$D$19/100</f>
        <v>0</v>
      </c>
      <c r="O9" s="32">
        <f>O10*$D$19/100</f>
        <v>0</v>
      </c>
      <c r="P9" s="32">
        <f>P10*$D$19/100</f>
        <v>0</v>
      </c>
      <c r="Q9" s="32">
        <f>Q10*$D$19/100</f>
        <v>0</v>
      </c>
      <c r="R9" s="32">
        <f>R10*$D$19/100</f>
        <v>0</v>
      </c>
      <c r="S9" s="32">
        <f>S10*$D$19/100</f>
        <v>0</v>
      </c>
      <c r="T9" s="32">
        <f>T10*$D$19/100</f>
        <v>0</v>
      </c>
      <c r="U9" s="32">
        <f>U10*$D$19/100</f>
        <v>0</v>
      </c>
      <c r="V9" s="32">
        <f>V10*$D$19/100</f>
        <v>0</v>
      </c>
      <c r="W9" s="32">
        <f>W10*$D$19/100</f>
        <v>0</v>
      </c>
      <c r="X9" s="32">
        <f>X10*$D$19/100</f>
        <v>0</v>
      </c>
      <c r="Y9" s="32">
        <f>Y10*$D$19/100</f>
        <v>0</v>
      </c>
      <c r="Z9" s="32">
        <f>Z10*$D$19/100</f>
        <v>0</v>
      </c>
      <c r="AA9" s="32">
        <f>AA10*$D$19/100</f>
        <v>0</v>
      </c>
      <c r="AB9" s="32">
        <f>AB10*$D$19/100</f>
        <v>0</v>
      </c>
      <c r="AC9" s="32">
        <f>AC10*$D$19/100</f>
        <v>0</v>
      </c>
      <c r="AD9" s="32">
        <f>AD10*$D$19/100</f>
        <v>0</v>
      </c>
      <c r="AE9" s="32">
        <f>AE10*$D$19/100</f>
        <v>0</v>
      </c>
      <c r="AF9" s="32">
        <f>AF10*$D$19/100</f>
        <v>0</v>
      </c>
      <c r="AG9" s="32">
        <f>AG10*$D$19/100</f>
        <v>0</v>
      </c>
      <c r="AH9" s="32">
        <f>AH10*$D$19/100</f>
        <v>0</v>
      </c>
      <c r="AI9" s="32">
        <f>AI10*$D$19/100</f>
        <v>0</v>
      </c>
      <c r="AJ9" s="32">
        <f>AJ10*$D$19/100</f>
        <v>0</v>
      </c>
      <c r="AK9" s="32">
        <f>AK10*$D$19/100</f>
        <v>0</v>
      </c>
      <c r="AL9" s="32">
        <f>AL10*$D$19/100</f>
        <v>0</v>
      </c>
      <c r="AM9" s="32">
        <f>AM10*$D$19/100</f>
        <v>0</v>
      </c>
      <c r="AN9" s="32">
        <f>AN10*$D$19/100</f>
        <v>0</v>
      </c>
      <c r="AO9" s="32">
        <f>AO10*$D$19/100</f>
        <v>0</v>
      </c>
      <c r="AP9" s="32">
        <f>AP10*$D$19/100</f>
        <v>0</v>
      </c>
      <c r="AQ9" s="32">
        <f>AQ10*$D$19/100</f>
        <v>0</v>
      </c>
      <c r="AR9" s="32">
        <f>AR10*$D$19/100</f>
        <v>0</v>
      </c>
      <c r="AS9" s="32">
        <f>AS10*$D$19/100</f>
        <v>0</v>
      </c>
      <c r="AT9" s="32">
        <f>AT10*$D$19/100</f>
        <v>0</v>
      </c>
      <c r="AU9" s="32">
        <f>AU10*$D$19/100</f>
        <v>0</v>
      </c>
      <c r="AV9" s="32">
        <f>AV10*$D$19/100</f>
        <v>0</v>
      </c>
      <c r="AW9" s="32">
        <f>AW10*$D$19/100</f>
        <v>0</v>
      </c>
      <c r="AX9" s="32">
        <f>AX10*$D$19/100</f>
        <v>0</v>
      </c>
      <c r="AY9" s="32">
        <f>AY10*$D$19/100</f>
        <v>0</v>
      </c>
      <c r="AZ9" s="32">
        <f>AZ10*$D$19/100</f>
        <v>0</v>
      </c>
      <c r="BA9" s="32">
        <f>BA10*$D$19/100</f>
        <v>0</v>
      </c>
      <c r="BB9" s="32">
        <f>BB10*$D$19/100</f>
        <v>0</v>
      </c>
      <c r="BC9" s="32">
        <f>BC10*$D$19/100</f>
        <v>0</v>
      </c>
      <c r="BD9" s="32">
        <f>BD10*$D$19/100</f>
        <v>0</v>
      </c>
      <c r="BE9" s="32">
        <f>BE10*$D$19/100</f>
        <v>0</v>
      </c>
      <c r="BF9" s="32">
        <f>BF10*$D$19/100</f>
        <v>0</v>
      </c>
      <c r="BG9" s="32">
        <f>BG10*$D$19/100</f>
        <v>0</v>
      </c>
      <c r="BH9" s="32">
        <f>BH10*$D$19/100</f>
        <v>0</v>
      </c>
      <c r="BI9" s="32">
        <f>BI10*$D$19/100</f>
        <v>0</v>
      </c>
      <c r="BJ9" s="32">
        <f>BJ10*$D$19/100</f>
        <v>0</v>
      </c>
      <c r="BK9" s="32">
        <f>BK10*$D$19/100</f>
        <v>0</v>
      </c>
      <c r="BL9" s="32">
        <f>BL10*$D$19/100</f>
        <v>0</v>
      </c>
      <c r="BM9" s="32">
        <f>BM10*$D$19/100</f>
        <v>0</v>
      </c>
      <c r="BN9" s="32">
        <f>BN10*$D$19/100</f>
        <v>0</v>
      </c>
      <c r="BO9" s="32">
        <f>BO10*$D$19/100</f>
        <v>0</v>
      </c>
      <c r="BP9" s="32">
        <f>BP10*$D$19/100</f>
        <v>0</v>
      </c>
      <c r="BQ9" s="32">
        <f>BQ10*$D$19/100</f>
        <v>0</v>
      </c>
      <c r="BR9" s="32">
        <f>BR10*$D$19/100</f>
        <v>0</v>
      </c>
      <c r="BS9" s="32">
        <f>BS10*$D$19/100</f>
        <v>0</v>
      </c>
      <c r="BT9" s="32">
        <f>BT10*$D$19/100</f>
        <v>0</v>
      </c>
      <c r="BU9" s="32">
        <f>BU10*$D$19/100</f>
        <v>0</v>
      </c>
      <c r="BV9" s="32">
        <f>BV10*$D$19/100</f>
        <v>0</v>
      </c>
      <c r="BW9" s="32">
        <f>BW10*$D$19/100</f>
        <v>0</v>
      </c>
      <c r="BX9" s="32">
        <f>BX10*$D$19/100</f>
        <v>0</v>
      </c>
      <c r="BY9" s="32">
        <f>BY10*$D$19/100</f>
        <v>0</v>
      </c>
      <c r="BZ9" s="32">
        <f>BZ10*$D$19/100</f>
        <v>0</v>
      </c>
      <c r="CA9" s="32">
        <f>CA10*$D$19/100</f>
        <v>0</v>
      </c>
      <c r="CB9" s="32">
        <f>CB10*$D$19/100</f>
        <v>0</v>
      </c>
      <c r="CC9" s="32">
        <f>CC10*$D$19/100</f>
        <v>0</v>
      </c>
      <c r="CD9" s="32">
        <f>CD10*$D$19/100</f>
        <v>0</v>
      </c>
      <c r="CE9" s="32">
        <f>CE10*$D$19/100</f>
        <v>0</v>
      </c>
      <c r="CF9" s="32">
        <f>CF10*$D$19/100</f>
        <v>0</v>
      </c>
      <c r="CG9" s="32">
        <f>CG10*$D$19/100</f>
        <v>0</v>
      </c>
      <c r="CH9" s="32">
        <f>CH10*$D$19/100</f>
        <v>0</v>
      </c>
      <c r="CI9" s="32">
        <f>CI10*$D$19/100</f>
        <v>0</v>
      </c>
      <c r="CJ9" s="32">
        <f>CJ10*$D$19/100</f>
        <v>0</v>
      </c>
      <c r="CK9" s="32">
        <f>CK10*$D$19/100</f>
        <v>0</v>
      </c>
      <c r="CL9" s="32">
        <f>CL10*$D$19/100</f>
        <v>0</v>
      </c>
    </row>
    <row r="10" spans="2:91" x14ac:dyDescent="0.25">
      <c r="B10" s="48" t="s">
        <v>291</v>
      </c>
      <c r="C10" s="51" t="s">
        <v>228</v>
      </c>
      <c r="D10" s="43">
        <f>SUM(E10:CL10)</f>
        <v>106510.04740942549</v>
      </c>
      <c r="E10" s="43">
        <f>E8+E9</f>
        <v>0</v>
      </c>
      <c r="F10" s="43">
        <f>F8+F9</f>
        <v>0</v>
      </c>
      <c r="G10" s="43">
        <f>G8+G9</f>
        <v>0</v>
      </c>
      <c r="H10" s="43">
        <f>H8+H9</f>
        <v>0</v>
      </c>
      <c r="I10" s="43">
        <f>I8+I9</f>
        <v>0</v>
      </c>
      <c r="J10" s="43">
        <f>J8+J9</f>
        <v>0</v>
      </c>
      <c r="K10" s="43">
        <f>$D$17*100*(1+$D$18/100)^0*(3/12)</f>
        <v>1245</v>
      </c>
      <c r="L10" s="43">
        <f>$D$17*100*(1+$D$18/100)^0*(3/12)</f>
        <v>1245</v>
      </c>
      <c r="M10" s="43">
        <f>$D$17*100*(1+$D$18/100)^0*(3/12)</f>
        <v>1245</v>
      </c>
      <c r="N10" s="43">
        <f>$D$17*100*(1+$D$18/100)^0*(3/12)</f>
        <v>1245</v>
      </c>
      <c r="O10" s="43">
        <f>$D$17*100*(1+$D$18/100)^1*(3/12)</f>
        <v>1253.715</v>
      </c>
      <c r="P10" s="43">
        <f>$D$17*100*(1+$D$18/100)^1*(3/12)</f>
        <v>1253.715</v>
      </c>
      <c r="Q10" s="43">
        <f>$D$17*100*(1+$D$18/100)^1*(3/12)</f>
        <v>1253.715</v>
      </c>
      <c r="R10" s="43">
        <f>$D$17*100*(1+$D$18/100)^1*(3/12)</f>
        <v>1253.715</v>
      </c>
      <c r="S10" s="43">
        <f>$D$17*100*(1+$D$18/100)^2*(3/12)</f>
        <v>1262.4910049999996</v>
      </c>
      <c r="T10" s="43">
        <f>$D$17*100*(1+$D$18/100)^2*(3/12)</f>
        <v>1262.4910049999996</v>
      </c>
      <c r="U10" s="43">
        <f>$D$17*100*(1+$D$18/100)^2*(3/12)</f>
        <v>1262.4910049999996</v>
      </c>
      <c r="V10" s="43">
        <f>$D$17*100*(1+$D$18/100)^2*(3/12)</f>
        <v>1262.4910049999996</v>
      </c>
      <c r="W10" s="43">
        <f>$D$17*100*(1+$D$18/100)^3*(3/12)</f>
        <v>1271.3284420349996</v>
      </c>
      <c r="X10" s="43">
        <f>$D$17*100*(1+$D$18/100)^3*(3/12)</f>
        <v>1271.3284420349996</v>
      </c>
      <c r="Y10" s="43">
        <f>$D$17*100*(1+$D$18/100)^3*(3/12)</f>
        <v>1271.3284420349996</v>
      </c>
      <c r="Z10" s="43">
        <f>$D$17*100*(1+$D$18/100)^3*(3/12)</f>
        <v>1271.3284420349996</v>
      </c>
      <c r="AA10" s="43">
        <f>$D$17*100*(1+$D$18/100)^4*(3/12)</f>
        <v>1280.2277411292444</v>
      </c>
      <c r="AB10" s="43">
        <f>$D$17*100*(1+$D$18/100)^4*(3/12)</f>
        <v>1280.2277411292444</v>
      </c>
      <c r="AC10" s="43">
        <f>$D$17*100*(1+$D$18/100)^4*(3/12)</f>
        <v>1280.2277411292444</v>
      </c>
      <c r="AD10" s="43">
        <f>$D$17*100*(1+$D$18/100)^4*(3/12)</f>
        <v>1280.2277411292444</v>
      </c>
      <c r="AE10" s="43">
        <f>$D$17*100*(1+$D$18/100)^5*(3/12)</f>
        <v>1289.189335317149</v>
      </c>
      <c r="AF10" s="43">
        <f>$D$17*100*(1+$D$18/100)^5*(3/12)</f>
        <v>1289.189335317149</v>
      </c>
      <c r="AG10" s="43">
        <f>$D$17*100*(1+$D$18/100)^5*(3/12)</f>
        <v>1289.189335317149</v>
      </c>
      <c r="AH10" s="43">
        <f>$D$17*100*(1+$D$18/100)^5*(3/12)</f>
        <v>1289.189335317149</v>
      </c>
      <c r="AI10" s="43">
        <f>$D$17*100*(1+$D$18/100)^6*(3/12)</f>
        <v>1298.213660664369</v>
      </c>
      <c r="AJ10" s="43">
        <f>$D$17*100*(1+$D$18/100)^6*(3/12)</f>
        <v>1298.213660664369</v>
      </c>
      <c r="AK10" s="43">
        <f>$D$17*100*(1+$D$18/100)^6*(3/12)</f>
        <v>1298.213660664369</v>
      </c>
      <c r="AL10" s="43">
        <f>$D$17*100*(1+$D$18/100)^6*(3/12)</f>
        <v>1298.213660664369</v>
      </c>
      <c r="AM10" s="43">
        <f>$D$17*100*(1+$D$18/100)^7*(3/12)</f>
        <v>1307.3011562890194</v>
      </c>
      <c r="AN10" s="43">
        <f>$D$17*100*(1+$D$18/100)^7*(3/12)</f>
        <v>1307.3011562890194</v>
      </c>
      <c r="AO10" s="43">
        <f>$D$17*100*(1+$D$18/100)^7*(3/12)</f>
        <v>1307.3011562890194</v>
      </c>
      <c r="AP10" s="43">
        <f>$D$17*100*(1+$D$18/100)^7*(3/12)</f>
        <v>1307.3011562890194</v>
      </c>
      <c r="AQ10" s="43">
        <f>$D$17*100*(1+$D$18/100)^8*(3/12)</f>
        <v>1316.4522643830423</v>
      </c>
      <c r="AR10" s="43">
        <f>$D$17*100*(1+$D$18/100)^8*(3/12)</f>
        <v>1316.4522643830423</v>
      </c>
      <c r="AS10" s="43">
        <f>$D$17*100*(1+$D$18/100)^8*(3/12)</f>
        <v>1316.4522643830423</v>
      </c>
      <c r="AT10" s="43">
        <f>$D$17*100*(1+$D$18/100)^8*(3/12)</f>
        <v>1316.4522643830423</v>
      </c>
      <c r="AU10" s="43">
        <f>$D$17*100*(1+$D$18/100)^9*(3/12)</f>
        <v>1325.6674302337235</v>
      </c>
      <c r="AV10" s="43">
        <f>$D$17*100*(1+$D$18/100)^9*(3/12)</f>
        <v>1325.6674302337235</v>
      </c>
      <c r="AW10" s="43">
        <f>$D$17*100*(1+$D$18/100)^9*(3/12)</f>
        <v>1325.6674302337235</v>
      </c>
      <c r="AX10" s="43">
        <f>$D$17*100*(1+$D$18/100)^9*(3/12)</f>
        <v>1325.6674302337235</v>
      </c>
      <c r="AY10" s="43">
        <f>$D$17*100*(1+$D$18/100)^10*(3/12)</f>
        <v>1334.9471022453597</v>
      </c>
      <c r="AZ10" s="43">
        <f>$D$17*100*(1+$D$18/100)^10*(3/12)</f>
        <v>1334.9471022453597</v>
      </c>
      <c r="BA10" s="43">
        <f>$D$17*100*(1+$D$18/100)^10*(3/12)</f>
        <v>1334.9471022453597</v>
      </c>
      <c r="BB10" s="43">
        <f>$D$17*100*(1+$D$18/100)^10*(3/12)</f>
        <v>1334.9471022453597</v>
      </c>
      <c r="BC10" s="43">
        <f>$D$17*100*(1+$D$18/100)^11*(3/12)</f>
        <v>1344.291731961077</v>
      </c>
      <c r="BD10" s="43">
        <f>$D$17*100*(1+$D$18/100)^11*(3/12)</f>
        <v>1344.291731961077</v>
      </c>
      <c r="BE10" s="43">
        <f>$D$17*100*(1+$D$18/100)^11*(3/12)</f>
        <v>1344.291731961077</v>
      </c>
      <c r="BF10" s="43">
        <f>$D$17*100*(1+$D$18/100)^11*(3/12)</f>
        <v>1344.291731961077</v>
      </c>
      <c r="BG10" s="43">
        <f>$D$17*100*(1+$D$18/100)^12*(3/12)</f>
        <v>1353.7017740848044</v>
      </c>
      <c r="BH10" s="43">
        <f>$D$17*100*(1+$D$18/100)^12*(3/12)</f>
        <v>1353.7017740848044</v>
      </c>
      <c r="BI10" s="43">
        <f>$D$17*100*(1+$D$18/100)^12*(3/12)</f>
        <v>1353.7017740848044</v>
      </c>
      <c r="BJ10" s="43">
        <f>$D$17*100*(1+$D$18/100)^12*(3/12)</f>
        <v>1353.7017740848044</v>
      </c>
      <c r="BK10" s="43">
        <f>$D$17*100*(1+$D$18/100)^13*(3/12)</f>
        <v>1363.1776865033978</v>
      </c>
      <c r="BL10" s="43">
        <f>$D$17*100*(1+$D$18/100)^13*(3/12)</f>
        <v>1363.1776865033978</v>
      </c>
      <c r="BM10" s="43">
        <f>$D$17*100*(1+$D$18/100)^13*(3/12)</f>
        <v>1363.1776865033978</v>
      </c>
      <c r="BN10" s="43">
        <f>$D$17*100*(1+$D$18/100)^13*(3/12)</f>
        <v>1363.1776865033978</v>
      </c>
      <c r="BO10" s="43">
        <f>$D$17*100*(1+$D$18/100)^14*(3/12)</f>
        <v>1372.7199303089214</v>
      </c>
      <c r="BP10" s="43">
        <f>$D$17*100*(1+$D$18/100)^14*(3/12)</f>
        <v>1372.7199303089214</v>
      </c>
      <c r="BQ10" s="43">
        <f>$D$17*100*(1+$D$18/100)^14*(3/12)</f>
        <v>1372.7199303089214</v>
      </c>
      <c r="BR10" s="43">
        <f>$D$17*100*(1+$D$18/100)^14*(3/12)</f>
        <v>1372.7199303089214</v>
      </c>
      <c r="BS10" s="43">
        <f>$D$17*100*(1+$D$18/100)^15*(3/12)</f>
        <v>1382.3289698210838</v>
      </c>
      <c r="BT10" s="43">
        <f>$D$17*100*(1+$D$18/100)^15*(3/12)</f>
        <v>1382.3289698210838</v>
      </c>
      <c r="BU10" s="43">
        <f>$D$17*100*(1+$D$18/100)^15*(3/12)</f>
        <v>1382.3289698210838</v>
      </c>
      <c r="BV10" s="43">
        <f>$D$17*100*(1+$D$18/100)^15*(3/12)</f>
        <v>1382.3289698210838</v>
      </c>
      <c r="BW10" s="43">
        <f>$D$17*100*(1+$D$18/100)^16*(3/12)</f>
        <v>1392.005272609831</v>
      </c>
      <c r="BX10" s="43">
        <f>$D$17*100*(1+$D$18/100)^16*(3/12)</f>
        <v>1392.005272609831</v>
      </c>
      <c r="BY10" s="43">
        <f>$D$17*100*(1+$D$18/100)^16*(3/12)</f>
        <v>1392.005272609831</v>
      </c>
      <c r="BZ10" s="43">
        <f>$D$17*100*(1+$D$18/100)^16*(3/12)</f>
        <v>1392.005272609831</v>
      </c>
      <c r="CA10" s="43">
        <f>$D$17*100*(1+$D$18/100)^17*(3/12)</f>
        <v>1401.7493095180998</v>
      </c>
      <c r="CB10" s="43">
        <f>$D$17*100*(1+$D$18/100)^17*(3/12)</f>
        <v>1401.7493095180998</v>
      </c>
      <c r="CC10" s="43">
        <f>$D$17*100*(1+$D$18/100)^17*(3/12)</f>
        <v>1401.7493095180998</v>
      </c>
      <c r="CD10" s="43">
        <f>$D$17*100*(1+$D$18/100)^17*(3/12)</f>
        <v>1401.7493095180998</v>
      </c>
      <c r="CE10" s="43">
        <f>$D$17*100*(1+$D$18/100)^18*(3/12)</f>
        <v>1411.5615546847264</v>
      </c>
      <c r="CF10" s="43">
        <f>$D$17*100*(1+$D$18/100)^18*(3/12)</f>
        <v>1411.5615546847264</v>
      </c>
      <c r="CG10" s="43">
        <f>$D$17*100*(1+$D$18/100)^18*(3/12)</f>
        <v>1411.5615546847264</v>
      </c>
      <c r="CH10" s="43">
        <f>$D$17*100*(1+$D$18/100)^18*(3/12)</f>
        <v>1411.5615546847264</v>
      </c>
      <c r="CI10" s="43">
        <f>$D$17*100*(1+$D$18/100)^19*(3/12)</f>
        <v>1421.4424855675193</v>
      </c>
      <c r="CJ10" s="43">
        <f>$D$17*100*(1+$D$18/100)^19*(3/12)</f>
        <v>1421.4424855675193</v>
      </c>
      <c r="CK10" s="43">
        <f>$D$17*100*(1+$D$18/100)^19*(3/12)</f>
        <v>1421.4424855675193</v>
      </c>
      <c r="CL10" s="43">
        <f>$D$17*100*(1+$D$18/100)^19*(3/12)</f>
        <v>1421.4424855675193</v>
      </c>
      <c r="CM10" s="49"/>
    </row>
    <row r="12" spans="2:2" x14ac:dyDescent="0.25">
      <c r="B12" s="38" t="s">
        <v>292</v>
      </c>
    </row>
    <row r="15" spans="2:91" x14ac:dyDescent="0.25">
      <c r="B15" s="9" t="s">
        <v>212</v>
      </c>
      <c r="C15" s="10"/>
      <c r="D15" s="44" t="s">
        <v>213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6" spans="2:2" x14ac:dyDescent="0.25">
      <c r="B16" s="38" t="s">
        <v>214</v>
      </c>
    </row>
    <row r="17" spans="2:4" x14ac:dyDescent="0.25">
      <c r="B17" s="34" t="s">
        <v>293</v>
      </c>
      <c r="C17" s="45" t="s">
        <v>294</v>
      </c>
      <c r="D17" s="46">
        <f>'입력값'!C18</f>
        <v>49.8</v>
      </c>
    </row>
    <row r="18" spans="2:4" x14ac:dyDescent="0.25">
      <c r="B18" s="34" t="s">
        <v>295</v>
      </c>
      <c r="C18" s="45" t="s">
        <v>296</v>
      </c>
      <c r="D18" s="60">
        <f>'입력값'!C19</f>
        <v>0.7</v>
      </c>
    </row>
    <row r="19" spans="2:4" x14ac:dyDescent="0.25">
      <c r="B19" s="34" t="s">
        <v>297</v>
      </c>
      <c r="C19" s="45" t="s">
        <v>298</v>
      </c>
      <c r="D19" s="60">
        <f>'입력값'!C20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7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299</v>
      </c>
    </row>
    <row r="4" spans="2:91" x14ac:dyDescent="0.25">
      <c r="B4" s="9" t="s">
        <v>300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8" t="s">
        <v>96</v>
      </c>
      <c r="C6" s="28" t="s">
        <v>97</v>
      </c>
      <c r="D6" s="28" t="s">
        <v>98</v>
      </c>
      <c r="E6" s="33" t="s">
        <v>99</v>
      </c>
      <c r="F6" s="33" t="s">
        <v>100</v>
      </c>
      <c r="G6" s="33" t="s">
        <v>101</v>
      </c>
      <c r="H6" s="33" t="s">
        <v>102</v>
      </c>
      <c r="I6" s="33" t="s">
        <v>103</v>
      </c>
      <c r="J6" s="33" t="s">
        <v>104</v>
      </c>
      <c r="K6" s="33" t="s">
        <v>105</v>
      </c>
      <c r="L6" s="33" t="s">
        <v>106</v>
      </c>
      <c r="M6" s="33" t="s">
        <v>107</v>
      </c>
      <c r="N6" s="33" t="s">
        <v>108</v>
      </c>
      <c r="O6" s="33" t="s">
        <v>109</v>
      </c>
      <c r="P6" s="33" t="s">
        <v>110</v>
      </c>
      <c r="Q6" s="33" t="s">
        <v>111</v>
      </c>
      <c r="R6" s="33" t="s">
        <v>112</v>
      </c>
      <c r="S6" s="33" t="s">
        <v>113</v>
      </c>
      <c r="T6" s="33" t="s">
        <v>114</v>
      </c>
      <c r="U6" s="33" t="s">
        <v>115</v>
      </c>
      <c r="V6" s="33" t="s">
        <v>116</v>
      </c>
      <c r="W6" s="33" t="s">
        <v>117</v>
      </c>
      <c r="X6" s="33" t="s">
        <v>118</v>
      </c>
      <c r="Y6" s="33" t="s">
        <v>119</v>
      </c>
      <c r="Z6" s="33" t="s">
        <v>120</v>
      </c>
      <c r="AA6" s="33" t="s">
        <v>121</v>
      </c>
      <c r="AB6" s="33" t="s">
        <v>122</v>
      </c>
      <c r="AC6" s="33" t="s">
        <v>123</v>
      </c>
      <c r="AD6" s="33" t="s">
        <v>124</v>
      </c>
      <c r="AE6" s="33" t="s">
        <v>125</v>
      </c>
      <c r="AF6" s="33" t="s">
        <v>126</v>
      </c>
      <c r="AG6" s="33" t="s">
        <v>127</v>
      </c>
      <c r="AH6" s="33" t="s">
        <v>128</v>
      </c>
      <c r="AI6" s="33" t="s">
        <v>129</v>
      </c>
      <c r="AJ6" s="33" t="s">
        <v>130</v>
      </c>
      <c r="AK6" s="33" t="s">
        <v>131</v>
      </c>
      <c r="AL6" s="33" t="s">
        <v>132</v>
      </c>
      <c r="AM6" s="33" t="s">
        <v>133</v>
      </c>
      <c r="AN6" s="33" t="s">
        <v>134</v>
      </c>
      <c r="AO6" s="33" t="s">
        <v>135</v>
      </c>
      <c r="AP6" s="33" t="s">
        <v>136</v>
      </c>
      <c r="AQ6" s="33" t="s">
        <v>137</v>
      </c>
      <c r="AR6" s="33" t="s">
        <v>138</v>
      </c>
      <c r="AS6" s="33" t="s">
        <v>139</v>
      </c>
      <c r="AT6" s="33" t="s">
        <v>140</v>
      </c>
      <c r="AU6" s="33" t="s">
        <v>141</v>
      </c>
      <c r="AV6" s="33" t="s">
        <v>142</v>
      </c>
      <c r="AW6" s="33" t="s">
        <v>143</v>
      </c>
      <c r="AX6" s="33" t="s">
        <v>144</v>
      </c>
      <c r="AY6" s="33" t="s">
        <v>145</v>
      </c>
      <c r="AZ6" s="33" t="s">
        <v>146</v>
      </c>
      <c r="BA6" s="33" t="s">
        <v>147</v>
      </c>
      <c r="BB6" s="33" t="s">
        <v>148</v>
      </c>
      <c r="BC6" s="33" t="s">
        <v>149</v>
      </c>
      <c r="BD6" s="33" t="s">
        <v>150</v>
      </c>
      <c r="BE6" s="33" t="s">
        <v>151</v>
      </c>
      <c r="BF6" s="33" t="s">
        <v>152</v>
      </c>
      <c r="BG6" s="33" t="s">
        <v>153</v>
      </c>
      <c r="BH6" s="33" t="s">
        <v>154</v>
      </c>
      <c r="BI6" s="33" t="s">
        <v>155</v>
      </c>
      <c r="BJ6" s="33" t="s">
        <v>156</v>
      </c>
      <c r="BK6" s="33" t="s">
        <v>157</v>
      </c>
      <c r="BL6" s="33" t="s">
        <v>158</v>
      </c>
      <c r="BM6" s="33" t="s">
        <v>159</v>
      </c>
      <c r="BN6" s="33" t="s">
        <v>160</v>
      </c>
      <c r="BO6" s="33" t="s">
        <v>161</v>
      </c>
      <c r="BP6" s="33" t="s">
        <v>162</v>
      </c>
      <c r="BQ6" s="33" t="s">
        <v>163</v>
      </c>
      <c r="BR6" s="33" t="s">
        <v>164</v>
      </c>
      <c r="BS6" s="33" t="s">
        <v>165</v>
      </c>
      <c r="BT6" s="33" t="s">
        <v>166</v>
      </c>
      <c r="BU6" s="33" t="s">
        <v>167</v>
      </c>
      <c r="BV6" s="33" t="s">
        <v>168</v>
      </c>
      <c r="BW6" s="33" t="s">
        <v>169</v>
      </c>
      <c r="BX6" s="33" t="s">
        <v>170</v>
      </c>
      <c r="BY6" s="33" t="s">
        <v>171</v>
      </c>
      <c r="BZ6" s="33" t="s">
        <v>172</v>
      </c>
      <c r="CA6" s="33" t="s">
        <v>173</v>
      </c>
      <c r="CB6" s="33" t="s">
        <v>174</v>
      </c>
      <c r="CC6" s="33" t="s">
        <v>175</v>
      </c>
      <c r="CD6" s="33" t="s">
        <v>176</v>
      </c>
      <c r="CE6" s="33" t="s">
        <v>177</v>
      </c>
      <c r="CF6" s="33" t="s">
        <v>178</v>
      </c>
      <c r="CG6" s="33" t="s">
        <v>179</v>
      </c>
      <c r="CH6" s="33" t="s">
        <v>180</v>
      </c>
      <c r="CI6" s="33" t="s">
        <v>181</v>
      </c>
      <c r="CJ6" s="33" t="s">
        <v>182</v>
      </c>
      <c r="CK6" s="33" t="s">
        <v>183</v>
      </c>
      <c r="CL6" s="33" t="s">
        <v>184</v>
      </c>
    </row>
    <row r="8" spans="2:90" x14ac:dyDescent="0.25">
      <c r="B8" s="47" t="s">
        <v>270</v>
      </c>
      <c r="C8" s="35" t="s">
        <v>228</v>
      </c>
      <c r="D8" s="14">
        <f>SUM(E8:CL8)</f>
        <v>405788.8886999999</v>
      </c>
      <c r="E8" s="14">
        <f>'Revenue'!E14</f>
        <v>0</v>
      </c>
      <c r="F8" s="14">
        <f>'Revenue'!F14</f>
        <v>0</v>
      </c>
      <c r="G8" s="14">
        <f>'Revenue'!G14</f>
        <v>0</v>
      </c>
      <c r="H8" s="14">
        <f>'Revenue'!H14</f>
        <v>0</v>
      </c>
      <c r="I8" s="14">
        <f>'Revenue'!I14</f>
        <v>0</v>
      </c>
      <c r="J8" s="14">
        <f>'Revenue'!J14</f>
        <v>0</v>
      </c>
      <c r="K8" s="14">
        <f>'Revenue'!K14</f>
        <v>5325.3135</v>
      </c>
      <c r="L8" s="14">
        <f>'Revenue'!L14</f>
        <v>5325.3135</v>
      </c>
      <c r="M8" s="14">
        <f>'Revenue'!M14</f>
        <v>5325.3135</v>
      </c>
      <c r="N8" s="14">
        <f>'Revenue'!N14</f>
        <v>5325.3135</v>
      </c>
      <c r="O8" s="14">
        <f>'Revenue'!O14</f>
        <v>5298.686932500001</v>
      </c>
      <c r="P8" s="14">
        <f>'Revenue'!P14</f>
        <v>5298.686932500001</v>
      </c>
      <c r="Q8" s="14">
        <f>'Revenue'!Q14</f>
        <v>5298.686932500001</v>
      </c>
      <c r="R8" s="14">
        <f>'Revenue'!R14</f>
        <v>5298.686932500001</v>
      </c>
      <c r="S8" s="14">
        <f>'Revenue'!S14</f>
        <v>5272.060365000001</v>
      </c>
      <c r="T8" s="14">
        <f>'Revenue'!T14</f>
        <v>5272.060365000001</v>
      </c>
      <c r="U8" s="14">
        <f>'Revenue'!U14</f>
        <v>5272.060365000001</v>
      </c>
      <c r="V8" s="14">
        <f>'Revenue'!V14</f>
        <v>5272.060365000001</v>
      </c>
      <c r="W8" s="14">
        <f>'Revenue'!W14</f>
        <v>5245.433797500001</v>
      </c>
      <c r="X8" s="14">
        <f>'Revenue'!X14</f>
        <v>5245.433797500001</v>
      </c>
      <c r="Y8" s="14">
        <f>'Revenue'!Y14</f>
        <v>5245.433797500001</v>
      </c>
      <c r="Z8" s="14">
        <f>'Revenue'!Z14</f>
        <v>5245.433797500001</v>
      </c>
      <c r="AA8" s="14">
        <f>'Revenue'!AA14</f>
        <v>5218.80723</v>
      </c>
      <c r="AB8" s="14">
        <f>'Revenue'!AB14</f>
        <v>5218.80723</v>
      </c>
      <c r="AC8" s="14">
        <f>'Revenue'!AC14</f>
        <v>5218.80723</v>
      </c>
      <c r="AD8" s="14">
        <f>'Revenue'!AD14</f>
        <v>5218.80723</v>
      </c>
      <c r="AE8" s="14">
        <f>'Revenue'!AE14</f>
        <v>5192.180662500001</v>
      </c>
      <c r="AF8" s="14">
        <f>'Revenue'!AF14</f>
        <v>5192.180662500001</v>
      </c>
      <c r="AG8" s="14">
        <f>'Revenue'!AG14</f>
        <v>5192.180662500001</v>
      </c>
      <c r="AH8" s="14">
        <f>'Revenue'!AH14</f>
        <v>5192.180662500001</v>
      </c>
      <c r="AI8" s="14">
        <f>'Revenue'!AI14</f>
        <v>5165.554095</v>
      </c>
      <c r="AJ8" s="14">
        <f>'Revenue'!AJ14</f>
        <v>5165.554095</v>
      </c>
      <c r="AK8" s="14">
        <f>'Revenue'!AK14</f>
        <v>5165.554095</v>
      </c>
      <c r="AL8" s="14">
        <f>'Revenue'!AL14</f>
        <v>5165.554095</v>
      </c>
      <c r="AM8" s="14">
        <f>'Revenue'!AM14</f>
        <v>5138.9275275</v>
      </c>
      <c r="AN8" s="14">
        <f>'Revenue'!AN14</f>
        <v>5138.9275275</v>
      </c>
      <c r="AO8" s="14">
        <f>'Revenue'!AO14</f>
        <v>5138.9275275</v>
      </c>
      <c r="AP8" s="14">
        <f>'Revenue'!AP14</f>
        <v>5138.9275275</v>
      </c>
      <c r="AQ8" s="14">
        <f>'Revenue'!AQ14</f>
        <v>5112.30096</v>
      </c>
      <c r="AR8" s="14">
        <f>'Revenue'!AR14</f>
        <v>5112.30096</v>
      </c>
      <c r="AS8" s="14">
        <f>'Revenue'!AS14</f>
        <v>5112.30096</v>
      </c>
      <c r="AT8" s="14">
        <f>'Revenue'!AT14</f>
        <v>5112.30096</v>
      </c>
      <c r="AU8" s="14">
        <f>'Revenue'!AU14</f>
        <v>5085.6743925</v>
      </c>
      <c r="AV8" s="14">
        <f>'Revenue'!AV14</f>
        <v>5085.6743925</v>
      </c>
      <c r="AW8" s="14">
        <f>'Revenue'!AW14</f>
        <v>5085.6743925</v>
      </c>
      <c r="AX8" s="14">
        <f>'Revenue'!AX14</f>
        <v>5085.6743925</v>
      </c>
      <c r="AY8" s="14">
        <f>'Revenue'!AY14</f>
        <v>5059.047825000001</v>
      </c>
      <c r="AZ8" s="14">
        <f>'Revenue'!AZ14</f>
        <v>5059.047825000001</v>
      </c>
      <c r="BA8" s="14">
        <f>'Revenue'!BA14</f>
        <v>5059.047825000001</v>
      </c>
      <c r="BB8" s="14">
        <f>'Revenue'!BB14</f>
        <v>5059.047825000001</v>
      </c>
      <c r="BC8" s="14">
        <f>'Revenue'!BC14</f>
        <v>5032.4212575</v>
      </c>
      <c r="BD8" s="14">
        <f>'Revenue'!BD14</f>
        <v>5032.4212575</v>
      </c>
      <c r="BE8" s="14">
        <f>'Revenue'!BE14</f>
        <v>5032.4212575</v>
      </c>
      <c r="BF8" s="14">
        <f>'Revenue'!BF14</f>
        <v>5032.4212575</v>
      </c>
      <c r="BG8" s="14">
        <f>'Revenue'!BG14</f>
        <v>5005.794690000001</v>
      </c>
      <c r="BH8" s="14">
        <f>'Revenue'!BH14</f>
        <v>5005.794690000001</v>
      </c>
      <c r="BI8" s="14">
        <f>'Revenue'!BI14</f>
        <v>5005.794690000001</v>
      </c>
      <c r="BJ8" s="14">
        <f>'Revenue'!BJ14</f>
        <v>5005.794690000001</v>
      </c>
      <c r="BK8" s="14">
        <f>'Revenue'!BK14</f>
        <v>4979.1681225</v>
      </c>
      <c r="BL8" s="14">
        <f>'Revenue'!BL14</f>
        <v>4979.1681225</v>
      </c>
      <c r="BM8" s="14">
        <f>'Revenue'!BM14</f>
        <v>4979.1681225</v>
      </c>
      <c r="BN8" s="14">
        <f>'Revenue'!BN14</f>
        <v>4979.1681225</v>
      </c>
      <c r="BO8" s="14">
        <f>'Revenue'!BO14</f>
        <v>4952.541555</v>
      </c>
      <c r="BP8" s="14">
        <f>'Revenue'!BP14</f>
        <v>4952.541555</v>
      </c>
      <c r="BQ8" s="14">
        <f>'Revenue'!BQ14</f>
        <v>4952.541555</v>
      </c>
      <c r="BR8" s="14">
        <f>'Revenue'!BR14</f>
        <v>4952.541555</v>
      </c>
      <c r="BS8" s="14">
        <f>'Revenue'!BS14</f>
        <v>4925.914987500001</v>
      </c>
      <c r="BT8" s="14">
        <f>'Revenue'!BT14</f>
        <v>4925.914987500001</v>
      </c>
      <c r="BU8" s="14">
        <f>'Revenue'!BU14</f>
        <v>4925.914987500001</v>
      </c>
      <c r="BV8" s="14">
        <f>'Revenue'!BV14</f>
        <v>4925.914987500001</v>
      </c>
      <c r="BW8" s="14">
        <f>'Revenue'!BW14</f>
        <v>4899.288420000001</v>
      </c>
      <c r="BX8" s="14">
        <f>'Revenue'!BX14</f>
        <v>4899.288420000001</v>
      </c>
      <c r="BY8" s="14">
        <f>'Revenue'!BY14</f>
        <v>4899.288420000001</v>
      </c>
      <c r="BZ8" s="14">
        <f>'Revenue'!BZ14</f>
        <v>4899.288420000001</v>
      </c>
      <c r="CA8" s="14">
        <f>'Revenue'!CA14</f>
        <v>4872.661852500001</v>
      </c>
      <c r="CB8" s="14">
        <f>'Revenue'!CB14</f>
        <v>4872.661852500001</v>
      </c>
      <c r="CC8" s="14">
        <f>'Revenue'!CC14</f>
        <v>4872.661852500001</v>
      </c>
      <c r="CD8" s="14">
        <f>'Revenue'!CD14</f>
        <v>4872.661852500001</v>
      </c>
      <c r="CE8" s="14">
        <f>'Revenue'!CE14</f>
        <v>4846.035285</v>
      </c>
      <c r="CF8" s="14">
        <f>'Revenue'!CF14</f>
        <v>4846.035285</v>
      </c>
      <c r="CG8" s="14">
        <f>'Revenue'!CG14</f>
        <v>4846.035285</v>
      </c>
      <c r="CH8" s="14">
        <f>'Revenue'!CH14</f>
        <v>4846.035285</v>
      </c>
      <c r="CI8" s="14">
        <f>'Revenue'!CI14</f>
        <v>4819.4087175</v>
      </c>
      <c r="CJ8" s="14">
        <f>'Revenue'!CJ14</f>
        <v>4819.4087175</v>
      </c>
      <c r="CK8" s="14">
        <f>'Revenue'!CK14</f>
        <v>4819.4087175</v>
      </c>
      <c r="CL8" s="14">
        <f>'Revenue'!CL14</f>
        <v>4819.4087175</v>
      </c>
    </row>
    <row r="10" spans="2:90" x14ac:dyDescent="0.25">
      <c r="B10" s="47" t="s">
        <v>291</v>
      </c>
      <c r="C10" s="35" t="s">
        <v>228</v>
      </c>
      <c r="D10" s="14">
        <f>SUM(E10:CL10)</f>
        <v>-106510.04740942549</v>
      </c>
      <c r="E10" s="14">
        <f>-'Opex'!E10</f>
        <v>0</v>
      </c>
      <c r="F10" s="14">
        <f>-'Opex'!F10</f>
        <v>0</v>
      </c>
      <c r="G10" s="14">
        <f>-'Opex'!G10</f>
        <v>0</v>
      </c>
      <c r="H10" s="14">
        <f>-'Opex'!H10</f>
        <v>0</v>
      </c>
      <c r="I10" s="14">
        <f>-'Opex'!I10</f>
        <v>0</v>
      </c>
      <c r="J10" s="14">
        <f>-'Opex'!J10</f>
        <v>0</v>
      </c>
      <c r="K10" s="14">
        <f>-'Opex'!K10</f>
        <v>-1245</v>
      </c>
      <c r="L10" s="14">
        <f>-'Opex'!L10</f>
        <v>-1245</v>
      </c>
      <c r="M10" s="14">
        <f>-'Opex'!M10</f>
        <v>-1245</v>
      </c>
      <c r="N10" s="14">
        <f>-'Opex'!N10</f>
        <v>-1245</v>
      </c>
      <c r="O10" s="14">
        <f>-'Opex'!O10</f>
        <v>-1253.715</v>
      </c>
      <c r="P10" s="14">
        <f>-'Opex'!P10</f>
        <v>-1253.715</v>
      </c>
      <c r="Q10" s="14">
        <f>-'Opex'!Q10</f>
        <v>-1253.715</v>
      </c>
      <c r="R10" s="14">
        <f>-'Opex'!R10</f>
        <v>-1253.715</v>
      </c>
      <c r="S10" s="14">
        <f>-'Opex'!S10</f>
        <v>-1262.4910049999996</v>
      </c>
      <c r="T10" s="14">
        <f>-'Opex'!T10</f>
        <v>-1262.4910049999996</v>
      </c>
      <c r="U10" s="14">
        <f>-'Opex'!U10</f>
        <v>-1262.4910049999996</v>
      </c>
      <c r="V10" s="14">
        <f>-'Opex'!V10</f>
        <v>-1262.4910049999996</v>
      </c>
      <c r="W10" s="14">
        <f>-'Opex'!W10</f>
        <v>-1271.3284420349996</v>
      </c>
      <c r="X10" s="14">
        <f>-'Opex'!X10</f>
        <v>-1271.3284420349996</v>
      </c>
      <c r="Y10" s="14">
        <f>-'Opex'!Y10</f>
        <v>-1271.3284420349996</v>
      </c>
      <c r="Z10" s="14">
        <f>-'Opex'!Z10</f>
        <v>-1271.3284420349996</v>
      </c>
      <c r="AA10" s="14">
        <f>-'Opex'!AA10</f>
        <v>-1280.2277411292444</v>
      </c>
      <c r="AB10" s="14">
        <f>-'Opex'!AB10</f>
        <v>-1280.2277411292444</v>
      </c>
      <c r="AC10" s="14">
        <f>-'Opex'!AC10</f>
        <v>-1280.2277411292444</v>
      </c>
      <c r="AD10" s="14">
        <f>-'Opex'!AD10</f>
        <v>-1280.2277411292444</v>
      </c>
      <c r="AE10" s="14">
        <f>-'Opex'!AE10</f>
        <v>-1289.189335317149</v>
      </c>
      <c r="AF10" s="14">
        <f>-'Opex'!AF10</f>
        <v>-1289.189335317149</v>
      </c>
      <c r="AG10" s="14">
        <f>-'Opex'!AG10</f>
        <v>-1289.189335317149</v>
      </c>
      <c r="AH10" s="14">
        <f>-'Opex'!AH10</f>
        <v>-1289.189335317149</v>
      </c>
      <c r="AI10" s="14">
        <f>-'Opex'!AI10</f>
        <v>-1298.213660664369</v>
      </c>
      <c r="AJ10" s="14">
        <f>-'Opex'!AJ10</f>
        <v>-1298.213660664369</v>
      </c>
      <c r="AK10" s="14">
        <f>-'Opex'!AK10</f>
        <v>-1298.213660664369</v>
      </c>
      <c r="AL10" s="14">
        <f>-'Opex'!AL10</f>
        <v>-1298.213660664369</v>
      </c>
      <c r="AM10" s="14">
        <f>-'Opex'!AM10</f>
        <v>-1307.3011562890194</v>
      </c>
      <c r="AN10" s="14">
        <f>-'Opex'!AN10</f>
        <v>-1307.3011562890194</v>
      </c>
      <c r="AO10" s="14">
        <f>-'Opex'!AO10</f>
        <v>-1307.3011562890194</v>
      </c>
      <c r="AP10" s="14">
        <f>-'Opex'!AP10</f>
        <v>-1307.3011562890194</v>
      </c>
      <c r="AQ10" s="14">
        <f>-'Opex'!AQ10</f>
        <v>-1316.4522643830423</v>
      </c>
      <c r="AR10" s="14">
        <f>-'Opex'!AR10</f>
        <v>-1316.4522643830423</v>
      </c>
      <c r="AS10" s="14">
        <f>-'Opex'!AS10</f>
        <v>-1316.4522643830423</v>
      </c>
      <c r="AT10" s="14">
        <f>-'Opex'!AT10</f>
        <v>-1316.4522643830423</v>
      </c>
      <c r="AU10" s="14">
        <f>-'Opex'!AU10</f>
        <v>-1325.6674302337235</v>
      </c>
      <c r="AV10" s="14">
        <f>-'Opex'!AV10</f>
        <v>-1325.6674302337235</v>
      </c>
      <c r="AW10" s="14">
        <f>-'Opex'!AW10</f>
        <v>-1325.6674302337235</v>
      </c>
      <c r="AX10" s="14">
        <f>-'Opex'!AX10</f>
        <v>-1325.6674302337235</v>
      </c>
      <c r="AY10" s="14">
        <f>-'Opex'!AY10</f>
        <v>-1334.9471022453597</v>
      </c>
      <c r="AZ10" s="14">
        <f>-'Opex'!AZ10</f>
        <v>-1334.9471022453597</v>
      </c>
      <c r="BA10" s="14">
        <f>-'Opex'!BA10</f>
        <v>-1334.9471022453597</v>
      </c>
      <c r="BB10" s="14">
        <f>-'Opex'!BB10</f>
        <v>-1334.9471022453597</v>
      </c>
      <c r="BC10" s="14">
        <f>-'Opex'!BC10</f>
        <v>-1344.291731961077</v>
      </c>
      <c r="BD10" s="14">
        <f>-'Opex'!BD10</f>
        <v>-1344.291731961077</v>
      </c>
      <c r="BE10" s="14">
        <f>-'Opex'!BE10</f>
        <v>-1344.291731961077</v>
      </c>
      <c r="BF10" s="14">
        <f>-'Opex'!BF10</f>
        <v>-1344.291731961077</v>
      </c>
      <c r="BG10" s="14">
        <f>-'Opex'!BG10</f>
        <v>-1353.7017740848044</v>
      </c>
      <c r="BH10" s="14">
        <f>-'Opex'!BH10</f>
        <v>-1353.7017740848044</v>
      </c>
      <c r="BI10" s="14">
        <f>-'Opex'!BI10</f>
        <v>-1353.7017740848044</v>
      </c>
      <c r="BJ10" s="14">
        <f>-'Opex'!BJ10</f>
        <v>-1353.7017740848044</v>
      </c>
      <c r="BK10" s="14">
        <f>-'Opex'!BK10</f>
        <v>-1363.1776865033978</v>
      </c>
      <c r="BL10" s="14">
        <f>-'Opex'!BL10</f>
        <v>-1363.1776865033978</v>
      </c>
      <c r="BM10" s="14">
        <f>-'Opex'!BM10</f>
        <v>-1363.1776865033978</v>
      </c>
      <c r="BN10" s="14">
        <f>-'Opex'!BN10</f>
        <v>-1363.1776865033978</v>
      </c>
      <c r="BO10" s="14">
        <f>-'Opex'!BO10</f>
        <v>-1372.7199303089214</v>
      </c>
      <c r="BP10" s="14">
        <f>-'Opex'!BP10</f>
        <v>-1372.7199303089214</v>
      </c>
      <c r="BQ10" s="14">
        <f>-'Opex'!BQ10</f>
        <v>-1372.7199303089214</v>
      </c>
      <c r="BR10" s="14">
        <f>-'Opex'!BR10</f>
        <v>-1372.7199303089214</v>
      </c>
      <c r="BS10" s="14">
        <f>-'Opex'!BS10</f>
        <v>-1382.3289698210838</v>
      </c>
      <c r="BT10" s="14">
        <f>-'Opex'!BT10</f>
        <v>-1382.3289698210838</v>
      </c>
      <c r="BU10" s="14">
        <f>-'Opex'!BU10</f>
        <v>-1382.3289698210838</v>
      </c>
      <c r="BV10" s="14">
        <f>-'Opex'!BV10</f>
        <v>-1382.3289698210838</v>
      </c>
      <c r="BW10" s="14">
        <f>-'Opex'!BW10</f>
        <v>-1392.005272609831</v>
      </c>
      <c r="BX10" s="14">
        <f>-'Opex'!BX10</f>
        <v>-1392.005272609831</v>
      </c>
      <c r="BY10" s="14">
        <f>-'Opex'!BY10</f>
        <v>-1392.005272609831</v>
      </c>
      <c r="BZ10" s="14">
        <f>-'Opex'!BZ10</f>
        <v>-1392.005272609831</v>
      </c>
      <c r="CA10" s="14">
        <f>-'Opex'!CA10</f>
        <v>-1401.7493095180998</v>
      </c>
      <c r="CB10" s="14">
        <f>-'Opex'!CB10</f>
        <v>-1401.7493095180998</v>
      </c>
      <c r="CC10" s="14">
        <f>-'Opex'!CC10</f>
        <v>-1401.7493095180998</v>
      </c>
      <c r="CD10" s="14">
        <f>-'Opex'!CD10</f>
        <v>-1401.7493095180998</v>
      </c>
      <c r="CE10" s="14">
        <f>-'Opex'!CE10</f>
        <v>-1411.5615546847264</v>
      </c>
      <c r="CF10" s="14">
        <f>-'Opex'!CF10</f>
        <v>-1411.5615546847264</v>
      </c>
      <c r="CG10" s="14">
        <f>-'Opex'!CG10</f>
        <v>-1411.5615546847264</v>
      </c>
      <c r="CH10" s="14">
        <f>-'Opex'!CH10</f>
        <v>-1411.5615546847264</v>
      </c>
      <c r="CI10" s="14">
        <f>-'Opex'!CI10</f>
        <v>-1421.4424855675193</v>
      </c>
      <c r="CJ10" s="14">
        <f>-'Opex'!CJ10</f>
        <v>-1421.4424855675193</v>
      </c>
      <c r="CK10" s="14">
        <f>-'Opex'!CK10</f>
        <v>-1421.4424855675193</v>
      </c>
      <c r="CL10" s="14">
        <f>-'Opex'!CL10</f>
        <v>-1421.4424855675193</v>
      </c>
    </row>
    <row r="12" spans="2:91" x14ac:dyDescent="0.25">
      <c r="B12" s="48" t="s">
        <v>301</v>
      </c>
      <c r="C12" s="51" t="s">
        <v>228</v>
      </c>
      <c r="D12" s="43">
        <f>SUM(E12:CL12)</f>
        <v>299278.8412905746</v>
      </c>
      <c r="E12" s="43">
        <f>E8+E10</f>
        <v>0</v>
      </c>
      <c r="F12" s="43">
        <f>F8+F10</f>
        <v>0</v>
      </c>
      <c r="G12" s="43">
        <f>G8+G10</f>
        <v>0</v>
      </c>
      <c r="H12" s="43">
        <f>H8+H10</f>
        <v>0</v>
      </c>
      <c r="I12" s="43">
        <f>I8+I10</f>
        <v>0</v>
      </c>
      <c r="J12" s="43">
        <f>J8+J10</f>
        <v>0</v>
      </c>
      <c r="K12" s="43">
        <f>K8+K10</f>
        <v>4080.3135</v>
      </c>
      <c r="L12" s="43">
        <f>L8+L10</f>
        <v>4080.3135</v>
      </c>
      <c r="M12" s="43">
        <f>M8+M10</f>
        <v>4080.3135</v>
      </c>
      <c r="N12" s="43">
        <f>N8+N10</f>
        <v>4080.3135</v>
      </c>
      <c r="O12" s="43">
        <f>O8+O10</f>
        <v>4044.9719325000005</v>
      </c>
      <c r="P12" s="43">
        <f>P8+P10</f>
        <v>4044.9719325000005</v>
      </c>
      <c r="Q12" s="43">
        <f>Q8+Q10</f>
        <v>4044.9719325000005</v>
      </c>
      <c r="R12" s="43">
        <f>R8+R10</f>
        <v>4044.9719325000005</v>
      </c>
      <c r="S12" s="43">
        <f>S8+S10</f>
        <v>4009.5693600000013</v>
      </c>
      <c r="T12" s="43">
        <f>T8+T10</f>
        <v>4009.5693600000013</v>
      </c>
      <c r="U12" s="43">
        <f>U8+U10</f>
        <v>4009.5693600000013</v>
      </c>
      <c r="V12" s="43">
        <f>V8+V10</f>
        <v>4009.5693600000013</v>
      </c>
      <c r="W12" s="43">
        <f>W8+W10</f>
        <v>3974.105355465001</v>
      </c>
      <c r="X12" s="43">
        <f>X8+X10</f>
        <v>3974.105355465001</v>
      </c>
      <c r="Y12" s="43">
        <f>Y8+Y10</f>
        <v>3974.105355465001</v>
      </c>
      <c r="Z12" s="43">
        <f>Z8+Z10</f>
        <v>3974.105355465001</v>
      </c>
      <c r="AA12" s="43">
        <f>AA8+AA10</f>
        <v>3938.579488870756</v>
      </c>
      <c r="AB12" s="43">
        <f>AB8+AB10</f>
        <v>3938.579488870756</v>
      </c>
      <c r="AC12" s="43">
        <f>AC8+AC10</f>
        <v>3938.579488870756</v>
      </c>
      <c r="AD12" s="43">
        <f>AD8+AD10</f>
        <v>3938.579488870756</v>
      </c>
      <c r="AE12" s="43">
        <f>AE8+AE10</f>
        <v>3902.991327182852</v>
      </c>
      <c r="AF12" s="43">
        <f>AF8+AF10</f>
        <v>3902.991327182852</v>
      </c>
      <c r="AG12" s="43">
        <f>AG8+AG10</f>
        <v>3902.991327182852</v>
      </c>
      <c r="AH12" s="43">
        <f>AH8+AH10</f>
        <v>3902.991327182852</v>
      </c>
      <c r="AI12" s="43">
        <f>AI8+AI10</f>
        <v>3867.3404343356315</v>
      </c>
      <c r="AJ12" s="43">
        <f>AJ8+AJ10</f>
        <v>3867.3404343356315</v>
      </c>
      <c r="AK12" s="43">
        <f>AK8+AK10</f>
        <v>3867.3404343356315</v>
      </c>
      <c r="AL12" s="43">
        <f>AL8+AL10</f>
        <v>3867.3404343356315</v>
      </c>
      <c r="AM12" s="43">
        <f>AM8+AM10</f>
        <v>3831.6263712109803</v>
      </c>
      <c r="AN12" s="43">
        <f>AN8+AN10</f>
        <v>3831.6263712109803</v>
      </c>
      <c r="AO12" s="43">
        <f>AO8+AO10</f>
        <v>3831.6263712109803</v>
      </c>
      <c r="AP12" s="43">
        <f>AP8+AP10</f>
        <v>3831.6263712109803</v>
      </c>
      <c r="AQ12" s="43">
        <f>AQ8+AQ10</f>
        <v>3795.8486956169572</v>
      </c>
      <c r="AR12" s="43">
        <f>AR8+AR10</f>
        <v>3795.8486956169572</v>
      </c>
      <c r="AS12" s="43">
        <f>AS8+AS10</f>
        <v>3795.8486956169572</v>
      </c>
      <c r="AT12" s="43">
        <f>AT8+AT10</f>
        <v>3795.8486956169572</v>
      </c>
      <c r="AU12" s="43">
        <f>AU8+AU10</f>
        <v>3760.006962266277</v>
      </c>
      <c r="AV12" s="43">
        <f>AV8+AV10</f>
        <v>3760.006962266277</v>
      </c>
      <c r="AW12" s="43">
        <f>AW8+AW10</f>
        <v>3760.006962266277</v>
      </c>
      <c r="AX12" s="43">
        <f>AX8+AX10</f>
        <v>3760.006962266277</v>
      </c>
      <c r="AY12" s="43">
        <f>AY8+AY10</f>
        <v>3724.1007227546406</v>
      </c>
      <c r="AZ12" s="43">
        <f>AZ8+AZ10</f>
        <v>3724.1007227546406</v>
      </c>
      <c r="BA12" s="43">
        <f>BA8+BA10</f>
        <v>3724.1007227546406</v>
      </c>
      <c r="BB12" s="43">
        <f>BB8+BB10</f>
        <v>3724.1007227546406</v>
      </c>
      <c r="BC12" s="43">
        <f>BC8+BC10</f>
        <v>3688.129525538923</v>
      </c>
      <c r="BD12" s="43">
        <f>BD8+BD10</f>
        <v>3688.129525538923</v>
      </c>
      <c r="BE12" s="43">
        <f>BE8+BE10</f>
        <v>3688.129525538923</v>
      </c>
      <c r="BF12" s="43">
        <f>BF8+BF10</f>
        <v>3688.129525538923</v>
      </c>
      <c r="BG12" s="43">
        <f>BG8+BG10</f>
        <v>3652.0929159151965</v>
      </c>
      <c r="BH12" s="43">
        <f>BH8+BH10</f>
        <v>3652.0929159151965</v>
      </c>
      <c r="BI12" s="43">
        <f>BI8+BI10</f>
        <v>3652.0929159151965</v>
      </c>
      <c r="BJ12" s="43">
        <f>BJ8+BJ10</f>
        <v>3652.0929159151965</v>
      </c>
      <c r="BK12" s="43">
        <f>BK8+BK10</f>
        <v>3615.990435996602</v>
      </c>
      <c r="BL12" s="43">
        <f>BL8+BL10</f>
        <v>3615.990435996602</v>
      </c>
      <c r="BM12" s="43">
        <f>BM8+BM10</f>
        <v>3615.990435996602</v>
      </c>
      <c r="BN12" s="43">
        <f>BN8+BN10</f>
        <v>3615.990435996602</v>
      </c>
      <c r="BO12" s="43">
        <f>BO8+BO10</f>
        <v>3579.8216246910783</v>
      </c>
      <c r="BP12" s="43">
        <f>BP8+BP10</f>
        <v>3579.8216246910783</v>
      </c>
      <c r="BQ12" s="43">
        <f>BQ8+BQ10</f>
        <v>3579.8216246910783</v>
      </c>
      <c r="BR12" s="43">
        <f>BR8+BR10</f>
        <v>3579.8216246910783</v>
      </c>
      <c r="BS12" s="43">
        <f>BS8+BS10</f>
        <v>3543.5860176789174</v>
      </c>
      <c r="BT12" s="43">
        <f>BT8+BT10</f>
        <v>3543.5860176789174</v>
      </c>
      <c r="BU12" s="43">
        <f>BU8+BU10</f>
        <v>3543.5860176789174</v>
      </c>
      <c r="BV12" s="43">
        <f>BV8+BV10</f>
        <v>3543.5860176789174</v>
      </c>
      <c r="BW12" s="43">
        <f>BW8+BW10</f>
        <v>3507.2831473901697</v>
      </c>
      <c r="BX12" s="43">
        <f>BX8+BX10</f>
        <v>3507.2831473901697</v>
      </c>
      <c r="BY12" s="43">
        <f>BY8+BY10</f>
        <v>3507.2831473901697</v>
      </c>
      <c r="BZ12" s="43">
        <f>BZ8+BZ10</f>
        <v>3507.2831473901697</v>
      </c>
      <c r="CA12" s="43">
        <f>CA8+CA10</f>
        <v>3470.9125429819014</v>
      </c>
      <c r="CB12" s="43">
        <f>CB8+CB10</f>
        <v>3470.9125429819014</v>
      </c>
      <c r="CC12" s="43">
        <f>CC8+CC10</f>
        <v>3470.9125429819014</v>
      </c>
      <c r="CD12" s="43">
        <f>CD8+CD10</f>
        <v>3470.9125429819014</v>
      </c>
      <c r="CE12" s="43">
        <f>CE8+CE10</f>
        <v>3434.4737303152733</v>
      </c>
      <c r="CF12" s="43">
        <f>CF8+CF10</f>
        <v>3434.4737303152733</v>
      </c>
      <c r="CG12" s="43">
        <f>CG8+CG10</f>
        <v>3434.4737303152733</v>
      </c>
      <c r="CH12" s="43">
        <f>CH8+CH10</f>
        <v>3434.4737303152733</v>
      </c>
      <c r="CI12" s="43">
        <f>CI8+CI10</f>
        <v>3397.966231932481</v>
      </c>
      <c r="CJ12" s="43">
        <f>CJ8+CJ10</f>
        <v>3397.966231932481</v>
      </c>
      <c r="CK12" s="43">
        <f>CK8+CK10</f>
        <v>3397.966231932481</v>
      </c>
      <c r="CL12" s="43">
        <f>CL8+CL10</f>
        <v>3397.966231932481</v>
      </c>
      <c r="CM12" s="49"/>
    </row>
    <row r="13" spans="2:90" x14ac:dyDescent="0.25">
      <c r="B13" s="34" t="s">
        <v>302</v>
      </c>
      <c r="C13" s="35" t="s">
        <v>303</v>
      </c>
      <c r="E13" s="40" t="str">
        <f>IF(E8&lt;=0,"",E12/E8)</f>
        <v/>
      </c>
      <c r="F13" s="40" t="str">
        <f>IF(F8&lt;=0,"",F12/F8)</f>
        <v/>
      </c>
      <c r="G13" s="40" t="str">
        <f>IF(G8&lt;=0,"",G12/G8)</f>
        <v/>
      </c>
      <c r="H13" s="40" t="str">
        <f>IF(H8&lt;=0,"",H12/H8)</f>
        <v/>
      </c>
      <c r="I13" s="40" t="str">
        <f>IF(I8&lt;=0,"",I12/I8)</f>
        <v/>
      </c>
      <c r="J13" s="40" t="str">
        <f>IF(J8&lt;=0,"",J12/J8)</f>
        <v/>
      </c>
      <c r="K13" s="40">
        <f>IF(K8&lt;=0,"",K12/K8)</f>
        <v>0.7662109470174855</v>
      </c>
      <c r="L13" s="40">
        <f>IF(L8&lt;=0,"",L12/L8)</f>
        <v>0.7662109470174855</v>
      </c>
      <c r="M13" s="40">
        <f>IF(M8&lt;=0,"",M12/M8)</f>
        <v>0.7662109470174855</v>
      </c>
      <c r="N13" s="40">
        <f>IF(N8&lt;=0,"",N12/N8)</f>
        <v>0.7662109470174855</v>
      </c>
      <c r="O13" s="40">
        <f>IF(O8&lt;=0,"",O12/O8)</f>
        <v>0.7633913805493546</v>
      </c>
      <c r="P13" s="40">
        <f>IF(P8&lt;=0,"",P12/P8)</f>
        <v>0.7633913805493546</v>
      </c>
      <c r="Q13" s="40">
        <f>IF(Q8&lt;=0,"",Q12/Q8)</f>
        <v>0.7633913805493546</v>
      </c>
      <c r="R13" s="40">
        <f>IF(R8&lt;=0,"",R12/R8)</f>
        <v>0.7633913805493546</v>
      </c>
      <c r="S13" s="40">
        <f>IF(S8&lt;=0,"",S12/S8)</f>
        <v>0.7605317622344789</v>
      </c>
      <c r="T13" s="40">
        <f>IF(T8&lt;=0,"",T12/T8)</f>
        <v>0.7605317622344789</v>
      </c>
      <c r="U13" s="40">
        <f>IF(U8&lt;=0,"",U12/U8)</f>
        <v>0.7605317622344789</v>
      </c>
      <c r="V13" s="40">
        <f>IF(V8&lt;=0,"",V12/V8)</f>
        <v>0.7605317622344789</v>
      </c>
      <c r="W13" s="40">
        <f>IF(W8&lt;=0,"",W12/W8)</f>
        <v>0.7576314007354509</v>
      </c>
      <c r="X13" s="40">
        <f>IF(X8&lt;=0,"",X12/X8)</f>
        <v>0.7576314007354509</v>
      </c>
      <c r="Y13" s="40">
        <f>IF(Y8&lt;=0,"",Y12/Y8)</f>
        <v>0.7576314007354509</v>
      </c>
      <c r="Z13" s="40">
        <f>IF(Z8&lt;=0,"",Z12/Z8)</f>
        <v>0.7576314007354509</v>
      </c>
      <c r="AA13" s="40">
        <f>IF(AA8&lt;=0,"",AA12/AA8)</f>
        <v>0.7546895900331532</v>
      </c>
      <c r="AB13" s="40">
        <f>IF(AB8&lt;=0,"",AB12/AB8)</f>
        <v>0.7546895900331532</v>
      </c>
      <c r="AC13" s="40">
        <f>IF(AC8&lt;=0,"",AC12/AC8)</f>
        <v>0.7546895900331532</v>
      </c>
      <c r="AD13" s="40">
        <f>IF(AD8&lt;=0,"",AD12/AD8)</f>
        <v>0.7546895900331532</v>
      </c>
      <c r="AE13" s="40">
        <f>IF(AE8&lt;=0,"",AE12/AE8)</f>
        <v>0.7517056090462745</v>
      </c>
      <c r="AF13" s="40">
        <f>IF(AF8&lt;=0,"",AF12/AF8)</f>
        <v>0.7517056090462745</v>
      </c>
      <c r="AG13" s="40">
        <f>IF(AG8&lt;=0,"",AG12/AG8)</f>
        <v>0.7517056090462745</v>
      </c>
      <c r="AH13" s="40">
        <f>IF(AH8&lt;=0,"",AH12/AH8)</f>
        <v>0.7517056090462745</v>
      </c>
      <c r="AI13" s="40">
        <f>IF(AI8&lt;=0,"",AI12/AI8)</f>
        <v>0.7486787212390292</v>
      </c>
      <c r="AJ13" s="40">
        <f>IF(AJ8&lt;=0,"",AJ12/AJ8)</f>
        <v>0.7486787212390292</v>
      </c>
      <c r="AK13" s="40">
        <f>IF(AK8&lt;=0,"",AK12/AK8)</f>
        <v>0.7486787212390292</v>
      </c>
      <c r="AL13" s="40">
        <f>IF(AL8&lt;=0,"",AL12/AL8)</f>
        <v>0.7486787212390292</v>
      </c>
      <c r="AM13" s="40">
        <f>IF(AM8&lt;=0,"",AM12/AM8)</f>
        <v>0.7456081742166543</v>
      </c>
      <c r="AN13" s="40">
        <f>IF(AN8&lt;=0,"",AN12/AN8)</f>
        <v>0.7456081742166543</v>
      </c>
      <c r="AO13" s="40">
        <f>IF(AO8&lt;=0,"",AO12/AO8)</f>
        <v>0.7456081742166543</v>
      </c>
      <c r="AP13" s="40">
        <f>IF(AP8&lt;=0,"",AP12/AP8)</f>
        <v>0.7456081742166543</v>
      </c>
      <c r="AQ13" s="40">
        <f>IF(AQ8&lt;=0,"",AQ12/AQ8)</f>
        <v>0.7424931993082343</v>
      </c>
      <c r="AR13" s="40">
        <f>IF(AR8&lt;=0,"",AR12/AR8)</f>
        <v>0.7424931993082343</v>
      </c>
      <c r="AS13" s="40">
        <f>IF(AS8&lt;=0,"",AS12/AS8)</f>
        <v>0.7424931993082343</v>
      </c>
      <c r="AT13" s="40">
        <f>IF(AT8&lt;=0,"",AT12/AT8)</f>
        <v>0.7424931993082343</v>
      </c>
      <c r="AU13" s="40">
        <f>IF(AU8&lt;=0,"",AU12/AU8)</f>
        <v>0.739333011136394</v>
      </c>
      <c r="AV13" s="40">
        <f>IF(AV8&lt;=0,"",AV12/AV8)</f>
        <v>0.739333011136394</v>
      </c>
      <c r="AW13" s="40">
        <f>IF(AW8&lt;=0,"",AW12/AW8)</f>
        <v>0.739333011136394</v>
      </c>
      <c r="AX13" s="40">
        <f>IF(AX8&lt;=0,"",AX12/AX8)</f>
        <v>0.739333011136394</v>
      </c>
      <c r="AY13" s="40">
        <f>IF(AY8&lt;=0,"",AY12/AY8)</f>
        <v>0.7361268071733716</v>
      </c>
      <c r="AZ13" s="40">
        <f>IF(AZ8&lt;=0,"",AZ12/AZ8)</f>
        <v>0.7361268071733716</v>
      </c>
      <c r="BA13" s="40">
        <f>IF(BA8&lt;=0,"",BA12/BA8)</f>
        <v>0.7361268071733716</v>
      </c>
      <c r="BB13" s="40">
        <f>IF(BB8&lt;=0,"",BB12/BB8)</f>
        <v>0.7361268071733716</v>
      </c>
      <c r="BC13" s="40">
        <f>IF(BC8&lt;=0,"",BC12/BC8)</f>
        <v>0.7328737672829694</v>
      </c>
      <c r="BD13" s="40">
        <f>IF(BD8&lt;=0,"",BD12/BD8)</f>
        <v>0.7328737672829694</v>
      </c>
      <c r="BE13" s="40">
        <f>IF(BE8&lt;=0,"",BE12/BE8)</f>
        <v>0.7328737672829694</v>
      </c>
      <c r="BF13" s="40">
        <f>IF(BF8&lt;=0,"",BF12/BF8)</f>
        <v>0.7328737672829694</v>
      </c>
      <c r="BG13" s="40">
        <f>IF(BG8&lt;=0,"",BG12/BG8)</f>
        <v>0.7295730532478543</v>
      </c>
      <c r="BH13" s="40">
        <f>IF(BH8&lt;=0,"",BH12/BH8)</f>
        <v>0.7295730532478543</v>
      </c>
      <c r="BI13" s="40">
        <f>IF(BI8&lt;=0,"",BI12/BI8)</f>
        <v>0.7295730532478543</v>
      </c>
      <c r="BJ13" s="40">
        <f>IF(BJ8&lt;=0,"",BJ12/BJ8)</f>
        <v>0.7295730532478543</v>
      </c>
      <c r="BK13" s="40">
        <f>IF(BK8&lt;=0,"",BK12/BK8)</f>
        <v>0.7262238082816618</v>
      </c>
      <c r="BL13" s="40">
        <f>IF(BL8&lt;=0,"",BL12/BL8)</f>
        <v>0.7262238082816618</v>
      </c>
      <c r="BM13" s="40">
        <f>IF(BM8&lt;=0,"",BM12/BM8)</f>
        <v>0.7262238082816618</v>
      </c>
      <c r="BN13" s="40">
        <f>IF(BN8&lt;=0,"",BN12/BN8)</f>
        <v>0.7262238082816618</v>
      </c>
      <c r="BO13" s="40">
        <f>IF(BO8&lt;=0,"",BO12/BO8)</f>
        <v>0.7228251565253304</v>
      </c>
      <c r="BP13" s="40">
        <f>IF(BP8&lt;=0,"",BP12/BP8)</f>
        <v>0.7228251565253304</v>
      </c>
      <c r="BQ13" s="40">
        <f>IF(BQ8&lt;=0,"",BQ12/BQ8)</f>
        <v>0.7228251565253304</v>
      </c>
      <c r="BR13" s="40">
        <f>IF(BR8&lt;=0,"",BR12/BR8)</f>
        <v>0.7228251565253304</v>
      </c>
      <c r="BS13" s="40">
        <f>IF(BS8&lt;=0,"",BS12/BS8)</f>
        <v>0.7193762025270674</v>
      </c>
      <c r="BT13" s="40">
        <f>IF(BT8&lt;=0,"",BT12/BT8)</f>
        <v>0.7193762025270674</v>
      </c>
      <c r="BU13" s="40">
        <f>IF(BU8&lt;=0,"",BU12/BU8)</f>
        <v>0.7193762025270674</v>
      </c>
      <c r="BV13" s="40">
        <f>IF(BV8&lt;=0,"",BV12/BV8)</f>
        <v>0.7193762025270674</v>
      </c>
      <c r="BW13" s="40">
        <f>IF(BW8&lt;=0,"",BW12/BW8)</f>
        <v>0.7158760307053262</v>
      </c>
      <c r="BX13" s="40">
        <f>IF(BX8&lt;=0,"",BX12/BX8)</f>
        <v>0.7158760307053262</v>
      </c>
      <c r="BY13" s="40">
        <f>IF(BY8&lt;=0,"",BY12/BY8)</f>
        <v>0.7158760307053262</v>
      </c>
      <c r="BZ13" s="40">
        <f>IF(BZ8&lt;=0,"",BZ12/BZ8)</f>
        <v>0.7158760307053262</v>
      </c>
      <c r="CA13" s="40">
        <f>IF(CA8&lt;=0,"",CA12/CA8)</f>
        <v>0.7123237047941448</v>
      </c>
      <c r="CB13" s="40">
        <f>IF(CB8&lt;=0,"",CB12/CB8)</f>
        <v>0.7123237047941448</v>
      </c>
      <c r="CC13" s="40">
        <f>IF(CC8&lt;=0,"",CC12/CC8)</f>
        <v>0.7123237047941448</v>
      </c>
      <c r="CD13" s="40">
        <f>IF(CD8&lt;=0,"",CD12/CD8)</f>
        <v>0.7123237047941448</v>
      </c>
      <c r="CE13" s="40">
        <f>IF(CE8&lt;=0,"",CE12/CE8)</f>
        <v>0.7087182672701636</v>
      </c>
      <c r="CF13" s="40">
        <f>IF(CF8&lt;=0,"",CF12/CF8)</f>
        <v>0.7087182672701636</v>
      </c>
      <c r="CG13" s="40">
        <f>IF(CG8&lt;=0,"",CG12/CG8)</f>
        <v>0.7087182672701636</v>
      </c>
      <c r="CH13" s="40">
        <f>IF(CH8&lt;=0,"",CH12/CH8)</f>
        <v>0.7087182672701636</v>
      </c>
      <c r="CI13" s="40">
        <f>IF(CI8&lt;=0,"",CI12/CI8)</f>
        <v>0.7050587387606186</v>
      </c>
      <c r="CJ13" s="40">
        <f>IF(CJ8&lt;=0,"",CJ12/CJ8)</f>
        <v>0.7050587387606186</v>
      </c>
      <c r="CK13" s="40">
        <f>IF(CK8&lt;=0,"",CK12/CK8)</f>
        <v>0.7050587387606186</v>
      </c>
      <c r="CL13" s="40">
        <f>IF(CL8&lt;=0,"",CL12/CL8)</f>
        <v>0.7050587387606186</v>
      </c>
    </row>
    <row r="15" spans="2:90" x14ac:dyDescent="0.25">
      <c r="B15" s="34" t="s">
        <v>304</v>
      </c>
      <c r="C15" s="35" t="s">
        <v>228</v>
      </c>
      <c r="D15" s="32">
        <f>SUM(E15:CL15)</f>
        <v>-137554.5632748547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f>-(('Funding'!C15*$D$58/100)/$D$59*(3/12))</f>
        <v>-1719.4320409356824</v>
      </c>
      <c r="L15" s="32">
        <f>-(('Funding'!C15*$D$58/100)/$D$59*(3/12))</f>
        <v>-1719.4320409356824</v>
      </c>
      <c r="M15" s="32">
        <f>-(('Funding'!C15*$D$58/100)/$D$59*(3/12))</f>
        <v>-1719.4320409356824</v>
      </c>
      <c r="N15" s="32">
        <f>-(('Funding'!C15*$D$58/100)/$D$59*(3/12))</f>
        <v>-1719.4320409356824</v>
      </c>
      <c r="O15" s="32">
        <f>-(('Funding'!C15*$D$58/100)/$D$59*(3/12))</f>
        <v>-1719.4320409356824</v>
      </c>
      <c r="P15" s="32">
        <f>-(('Funding'!C15*$D$58/100)/$D$59*(3/12))</f>
        <v>-1719.4320409356824</v>
      </c>
      <c r="Q15" s="32">
        <f>-(('Funding'!C15*$D$58/100)/$D$59*(3/12))</f>
        <v>-1719.4320409356824</v>
      </c>
      <c r="R15" s="32">
        <f>-(('Funding'!C15*$D$58/100)/$D$59*(3/12))</f>
        <v>-1719.4320409356824</v>
      </c>
      <c r="S15" s="32">
        <f>-(('Funding'!C15*$D$58/100)/$D$59*(3/12))</f>
        <v>-1719.4320409356824</v>
      </c>
      <c r="T15" s="32">
        <f>-(('Funding'!C15*$D$58/100)/$D$59*(3/12))</f>
        <v>-1719.4320409356824</v>
      </c>
      <c r="U15" s="32">
        <f>-(('Funding'!C15*$D$58/100)/$D$59*(3/12))</f>
        <v>-1719.4320409356824</v>
      </c>
      <c r="V15" s="32">
        <f>-(('Funding'!C15*$D$58/100)/$D$59*(3/12))</f>
        <v>-1719.4320409356824</v>
      </c>
      <c r="W15" s="32">
        <f>-(('Funding'!C15*$D$58/100)/$D$59*(3/12))</f>
        <v>-1719.4320409356824</v>
      </c>
      <c r="X15" s="32">
        <f>-(('Funding'!C15*$D$58/100)/$D$59*(3/12))</f>
        <v>-1719.4320409356824</v>
      </c>
      <c r="Y15" s="32">
        <f>-(('Funding'!C15*$D$58/100)/$D$59*(3/12))</f>
        <v>-1719.4320409356824</v>
      </c>
      <c r="Z15" s="32">
        <f>-(('Funding'!C15*$D$58/100)/$D$59*(3/12))</f>
        <v>-1719.4320409356824</v>
      </c>
      <c r="AA15" s="32">
        <f>-(('Funding'!C15*$D$58/100)/$D$59*(3/12))</f>
        <v>-1719.4320409356824</v>
      </c>
      <c r="AB15" s="32">
        <f>-(('Funding'!C15*$D$58/100)/$D$59*(3/12))</f>
        <v>-1719.4320409356824</v>
      </c>
      <c r="AC15" s="32">
        <f>-(('Funding'!C15*$D$58/100)/$D$59*(3/12))</f>
        <v>-1719.4320409356824</v>
      </c>
      <c r="AD15" s="32">
        <f>-(('Funding'!C15*$D$58/100)/$D$59*(3/12))</f>
        <v>-1719.4320409356824</v>
      </c>
      <c r="AE15" s="32">
        <f>-(('Funding'!C15*$D$58/100)/$D$59*(3/12))</f>
        <v>-1719.4320409356824</v>
      </c>
      <c r="AF15" s="32">
        <f>-(('Funding'!C15*$D$58/100)/$D$59*(3/12))</f>
        <v>-1719.4320409356824</v>
      </c>
      <c r="AG15" s="32">
        <f>-(('Funding'!C15*$D$58/100)/$D$59*(3/12))</f>
        <v>-1719.4320409356824</v>
      </c>
      <c r="AH15" s="32">
        <f>-(('Funding'!C15*$D$58/100)/$D$59*(3/12))</f>
        <v>-1719.4320409356824</v>
      </c>
      <c r="AI15" s="32">
        <f>-(('Funding'!C15*$D$58/100)/$D$59*(3/12))</f>
        <v>-1719.4320409356824</v>
      </c>
      <c r="AJ15" s="32">
        <f>-(('Funding'!C15*$D$58/100)/$D$59*(3/12))</f>
        <v>-1719.4320409356824</v>
      </c>
      <c r="AK15" s="32">
        <f>-(('Funding'!C15*$D$58/100)/$D$59*(3/12))</f>
        <v>-1719.4320409356824</v>
      </c>
      <c r="AL15" s="32">
        <f>-(('Funding'!C15*$D$58/100)/$D$59*(3/12))</f>
        <v>-1719.4320409356824</v>
      </c>
      <c r="AM15" s="32">
        <f>-(('Funding'!C15*$D$58/100)/$D$59*(3/12))</f>
        <v>-1719.4320409356824</v>
      </c>
      <c r="AN15" s="32">
        <f>-(('Funding'!C15*$D$58/100)/$D$59*(3/12))</f>
        <v>-1719.4320409356824</v>
      </c>
      <c r="AO15" s="32">
        <f>-(('Funding'!C15*$D$58/100)/$D$59*(3/12))</f>
        <v>-1719.4320409356824</v>
      </c>
      <c r="AP15" s="32">
        <f>-(('Funding'!C15*$D$58/100)/$D$59*(3/12))</f>
        <v>-1719.4320409356824</v>
      </c>
      <c r="AQ15" s="32">
        <f>-(('Funding'!C15*$D$58/100)/$D$59*(3/12))</f>
        <v>-1719.4320409356824</v>
      </c>
      <c r="AR15" s="32">
        <f>-(('Funding'!C15*$D$58/100)/$D$59*(3/12))</f>
        <v>-1719.4320409356824</v>
      </c>
      <c r="AS15" s="32">
        <f>-(('Funding'!C15*$D$58/100)/$D$59*(3/12))</f>
        <v>-1719.4320409356824</v>
      </c>
      <c r="AT15" s="32">
        <f>-(('Funding'!C15*$D$58/100)/$D$59*(3/12))</f>
        <v>-1719.4320409356824</v>
      </c>
      <c r="AU15" s="32">
        <f>-(('Funding'!C15*$D$58/100)/$D$59*(3/12))</f>
        <v>-1719.4320409356824</v>
      </c>
      <c r="AV15" s="32">
        <f>-(('Funding'!C15*$D$58/100)/$D$59*(3/12))</f>
        <v>-1719.4320409356824</v>
      </c>
      <c r="AW15" s="32">
        <f>-(('Funding'!C15*$D$58/100)/$D$59*(3/12))</f>
        <v>-1719.4320409356824</v>
      </c>
      <c r="AX15" s="32">
        <f>-(('Funding'!C15*$D$58/100)/$D$59*(3/12))</f>
        <v>-1719.4320409356824</v>
      </c>
      <c r="AY15" s="32">
        <f>-(('Funding'!C15*$D$58/100)/$D$59*(3/12))</f>
        <v>-1719.4320409356824</v>
      </c>
      <c r="AZ15" s="32">
        <f>-(('Funding'!C15*$D$58/100)/$D$59*(3/12))</f>
        <v>-1719.4320409356824</v>
      </c>
      <c r="BA15" s="32">
        <f>-(('Funding'!C15*$D$58/100)/$D$59*(3/12))</f>
        <v>-1719.4320409356824</v>
      </c>
      <c r="BB15" s="32">
        <f>-(('Funding'!C15*$D$58/100)/$D$59*(3/12))</f>
        <v>-1719.4320409356824</v>
      </c>
      <c r="BC15" s="32">
        <f>-(('Funding'!C15*$D$58/100)/$D$59*(3/12))</f>
        <v>-1719.4320409356824</v>
      </c>
      <c r="BD15" s="32">
        <f>-(('Funding'!C15*$D$58/100)/$D$59*(3/12))</f>
        <v>-1719.4320409356824</v>
      </c>
      <c r="BE15" s="32">
        <f>-(('Funding'!C15*$D$58/100)/$D$59*(3/12))</f>
        <v>-1719.4320409356824</v>
      </c>
      <c r="BF15" s="32">
        <f>-(('Funding'!C15*$D$58/100)/$D$59*(3/12))</f>
        <v>-1719.4320409356824</v>
      </c>
      <c r="BG15" s="32">
        <f>-(('Funding'!C15*$D$58/100)/$D$59*(3/12))</f>
        <v>-1719.4320409356824</v>
      </c>
      <c r="BH15" s="32">
        <f>-(('Funding'!C15*$D$58/100)/$D$59*(3/12))</f>
        <v>-1719.4320409356824</v>
      </c>
      <c r="BI15" s="32">
        <f>-(('Funding'!C15*$D$58/100)/$D$59*(3/12))</f>
        <v>-1719.4320409356824</v>
      </c>
      <c r="BJ15" s="32">
        <f>-(('Funding'!C15*$D$58/100)/$D$59*(3/12))</f>
        <v>-1719.4320409356824</v>
      </c>
      <c r="BK15" s="32">
        <f>-(('Funding'!C15*$D$58/100)/$D$59*(3/12))</f>
        <v>-1719.4320409356824</v>
      </c>
      <c r="BL15" s="32">
        <f>-(('Funding'!C15*$D$58/100)/$D$59*(3/12))</f>
        <v>-1719.4320409356824</v>
      </c>
      <c r="BM15" s="32">
        <f>-(('Funding'!C15*$D$58/100)/$D$59*(3/12))</f>
        <v>-1719.4320409356824</v>
      </c>
      <c r="BN15" s="32">
        <f>-(('Funding'!C15*$D$58/100)/$D$59*(3/12))</f>
        <v>-1719.4320409356824</v>
      </c>
      <c r="BO15" s="32">
        <f>-(('Funding'!C15*$D$58/100)/$D$59*(3/12))</f>
        <v>-1719.4320409356824</v>
      </c>
      <c r="BP15" s="32">
        <f>-(('Funding'!C15*$D$58/100)/$D$59*(3/12))</f>
        <v>-1719.4320409356824</v>
      </c>
      <c r="BQ15" s="32">
        <f>-(('Funding'!C15*$D$58/100)/$D$59*(3/12))</f>
        <v>-1719.4320409356824</v>
      </c>
      <c r="BR15" s="32">
        <f>-(('Funding'!C15*$D$58/100)/$D$59*(3/12))</f>
        <v>-1719.4320409356824</v>
      </c>
      <c r="BS15" s="32">
        <f>-(('Funding'!C15*$D$58/100)/$D$59*(3/12))</f>
        <v>-1719.4320409356824</v>
      </c>
      <c r="BT15" s="32">
        <f>-(('Funding'!C15*$D$58/100)/$D$59*(3/12))</f>
        <v>-1719.4320409356824</v>
      </c>
      <c r="BU15" s="32">
        <f>-(('Funding'!C15*$D$58/100)/$D$59*(3/12))</f>
        <v>-1719.4320409356824</v>
      </c>
      <c r="BV15" s="32">
        <f>-(('Funding'!C15*$D$58/100)/$D$59*(3/12))</f>
        <v>-1719.4320409356824</v>
      </c>
      <c r="BW15" s="32">
        <f>-(('Funding'!C15*$D$58/100)/$D$59*(3/12))</f>
        <v>-1719.4320409356824</v>
      </c>
      <c r="BX15" s="32">
        <f>-(('Funding'!C15*$D$58/100)/$D$59*(3/12))</f>
        <v>-1719.4320409356824</v>
      </c>
      <c r="BY15" s="32">
        <f>-(('Funding'!C15*$D$58/100)/$D$59*(3/12))</f>
        <v>-1719.4320409356824</v>
      </c>
      <c r="BZ15" s="32">
        <f>-(('Funding'!C15*$D$58/100)/$D$59*(3/12))</f>
        <v>-1719.4320409356824</v>
      </c>
      <c r="CA15" s="32">
        <f>-(('Funding'!C15*$D$58/100)/$D$59*(3/12))</f>
        <v>-1719.4320409356824</v>
      </c>
      <c r="CB15" s="32">
        <f>-(('Funding'!C15*$D$58/100)/$D$59*(3/12))</f>
        <v>-1719.4320409356824</v>
      </c>
      <c r="CC15" s="32">
        <f>-(('Funding'!C15*$D$58/100)/$D$59*(3/12))</f>
        <v>-1719.4320409356824</v>
      </c>
      <c r="CD15" s="32">
        <f>-(('Funding'!C15*$D$58/100)/$D$59*(3/12))</f>
        <v>-1719.4320409356824</v>
      </c>
      <c r="CE15" s="32">
        <f>-(('Funding'!C15*$D$58/100)/$D$59*(3/12))</f>
        <v>-1719.4320409356824</v>
      </c>
      <c r="CF15" s="32">
        <f>-(('Funding'!C15*$D$58/100)/$D$59*(3/12))</f>
        <v>-1719.4320409356824</v>
      </c>
      <c r="CG15" s="32">
        <f>-(('Funding'!C15*$D$58/100)/$D$59*(3/12))</f>
        <v>-1719.4320409356824</v>
      </c>
      <c r="CH15" s="32">
        <f>-(('Funding'!C15*$D$58/100)/$D$59*(3/12))</f>
        <v>-1719.4320409356824</v>
      </c>
      <c r="CI15" s="32">
        <f>-(('Funding'!C15*$D$58/100)/$D$59*(3/12))</f>
        <v>-1719.4320409356824</v>
      </c>
      <c r="CJ15" s="32">
        <f>-(('Funding'!C15*$D$58/100)/$D$59*(3/12))</f>
        <v>-1719.4320409356824</v>
      </c>
      <c r="CK15" s="32">
        <f>-(('Funding'!C15*$D$58/100)/$D$59*(3/12))</f>
        <v>-1719.4320409356824</v>
      </c>
      <c r="CL15" s="32">
        <f>-(('Funding'!C15*$D$58/100)/$D$59*(3/12))</f>
        <v>-1719.4320409356824</v>
      </c>
    </row>
    <row r="16" spans="2:90" x14ac:dyDescent="0.25">
      <c r="B16" s="34" t="s">
        <v>305</v>
      </c>
      <c r="C16" s="35" t="s">
        <v>228</v>
      </c>
      <c r="D16" s="32">
        <f>SUM(E16:CL16)</f>
        <v>-2000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f>-($D$60*100/80)</f>
        <v>-25</v>
      </c>
      <c r="L16" s="32">
        <f>-($D$60*100/80)</f>
        <v>-25</v>
      </c>
      <c r="M16" s="32">
        <f>-($D$60*100/80)</f>
        <v>-25</v>
      </c>
      <c r="N16" s="32">
        <f>-($D$60*100/80)</f>
        <v>-25</v>
      </c>
      <c r="O16" s="32">
        <f>-($D$60*100/80)</f>
        <v>-25</v>
      </c>
      <c r="P16" s="32">
        <f>-($D$60*100/80)</f>
        <v>-25</v>
      </c>
      <c r="Q16" s="32">
        <f>-($D$60*100/80)</f>
        <v>-25</v>
      </c>
      <c r="R16" s="32">
        <f>-($D$60*100/80)</f>
        <v>-25</v>
      </c>
      <c r="S16" s="32">
        <f>-($D$60*100/80)</f>
        <v>-25</v>
      </c>
      <c r="T16" s="32">
        <f>-($D$60*100/80)</f>
        <v>-25</v>
      </c>
      <c r="U16" s="32">
        <f>-($D$60*100/80)</f>
        <v>-25</v>
      </c>
      <c r="V16" s="32">
        <f>-($D$60*100/80)</f>
        <v>-25</v>
      </c>
      <c r="W16" s="32">
        <f>-($D$60*100/80)</f>
        <v>-25</v>
      </c>
      <c r="X16" s="32">
        <f>-($D$60*100/80)</f>
        <v>-25</v>
      </c>
      <c r="Y16" s="32">
        <f>-($D$60*100/80)</f>
        <v>-25</v>
      </c>
      <c r="Z16" s="32">
        <f>-($D$60*100/80)</f>
        <v>-25</v>
      </c>
      <c r="AA16" s="32">
        <f>-($D$60*100/80)</f>
        <v>-25</v>
      </c>
      <c r="AB16" s="32">
        <f>-($D$60*100/80)</f>
        <v>-25</v>
      </c>
      <c r="AC16" s="32">
        <f>-($D$60*100/80)</f>
        <v>-25</v>
      </c>
      <c r="AD16" s="32">
        <f>-($D$60*100/80)</f>
        <v>-25</v>
      </c>
      <c r="AE16" s="32">
        <f>-($D$60*100/80)</f>
        <v>-25</v>
      </c>
      <c r="AF16" s="32">
        <f>-($D$60*100/80)</f>
        <v>-25</v>
      </c>
      <c r="AG16" s="32">
        <f>-($D$60*100/80)</f>
        <v>-25</v>
      </c>
      <c r="AH16" s="32">
        <f>-($D$60*100/80)</f>
        <v>-25</v>
      </c>
      <c r="AI16" s="32">
        <f>-($D$60*100/80)</f>
        <v>-25</v>
      </c>
      <c r="AJ16" s="32">
        <f>-($D$60*100/80)</f>
        <v>-25</v>
      </c>
      <c r="AK16" s="32">
        <f>-($D$60*100/80)</f>
        <v>-25</v>
      </c>
      <c r="AL16" s="32">
        <f>-($D$60*100/80)</f>
        <v>-25</v>
      </c>
      <c r="AM16" s="32">
        <f>-($D$60*100/80)</f>
        <v>-25</v>
      </c>
      <c r="AN16" s="32">
        <f>-($D$60*100/80)</f>
        <v>-25</v>
      </c>
      <c r="AO16" s="32">
        <f>-($D$60*100/80)</f>
        <v>-25</v>
      </c>
      <c r="AP16" s="32">
        <f>-($D$60*100/80)</f>
        <v>-25</v>
      </c>
      <c r="AQ16" s="32">
        <f>-($D$60*100/80)</f>
        <v>-25</v>
      </c>
      <c r="AR16" s="32">
        <f>-($D$60*100/80)</f>
        <v>-25</v>
      </c>
      <c r="AS16" s="32">
        <f>-($D$60*100/80)</f>
        <v>-25</v>
      </c>
      <c r="AT16" s="32">
        <f>-($D$60*100/80)</f>
        <v>-25</v>
      </c>
      <c r="AU16" s="32">
        <f>-($D$60*100/80)</f>
        <v>-25</v>
      </c>
      <c r="AV16" s="32">
        <f>-($D$60*100/80)</f>
        <v>-25</v>
      </c>
      <c r="AW16" s="32">
        <f>-($D$60*100/80)</f>
        <v>-25</v>
      </c>
      <c r="AX16" s="32">
        <f>-($D$60*100/80)</f>
        <v>-25</v>
      </c>
      <c r="AY16" s="32">
        <f>-($D$60*100/80)</f>
        <v>-25</v>
      </c>
      <c r="AZ16" s="32">
        <f>-($D$60*100/80)</f>
        <v>-25</v>
      </c>
      <c r="BA16" s="32">
        <f>-($D$60*100/80)</f>
        <v>-25</v>
      </c>
      <c r="BB16" s="32">
        <f>-($D$60*100/80)</f>
        <v>-25</v>
      </c>
      <c r="BC16" s="32">
        <f>-($D$60*100/80)</f>
        <v>-25</v>
      </c>
      <c r="BD16" s="32">
        <f>-($D$60*100/80)</f>
        <v>-25</v>
      </c>
      <c r="BE16" s="32">
        <f>-($D$60*100/80)</f>
        <v>-25</v>
      </c>
      <c r="BF16" s="32">
        <f>-($D$60*100/80)</f>
        <v>-25</v>
      </c>
      <c r="BG16" s="32">
        <f>-($D$60*100/80)</f>
        <v>-25</v>
      </c>
      <c r="BH16" s="32">
        <f>-($D$60*100/80)</f>
        <v>-25</v>
      </c>
      <c r="BI16" s="32">
        <f>-($D$60*100/80)</f>
        <v>-25</v>
      </c>
      <c r="BJ16" s="32">
        <f>-($D$60*100/80)</f>
        <v>-25</v>
      </c>
      <c r="BK16" s="32">
        <f>-($D$60*100/80)</f>
        <v>-25</v>
      </c>
      <c r="BL16" s="32">
        <f>-($D$60*100/80)</f>
        <v>-25</v>
      </c>
      <c r="BM16" s="32">
        <f>-($D$60*100/80)</f>
        <v>-25</v>
      </c>
      <c r="BN16" s="32">
        <f>-($D$60*100/80)</f>
        <v>-25</v>
      </c>
      <c r="BO16" s="32">
        <f>-($D$60*100/80)</f>
        <v>-25</v>
      </c>
      <c r="BP16" s="32">
        <f>-($D$60*100/80)</f>
        <v>-25</v>
      </c>
      <c r="BQ16" s="32">
        <f>-($D$60*100/80)</f>
        <v>-25</v>
      </c>
      <c r="BR16" s="32">
        <f>-($D$60*100/80)</f>
        <v>-25</v>
      </c>
      <c r="BS16" s="32">
        <f>-($D$60*100/80)</f>
        <v>-25</v>
      </c>
      <c r="BT16" s="32">
        <f>-($D$60*100/80)</f>
        <v>-25</v>
      </c>
      <c r="BU16" s="32">
        <f>-($D$60*100/80)</f>
        <v>-25</v>
      </c>
      <c r="BV16" s="32">
        <f>-($D$60*100/80)</f>
        <v>-25</v>
      </c>
      <c r="BW16" s="32">
        <f>-($D$60*100/80)</f>
        <v>-25</v>
      </c>
      <c r="BX16" s="32">
        <f>-($D$60*100/80)</f>
        <v>-25</v>
      </c>
      <c r="BY16" s="32">
        <f>-($D$60*100/80)</f>
        <v>-25</v>
      </c>
      <c r="BZ16" s="32">
        <f>-($D$60*100/80)</f>
        <v>-25</v>
      </c>
      <c r="CA16" s="32">
        <f>-($D$60*100/80)</f>
        <v>-25</v>
      </c>
      <c r="CB16" s="32">
        <f>-($D$60*100/80)</f>
        <v>-25</v>
      </c>
      <c r="CC16" s="32">
        <f>-($D$60*100/80)</f>
        <v>-25</v>
      </c>
      <c r="CD16" s="32">
        <f>-($D$60*100/80)</f>
        <v>-25</v>
      </c>
      <c r="CE16" s="32">
        <f>-($D$60*100/80)</f>
        <v>-25</v>
      </c>
      <c r="CF16" s="32">
        <f>-($D$60*100/80)</f>
        <v>-25</v>
      </c>
      <c r="CG16" s="32">
        <f>-($D$60*100/80)</f>
        <v>-25</v>
      </c>
      <c r="CH16" s="32">
        <f>-($D$60*100/80)</f>
        <v>-25</v>
      </c>
      <c r="CI16" s="32">
        <f>-($D$60*100/80)</f>
        <v>-25</v>
      </c>
      <c r="CJ16" s="32">
        <f>-($D$60*100/80)</f>
        <v>-25</v>
      </c>
      <c r="CK16" s="32">
        <f>-($D$60*100/80)</f>
        <v>-25</v>
      </c>
      <c r="CL16" s="32">
        <f>-($D$60*100/80)</f>
        <v>-25</v>
      </c>
    </row>
    <row r="17" spans="2:90" x14ac:dyDescent="0.25">
      <c r="B17" s="34" t="s">
        <v>306</v>
      </c>
      <c r="C17" s="35" t="s">
        <v>228</v>
      </c>
      <c r="D17" s="32">
        <f>SUM(E17:CL17)</f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f>-($D$62/80)</f>
        <v>0</v>
      </c>
      <c r="L17" s="32">
        <f>-($D$62/80)</f>
        <v>0</v>
      </c>
      <c r="M17" s="32">
        <f>-($D$62/80)</f>
        <v>0</v>
      </c>
      <c r="N17" s="32">
        <f>-($D$62/80)</f>
        <v>0</v>
      </c>
      <c r="O17" s="32">
        <f>-($D$62/80)</f>
        <v>0</v>
      </c>
      <c r="P17" s="32">
        <f>-($D$62/80)</f>
        <v>0</v>
      </c>
      <c r="Q17" s="32">
        <f>-($D$62/80)</f>
        <v>0</v>
      </c>
      <c r="R17" s="32">
        <f>-($D$62/80)</f>
        <v>0</v>
      </c>
      <c r="S17" s="32">
        <f>-($D$62/80)</f>
        <v>0</v>
      </c>
      <c r="T17" s="32">
        <f>-($D$62/80)</f>
        <v>0</v>
      </c>
      <c r="U17" s="32">
        <f>-($D$62/80)</f>
        <v>0</v>
      </c>
      <c r="V17" s="32">
        <f>-($D$62/80)</f>
        <v>0</v>
      </c>
      <c r="W17" s="32">
        <f>-($D$62/80)</f>
        <v>0</v>
      </c>
      <c r="X17" s="32">
        <f>-($D$62/80)</f>
        <v>0</v>
      </c>
      <c r="Y17" s="32">
        <f>-($D$62/80)</f>
        <v>0</v>
      </c>
      <c r="Z17" s="32">
        <f>-($D$62/80)</f>
        <v>0</v>
      </c>
      <c r="AA17" s="32">
        <f>-($D$62/80)</f>
        <v>0</v>
      </c>
      <c r="AB17" s="32">
        <f>-($D$62/80)</f>
        <v>0</v>
      </c>
      <c r="AC17" s="32">
        <f>-($D$62/80)</f>
        <v>0</v>
      </c>
      <c r="AD17" s="32">
        <f>-($D$62/80)</f>
        <v>0</v>
      </c>
      <c r="AE17" s="32">
        <f>-($D$62/80)</f>
        <v>0</v>
      </c>
      <c r="AF17" s="32">
        <f>-($D$62/80)</f>
        <v>0</v>
      </c>
      <c r="AG17" s="32">
        <f>-($D$62/80)</f>
        <v>0</v>
      </c>
      <c r="AH17" s="32">
        <f>-($D$62/80)</f>
        <v>0</v>
      </c>
      <c r="AI17" s="32">
        <f>-($D$62/80)</f>
        <v>0</v>
      </c>
      <c r="AJ17" s="32">
        <f>-($D$62/80)</f>
        <v>0</v>
      </c>
      <c r="AK17" s="32">
        <f>-($D$62/80)</f>
        <v>0</v>
      </c>
      <c r="AL17" s="32">
        <f>-($D$62/80)</f>
        <v>0</v>
      </c>
      <c r="AM17" s="32">
        <f>-($D$62/80)</f>
        <v>0</v>
      </c>
      <c r="AN17" s="32">
        <f>-($D$62/80)</f>
        <v>0</v>
      </c>
      <c r="AO17" s="32">
        <f>-($D$62/80)</f>
        <v>0</v>
      </c>
      <c r="AP17" s="32">
        <f>-($D$62/80)</f>
        <v>0</v>
      </c>
      <c r="AQ17" s="32">
        <f>-($D$62/80)</f>
        <v>0</v>
      </c>
      <c r="AR17" s="32">
        <f>-($D$62/80)</f>
        <v>0</v>
      </c>
      <c r="AS17" s="32">
        <f>-($D$62/80)</f>
        <v>0</v>
      </c>
      <c r="AT17" s="32">
        <f>-($D$62/80)</f>
        <v>0</v>
      </c>
      <c r="AU17" s="32">
        <f>-($D$62/80)</f>
        <v>0</v>
      </c>
      <c r="AV17" s="32">
        <f>-($D$62/80)</f>
        <v>0</v>
      </c>
      <c r="AW17" s="32">
        <f>-($D$62/80)</f>
        <v>0</v>
      </c>
      <c r="AX17" s="32">
        <f>-($D$62/80)</f>
        <v>0</v>
      </c>
      <c r="AY17" s="32">
        <f>-($D$62/80)</f>
        <v>0</v>
      </c>
      <c r="AZ17" s="32">
        <f>-($D$62/80)</f>
        <v>0</v>
      </c>
      <c r="BA17" s="32">
        <f>-($D$62/80)</f>
        <v>0</v>
      </c>
      <c r="BB17" s="32">
        <f>-($D$62/80)</f>
        <v>0</v>
      </c>
      <c r="BC17" s="32">
        <f>-($D$62/80)</f>
        <v>0</v>
      </c>
      <c r="BD17" s="32">
        <f>-($D$62/80)</f>
        <v>0</v>
      </c>
      <c r="BE17" s="32">
        <f>-($D$62/80)</f>
        <v>0</v>
      </c>
      <c r="BF17" s="32">
        <f>-($D$62/80)</f>
        <v>0</v>
      </c>
      <c r="BG17" s="32">
        <f>-($D$62/80)</f>
        <v>0</v>
      </c>
      <c r="BH17" s="32">
        <f>-($D$62/80)</f>
        <v>0</v>
      </c>
      <c r="BI17" s="32">
        <f>-($D$62/80)</f>
        <v>0</v>
      </c>
      <c r="BJ17" s="32">
        <f>-($D$62/80)</f>
        <v>0</v>
      </c>
      <c r="BK17" s="32">
        <f>-($D$62/80)</f>
        <v>0</v>
      </c>
      <c r="BL17" s="32">
        <f>-($D$62/80)</f>
        <v>0</v>
      </c>
      <c r="BM17" s="32">
        <f>-($D$62/80)</f>
        <v>0</v>
      </c>
      <c r="BN17" s="32">
        <f>-($D$62/80)</f>
        <v>0</v>
      </c>
      <c r="BO17" s="32">
        <f>-($D$62/80)</f>
        <v>0</v>
      </c>
      <c r="BP17" s="32">
        <f>-($D$62/80)</f>
        <v>0</v>
      </c>
      <c r="BQ17" s="32">
        <f>-($D$62/80)</f>
        <v>0</v>
      </c>
      <c r="BR17" s="32">
        <f>-($D$62/80)</f>
        <v>0</v>
      </c>
      <c r="BS17" s="32">
        <f>-($D$62/80)</f>
        <v>0</v>
      </c>
      <c r="BT17" s="32">
        <f>-($D$62/80)</f>
        <v>0</v>
      </c>
      <c r="BU17" s="32">
        <f>-($D$62/80)</f>
        <v>0</v>
      </c>
      <c r="BV17" s="32">
        <f>-($D$62/80)</f>
        <v>0</v>
      </c>
      <c r="BW17" s="32">
        <f>-($D$62/80)</f>
        <v>0</v>
      </c>
      <c r="BX17" s="32">
        <f>-($D$62/80)</f>
        <v>0</v>
      </c>
      <c r="BY17" s="32">
        <f>-($D$62/80)</f>
        <v>0</v>
      </c>
      <c r="BZ17" s="32">
        <f>-($D$62/80)</f>
        <v>0</v>
      </c>
      <c r="CA17" s="32">
        <f>-($D$62/80)</f>
        <v>0</v>
      </c>
      <c r="CB17" s="32">
        <f>-($D$62/80)</f>
        <v>0</v>
      </c>
      <c r="CC17" s="32">
        <f>-($D$62/80)</f>
        <v>0</v>
      </c>
      <c r="CD17" s="32">
        <f>-($D$62/80)</f>
        <v>0</v>
      </c>
      <c r="CE17" s="32">
        <f>-($D$62/80)</f>
        <v>0</v>
      </c>
      <c r="CF17" s="32">
        <f>-($D$62/80)</f>
        <v>0</v>
      </c>
      <c r="CG17" s="32">
        <f>-($D$62/80)</f>
        <v>0</v>
      </c>
      <c r="CH17" s="32">
        <f>-($D$62/80)</f>
        <v>0</v>
      </c>
      <c r="CI17" s="32">
        <f>-($D$62/80)</f>
        <v>0</v>
      </c>
      <c r="CJ17" s="32">
        <f>-($D$62/80)</f>
        <v>0</v>
      </c>
      <c r="CK17" s="32">
        <f>-($D$62/80)</f>
        <v>0</v>
      </c>
      <c r="CL17" s="32">
        <f>-($D$62/80)</f>
        <v>0</v>
      </c>
    </row>
    <row r="18" spans="2:90" x14ac:dyDescent="0.25">
      <c r="B18" s="34" t="s">
        <v>307</v>
      </c>
      <c r="C18" s="35" t="s">
        <v>228</v>
      </c>
      <c r="D18" s="32">
        <f>SUM(E18:CL18)</f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f>-($D$61/80)</f>
        <v>0</v>
      </c>
      <c r="L18" s="32">
        <f>-($D$61/80)</f>
        <v>0</v>
      </c>
      <c r="M18" s="32">
        <f>-($D$61/80)</f>
        <v>0</v>
      </c>
      <c r="N18" s="32">
        <f>-($D$61/80)</f>
        <v>0</v>
      </c>
      <c r="O18" s="32">
        <f>-($D$61/80)</f>
        <v>0</v>
      </c>
      <c r="P18" s="32">
        <f>-($D$61/80)</f>
        <v>0</v>
      </c>
      <c r="Q18" s="32">
        <f>-($D$61/80)</f>
        <v>0</v>
      </c>
      <c r="R18" s="32">
        <f>-($D$61/80)</f>
        <v>0</v>
      </c>
      <c r="S18" s="32">
        <f>-($D$61/80)</f>
        <v>0</v>
      </c>
      <c r="T18" s="32">
        <f>-($D$61/80)</f>
        <v>0</v>
      </c>
      <c r="U18" s="32">
        <f>-($D$61/80)</f>
        <v>0</v>
      </c>
      <c r="V18" s="32">
        <f>-($D$61/80)</f>
        <v>0</v>
      </c>
      <c r="W18" s="32">
        <f>-($D$61/80)</f>
        <v>0</v>
      </c>
      <c r="X18" s="32">
        <f>-($D$61/80)</f>
        <v>0</v>
      </c>
      <c r="Y18" s="32">
        <f>-($D$61/80)</f>
        <v>0</v>
      </c>
      <c r="Z18" s="32">
        <f>-($D$61/80)</f>
        <v>0</v>
      </c>
      <c r="AA18" s="32">
        <f>-($D$61/80)</f>
        <v>0</v>
      </c>
      <c r="AB18" s="32">
        <f>-($D$61/80)</f>
        <v>0</v>
      </c>
      <c r="AC18" s="32">
        <f>-($D$61/80)</f>
        <v>0</v>
      </c>
      <c r="AD18" s="32">
        <f>-($D$61/80)</f>
        <v>0</v>
      </c>
      <c r="AE18" s="32">
        <f>-($D$61/80)</f>
        <v>0</v>
      </c>
      <c r="AF18" s="32">
        <f>-($D$61/80)</f>
        <v>0</v>
      </c>
      <c r="AG18" s="32">
        <f>-($D$61/80)</f>
        <v>0</v>
      </c>
      <c r="AH18" s="32">
        <f>-($D$61/80)</f>
        <v>0</v>
      </c>
      <c r="AI18" s="32">
        <f>-($D$61/80)</f>
        <v>0</v>
      </c>
      <c r="AJ18" s="32">
        <f>-($D$61/80)</f>
        <v>0</v>
      </c>
      <c r="AK18" s="32">
        <f>-($D$61/80)</f>
        <v>0</v>
      </c>
      <c r="AL18" s="32">
        <f>-($D$61/80)</f>
        <v>0</v>
      </c>
      <c r="AM18" s="32">
        <f>-($D$61/80)</f>
        <v>0</v>
      </c>
      <c r="AN18" s="32">
        <f>-($D$61/80)</f>
        <v>0</v>
      </c>
      <c r="AO18" s="32">
        <f>-($D$61/80)</f>
        <v>0</v>
      </c>
      <c r="AP18" s="32">
        <f>-($D$61/80)</f>
        <v>0</v>
      </c>
      <c r="AQ18" s="32">
        <f>-($D$61/80)</f>
        <v>0</v>
      </c>
      <c r="AR18" s="32">
        <f>-($D$61/80)</f>
        <v>0</v>
      </c>
      <c r="AS18" s="32">
        <f>-($D$61/80)</f>
        <v>0</v>
      </c>
      <c r="AT18" s="32">
        <f>-($D$61/80)</f>
        <v>0</v>
      </c>
      <c r="AU18" s="32">
        <f>-($D$61/80)</f>
        <v>0</v>
      </c>
      <c r="AV18" s="32">
        <f>-($D$61/80)</f>
        <v>0</v>
      </c>
      <c r="AW18" s="32">
        <f>-($D$61/80)</f>
        <v>0</v>
      </c>
      <c r="AX18" s="32">
        <f>-($D$61/80)</f>
        <v>0</v>
      </c>
      <c r="AY18" s="32">
        <f>-($D$61/80)</f>
        <v>0</v>
      </c>
      <c r="AZ18" s="32">
        <f>-($D$61/80)</f>
        <v>0</v>
      </c>
      <c r="BA18" s="32">
        <f>-($D$61/80)</f>
        <v>0</v>
      </c>
      <c r="BB18" s="32">
        <f>-($D$61/80)</f>
        <v>0</v>
      </c>
      <c r="BC18" s="32">
        <f>-($D$61/80)</f>
        <v>0</v>
      </c>
      <c r="BD18" s="32">
        <f>-($D$61/80)</f>
        <v>0</v>
      </c>
      <c r="BE18" s="32">
        <f>-($D$61/80)</f>
        <v>0</v>
      </c>
      <c r="BF18" s="32">
        <f>-($D$61/80)</f>
        <v>0</v>
      </c>
      <c r="BG18" s="32">
        <f>-($D$61/80)</f>
        <v>0</v>
      </c>
      <c r="BH18" s="32">
        <f>-($D$61/80)</f>
        <v>0</v>
      </c>
      <c r="BI18" s="32">
        <f>-($D$61/80)</f>
        <v>0</v>
      </c>
      <c r="BJ18" s="32">
        <f>-($D$61/80)</f>
        <v>0</v>
      </c>
      <c r="BK18" s="32">
        <f>-($D$61/80)</f>
        <v>0</v>
      </c>
      <c r="BL18" s="32">
        <f>-($D$61/80)</f>
        <v>0</v>
      </c>
      <c r="BM18" s="32">
        <f>-($D$61/80)</f>
        <v>0</v>
      </c>
      <c r="BN18" s="32">
        <f>-($D$61/80)</f>
        <v>0</v>
      </c>
      <c r="BO18" s="32">
        <f>-($D$61/80)</f>
        <v>0</v>
      </c>
      <c r="BP18" s="32">
        <f>-($D$61/80)</f>
        <v>0</v>
      </c>
      <c r="BQ18" s="32">
        <f>-($D$61/80)</f>
        <v>0</v>
      </c>
      <c r="BR18" s="32">
        <f>-($D$61/80)</f>
        <v>0</v>
      </c>
      <c r="BS18" s="32">
        <f>-($D$61/80)</f>
        <v>0</v>
      </c>
      <c r="BT18" s="32">
        <f>-($D$61/80)</f>
        <v>0</v>
      </c>
      <c r="BU18" s="32">
        <f>-($D$61/80)</f>
        <v>0</v>
      </c>
      <c r="BV18" s="32">
        <f>-($D$61/80)</f>
        <v>0</v>
      </c>
      <c r="BW18" s="32">
        <f>-($D$61/80)</f>
        <v>0</v>
      </c>
      <c r="BX18" s="32">
        <f>-($D$61/80)</f>
        <v>0</v>
      </c>
      <c r="BY18" s="32">
        <f>-($D$61/80)</f>
        <v>0</v>
      </c>
      <c r="BZ18" s="32">
        <f>-($D$61/80)</f>
        <v>0</v>
      </c>
      <c r="CA18" s="32">
        <f>-($D$61/80)</f>
        <v>0</v>
      </c>
      <c r="CB18" s="32">
        <f>-($D$61/80)</f>
        <v>0</v>
      </c>
      <c r="CC18" s="32">
        <f>-($D$61/80)</f>
        <v>0</v>
      </c>
      <c r="CD18" s="32">
        <f>-($D$61/80)</f>
        <v>0</v>
      </c>
      <c r="CE18" s="32">
        <f>-($D$61/80)</f>
        <v>0</v>
      </c>
      <c r="CF18" s="32">
        <f>-($D$61/80)</f>
        <v>0</v>
      </c>
      <c r="CG18" s="32">
        <f>-($D$61/80)</f>
        <v>0</v>
      </c>
      <c r="CH18" s="32">
        <f>-($D$61/80)</f>
        <v>0</v>
      </c>
      <c r="CI18" s="32">
        <f>-($D$61/80)</f>
        <v>0</v>
      </c>
      <c r="CJ18" s="32">
        <f>-($D$61/80)</f>
        <v>0</v>
      </c>
      <c r="CK18" s="32">
        <f>-($D$61/80)</f>
        <v>0</v>
      </c>
      <c r="CL18" s="32">
        <f>-($D$61/80)</f>
        <v>0</v>
      </c>
    </row>
    <row r="19" spans="2:90" x14ac:dyDescent="0.25">
      <c r="B19" s="47" t="s">
        <v>308</v>
      </c>
      <c r="C19" s="35" t="s">
        <v>228</v>
      </c>
      <c r="D19" s="14">
        <f>SUM(E19:CL19)</f>
        <v>159724.27801572002</v>
      </c>
      <c r="E19" s="14">
        <f>E12+E15+E16+E17+E18</f>
        <v>0</v>
      </c>
      <c r="F19" s="14">
        <f>F12+F15+F16+F17+F18</f>
        <v>0</v>
      </c>
      <c r="G19" s="14">
        <f>G12+G15+G16+G17+G18</f>
        <v>0</v>
      </c>
      <c r="H19" s="14">
        <f>H12+H15+H16+H17+H18</f>
        <v>0</v>
      </c>
      <c r="I19" s="14">
        <f>I12+I15+I16+I17+I18</f>
        <v>0</v>
      </c>
      <c r="J19" s="14">
        <f>J12+J15+J16+J17+J18</f>
        <v>0</v>
      </c>
      <c r="K19" s="14">
        <f>K12+K15+K16+K17+K18</f>
        <v>2335.881459064318</v>
      </c>
      <c r="L19" s="14">
        <f>L12+L15+L16+L17+L18</f>
        <v>2335.881459064318</v>
      </c>
      <c r="M19" s="14">
        <f>M12+M15+M16+M17+M18</f>
        <v>2335.881459064318</v>
      </c>
      <c r="N19" s="14">
        <f>N12+N15+N16+N17+N18</f>
        <v>2335.881459064318</v>
      </c>
      <c r="O19" s="14">
        <f>O12+O15+O16+O17+O18</f>
        <v>2300.539891564318</v>
      </c>
      <c r="P19" s="14">
        <f>P12+P15+P16+P17+P18</f>
        <v>2300.539891564318</v>
      </c>
      <c r="Q19" s="14">
        <f>Q12+Q15+Q16+Q17+Q18</f>
        <v>2300.539891564318</v>
      </c>
      <c r="R19" s="14">
        <f>R12+R15+R16+R17+R18</f>
        <v>2300.539891564318</v>
      </c>
      <c r="S19" s="14">
        <f>S12+S15+S16+S17+S18</f>
        <v>2265.137319064319</v>
      </c>
      <c r="T19" s="14">
        <f>T12+T15+T16+T17+T18</f>
        <v>2265.137319064319</v>
      </c>
      <c r="U19" s="14">
        <f>U12+U15+U16+U17+U18</f>
        <v>2265.137319064319</v>
      </c>
      <c r="V19" s="14">
        <f>V12+V15+V16+V17+V18</f>
        <v>2265.137319064319</v>
      </c>
      <c r="W19" s="14">
        <f>W12+W15+W16+W17+W18</f>
        <v>2229.6733145293188</v>
      </c>
      <c r="X19" s="14">
        <f>X12+X15+X16+X17+X18</f>
        <v>2229.6733145293188</v>
      </c>
      <c r="Y19" s="14">
        <f>Y12+Y15+Y16+Y17+Y18</f>
        <v>2229.6733145293188</v>
      </c>
      <c r="Z19" s="14">
        <f>Z12+Z15+Z16+Z17+Z18</f>
        <v>2229.6733145293188</v>
      </c>
      <c r="AA19" s="14">
        <f>AA12+AA15+AA16+AA17+AA18</f>
        <v>2194.1474479350736</v>
      </c>
      <c r="AB19" s="14">
        <f>AB12+AB15+AB16+AB17+AB18</f>
        <v>2194.1474479350736</v>
      </c>
      <c r="AC19" s="14">
        <f>AC12+AC15+AC16+AC17+AC18</f>
        <v>2194.1474479350736</v>
      </c>
      <c r="AD19" s="14">
        <f>AD12+AD15+AD16+AD17+AD18</f>
        <v>2194.1474479350736</v>
      </c>
      <c r="AE19" s="14">
        <f>AE12+AE15+AE16+AE17+AE18</f>
        <v>2158.5592862471694</v>
      </c>
      <c r="AF19" s="14">
        <f>AF12+AF15+AF16+AF17+AF18</f>
        <v>2158.5592862471694</v>
      </c>
      <c r="AG19" s="14">
        <f>AG12+AG15+AG16+AG17+AG18</f>
        <v>2158.5592862471694</v>
      </c>
      <c r="AH19" s="14">
        <f>AH12+AH15+AH16+AH17+AH18</f>
        <v>2158.5592862471694</v>
      </c>
      <c r="AI19" s="14">
        <f>AI12+AI15+AI16+AI17+AI18</f>
        <v>2122.908393399949</v>
      </c>
      <c r="AJ19" s="14">
        <f>AJ12+AJ15+AJ16+AJ17+AJ18</f>
        <v>2122.908393399949</v>
      </c>
      <c r="AK19" s="14">
        <f>AK12+AK15+AK16+AK17+AK18</f>
        <v>2122.908393399949</v>
      </c>
      <c r="AL19" s="14">
        <f>AL12+AL15+AL16+AL17+AL18</f>
        <v>2122.908393399949</v>
      </c>
      <c r="AM19" s="14">
        <f>AM12+AM15+AM16+AM17+AM18</f>
        <v>2087.194330275298</v>
      </c>
      <c r="AN19" s="14">
        <f>AN12+AN15+AN16+AN17+AN18</f>
        <v>2087.194330275298</v>
      </c>
      <c r="AO19" s="14">
        <f>AO12+AO15+AO16+AO17+AO18</f>
        <v>2087.194330275298</v>
      </c>
      <c r="AP19" s="14">
        <f>AP12+AP15+AP16+AP17+AP18</f>
        <v>2087.194330275298</v>
      </c>
      <c r="AQ19" s="14">
        <f>AQ12+AQ15+AQ16+AQ17+AQ18</f>
        <v>2051.416654681275</v>
      </c>
      <c r="AR19" s="14">
        <f>AR12+AR15+AR16+AR17+AR18</f>
        <v>2051.416654681275</v>
      </c>
      <c r="AS19" s="14">
        <f>AS12+AS15+AS16+AS17+AS18</f>
        <v>2051.416654681275</v>
      </c>
      <c r="AT19" s="14">
        <f>AT12+AT15+AT16+AT17+AT18</f>
        <v>2051.416654681275</v>
      </c>
      <c r="AU19" s="14">
        <f>AU12+AU15+AU16+AU17+AU18</f>
        <v>2015.5749213305944</v>
      </c>
      <c r="AV19" s="14">
        <f>AV12+AV15+AV16+AV17+AV18</f>
        <v>2015.5749213305944</v>
      </c>
      <c r="AW19" s="14">
        <f>AW12+AW15+AW16+AW17+AW18</f>
        <v>2015.5749213305944</v>
      </c>
      <c r="AX19" s="14">
        <f>AX12+AX15+AX16+AX17+AX18</f>
        <v>2015.5749213305944</v>
      </c>
      <c r="AY19" s="14">
        <f>AY12+AY15+AY16+AY17+AY18</f>
        <v>1979.6686818189582</v>
      </c>
      <c r="AZ19" s="14">
        <f>AZ12+AZ15+AZ16+AZ17+AZ18</f>
        <v>1979.6686818189582</v>
      </c>
      <c r="BA19" s="14">
        <f>BA12+BA15+BA16+BA17+BA18</f>
        <v>1979.6686818189582</v>
      </c>
      <c r="BB19" s="14">
        <f>BB12+BB15+BB16+BB17+BB18</f>
        <v>1979.6686818189582</v>
      </c>
      <c r="BC19" s="14">
        <f>BC12+BC15+BC16+BC17+BC18</f>
        <v>1943.6974846032408</v>
      </c>
      <c r="BD19" s="14">
        <f>BD12+BD15+BD16+BD17+BD18</f>
        <v>1943.6974846032408</v>
      </c>
      <c r="BE19" s="14">
        <f>BE12+BE15+BE16+BE17+BE18</f>
        <v>1943.6974846032408</v>
      </c>
      <c r="BF19" s="14">
        <f>BF12+BF15+BF16+BF17+BF18</f>
        <v>1943.6974846032408</v>
      </c>
      <c r="BG19" s="14">
        <f>BG12+BG15+BG16+BG17+BG18</f>
        <v>1907.6608749795141</v>
      </c>
      <c r="BH19" s="14">
        <f>BH12+BH15+BH16+BH17+BH18</f>
        <v>1907.6608749795141</v>
      </c>
      <c r="BI19" s="14">
        <f>BI12+BI15+BI16+BI17+BI18</f>
        <v>1907.6608749795141</v>
      </c>
      <c r="BJ19" s="14">
        <f>BJ12+BJ15+BJ16+BJ17+BJ18</f>
        <v>1907.6608749795141</v>
      </c>
      <c r="BK19" s="14">
        <f>BK12+BK15+BK16+BK17+BK18</f>
        <v>1871.5583950609198</v>
      </c>
      <c r="BL19" s="14">
        <f>BL12+BL15+BL16+BL17+BL18</f>
        <v>1871.5583950609198</v>
      </c>
      <c r="BM19" s="14">
        <f>BM12+BM15+BM16+BM17+BM18</f>
        <v>1871.5583950609198</v>
      </c>
      <c r="BN19" s="14">
        <f>BN12+BN15+BN16+BN17+BN18</f>
        <v>1871.5583950609198</v>
      </c>
      <c r="BO19" s="14">
        <f>BO12+BO15+BO16+BO17+BO18</f>
        <v>1835.389583755396</v>
      </c>
      <c r="BP19" s="14">
        <f>BP12+BP15+BP16+BP17+BP18</f>
        <v>1835.389583755396</v>
      </c>
      <c r="BQ19" s="14">
        <f>BQ12+BQ15+BQ16+BQ17+BQ18</f>
        <v>1835.389583755396</v>
      </c>
      <c r="BR19" s="14">
        <f>BR12+BR15+BR16+BR17+BR18</f>
        <v>1835.389583755396</v>
      </c>
      <c r="BS19" s="14">
        <f>BS12+BS15+BS16+BS17+BS18</f>
        <v>1799.153976743235</v>
      </c>
      <c r="BT19" s="14">
        <f>BT12+BT15+BT16+BT17+BT18</f>
        <v>1799.153976743235</v>
      </c>
      <c r="BU19" s="14">
        <f>BU12+BU15+BU16+BU17+BU18</f>
        <v>1799.153976743235</v>
      </c>
      <c r="BV19" s="14">
        <f>BV12+BV15+BV16+BV17+BV18</f>
        <v>1799.153976743235</v>
      </c>
      <c r="BW19" s="14">
        <f>BW12+BW15+BW16+BW17+BW18</f>
        <v>1762.8511064544873</v>
      </c>
      <c r="BX19" s="14">
        <f>BX12+BX15+BX16+BX17+BX18</f>
        <v>1762.8511064544873</v>
      </c>
      <c r="BY19" s="14">
        <f>BY12+BY15+BY16+BY17+BY18</f>
        <v>1762.8511064544873</v>
      </c>
      <c r="BZ19" s="14">
        <f>BZ12+BZ15+BZ16+BZ17+BZ18</f>
        <v>1762.8511064544873</v>
      </c>
      <c r="CA19" s="14">
        <f>CA12+CA15+CA16+CA17+CA18</f>
        <v>1726.480502046219</v>
      </c>
      <c r="CB19" s="14">
        <f>CB12+CB15+CB16+CB17+CB18</f>
        <v>1726.480502046219</v>
      </c>
      <c r="CC19" s="14">
        <f>CC12+CC15+CC16+CC17+CC18</f>
        <v>1726.480502046219</v>
      </c>
      <c r="CD19" s="14">
        <f>CD12+CD15+CD16+CD17+CD18</f>
        <v>1726.480502046219</v>
      </c>
      <c r="CE19" s="14">
        <f>CE12+CE15+CE16+CE17+CE18</f>
        <v>1690.041689379591</v>
      </c>
      <c r="CF19" s="14">
        <f>CF12+CF15+CF16+CF17+CF18</f>
        <v>1690.041689379591</v>
      </c>
      <c r="CG19" s="14">
        <f>CG12+CG15+CG16+CG17+CG18</f>
        <v>1690.041689379591</v>
      </c>
      <c r="CH19" s="14">
        <f>CH12+CH15+CH16+CH17+CH18</f>
        <v>1690.041689379591</v>
      </c>
      <c r="CI19" s="14">
        <f>CI12+CI15+CI16+CI17+CI18</f>
        <v>1653.5341909967988</v>
      </c>
      <c r="CJ19" s="14">
        <f>CJ12+CJ15+CJ16+CJ17+CJ18</f>
        <v>1653.5341909967988</v>
      </c>
      <c r="CK19" s="14">
        <f>CK12+CK15+CK16+CK17+CK18</f>
        <v>1653.5341909967988</v>
      </c>
      <c r="CL19" s="14">
        <f>CL12+CL15+CL16+CL17+CL18</f>
        <v>1653.5341909967988</v>
      </c>
    </row>
    <row r="20" spans="2:90" x14ac:dyDescent="0.25">
      <c r="B20" s="34" t="s">
        <v>309</v>
      </c>
      <c r="C20" s="35" t="s">
        <v>303</v>
      </c>
      <c r="E20" s="40" t="str">
        <f>IF(E8&lt;=0,"",E19/E8)</f>
        <v/>
      </c>
      <c r="F20" s="40" t="str">
        <f>IF(F8&lt;=0,"",F19/F8)</f>
        <v/>
      </c>
      <c r="G20" s="40" t="str">
        <f>IF(G8&lt;=0,"",G19/G8)</f>
        <v/>
      </c>
      <c r="H20" s="40" t="str">
        <f>IF(H8&lt;=0,"",H19/H8)</f>
        <v/>
      </c>
      <c r="I20" s="40" t="str">
        <f>IF(I8&lt;=0,"",I19/I8)</f>
        <v/>
      </c>
      <c r="J20" s="40" t="str">
        <f>IF(J8&lt;=0,"",J19/J8)</f>
        <v/>
      </c>
      <c r="K20" s="40">
        <f>IF(K8&lt;=0,"",K19/K8)</f>
        <v>0.43863736079844273</v>
      </c>
      <c r="L20" s="40">
        <f>IF(L8&lt;=0,"",L19/L8)</f>
        <v>0.43863736079844273</v>
      </c>
      <c r="M20" s="40">
        <f>IF(M8&lt;=0,"",M19/M8)</f>
        <v>0.43863736079844273</v>
      </c>
      <c r="N20" s="40">
        <f>IF(N8&lt;=0,"",N19/N8)</f>
        <v>0.43863736079844273</v>
      </c>
      <c r="O20" s="40">
        <f>IF(O8&lt;=0,"",O19/O8)</f>
        <v>0.43417169590710064</v>
      </c>
      <c r="P20" s="40">
        <f>IF(P8&lt;=0,"",P19/P8)</f>
        <v>0.43417169590710064</v>
      </c>
      <c r="Q20" s="40">
        <f>IF(Q8&lt;=0,"",Q19/Q8)</f>
        <v>0.43417169590710064</v>
      </c>
      <c r="R20" s="40">
        <f>IF(R8&lt;=0,"",R19/R8)</f>
        <v>0.43417169590710064</v>
      </c>
      <c r="S20" s="40">
        <f>IF(S8&lt;=0,"",S19/S8)</f>
        <v>0.42964935191221365</v>
      </c>
      <c r="T20" s="40">
        <f>IF(T8&lt;=0,"",T19/T8)</f>
        <v>0.42964935191221365</v>
      </c>
      <c r="U20" s="40">
        <f>IF(U8&lt;=0,"",U19/U8)</f>
        <v>0.42964935191221365</v>
      </c>
      <c r="V20" s="40">
        <f>IF(V8&lt;=0,"",V19/V8)</f>
        <v>0.42964935191221365</v>
      </c>
      <c r="W20" s="40">
        <f>IF(W8&lt;=0,"",W19/W8)</f>
        <v>0.4250693842694177</v>
      </c>
      <c r="X20" s="40">
        <f>IF(X8&lt;=0,"",X19/X8)</f>
        <v>0.4250693842694177</v>
      </c>
      <c r="Y20" s="40">
        <f>IF(Y8&lt;=0,"",Y19/Y8)</f>
        <v>0.4250693842694177</v>
      </c>
      <c r="Z20" s="40">
        <f>IF(Z8&lt;=0,"",Z19/Z8)</f>
        <v>0.4250693842694177</v>
      </c>
      <c r="AA20" s="40">
        <f>IF(AA8&lt;=0,"",AA19/AA8)</f>
        <v>0.4204308285851504</v>
      </c>
      <c r="AB20" s="40">
        <f>IF(AB8&lt;=0,"",AB19/AB8)</f>
        <v>0.4204308285851504</v>
      </c>
      <c r="AC20" s="40">
        <f>IF(AC8&lt;=0,"",AC19/AC8)</f>
        <v>0.4204308285851504</v>
      </c>
      <c r="AD20" s="40">
        <f>IF(AD8&lt;=0,"",AD19/AD8)</f>
        <v>0.4204308285851504</v>
      </c>
      <c r="AE20" s="40">
        <f>IF(AE8&lt;=0,"",AE19/AE8)</f>
        <v>0.41573270010366653</v>
      </c>
      <c r="AF20" s="40">
        <f>IF(AF8&lt;=0,"",AF19/AF8)</f>
        <v>0.41573270010366653</v>
      </c>
      <c r="AG20" s="40">
        <f>IF(AG8&lt;=0,"",AG19/AG8)</f>
        <v>0.41573270010366653</v>
      </c>
      <c r="AH20" s="40">
        <f>IF(AH8&lt;=0,"",AH19/AH8)</f>
        <v>0.41573270010366653</v>
      </c>
      <c r="AI20" s="40">
        <f>IF(AI8&lt;=0,"",AI19/AI8)</f>
        <v>0.41097399317816047</v>
      </c>
      <c r="AJ20" s="40">
        <f>IF(AJ8&lt;=0,"",AJ19/AJ8)</f>
        <v>0.41097399317816047</v>
      </c>
      <c r="AK20" s="40">
        <f>IF(AK8&lt;=0,"",AK19/AK8)</f>
        <v>0.41097399317816047</v>
      </c>
      <c r="AL20" s="40">
        <f>IF(AL8&lt;=0,"",AL19/AL8)</f>
        <v>0.41097399317816047</v>
      </c>
      <c r="AM20" s="40">
        <f>IF(AM8&lt;=0,"",AM19/AM8)</f>
        <v>0.40615368072541824</v>
      </c>
      <c r="AN20" s="40">
        <f>IF(AN8&lt;=0,"",AN19/AN8)</f>
        <v>0.40615368072541824</v>
      </c>
      <c r="AO20" s="40">
        <f>IF(AO8&lt;=0,"",AO19/AO8)</f>
        <v>0.40615368072541824</v>
      </c>
      <c r="AP20" s="40">
        <f>IF(AP8&lt;=0,"",AP19/AP8)</f>
        <v>0.40615368072541824</v>
      </c>
      <c r="AQ20" s="40">
        <f>IF(AQ8&lt;=0,"",AQ19/AQ8)</f>
        <v>0.40127071366339806</v>
      </c>
      <c r="AR20" s="40">
        <f>IF(AR8&lt;=0,"",AR19/AR8)</f>
        <v>0.40127071366339806</v>
      </c>
      <c r="AS20" s="40">
        <f>IF(AS8&lt;=0,"",AS19/AS8)</f>
        <v>0.40127071366339806</v>
      </c>
      <c r="AT20" s="40">
        <f>IF(AT8&lt;=0,"",AT19/AT8)</f>
        <v>0.40127071366339806</v>
      </c>
      <c r="AU20" s="40">
        <f>IF(AU8&lt;=0,"",AU19/AU8)</f>
        <v>0.3963240203311137</v>
      </c>
      <c r="AV20" s="40">
        <f>IF(AV8&lt;=0,"",AV19/AV8)</f>
        <v>0.3963240203311137</v>
      </c>
      <c r="AW20" s="40">
        <f>IF(AW8&lt;=0,"",AW19/AW8)</f>
        <v>0.3963240203311137</v>
      </c>
      <c r="AX20" s="40">
        <f>IF(AX8&lt;=0,"",AX19/AX8)</f>
        <v>0.3963240203311137</v>
      </c>
      <c r="AY20" s="40">
        <f>IF(AY8&lt;=0,"",AY19/AY8)</f>
        <v>0.39131250589016875</v>
      </c>
      <c r="AZ20" s="40">
        <f>IF(AZ8&lt;=0,"",AZ19/AZ8)</f>
        <v>0.39131250589016875</v>
      </c>
      <c r="BA20" s="40">
        <f>IF(BA8&lt;=0,"",BA19/BA8)</f>
        <v>0.39131250589016875</v>
      </c>
      <c r="BB20" s="40">
        <f>IF(BB8&lt;=0,"",BB19/BB8)</f>
        <v>0.39131250589016875</v>
      </c>
      <c r="BC20" s="40">
        <f>IF(BC8&lt;=0,"",BC19/BC8)</f>
        <v>0.38623505170726274</v>
      </c>
      <c r="BD20" s="40">
        <f>IF(BD8&lt;=0,"",BD19/BD8)</f>
        <v>0.38623505170726274</v>
      </c>
      <c r="BE20" s="40">
        <f>IF(BE8&lt;=0,"",BE19/BE8)</f>
        <v>0.38623505170726274</v>
      </c>
      <c r="BF20" s="40">
        <f>IF(BF8&lt;=0,"",BF19/BF8)</f>
        <v>0.38623505170726274</v>
      </c>
      <c r="BG20" s="40">
        <f>IF(BG8&lt;=0,"",BG19/BG8)</f>
        <v>0.3810905147169577</v>
      </c>
      <c r="BH20" s="40">
        <f>IF(BH8&lt;=0,"",BH19/BH8)</f>
        <v>0.3810905147169577</v>
      </c>
      <c r="BI20" s="40">
        <f>IF(BI8&lt;=0,"",BI19/BI8)</f>
        <v>0.3810905147169577</v>
      </c>
      <c r="BJ20" s="40">
        <f>IF(BJ8&lt;=0,"",BJ19/BJ8)</f>
        <v>0.3810905147169577</v>
      </c>
      <c r="BK20" s="40">
        <f>IF(BK8&lt;=0,"",BK19/BK8)</f>
        <v>0.375877726763969</v>
      </c>
      <c r="BL20" s="40">
        <f>IF(BL8&lt;=0,"",BL19/BL8)</f>
        <v>0.375877726763969</v>
      </c>
      <c r="BM20" s="40">
        <f>IF(BM8&lt;=0,"",BM19/BM8)</f>
        <v>0.375877726763969</v>
      </c>
      <c r="BN20" s="40">
        <f>IF(BN8&lt;=0,"",BN19/BN8)</f>
        <v>0.375877726763969</v>
      </c>
      <c r="BO20" s="40">
        <f>IF(BO8&lt;=0,"",BO19/BO8)</f>
        <v>0.3705954939242092</v>
      </c>
      <c r="BP20" s="40">
        <f>IF(BP8&lt;=0,"",BP19/BP8)</f>
        <v>0.3705954939242092</v>
      </c>
      <c r="BQ20" s="40">
        <f>IF(BQ8&lt;=0,"",BQ19/BQ8)</f>
        <v>0.3705954939242092</v>
      </c>
      <c r="BR20" s="40">
        <f>IF(BR8&lt;=0,"",BR19/BR8)</f>
        <v>0.3705954939242092</v>
      </c>
      <c r="BS20" s="40">
        <f>IF(BS8&lt;=0,"",BS19/BS8)</f>
        <v>0.365242595803778</v>
      </c>
      <c r="BT20" s="40">
        <f>IF(BT8&lt;=0,"",BT19/BT8)</f>
        <v>0.365242595803778</v>
      </c>
      <c r="BU20" s="40">
        <f>IF(BU8&lt;=0,"",BU19/BU8)</f>
        <v>0.365242595803778</v>
      </c>
      <c r="BV20" s="40">
        <f>IF(BV8&lt;=0,"",BV19/BV8)</f>
        <v>0.365242595803778</v>
      </c>
      <c r="BW20" s="40">
        <f>IF(BW8&lt;=0,"",BW19/BW8)</f>
        <v>0.3598177848150624</v>
      </c>
      <c r="BX20" s="40">
        <f>IF(BX8&lt;=0,"",BX19/BX8)</f>
        <v>0.3598177848150624</v>
      </c>
      <c r="BY20" s="40">
        <f>IF(BY8&lt;=0,"",BY19/BY8)</f>
        <v>0.3598177848150624</v>
      </c>
      <c r="BZ20" s="40">
        <f>IF(BZ8&lt;=0,"",BZ19/BZ8)</f>
        <v>0.3598177848150624</v>
      </c>
      <c r="CA20" s="40">
        <f>IF(CA8&lt;=0,"",CA19/CA8)</f>
        <v>0.3543197854290708</v>
      </c>
      <c r="CB20" s="40">
        <f>IF(CB8&lt;=0,"",CB19/CB8)</f>
        <v>0.3543197854290708</v>
      </c>
      <c r="CC20" s="40">
        <f>IF(CC8&lt;=0,"",CC19/CC8)</f>
        <v>0.3543197854290708</v>
      </c>
      <c r="CD20" s="40">
        <f>IF(CD8&lt;=0,"",CD19/CD8)</f>
        <v>0.3543197854290708</v>
      </c>
      <c r="CE20" s="40">
        <f>IF(CE8&lt;=0,"",CE19/CE8)</f>
        <v>0.34874729340308364</v>
      </c>
      <c r="CF20" s="40">
        <f>IF(CF8&lt;=0,"",CF19/CF8)</f>
        <v>0.34874729340308364</v>
      </c>
      <c r="CG20" s="40">
        <f>IF(CG8&lt;=0,"",CG19/CG8)</f>
        <v>0.34874729340308364</v>
      </c>
      <c r="CH20" s="40">
        <f>IF(CH8&lt;=0,"",CH19/CH8)</f>
        <v>0.34874729340308364</v>
      </c>
      <c r="CI20" s="40">
        <f>IF(CI8&lt;=0,"",CI19/CI8)</f>
        <v>0.3430989749826709</v>
      </c>
      <c r="CJ20" s="40">
        <f>IF(CJ8&lt;=0,"",CJ19/CJ8)</f>
        <v>0.3430989749826709</v>
      </c>
      <c r="CK20" s="40">
        <f>IF(CK8&lt;=0,"",CK19/CK8)</f>
        <v>0.3430989749826709</v>
      </c>
      <c r="CL20" s="40">
        <f>IF(CL8&lt;=0,"",CL19/CL8)</f>
        <v>0.3430989749826709</v>
      </c>
    </row>
    <row r="22" spans="2:2" x14ac:dyDescent="0.25">
      <c r="B22" s="47" t="s">
        <v>310</v>
      </c>
    </row>
    <row r="23" spans="2:90" x14ac:dyDescent="0.25">
      <c r="B23" s="34" t="s">
        <v>311</v>
      </c>
      <c r="C23" s="35" t="s">
        <v>228</v>
      </c>
      <c r="D23" s="32">
        <f>SUM(E23:CL23)</f>
        <v>-40880</v>
      </c>
      <c r="E23" s="32">
        <f>-'Debt'!E27</f>
        <v>0</v>
      </c>
      <c r="F23" s="32">
        <f>-'Debt'!F27</f>
        <v>0</v>
      </c>
      <c r="G23" s="32">
        <f>-'Debt'!G27</f>
        <v>0</v>
      </c>
      <c r="H23" s="32">
        <f>-'Debt'!H27</f>
        <v>0</v>
      </c>
      <c r="I23" s="32">
        <f>-'Debt'!I27</f>
        <v>0</v>
      </c>
      <c r="J23" s="32">
        <f>-'Debt'!J27</f>
        <v>0</v>
      </c>
      <c r="K23" s="32">
        <f>-'Debt'!K27</f>
        <v>-1119.9999999999998</v>
      </c>
      <c r="L23" s="32">
        <f>-'Debt'!L27</f>
        <v>-1119.9999999999998</v>
      </c>
      <c r="M23" s="32">
        <f>-'Debt'!M27</f>
        <v>-1119.9999999999998</v>
      </c>
      <c r="N23" s="32">
        <f>-'Debt'!N27</f>
        <v>-1119.9999999999998</v>
      </c>
      <c r="O23" s="32">
        <f>-'Debt'!O27</f>
        <v>-1119.9999999999998</v>
      </c>
      <c r="P23" s="32">
        <f>-'Debt'!P27</f>
        <v>-1102.5</v>
      </c>
      <c r="Q23" s="32">
        <f>-'Debt'!Q27</f>
        <v>-1085</v>
      </c>
      <c r="R23" s="32">
        <f>-'Debt'!R27</f>
        <v>-1067.5</v>
      </c>
      <c r="S23" s="32">
        <f>-'Debt'!S27</f>
        <v>-1050</v>
      </c>
      <c r="T23" s="32">
        <f>-'Debt'!T27</f>
        <v>-1032.5</v>
      </c>
      <c r="U23" s="32">
        <f>-'Debt'!U27</f>
        <v>-1014.9999999999999</v>
      </c>
      <c r="V23" s="32">
        <f>-'Debt'!V27</f>
        <v>-997.4999999999999</v>
      </c>
      <c r="W23" s="32">
        <f>-'Debt'!W27</f>
        <v>-979.9999999999999</v>
      </c>
      <c r="X23" s="32">
        <f>-'Debt'!X27</f>
        <v>-962.4999999999999</v>
      </c>
      <c r="Y23" s="32">
        <f>-'Debt'!Y27</f>
        <v>-944.9999999999999</v>
      </c>
      <c r="Z23" s="32">
        <f>-'Debt'!Z27</f>
        <v>-927.4999999999999</v>
      </c>
      <c r="AA23" s="32">
        <f>-'Debt'!AA27</f>
        <v>-909.9999999999999</v>
      </c>
      <c r="AB23" s="32">
        <f>-'Debt'!AB27</f>
        <v>-892.4999999999999</v>
      </c>
      <c r="AC23" s="32">
        <f>-'Debt'!AC27</f>
        <v>-874.9999999999999</v>
      </c>
      <c r="AD23" s="32">
        <f>-'Debt'!AD27</f>
        <v>-857.4999999999999</v>
      </c>
      <c r="AE23" s="32">
        <f>-'Debt'!AE27</f>
        <v>-839.9999999999999</v>
      </c>
      <c r="AF23" s="32">
        <f>-'Debt'!AF27</f>
        <v>-822.4999999999999</v>
      </c>
      <c r="AG23" s="32">
        <f>-'Debt'!AG27</f>
        <v>-804.9999999999999</v>
      </c>
      <c r="AH23" s="32">
        <f>-'Debt'!AH27</f>
        <v>-787.4999999999999</v>
      </c>
      <c r="AI23" s="32">
        <f>-'Debt'!AI27</f>
        <v>-769.9999999999999</v>
      </c>
      <c r="AJ23" s="32">
        <f>-'Debt'!AJ27</f>
        <v>-752.4999999999999</v>
      </c>
      <c r="AK23" s="32">
        <f>-'Debt'!AK27</f>
        <v>-734.9999999999999</v>
      </c>
      <c r="AL23" s="32">
        <f>-'Debt'!AL27</f>
        <v>-717.4999999999999</v>
      </c>
      <c r="AM23" s="32">
        <f>-'Debt'!AM27</f>
        <v>-699.9999999999999</v>
      </c>
      <c r="AN23" s="32">
        <f>-'Debt'!AN27</f>
        <v>-682.4999999999999</v>
      </c>
      <c r="AO23" s="32">
        <f>-'Debt'!AO27</f>
        <v>-664.9999999999999</v>
      </c>
      <c r="AP23" s="32">
        <f>-'Debt'!AP27</f>
        <v>-647.4999999999999</v>
      </c>
      <c r="AQ23" s="32">
        <f>-'Debt'!AQ27</f>
        <v>-629.9999999999999</v>
      </c>
      <c r="AR23" s="32">
        <f>-'Debt'!AR27</f>
        <v>-612.4999999999999</v>
      </c>
      <c r="AS23" s="32">
        <f>-'Debt'!AS27</f>
        <v>-594.9999999999999</v>
      </c>
      <c r="AT23" s="32">
        <f>-'Debt'!AT27</f>
        <v>-577.4999999999999</v>
      </c>
      <c r="AU23" s="32">
        <f>-'Debt'!AU27</f>
        <v>-559.9999999999999</v>
      </c>
      <c r="AV23" s="32">
        <f>-'Debt'!AV27</f>
        <v>-542.5</v>
      </c>
      <c r="AW23" s="32">
        <f>-'Debt'!AW27</f>
        <v>-525</v>
      </c>
      <c r="AX23" s="32">
        <f>-'Debt'!AX27</f>
        <v>-507.49999999999994</v>
      </c>
      <c r="AY23" s="32">
        <f>-'Debt'!AY27</f>
        <v>-489.99999999999994</v>
      </c>
      <c r="AZ23" s="32">
        <f>-'Debt'!AZ27</f>
        <v>-472.49999999999994</v>
      </c>
      <c r="BA23" s="32">
        <f>-'Debt'!BA27</f>
        <v>-454.99999999999994</v>
      </c>
      <c r="BB23" s="32">
        <f>-'Debt'!BB27</f>
        <v>-437.49999999999994</v>
      </c>
      <c r="BC23" s="32">
        <f>-'Debt'!BC27</f>
        <v>-419.99999999999994</v>
      </c>
      <c r="BD23" s="32">
        <f>-'Debt'!BD27</f>
        <v>-402.49999999999994</v>
      </c>
      <c r="BE23" s="32">
        <f>-'Debt'!BE27</f>
        <v>-384.99999999999994</v>
      </c>
      <c r="BF23" s="32">
        <f>-'Debt'!BF27</f>
        <v>-367.49999999999994</v>
      </c>
      <c r="BG23" s="32">
        <f>-'Debt'!BG27</f>
        <v>-349.99999999999994</v>
      </c>
      <c r="BH23" s="32">
        <f>-'Debt'!BH27</f>
        <v>-332.49999999999994</v>
      </c>
      <c r="BI23" s="32">
        <f>-'Debt'!BI27</f>
        <v>-314.99999999999994</v>
      </c>
      <c r="BJ23" s="32">
        <f>-'Debt'!BJ27</f>
        <v>-297.49999999999994</v>
      </c>
      <c r="BK23" s="32">
        <f>-'Debt'!BK27</f>
        <v>-279.99999999999994</v>
      </c>
      <c r="BL23" s="32">
        <f>-'Debt'!BL27</f>
        <v>-262.5</v>
      </c>
      <c r="BM23" s="32">
        <f>-'Debt'!BM27</f>
        <v>-244.99999999999997</v>
      </c>
      <c r="BN23" s="32">
        <f>-'Debt'!BN27</f>
        <v>-227.49999999999997</v>
      </c>
      <c r="BO23" s="32">
        <f>-'Debt'!BO27</f>
        <v>-209.99999999999997</v>
      </c>
      <c r="BP23" s="32">
        <f>-'Debt'!BP27</f>
        <v>-192.49999999999997</v>
      </c>
      <c r="BQ23" s="32">
        <f>-'Debt'!BQ27</f>
        <v>-174.99999999999997</v>
      </c>
      <c r="BR23" s="32">
        <f>-'Debt'!BR27</f>
        <v>-157.49999999999997</v>
      </c>
      <c r="BS23" s="32">
        <f>-'Debt'!BS27</f>
        <v>-139.99999999999997</v>
      </c>
      <c r="BT23" s="32">
        <f>-'Debt'!BT27</f>
        <v>-122.49999999999999</v>
      </c>
      <c r="BU23" s="32">
        <f>-'Debt'!BU27</f>
        <v>-104.99999999999999</v>
      </c>
      <c r="BV23" s="32">
        <f>-'Debt'!BV27</f>
        <v>-87.49999999999999</v>
      </c>
      <c r="BW23" s="32">
        <f>-'Debt'!BW27</f>
        <v>-69.99999999999999</v>
      </c>
      <c r="BX23" s="32">
        <f>-'Debt'!BX27</f>
        <v>-52.49999999999999</v>
      </c>
      <c r="BY23" s="32">
        <f>-'Debt'!BY27</f>
        <v>-34.99999999999999</v>
      </c>
      <c r="BZ23" s="32">
        <f>-'Debt'!BZ27</f>
        <v>-17.499999999999996</v>
      </c>
      <c r="CA23" s="32">
        <f>-'Debt'!CA27</f>
        <v>0</v>
      </c>
      <c r="CB23" s="32">
        <f>-'Debt'!CB27</f>
        <v>0</v>
      </c>
      <c r="CC23" s="32">
        <f>-'Debt'!CC27</f>
        <v>0</v>
      </c>
      <c r="CD23" s="32">
        <f>-'Debt'!CD27</f>
        <v>0</v>
      </c>
      <c r="CE23" s="32">
        <f>-'Debt'!CE27</f>
        <v>0</v>
      </c>
      <c r="CF23" s="32">
        <f>-'Debt'!CF27</f>
        <v>0</v>
      </c>
      <c r="CG23" s="32">
        <f>-'Debt'!CG27</f>
        <v>0</v>
      </c>
      <c r="CH23" s="32">
        <f>-'Debt'!CH27</f>
        <v>0</v>
      </c>
      <c r="CI23" s="32">
        <f>-'Debt'!CI27</f>
        <v>0</v>
      </c>
      <c r="CJ23" s="32">
        <f>-'Debt'!CJ27</f>
        <v>0</v>
      </c>
      <c r="CK23" s="32">
        <f>-'Debt'!CK27</f>
        <v>0</v>
      </c>
      <c r="CL23" s="32">
        <f>-'Debt'!CL27</f>
        <v>0</v>
      </c>
    </row>
    <row r="24" spans="2:90" x14ac:dyDescent="0.25">
      <c r="B24" s="34" t="s">
        <v>312</v>
      </c>
      <c r="C24" s="35" t="s">
        <v>228</v>
      </c>
      <c r="D24" s="32">
        <f>SUM(E24:CL24)</f>
        <v>-23120.879375</v>
      </c>
      <c r="E24" s="32">
        <f>-'Debt'!E37</f>
        <v>0</v>
      </c>
      <c r="F24" s="32">
        <f>-'Debt'!F37</f>
        <v>0</v>
      </c>
      <c r="G24" s="32">
        <f>-'Debt'!G37</f>
        <v>0</v>
      </c>
      <c r="H24" s="32">
        <f>-'Debt'!H37</f>
        <v>0</v>
      </c>
      <c r="I24" s="32">
        <f>-'Debt'!I37</f>
        <v>0</v>
      </c>
      <c r="J24" s="32">
        <f>-'Debt'!J37</f>
        <v>0</v>
      </c>
      <c r="K24" s="32">
        <f>-'Debt'!K37</f>
        <v>-633.44875</v>
      </c>
      <c r="L24" s="32">
        <f>-'Debt'!L37</f>
        <v>-633.44875</v>
      </c>
      <c r="M24" s="32">
        <f>-'Debt'!M37</f>
        <v>-633.44875</v>
      </c>
      <c r="N24" s="32">
        <f>-'Debt'!N37</f>
        <v>-633.44875</v>
      </c>
      <c r="O24" s="32">
        <f>-'Debt'!O37</f>
        <v>-633.44875</v>
      </c>
      <c r="P24" s="32">
        <f>-'Debt'!P37</f>
        <v>-623.55111328125</v>
      </c>
      <c r="Q24" s="32">
        <f>-'Debt'!Q37</f>
        <v>-613.6534765625</v>
      </c>
      <c r="R24" s="32">
        <f>-'Debt'!R37</f>
        <v>-603.75583984375</v>
      </c>
      <c r="S24" s="32">
        <f>-'Debt'!S37</f>
        <v>-593.858203125</v>
      </c>
      <c r="T24" s="32">
        <f>-'Debt'!T37</f>
        <v>-583.96056640625</v>
      </c>
      <c r="U24" s="32">
        <f>-'Debt'!U37</f>
        <v>-574.0629296875001</v>
      </c>
      <c r="V24" s="32">
        <f>-'Debt'!V37</f>
        <v>-564.16529296875</v>
      </c>
      <c r="W24" s="32">
        <f>-'Debt'!W37</f>
        <v>-554.26765625</v>
      </c>
      <c r="X24" s="32">
        <f>-'Debt'!X37</f>
        <v>-544.37001953125</v>
      </c>
      <c r="Y24" s="32">
        <f>-'Debt'!Y37</f>
        <v>-534.4723828125</v>
      </c>
      <c r="Z24" s="32">
        <f>-'Debt'!Z37</f>
        <v>-524.57474609375</v>
      </c>
      <c r="AA24" s="32">
        <f>-'Debt'!AA37</f>
        <v>-514.677109375</v>
      </c>
      <c r="AB24" s="32">
        <f>-'Debt'!AB37</f>
        <v>-504.77947265625</v>
      </c>
      <c r="AC24" s="32">
        <f>-'Debt'!AC37</f>
        <v>-494.8818359375</v>
      </c>
      <c r="AD24" s="32">
        <f>-'Debt'!AD37</f>
        <v>-484.98419921875</v>
      </c>
      <c r="AE24" s="32">
        <f>-'Debt'!AE37</f>
        <v>-475.0865625</v>
      </c>
      <c r="AF24" s="32">
        <f>-'Debt'!AF37</f>
        <v>-465.18892578125</v>
      </c>
      <c r="AG24" s="32">
        <f>-'Debt'!AG37</f>
        <v>-455.2912890625</v>
      </c>
      <c r="AH24" s="32">
        <f>-'Debt'!AH37</f>
        <v>-445.39365234375</v>
      </c>
      <c r="AI24" s="32">
        <f>-'Debt'!AI37</f>
        <v>-435.496015625</v>
      </c>
      <c r="AJ24" s="32">
        <f>-'Debt'!AJ37</f>
        <v>-425.59837890625</v>
      </c>
      <c r="AK24" s="32">
        <f>-'Debt'!AK37</f>
        <v>-415.7007421875</v>
      </c>
      <c r="AL24" s="32">
        <f>-'Debt'!AL37</f>
        <v>-405.80310546875</v>
      </c>
      <c r="AM24" s="32">
        <f>-'Debt'!AM37</f>
        <v>-395.90546875</v>
      </c>
      <c r="AN24" s="32">
        <f>-'Debt'!AN37</f>
        <v>-386.00783203125</v>
      </c>
      <c r="AO24" s="32">
        <f>-'Debt'!AO37</f>
        <v>-376.1101953125</v>
      </c>
      <c r="AP24" s="32">
        <f>-'Debt'!AP37</f>
        <v>-366.21255859375</v>
      </c>
      <c r="AQ24" s="32">
        <f>-'Debt'!AQ37</f>
        <v>-356.314921875</v>
      </c>
      <c r="AR24" s="32">
        <f>-'Debt'!AR37</f>
        <v>-346.41728515625</v>
      </c>
      <c r="AS24" s="32">
        <f>-'Debt'!AS37</f>
        <v>-336.5196484375</v>
      </c>
      <c r="AT24" s="32">
        <f>-'Debt'!AT37</f>
        <v>-326.62201171875</v>
      </c>
      <c r="AU24" s="32">
        <f>-'Debt'!AU37</f>
        <v>-316.724375</v>
      </c>
      <c r="AV24" s="32">
        <f>-'Debt'!AV37</f>
        <v>-306.82673828125</v>
      </c>
      <c r="AW24" s="32">
        <f>-'Debt'!AW37</f>
        <v>-296.9291015625</v>
      </c>
      <c r="AX24" s="32">
        <f>-'Debt'!AX37</f>
        <v>-287.03146484375003</v>
      </c>
      <c r="AY24" s="32">
        <f>-'Debt'!AY37</f>
        <v>-277.133828125</v>
      </c>
      <c r="AZ24" s="32">
        <f>-'Debt'!AZ37</f>
        <v>-267.23619140625</v>
      </c>
      <c r="BA24" s="32">
        <f>-'Debt'!BA37</f>
        <v>-257.3385546875</v>
      </c>
      <c r="BB24" s="32">
        <f>-'Debt'!BB37</f>
        <v>-247.44091796875</v>
      </c>
      <c r="BC24" s="32">
        <f>-'Debt'!BC37</f>
        <v>-237.54328125</v>
      </c>
      <c r="BD24" s="32">
        <f>-'Debt'!BD37</f>
        <v>-227.64564453125</v>
      </c>
      <c r="BE24" s="32">
        <f>-'Debt'!BE37</f>
        <v>-217.7480078125</v>
      </c>
      <c r="BF24" s="32">
        <f>-'Debt'!BF37</f>
        <v>-207.85037109375</v>
      </c>
      <c r="BG24" s="32">
        <f>-'Debt'!BG37</f>
        <v>-197.952734375</v>
      </c>
      <c r="BH24" s="32">
        <f>-'Debt'!BH37</f>
        <v>-188.05509765625</v>
      </c>
      <c r="BI24" s="32">
        <f>-'Debt'!BI37</f>
        <v>-178.1574609375</v>
      </c>
      <c r="BJ24" s="32">
        <f>-'Debt'!BJ37</f>
        <v>-168.25982421875</v>
      </c>
      <c r="BK24" s="32">
        <f>-'Debt'!BK37</f>
        <v>-158.3621875</v>
      </c>
      <c r="BL24" s="32">
        <f>-'Debt'!BL37</f>
        <v>-148.46455078125</v>
      </c>
      <c r="BM24" s="32">
        <f>-'Debt'!BM37</f>
        <v>-138.5669140625</v>
      </c>
      <c r="BN24" s="32">
        <f>-'Debt'!BN37</f>
        <v>-128.66927734375</v>
      </c>
      <c r="BO24" s="32">
        <f>-'Debt'!BO37</f>
        <v>-118.771640625</v>
      </c>
      <c r="BP24" s="32">
        <f>-'Debt'!BP37</f>
        <v>-108.87400390625</v>
      </c>
      <c r="BQ24" s="32">
        <f>-'Debt'!BQ37</f>
        <v>-98.9763671875</v>
      </c>
      <c r="BR24" s="32">
        <f>-'Debt'!BR37</f>
        <v>-89.07873046875</v>
      </c>
      <c r="BS24" s="32">
        <f>-'Debt'!BS37</f>
        <v>-79.18109375</v>
      </c>
      <c r="BT24" s="32">
        <f>-'Debt'!BT37</f>
        <v>-69.28345703125</v>
      </c>
      <c r="BU24" s="32">
        <f>-'Debt'!BU37</f>
        <v>-59.3858203125</v>
      </c>
      <c r="BV24" s="32">
        <f>-'Debt'!BV37</f>
        <v>-49.48818359375</v>
      </c>
      <c r="BW24" s="32">
        <f>-'Debt'!BW37</f>
        <v>-39.590546875</v>
      </c>
      <c r="BX24" s="32">
        <f>-'Debt'!BX37</f>
        <v>-29.69291015625</v>
      </c>
      <c r="BY24" s="32">
        <f>-'Debt'!BY37</f>
        <v>-19.7952734375</v>
      </c>
      <c r="BZ24" s="32">
        <f>-'Debt'!BZ37</f>
        <v>-9.89763671875</v>
      </c>
      <c r="CA24" s="32">
        <f>-'Debt'!CA37</f>
        <v>0</v>
      </c>
      <c r="CB24" s="32">
        <f>-'Debt'!CB37</f>
        <v>0</v>
      </c>
      <c r="CC24" s="32">
        <f>-'Debt'!CC37</f>
        <v>0</v>
      </c>
      <c r="CD24" s="32">
        <f>-'Debt'!CD37</f>
        <v>0</v>
      </c>
      <c r="CE24" s="32">
        <f>-'Debt'!CE37</f>
        <v>0</v>
      </c>
      <c r="CF24" s="32">
        <f>-'Debt'!CF37</f>
        <v>0</v>
      </c>
      <c r="CG24" s="32">
        <f>-'Debt'!CG37</f>
        <v>0</v>
      </c>
      <c r="CH24" s="32">
        <f>-'Debt'!CH37</f>
        <v>0</v>
      </c>
      <c r="CI24" s="32">
        <f>-'Debt'!CI37</f>
        <v>0</v>
      </c>
      <c r="CJ24" s="32">
        <f>-'Debt'!CJ37</f>
        <v>0</v>
      </c>
      <c r="CK24" s="32">
        <f>-'Debt'!CK37</f>
        <v>0</v>
      </c>
      <c r="CL24" s="32">
        <f>-'Debt'!CL37</f>
        <v>0</v>
      </c>
    </row>
    <row r="25" spans="2:90" x14ac:dyDescent="0.25">
      <c r="B25" s="47" t="s">
        <v>313</v>
      </c>
      <c r="C25" s="35" t="s">
        <v>228</v>
      </c>
      <c r="D25" s="14">
        <f>SUM(E25:CL25)</f>
        <v>-64000.87937499999</v>
      </c>
      <c r="E25" s="14">
        <f>E23+E24</f>
        <v>0</v>
      </c>
      <c r="F25" s="14">
        <f>F23+F24</f>
        <v>0</v>
      </c>
      <c r="G25" s="14">
        <f>G23+G24</f>
        <v>0</v>
      </c>
      <c r="H25" s="14">
        <f>H23+H24</f>
        <v>0</v>
      </c>
      <c r="I25" s="14">
        <f>I23+I24</f>
        <v>0</v>
      </c>
      <c r="J25" s="14">
        <f>J23+J24</f>
        <v>0</v>
      </c>
      <c r="K25" s="14">
        <f>K23+K24</f>
        <v>-1753.4487499999998</v>
      </c>
      <c r="L25" s="14">
        <f>L23+L24</f>
        <v>-1753.4487499999998</v>
      </c>
      <c r="M25" s="14">
        <f>M23+M24</f>
        <v>-1753.4487499999998</v>
      </c>
      <c r="N25" s="14">
        <f>N23+N24</f>
        <v>-1753.4487499999998</v>
      </c>
      <c r="O25" s="14">
        <f>O23+O24</f>
        <v>-1753.4487499999998</v>
      </c>
      <c r="P25" s="14">
        <f>P23+P24</f>
        <v>-1726.0511132812499</v>
      </c>
      <c r="Q25" s="14">
        <f>Q23+Q24</f>
        <v>-1698.6534765625001</v>
      </c>
      <c r="R25" s="14">
        <f>R23+R24</f>
        <v>-1671.25583984375</v>
      </c>
      <c r="S25" s="14">
        <f>S23+S24</f>
        <v>-1643.858203125</v>
      </c>
      <c r="T25" s="14">
        <f>T23+T24</f>
        <v>-1616.46056640625</v>
      </c>
      <c r="U25" s="14">
        <f>U23+U24</f>
        <v>-1589.0629296875</v>
      </c>
      <c r="V25" s="14">
        <f>V23+V24</f>
        <v>-1561.6652929687498</v>
      </c>
      <c r="W25" s="14">
        <f>W23+W24</f>
        <v>-1534.2676562499998</v>
      </c>
      <c r="X25" s="14">
        <f>X23+X24</f>
        <v>-1506.87001953125</v>
      </c>
      <c r="Y25" s="14">
        <f>Y23+Y24</f>
        <v>-1479.4723828124997</v>
      </c>
      <c r="Z25" s="14">
        <f>Z23+Z24</f>
        <v>-1452.07474609375</v>
      </c>
      <c r="AA25" s="14">
        <f>AA23+AA24</f>
        <v>-1424.6771093749999</v>
      </c>
      <c r="AB25" s="14">
        <f>AB23+AB24</f>
        <v>-1397.27947265625</v>
      </c>
      <c r="AC25" s="14">
        <f>AC23+AC24</f>
        <v>-1369.8818359375</v>
      </c>
      <c r="AD25" s="14">
        <f>AD23+AD24</f>
        <v>-1342.4841992187498</v>
      </c>
      <c r="AE25" s="14">
        <f>AE23+AE24</f>
        <v>-1315.0865625</v>
      </c>
      <c r="AF25" s="14">
        <f>AF23+AF24</f>
        <v>-1287.68892578125</v>
      </c>
      <c r="AG25" s="14">
        <f>AG23+AG24</f>
        <v>-1260.2912890624998</v>
      </c>
      <c r="AH25" s="14">
        <f>AH23+AH24</f>
        <v>-1232.8936523437499</v>
      </c>
      <c r="AI25" s="14">
        <f>AI23+AI24</f>
        <v>-1205.496015625</v>
      </c>
      <c r="AJ25" s="14">
        <f>AJ23+AJ24</f>
        <v>-1178.0983789062498</v>
      </c>
      <c r="AK25" s="14">
        <f>AK23+AK24</f>
        <v>-1150.7007421874998</v>
      </c>
      <c r="AL25" s="14">
        <f>AL23+AL24</f>
        <v>-1123.30310546875</v>
      </c>
      <c r="AM25" s="14">
        <f>AM23+AM24</f>
        <v>-1095.90546875</v>
      </c>
      <c r="AN25" s="14">
        <f>AN23+AN24</f>
        <v>-1068.50783203125</v>
      </c>
      <c r="AO25" s="14">
        <f>AO23+AO24</f>
        <v>-1041.1101953124999</v>
      </c>
      <c r="AP25" s="14">
        <f>AP23+AP24</f>
        <v>-1013.7125585937499</v>
      </c>
      <c r="AQ25" s="14">
        <f>AQ23+AQ24</f>
        <v>-986.3149218749999</v>
      </c>
      <c r="AR25" s="14">
        <f>AR23+AR24</f>
        <v>-958.9172851562498</v>
      </c>
      <c r="AS25" s="14">
        <f>AS23+AS24</f>
        <v>-931.5196484374999</v>
      </c>
      <c r="AT25" s="14">
        <f>AT23+AT24</f>
        <v>-904.12201171875</v>
      </c>
      <c r="AU25" s="14">
        <f>AU23+AU24</f>
        <v>-876.7243749999999</v>
      </c>
      <c r="AV25" s="14">
        <f>AV23+AV24</f>
        <v>-849.3267382812501</v>
      </c>
      <c r="AW25" s="14">
        <f>AW23+AW24</f>
        <v>-821.9291015625</v>
      </c>
      <c r="AX25" s="14">
        <f>AX23+AX24</f>
        <v>-794.53146484375</v>
      </c>
      <c r="AY25" s="14">
        <f>AY23+AY24</f>
        <v>-767.1338281249999</v>
      </c>
      <c r="AZ25" s="14">
        <f>AZ23+AZ24</f>
        <v>-739.7361914062499</v>
      </c>
      <c r="BA25" s="14">
        <f>BA23+BA24</f>
        <v>-712.3385546874999</v>
      </c>
      <c r="BB25" s="14">
        <f>BB23+BB24</f>
        <v>-684.94091796875</v>
      </c>
      <c r="BC25" s="14">
        <f>BC23+BC24</f>
        <v>-657.54328125</v>
      </c>
      <c r="BD25" s="14">
        <f>BD23+BD24</f>
        <v>-630.1456445312499</v>
      </c>
      <c r="BE25" s="14">
        <f>BE23+BE24</f>
        <v>-602.7480078125</v>
      </c>
      <c r="BF25" s="14">
        <f>BF23+BF24</f>
        <v>-575.3503710937499</v>
      </c>
      <c r="BG25" s="14">
        <f>BG23+BG24</f>
        <v>-547.952734375</v>
      </c>
      <c r="BH25" s="14">
        <f>BH23+BH24</f>
        <v>-520.5550976562499</v>
      </c>
      <c r="BI25" s="14">
        <f>BI23+BI24</f>
        <v>-493.15746093749993</v>
      </c>
      <c r="BJ25" s="14">
        <f>BJ23+BJ24</f>
        <v>-465.75982421874994</v>
      </c>
      <c r="BK25" s="14">
        <f>BK23+BK24</f>
        <v>-438.36218749999995</v>
      </c>
      <c r="BL25" s="14">
        <f>BL23+BL24</f>
        <v>-410.96455078125</v>
      </c>
      <c r="BM25" s="14">
        <f>BM23+BM24</f>
        <v>-383.56691406249996</v>
      </c>
      <c r="BN25" s="14">
        <f>BN23+BN24</f>
        <v>-356.16927734374997</v>
      </c>
      <c r="BO25" s="14">
        <f>BO23+BO24</f>
        <v>-328.771640625</v>
      </c>
      <c r="BP25" s="14">
        <f>BP23+BP24</f>
        <v>-301.37400390625</v>
      </c>
      <c r="BQ25" s="14">
        <f>BQ23+BQ24</f>
        <v>-273.9763671875</v>
      </c>
      <c r="BR25" s="14">
        <f>BR23+BR24</f>
        <v>-246.57873046874997</v>
      </c>
      <c r="BS25" s="14">
        <f>BS23+BS24</f>
        <v>-219.18109374999997</v>
      </c>
      <c r="BT25" s="14">
        <f>BT23+BT24</f>
        <v>-191.78345703124998</v>
      </c>
      <c r="BU25" s="14">
        <f>BU23+BU24</f>
        <v>-164.3858203125</v>
      </c>
      <c r="BV25" s="14">
        <f>BV23+BV24</f>
        <v>-136.98818359375</v>
      </c>
      <c r="BW25" s="14">
        <f>BW23+BW24</f>
        <v>-109.59054687499999</v>
      </c>
      <c r="BX25" s="14">
        <f>BX23+BX24</f>
        <v>-82.19291015625</v>
      </c>
      <c r="BY25" s="14">
        <f>BY23+BY24</f>
        <v>-54.79527343749999</v>
      </c>
      <c r="BZ25" s="14">
        <f>BZ23+BZ24</f>
        <v>-27.397636718749997</v>
      </c>
      <c r="CA25" s="14">
        <f>CA23+CA24</f>
        <v>0</v>
      </c>
      <c r="CB25" s="14">
        <f>CB23+CB24</f>
        <v>0</v>
      </c>
      <c r="CC25" s="14">
        <f>CC23+CC24</f>
        <v>0</v>
      </c>
      <c r="CD25" s="14">
        <f>CD23+CD24</f>
        <v>0</v>
      </c>
      <c r="CE25" s="14">
        <f>CE23+CE24</f>
        <v>0</v>
      </c>
      <c r="CF25" s="14">
        <f>CF23+CF24</f>
        <v>0</v>
      </c>
      <c r="CG25" s="14">
        <f>CG23+CG24</f>
        <v>0</v>
      </c>
      <c r="CH25" s="14">
        <f>CH23+CH24</f>
        <v>0</v>
      </c>
      <c r="CI25" s="14">
        <f>CI23+CI24</f>
        <v>0</v>
      </c>
      <c r="CJ25" s="14">
        <f>CJ23+CJ24</f>
        <v>0</v>
      </c>
      <c r="CK25" s="14">
        <f>CK23+CK24</f>
        <v>0</v>
      </c>
      <c r="CL25" s="14">
        <f>CL23+CL24</f>
        <v>0</v>
      </c>
    </row>
    <row r="27" spans="2:90" x14ac:dyDescent="0.25">
      <c r="B27" s="47" t="s">
        <v>314</v>
      </c>
      <c r="C27" s="35" t="s">
        <v>228</v>
      </c>
      <c r="D27" s="14">
        <f>SUM(E27:CL27)</f>
        <v>95723.39864071996</v>
      </c>
      <c r="E27" s="14">
        <f>E19+E25</f>
        <v>0</v>
      </c>
      <c r="F27" s="14">
        <f>F19+F25</f>
        <v>0</v>
      </c>
      <c r="G27" s="14">
        <f>G19+G25</f>
        <v>0</v>
      </c>
      <c r="H27" s="14">
        <f>H19+H25</f>
        <v>0</v>
      </c>
      <c r="I27" s="14">
        <f>I19+I25</f>
        <v>0</v>
      </c>
      <c r="J27" s="14">
        <f>J19+J25</f>
        <v>0</v>
      </c>
      <c r="K27" s="14">
        <f>K19+K25</f>
        <v>582.432709064318</v>
      </c>
      <c r="L27" s="14">
        <f>L19+L25</f>
        <v>582.432709064318</v>
      </c>
      <c r="M27" s="14">
        <f>M19+M25</f>
        <v>582.432709064318</v>
      </c>
      <c r="N27" s="14">
        <f>N19+N25</f>
        <v>582.432709064318</v>
      </c>
      <c r="O27" s="14">
        <f>O19+O25</f>
        <v>547.0911415643184</v>
      </c>
      <c r="P27" s="14">
        <f>P19+P25</f>
        <v>574.4887782830683</v>
      </c>
      <c r="Q27" s="14">
        <f>Q19+Q25</f>
        <v>601.886415001818</v>
      </c>
      <c r="R27" s="14">
        <f>R19+R25</f>
        <v>629.2840517205682</v>
      </c>
      <c r="S27" s="14">
        <f>S19+S25</f>
        <v>621.2791159393189</v>
      </c>
      <c r="T27" s="14">
        <f>T19+T25</f>
        <v>648.6767526580688</v>
      </c>
      <c r="U27" s="14">
        <f>U19+U25</f>
        <v>676.074389376819</v>
      </c>
      <c r="V27" s="14">
        <f>V19+V25</f>
        <v>703.4720260955692</v>
      </c>
      <c r="W27" s="14">
        <f>W19+W25</f>
        <v>695.4056582793189</v>
      </c>
      <c r="X27" s="14">
        <f>X19+X25</f>
        <v>722.8032949980688</v>
      </c>
      <c r="Y27" s="14">
        <f>Y19+Y25</f>
        <v>750.200931716819</v>
      </c>
      <c r="Z27" s="14">
        <f>Z19+Z25</f>
        <v>777.5985684355687</v>
      </c>
      <c r="AA27" s="14">
        <f>AA19+AA25</f>
        <v>769.4703385600737</v>
      </c>
      <c r="AB27" s="14">
        <f>AB19+AB25</f>
        <v>796.8679752788237</v>
      </c>
      <c r="AC27" s="14">
        <f>AC19+AC25</f>
        <v>824.2656119975736</v>
      </c>
      <c r="AD27" s="14">
        <f>AD19+AD25</f>
        <v>851.6632487163238</v>
      </c>
      <c r="AE27" s="14">
        <f>AE19+AE25</f>
        <v>843.4727237471695</v>
      </c>
      <c r="AF27" s="14">
        <f>AF19+AF25</f>
        <v>870.8703604659195</v>
      </c>
      <c r="AG27" s="14">
        <f>AG19+AG25</f>
        <v>898.2679971846696</v>
      </c>
      <c r="AH27" s="14">
        <f>AH19+AH25</f>
        <v>925.6656339034196</v>
      </c>
      <c r="AI27" s="14">
        <f>AI19+AI25</f>
        <v>917.4123777749492</v>
      </c>
      <c r="AJ27" s="14">
        <f>AJ19+AJ25</f>
        <v>944.8100144936993</v>
      </c>
      <c r="AK27" s="14">
        <f>AK19+AK25</f>
        <v>972.2076512124493</v>
      </c>
      <c r="AL27" s="14">
        <f>AL19+AL25</f>
        <v>999.6052879311992</v>
      </c>
      <c r="AM27" s="14">
        <f>AM19+AM25</f>
        <v>991.288861525298</v>
      </c>
      <c r="AN27" s="14">
        <f>AN19+AN25</f>
        <v>1018.6864982440479</v>
      </c>
      <c r="AO27" s="14">
        <f>AO19+AO25</f>
        <v>1046.084134962798</v>
      </c>
      <c r="AP27" s="14">
        <f>AP19+AP25</f>
        <v>1073.481771681548</v>
      </c>
      <c r="AQ27" s="14">
        <f>AQ19+AQ25</f>
        <v>1065.1017328062749</v>
      </c>
      <c r="AR27" s="14">
        <f>AR19+AR25</f>
        <v>1092.499369525025</v>
      </c>
      <c r="AS27" s="14">
        <f>AS19+AS25</f>
        <v>1119.897006243775</v>
      </c>
      <c r="AT27" s="14">
        <f>AT19+AT25</f>
        <v>1147.294642962525</v>
      </c>
      <c r="AU27" s="14">
        <f>AU19+AU25</f>
        <v>1138.8505463305946</v>
      </c>
      <c r="AV27" s="14">
        <f>AV19+AV25</f>
        <v>1166.2481830493443</v>
      </c>
      <c r="AW27" s="14">
        <f>AW19+AW25</f>
        <v>1193.6458197680945</v>
      </c>
      <c r="AX27" s="14">
        <f>AX19+AX25</f>
        <v>1221.0434564868444</v>
      </c>
      <c r="AY27" s="14">
        <f>AY19+AY25</f>
        <v>1212.5348536939582</v>
      </c>
      <c r="AZ27" s="14">
        <f>AZ19+AZ25</f>
        <v>1239.9324904127084</v>
      </c>
      <c r="BA27" s="14">
        <f>BA19+BA25</f>
        <v>1267.3301271314583</v>
      </c>
      <c r="BB27" s="14">
        <f>BB19+BB25</f>
        <v>1294.7277638502082</v>
      </c>
      <c r="BC27" s="14">
        <f>BC19+BC25</f>
        <v>1286.154203353241</v>
      </c>
      <c r="BD27" s="14">
        <f>BD19+BD25</f>
        <v>1313.551840071991</v>
      </c>
      <c r="BE27" s="14">
        <f>BE19+BE25</f>
        <v>1340.9494767907408</v>
      </c>
      <c r="BF27" s="14">
        <f>BF19+BF25</f>
        <v>1368.347113509491</v>
      </c>
      <c r="BG27" s="14">
        <f>BG19+BG25</f>
        <v>1359.708140604514</v>
      </c>
      <c r="BH27" s="14">
        <f>BH19+BH25</f>
        <v>1387.1057773232642</v>
      </c>
      <c r="BI27" s="14">
        <f>BI19+BI25</f>
        <v>1414.5034140420141</v>
      </c>
      <c r="BJ27" s="14">
        <f>BJ19+BJ25</f>
        <v>1441.901050760764</v>
      </c>
      <c r="BK27" s="14">
        <f>BK19+BK25</f>
        <v>1433.19620756092</v>
      </c>
      <c r="BL27" s="14">
        <f>BL19+BL25</f>
        <v>1460.5938442796698</v>
      </c>
      <c r="BM27" s="14">
        <f>BM19+BM25</f>
        <v>1487.9914809984198</v>
      </c>
      <c r="BN27" s="14">
        <f>BN19+BN25</f>
        <v>1515.38911771717</v>
      </c>
      <c r="BO27" s="14">
        <f>BO19+BO25</f>
        <v>1506.617943130396</v>
      </c>
      <c r="BP27" s="14">
        <f>BP19+BP25</f>
        <v>1534.015579849146</v>
      </c>
      <c r="BQ27" s="14">
        <f>BQ19+BQ25</f>
        <v>1561.413216567896</v>
      </c>
      <c r="BR27" s="14">
        <f>BR19+BR25</f>
        <v>1588.810853286646</v>
      </c>
      <c r="BS27" s="14">
        <f>BS19+BS25</f>
        <v>1579.972882993235</v>
      </c>
      <c r="BT27" s="14">
        <f>BT19+BT25</f>
        <v>1607.370519711985</v>
      </c>
      <c r="BU27" s="14">
        <f>BU19+BU25</f>
        <v>1634.768156430735</v>
      </c>
      <c r="BV27" s="14">
        <f>BV19+BV25</f>
        <v>1662.1657931494851</v>
      </c>
      <c r="BW27" s="14">
        <f>BW19+BW25</f>
        <v>1653.2605595794873</v>
      </c>
      <c r="BX27" s="14">
        <f>BX19+BX25</f>
        <v>1680.6581962982373</v>
      </c>
      <c r="BY27" s="14">
        <f>BY19+BY25</f>
        <v>1708.0558330169872</v>
      </c>
      <c r="BZ27" s="14">
        <f>BZ19+BZ25</f>
        <v>1735.4534697357374</v>
      </c>
      <c r="CA27" s="14">
        <f>CA19+CA25</f>
        <v>1726.480502046219</v>
      </c>
      <c r="CB27" s="14">
        <f>CB19+CB25</f>
        <v>1726.480502046219</v>
      </c>
      <c r="CC27" s="14">
        <f>CC19+CC25</f>
        <v>1726.480502046219</v>
      </c>
      <c r="CD27" s="14">
        <f>CD19+CD25</f>
        <v>1726.480502046219</v>
      </c>
      <c r="CE27" s="14">
        <f>CE19+CE25</f>
        <v>1690.041689379591</v>
      </c>
      <c r="CF27" s="14">
        <f>CF19+CF25</f>
        <v>1690.041689379591</v>
      </c>
      <c r="CG27" s="14">
        <f>CG19+CG25</f>
        <v>1690.041689379591</v>
      </c>
      <c r="CH27" s="14">
        <f>CH19+CH25</f>
        <v>1690.041689379591</v>
      </c>
      <c r="CI27" s="14">
        <f>CI19+CI25</f>
        <v>1653.5341909967988</v>
      </c>
      <c r="CJ27" s="14">
        <f>CJ19+CJ25</f>
        <v>1653.5341909967988</v>
      </c>
      <c r="CK27" s="14">
        <f>CK19+CK25</f>
        <v>1653.5341909967988</v>
      </c>
      <c r="CL27" s="14">
        <f>CL19+CL25</f>
        <v>1653.5341909967988</v>
      </c>
    </row>
    <row r="28" spans="2:90" x14ac:dyDescent="0.25">
      <c r="B28" s="34" t="s">
        <v>315</v>
      </c>
      <c r="C28" s="35" t="s">
        <v>228</v>
      </c>
      <c r="D28" s="32">
        <f>SUM(E28:CL28)</f>
        <v>-19544.190315910477</v>
      </c>
      <c r="E28" s="32">
        <f>IF(AND(E27&gt;0,E51&gt;0),-E50*E27/E51,0)</f>
        <v>0</v>
      </c>
      <c r="F28" s="32">
        <f>IF(AND(F27&gt;0,E51&gt;0),-E50*F27/E51,0)</f>
        <v>0</v>
      </c>
      <c r="G28" s="32">
        <f>IF(AND(G27&gt;0,E51&gt;0),-E50*G27/E51,0)</f>
        <v>0</v>
      </c>
      <c r="H28" s="32">
        <f>IF(AND(H27&gt;0,F51&gt;0),-F50*H27/F51,0)</f>
        <v>0</v>
      </c>
      <c r="I28" s="32">
        <f>IF(AND(I27&gt;0,F51&gt;0),-F50*I27/F51,0)</f>
        <v>0</v>
      </c>
      <c r="J28" s="32">
        <f>IF(AND(J27&gt;0,F51&gt;0),-F50*J27/F51,0)</f>
        <v>0</v>
      </c>
      <c r="K28" s="32">
        <f>IF(AND(K27&gt;0,F51&gt;0),-F50*K27/F51,0)</f>
        <v>-104.95343619444247</v>
      </c>
      <c r="L28" s="32">
        <f>IF(AND(L27&gt;0,G51&gt;0),-G50*L27/G51,0)</f>
        <v>-121.44920023884644</v>
      </c>
      <c r="M28" s="32">
        <f>IF(AND(M27&gt;0,G51&gt;0),-G50*M27/G51,0)</f>
        <v>-121.44920023884644</v>
      </c>
      <c r="N28" s="32">
        <f>IF(AND(N27&gt;0,G51&gt;0),-G50*N27/G51,0)</f>
        <v>-121.44920023884644</v>
      </c>
      <c r="O28" s="32">
        <f>IF(AND(O27&gt;0,G51&gt;0),-G50*O27/G51,0)</f>
        <v>-114.0797564537307</v>
      </c>
      <c r="P28" s="32">
        <f>IF(AND(P27&gt;0,H51&gt;0),-H50*P27/H51,0)</f>
        <v>-119.8077699450594</v>
      </c>
      <c r="Q28" s="32">
        <f>IF(AND(Q27&gt;0,H51&gt;0),-H50*Q27/H51,0)</f>
        <v>-125.5214581512038</v>
      </c>
      <c r="R28" s="32">
        <f>IF(AND(R27&gt;0,H51&gt;0),-H50*R27/H51,0)</f>
        <v>-131.2351463573483</v>
      </c>
      <c r="S28" s="32">
        <f>IF(AND(S27&gt;0,H51&gt;0),-H50*S27/H51,0)</f>
        <v>-129.56574298384615</v>
      </c>
      <c r="T28" s="32">
        <f>IF(AND(T27&gt;0,I51&gt;0),-I50*T27/I51,0)</f>
        <v>-135.3114583139463</v>
      </c>
      <c r="U28" s="32">
        <f>IF(AND(U27&gt;0,I51&gt;0),-I50*U27/I51,0)</f>
        <v>-141.02649922388923</v>
      </c>
      <c r="V28" s="32">
        <f>IF(AND(V27&gt;0,I51&gt;0),-I50*V27/I51,0)</f>
        <v>-146.7415401338322</v>
      </c>
      <c r="W28" s="32">
        <f>IF(AND(W27&gt;0,I51&gt;0),-I50*W27/I51,0)</f>
        <v>-145.05892704797546</v>
      </c>
      <c r="X28" s="32">
        <f>IF(AND(X27&gt;0,J51&gt;0),-J50*X27/J51,0)</f>
        <v>-150.8026223066318</v>
      </c>
      <c r="Y28" s="32">
        <f>IF(AND(Y27&gt;0,J51&gt;0),-J50*Y27/J51,0)</f>
        <v>-156.51874935085485</v>
      </c>
      <c r="Z28" s="32">
        <f>IF(AND(Z27&gt;0,J51&gt;0),-J50*Z27/J51,0)</f>
        <v>-162.2348763950778</v>
      </c>
      <c r="AA28" s="32">
        <f>IF(AND(AA27&gt;0,J51&gt;0),-J50*AA27/J51,0)</f>
        <v>-160.5390368929363</v>
      </c>
      <c r="AB28" s="32">
        <f>IF(AND(AB27&gt;0,K51&gt;0),-K50*AB27/K51,0)</f>
        <v>-166.2810873149068</v>
      </c>
      <c r="AC28" s="32">
        <f>IF(AND(AC27&gt;0,K51&gt;0),-K50*AC27/K51,0)</f>
        <v>-171.99810564765954</v>
      </c>
      <c r="AD28" s="32">
        <f>IF(AND(AD27&gt;0,K51&gt;0),-K50*AD27/K51,0)</f>
        <v>-177.71512398041227</v>
      </c>
      <c r="AE28" s="32">
        <f>IF(AND(AE27&gt;0,K51&gt;0),-K50*AE27/K51,0)</f>
        <v>-176.00602104265857</v>
      </c>
      <c r="AF28" s="32">
        <f>IF(AND(AF27&gt;0,L51&gt;0),-L50*AF27/L51,0)</f>
        <v>-181.74670599753517</v>
      </c>
      <c r="AG28" s="32">
        <f>IF(AND(AG27&gt;0,L51&gt;0),-L50*AG27/L51,0)</f>
        <v>-187.46446888371943</v>
      </c>
      <c r="AH28" s="32">
        <f>IF(AND(AH27&gt;0,L51&gt;0),-L50*AH27/L51,0)</f>
        <v>-193.1822317699037</v>
      </c>
      <c r="AI28" s="32">
        <f>IF(AND(AI27&gt;0,L51&gt;0),-L50*AI27/L51,0)</f>
        <v>-191.4598145385939</v>
      </c>
      <c r="AJ28" s="32">
        <f>IF(AND(AJ27&gt;0,M51&gt;0),-M50*AJ27/M51,0)</f>
        <v>-197.19934766882199</v>
      </c>
      <c r="AK28" s="32">
        <f>IF(AND(AK27&gt;0,M51&gt;0),-M50*AK27/M51,0)</f>
        <v>-202.91774184937066</v>
      </c>
      <c r="AL28" s="32">
        <f>IF(AND(AL27&gt;0,M51&gt;0),-M50*AL27/M51,0)</f>
        <v>-208.6361360299193</v>
      </c>
      <c r="AM28" s="32">
        <f>IF(AND(AM27&gt;0,M51&gt;0),-M50*AM27/M51,0)</f>
        <v>-206.90034382088103</v>
      </c>
      <c r="AN28" s="32">
        <f>IF(AND(AN27&gt;0,N51&gt;0),-N50*AN27/N51,0)</f>
        <v>-212.63889218488913</v>
      </c>
      <c r="AO28" s="32">
        <f>IF(AND(AO27&gt;0,N51&gt;0),-N50*AO27/N51,0)</f>
        <v>-218.3578284134553</v>
      </c>
      <c r="AP28" s="32">
        <f>IF(AND(AP27&gt;0,N51&gt;0),-N50*AP27/N51,0)</f>
        <v>-224.07676464202137</v>
      </c>
      <c r="AQ28" s="32">
        <f>IF(AND(AQ27&gt;0,N51&gt;0),-N50*AQ27/N51,0)</f>
        <v>-222.32752953782008</v>
      </c>
      <c r="AR28" s="32">
        <f>IF(AND(AR27&gt;0,O51&gt;0),-O50*AR27/O51,0)</f>
        <v>-228.06522624946885</v>
      </c>
      <c r="AS28" s="32">
        <f>IF(AND(AS27&gt;0,O51&gt;0),-O50*AS27/O51,0)</f>
        <v>-233.78463295235693</v>
      </c>
      <c r="AT28" s="32">
        <f>IF(AND(AT27&gt;0,O51&gt;0),-O50*AT27/O51,0)</f>
        <v>-239.50403965524504</v>
      </c>
      <c r="AU28" s="32">
        <f>IF(AND(AU27&gt;0,O51&gt;0),-O50*AU27/O51,0)</f>
        <v>-237.7412882408705</v>
      </c>
      <c r="AV28" s="32">
        <f>IF(AND(AV27&gt;0,P51&gt;0),-P50*AV27/P51,0)</f>
        <v>-243.4782410904822</v>
      </c>
      <c r="AW28" s="32">
        <f>IF(AND(AW27&gt;0,P51&gt;0),-P50*AW27/P51,0)</f>
        <v>-249.19805998947123</v>
      </c>
      <c r="AX28" s="32">
        <f>IF(AND(AX27&gt;0,P51&gt;0),-P50*AX27/P51,0)</f>
        <v>-254.91787888846025</v>
      </c>
      <c r="AY28" s="32">
        <f>IF(AND(AY27&gt;0,P51&gt;0),-P50*AY27/P51,0)</f>
        <v>-253.14153344821887</v>
      </c>
      <c r="AZ28" s="32">
        <f>IF(AND(AZ27&gt;0,Q51&gt;0),-Q50*AZ27/Q51,0)</f>
        <v>-258.87783094788114</v>
      </c>
      <c r="BA28" s="32">
        <f>IF(AND(BA27&gt;0,Q51&gt;0),-Q50*BA27/Q51,0)</f>
        <v>-264.5980139592056</v>
      </c>
      <c r="BB28" s="32">
        <f>IF(AND(BB27&gt;0,Q51&gt;0),-Q50*BB27/Q51,0)</f>
        <v>-270.31819697053004</v>
      </c>
      <c r="BC28" s="32">
        <f>IF(AND(BC27&gt;0,Q51&gt;0),-Q50*BC27/Q51,0)</f>
        <v>-268.52817633463513</v>
      </c>
      <c r="BD28" s="32">
        <f>IF(AND(BD27&gt;0,R51&gt;0),-R50*BD27/R51,0)</f>
        <v>-274.2638920598536</v>
      </c>
      <c r="BE28" s="32">
        <f>IF(AND(BE27&gt;0,R51&gt;0),-R50*BE27/R51,0)</f>
        <v>-279.9843990474686</v>
      </c>
      <c r="BF28" s="32">
        <f>IF(AND(BF27&gt;0,R51&gt;0),-R50*BF27/R51,0)</f>
        <v>-285.7049060350836</v>
      </c>
      <c r="BG28" s="32">
        <f>IF(AND(BG27&gt;0,R51&gt;0),-R50*BG27/R51,0)</f>
        <v>-283.90112619173254</v>
      </c>
      <c r="BH28" s="32">
        <f>IF(AND(BH27&gt;0,S51&gt;0),-S50*BH27/S51,0)</f>
        <v>-289.6363219652087</v>
      </c>
      <c r="BI28" s="32">
        <f>IF(AND(BI27&gt;0,S51&gt;0),-S50*BI27/S51,0)</f>
        <v>-295.3571190806751</v>
      </c>
      <c r="BJ28" s="32">
        <f>IF(AND(BJ27&gt;0,S51&gt;0),-S50*BJ27/S51,0)</f>
        <v>-301.0779161961415</v>
      </c>
      <c r="BK28" s="32">
        <f>IF(AND(BK27&gt;0,S51&gt;0),-S50*BK27/S51,0)</f>
        <v>-299.2602907425499</v>
      </c>
      <c r="BL28" s="32">
        <f>IF(AND(BL27&gt;0,T51&gt;0),-T50*BL27/T51,0)</f>
        <v>-304.9950190120903</v>
      </c>
      <c r="BM28" s="32">
        <f>IF(AND(BM27&gt;0,T51&gt;0),-T50*BM27/T51,0)</f>
        <v>-310.71607744640306</v>
      </c>
      <c r="BN28" s="32">
        <f>IF(AND(BN27&gt;0,T51&gt;0),-T50*BN27/T51,0)</f>
        <v>-316.43713588071586</v>
      </c>
      <c r="BO28" s="32">
        <f>IF(AND(BO27&gt;0,T51&gt;0),-T50*BO27/T51,0)</f>
        <v>-314.60557636105295</v>
      </c>
      <c r="BP28" s="32">
        <f>IF(AND(BP27&gt;0,U51&gt;0),-U50*BP27/U51,0)</f>
        <v>-320.33988200472123</v>
      </c>
      <c r="BQ28" s="32">
        <f>IF(AND(BQ27&gt;0,U51&gt;0),-U50*BQ27/U51,0)</f>
        <v>-326.0611770352161</v>
      </c>
      <c r="BR28" s="32">
        <f>IF(AND(BR27&gt;0,U51&gt;0),-U50*BR27/U51,0)</f>
        <v>-331.7824720657109</v>
      </c>
      <c r="BS28" s="32">
        <f>IF(AND(BS27&gt;0,U51&gt;0),-U50*BS27/U51,0)</f>
        <v>-329.936888228009</v>
      </c>
      <c r="BT28" s="32">
        <f>IF(AND(BT27&gt;0,V51&gt;0),-V50*BT27/V51,0)</f>
        <v>-335.67080994454227</v>
      </c>
      <c r="BU28" s="32">
        <f>IF(AND(BU27&gt;0,V51&gt;0),-V50*BU27/V51,0)</f>
        <v>-341.3923201969494</v>
      </c>
      <c r="BV28" s="32">
        <f>IF(AND(BV27&gt;0,V51&gt;0),-V50*BV27/V51,0)</f>
        <v>-347.11383044935656</v>
      </c>
      <c r="BW28" s="32">
        <f>IF(AND(BW27&gt;0,V51&gt;0),-V50*BW27/V51,0)</f>
        <v>-345.25413044333555</v>
      </c>
      <c r="BX28" s="32">
        <f>IF(AND(BX27&gt;0,W51&gt;0),-W50*BX27/W51,0)</f>
        <v>-350.98770183719563</v>
      </c>
      <c r="BY28" s="32">
        <f>IF(AND(BY27&gt;0,W51&gt;0),-W50*BY27/W51,0)</f>
        <v>-356.7094087070784</v>
      </c>
      <c r="BZ28" s="32">
        <f>IF(AND(BZ27&gt;0,W51&gt;0),-W50*BZ27/W51,0)</f>
        <v>-362.43111557696125</v>
      </c>
      <c r="CA28" s="32">
        <f>IF(AND(CA27&gt;0,W51&gt;0),-W50*CA27/W51,0)</f>
        <v>-360.5572061080756</v>
      </c>
      <c r="CB28" s="32">
        <f>IF(AND(CB27&gt;0,X51&gt;0),-X50*CB27/X51,0)</f>
        <v>-360.55796620460916</v>
      </c>
      <c r="CC28" s="32">
        <f>IF(AND(CC27&gt;0,X51&gt;0),-X50*CC27/X51,0)</f>
        <v>-360.55796620460916</v>
      </c>
      <c r="CD28" s="32">
        <f>IF(AND(CD27&gt;0,X51&gt;0),-X50*CD27/X51,0)</f>
        <v>-360.55796620460916</v>
      </c>
      <c r="CE28" s="32">
        <f>IF(AND(CE27&gt;0,X51&gt;0),-X50*CE27/X51,0)</f>
        <v>-352.9480892494865</v>
      </c>
      <c r="CF28" s="32">
        <f>IF(AND(CF27&gt;0,Y51&gt;0),-Y50*CF27/Y51,0)</f>
        <v>-352.9422199109653</v>
      </c>
      <c r="CG28" s="32">
        <f>IF(AND(CG27&gt;0,Y51&gt;0),-Y50*CG27/Y51,0)</f>
        <v>-352.9422199109653</v>
      </c>
      <c r="CH28" s="32">
        <f>IF(AND(CH27&gt;0,Y51&gt;0),-Y50*CH27/Y51,0)</f>
        <v>-352.9422199109653</v>
      </c>
      <c r="CI28" s="32">
        <f>IF(AND(CI27&gt;0,Y51&gt;0),-Y50*CI27/Y51,0)</f>
        <v>-345.3181254264389</v>
      </c>
      <c r="CJ28" s="32">
        <f>IF(AND(CJ27&gt;0,Z51&gt;0),-Z50*CJ27/Z51,0)</f>
        <v>-204.14697925166428</v>
      </c>
      <c r="CK28" s="32">
        <f>IF(AND(CK27&gt;0,Z51&gt;0),-Z50*CK27/Z51,0)</f>
        <v>-204.14697925166428</v>
      </c>
      <c r="CL28" s="32">
        <f>IF(AND(CL27&gt;0,Z51&gt;0),-Z50*CL27/Z51,0)</f>
        <v>-204.14697925166428</v>
      </c>
    </row>
    <row r="29" spans="2:91" x14ac:dyDescent="0.25">
      <c r="B29" s="48" t="s">
        <v>316</v>
      </c>
      <c r="C29" s="51" t="s">
        <v>228</v>
      </c>
      <c r="D29" s="43">
        <f>SUM(E29:CL29)</f>
        <v>76179.20832480949</v>
      </c>
      <c r="E29" s="43">
        <f>E27+E28</f>
        <v>0</v>
      </c>
      <c r="F29" s="43">
        <f>F27+F28</f>
        <v>0</v>
      </c>
      <c r="G29" s="43">
        <f>G27+G28</f>
        <v>0</v>
      </c>
      <c r="H29" s="43">
        <f>H27+H28</f>
        <v>0</v>
      </c>
      <c r="I29" s="43">
        <f>I27+I28</f>
        <v>0</v>
      </c>
      <c r="J29" s="43">
        <f>J27+J28</f>
        <v>0</v>
      </c>
      <c r="K29" s="43">
        <f>K27+K28</f>
        <v>477.47927286987556</v>
      </c>
      <c r="L29" s="43">
        <f>L27+L28</f>
        <v>460.9835088254716</v>
      </c>
      <c r="M29" s="43">
        <f>M27+M28</f>
        <v>460.9835088254716</v>
      </c>
      <c r="N29" s="43">
        <f>N27+N28</f>
        <v>460.9835088254716</v>
      </c>
      <c r="O29" s="43">
        <f>O27+O28</f>
        <v>433.0113851105877</v>
      </c>
      <c r="P29" s="43">
        <f>P27+P28</f>
        <v>454.6810083380089</v>
      </c>
      <c r="Q29" s="43">
        <f>Q27+Q28</f>
        <v>476.36495685061425</v>
      </c>
      <c r="R29" s="43">
        <f>R27+R28</f>
        <v>498.0489053632199</v>
      </c>
      <c r="S29" s="43">
        <f>S27+S28</f>
        <v>491.7133729554728</v>
      </c>
      <c r="T29" s="43">
        <f>T27+T28</f>
        <v>513.3652943441225</v>
      </c>
      <c r="U29" s="43">
        <f>U27+U28</f>
        <v>535.0478901529298</v>
      </c>
      <c r="V29" s="43">
        <f>V27+V28</f>
        <v>556.730485961737</v>
      </c>
      <c r="W29" s="43">
        <f>W27+W28</f>
        <v>550.3467312313435</v>
      </c>
      <c r="X29" s="43">
        <f>X27+X28</f>
        <v>572.0006726914371</v>
      </c>
      <c r="Y29" s="43">
        <f>Y27+Y28</f>
        <v>593.6821823659642</v>
      </c>
      <c r="Z29" s="43">
        <f>Z27+Z28</f>
        <v>615.363692040491</v>
      </c>
      <c r="AA29" s="43">
        <f>AA27+AA28</f>
        <v>608.9313016671374</v>
      </c>
      <c r="AB29" s="43">
        <f>AB27+AB28</f>
        <v>630.5868879639169</v>
      </c>
      <c r="AC29" s="43">
        <f>AC27+AC28</f>
        <v>652.2675063499141</v>
      </c>
      <c r="AD29" s="43">
        <f>AD27+AD28</f>
        <v>673.9481247359115</v>
      </c>
      <c r="AE29" s="43">
        <f>AE27+AE28</f>
        <v>667.4667027045109</v>
      </c>
      <c r="AF29" s="43">
        <f>AF27+AF28</f>
        <v>689.1236544683843</v>
      </c>
      <c r="AG29" s="43">
        <f>AG27+AG28</f>
        <v>710.8035283009502</v>
      </c>
      <c r="AH29" s="43">
        <f>AH27+AH28</f>
        <v>732.4834021335159</v>
      </c>
      <c r="AI29" s="43">
        <f>AI27+AI28</f>
        <v>725.9525632363552</v>
      </c>
      <c r="AJ29" s="43">
        <f>AJ27+AJ28</f>
        <v>747.6106668248774</v>
      </c>
      <c r="AK29" s="43">
        <f>AK27+AK28</f>
        <v>769.2899093630786</v>
      </c>
      <c r="AL29" s="43">
        <f>AL27+AL28</f>
        <v>790.9691519012799</v>
      </c>
      <c r="AM29" s="43">
        <f>AM27+AM28</f>
        <v>784.3885177044169</v>
      </c>
      <c r="AN29" s="43">
        <f>AN27+AN28</f>
        <v>806.0476060591589</v>
      </c>
      <c r="AO29" s="43">
        <f>AO27+AO28</f>
        <v>827.7263065493428</v>
      </c>
      <c r="AP29" s="43">
        <f>AP27+AP28</f>
        <v>849.4050070395267</v>
      </c>
      <c r="AQ29" s="43">
        <f>AQ27+AQ28</f>
        <v>842.7742032684548</v>
      </c>
      <c r="AR29" s="43">
        <f>AR27+AR28</f>
        <v>864.4341432755562</v>
      </c>
      <c r="AS29" s="43">
        <f>AS27+AS28</f>
        <v>886.1123732914181</v>
      </c>
      <c r="AT29" s="43">
        <f>AT27+AT28</f>
        <v>907.7906033072799</v>
      </c>
      <c r="AU29" s="43">
        <f>AU27+AU28</f>
        <v>901.1092580897241</v>
      </c>
      <c r="AV29" s="43">
        <f>AV27+AV28</f>
        <v>922.7699419588621</v>
      </c>
      <c r="AW29" s="43">
        <f>AW27+AW28</f>
        <v>944.4477597786233</v>
      </c>
      <c r="AX29" s="43">
        <f>AX27+AX28</f>
        <v>966.1255775983842</v>
      </c>
      <c r="AY29" s="43">
        <f>AY27+AY28</f>
        <v>959.3933202457393</v>
      </c>
      <c r="AZ29" s="43">
        <f>AZ27+AZ28</f>
        <v>981.0546594648272</v>
      </c>
      <c r="BA29" s="43">
        <f>BA27+BA28</f>
        <v>1002.7321131722526</v>
      </c>
      <c r="BB29" s="43">
        <f>BB27+BB28</f>
        <v>1024.409566879678</v>
      </c>
      <c r="BC29" s="43">
        <f>BC27+BC28</f>
        <v>1017.6260270186058</v>
      </c>
      <c r="BD29" s="43">
        <f>BD27+BD28</f>
        <v>1039.2879480121373</v>
      </c>
      <c r="BE29" s="43">
        <f>BE27+BE28</f>
        <v>1060.965077743272</v>
      </c>
      <c r="BF29" s="43">
        <f>BF27+BF28</f>
        <v>1082.6422074744073</v>
      </c>
      <c r="BG29" s="43">
        <f>BG27+BG28</f>
        <v>1075.8070144127814</v>
      </c>
      <c r="BH29" s="43">
        <f>BH27+BH28</f>
        <v>1097.4694553580555</v>
      </c>
      <c r="BI29" s="43">
        <f>BI27+BI28</f>
        <v>1119.146294961339</v>
      </c>
      <c r="BJ29" s="43">
        <f>BJ27+BJ28</f>
        <v>1140.8231345646227</v>
      </c>
      <c r="BK29" s="43">
        <f>BK27+BK28</f>
        <v>1133.93591681837</v>
      </c>
      <c r="BL29" s="43">
        <f>BL27+BL28</f>
        <v>1155.5988252675795</v>
      </c>
      <c r="BM29" s="43">
        <f>BM27+BM28</f>
        <v>1177.2754035520168</v>
      </c>
      <c r="BN29" s="43">
        <f>BN27+BN28</f>
        <v>1198.951981836454</v>
      </c>
      <c r="BO29" s="43">
        <f>BO27+BO28</f>
        <v>1192.012366769343</v>
      </c>
      <c r="BP29" s="43">
        <f>BP27+BP28</f>
        <v>1213.6756978444248</v>
      </c>
      <c r="BQ29" s="43">
        <f>BQ27+BQ28</f>
        <v>1235.3520395326798</v>
      </c>
      <c r="BR29" s="43">
        <f>BR27+BR28</f>
        <v>1257.0283812209352</v>
      </c>
      <c r="BS29" s="43">
        <f>BS27+BS28</f>
        <v>1250.035994765226</v>
      </c>
      <c r="BT29" s="43">
        <f>BT27+BT28</f>
        <v>1271.6997097674428</v>
      </c>
      <c r="BU29" s="43">
        <f>BU27+BU28</f>
        <v>1293.3758362337855</v>
      </c>
      <c r="BV29" s="43">
        <f>BV27+BV28</f>
        <v>1315.0519627001286</v>
      </c>
      <c r="BW29" s="43">
        <f>BW27+BW28</f>
        <v>1308.0064291361518</v>
      </c>
      <c r="BX29" s="43">
        <f>BX27+BX28</f>
        <v>1329.6704944610417</v>
      </c>
      <c r="BY29" s="43">
        <f>BY27+BY28</f>
        <v>1351.3464243099088</v>
      </c>
      <c r="BZ29" s="43">
        <f>BZ27+BZ28</f>
        <v>1373.0223541587761</v>
      </c>
      <c r="CA29" s="43">
        <f>CA27+CA28</f>
        <v>1365.9232959381434</v>
      </c>
      <c r="CB29" s="43">
        <f>CB27+CB28</f>
        <v>1365.92253584161</v>
      </c>
      <c r="CC29" s="43">
        <f>CC27+CC28</f>
        <v>1365.92253584161</v>
      </c>
      <c r="CD29" s="43">
        <f>CD27+CD28</f>
        <v>1365.92253584161</v>
      </c>
      <c r="CE29" s="43">
        <f>CE27+CE28</f>
        <v>1337.0936001301045</v>
      </c>
      <c r="CF29" s="43">
        <f>CF27+CF28</f>
        <v>1337.0994694686256</v>
      </c>
      <c r="CG29" s="43">
        <f>CG27+CG28</f>
        <v>1337.0994694686256</v>
      </c>
      <c r="CH29" s="43">
        <f>CH27+CH28</f>
        <v>1337.0994694686256</v>
      </c>
      <c r="CI29" s="43">
        <f>CI27+CI28</f>
        <v>1308.21606557036</v>
      </c>
      <c r="CJ29" s="43">
        <f>CJ27+CJ28</f>
        <v>1449.3872117451344</v>
      </c>
      <c r="CK29" s="43">
        <f>CK27+CK28</f>
        <v>1449.3872117451344</v>
      </c>
      <c r="CL29" s="43">
        <f>CL27+CL28</f>
        <v>1449.3872117451344</v>
      </c>
      <c r="CM29" s="49"/>
    </row>
    <row r="32" spans="2:91" x14ac:dyDescent="0.25">
      <c r="B32" s="9" t="s">
        <v>317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</row>
    <row r="34" spans="2:90" x14ac:dyDescent="0.25">
      <c r="B34" s="34" t="s">
        <v>318</v>
      </c>
      <c r="C34" s="35" t="s">
        <v>228</v>
      </c>
      <c r="D34" s="32">
        <f>SUM(E34:CL34)</f>
        <v>95723.39864071996</v>
      </c>
      <c r="E34" s="32">
        <f>E27-E16-(0)</f>
        <v>0</v>
      </c>
      <c r="F34" s="32">
        <f>F27-F16-(0)</f>
        <v>0</v>
      </c>
      <c r="G34" s="32">
        <f>G27-G16-(0)</f>
        <v>0</v>
      </c>
      <c r="H34" s="32">
        <f>H27-H16-(0)</f>
        <v>0</v>
      </c>
      <c r="I34" s="32">
        <f>I27-I16-(0)</f>
        <v>0</v>
      </c>
      <c r="J34" s="32">
        <f>J27-J16-(0)</f>
        <v>0</v>
      </c>
      <c r="K34" s="32">
        <f>K27-K16-(0)</f>
        <v>607.432709064318</v>
      </c>
      <c r="L34" s="32">
        <f>L27-L16-(0)</f>
        <v>607.432709064318</v>
      </c>
      <c r="M34" s="32">
        <f>M27-M16-(0)</f>
        <v>607.432709064318</v>
      </c>
      <c r="N34" s="32">
        <f>N27-N16-(0)</f>
        <v>607.432709064318</v>
      </c>
      <c r="O34" s="32">
        <f>O27-O16-(0)</f>
        <v>572.0911415643184</v>
      </c>
      <c r="P34" s="32">
        <f>P27-P16-(0)</f>
        <v>599.4887782830683</v>
      </c>
      <c r="Q34" s="32">
        <f>Q27-Q16-(0)</f>
        <v>626.886415001818</v>
      </c>
      <c r="R34" s="32">
        <f>R27-R16-(0)</f>
        <v>654.2840517205682</v>
      </c>
      <c r="S34" s="32">
        <f>S27-S16-(0)</f>
        <v>646.2791159393189</v>
      </c>
      <c r="T34" s="32">
        <f>T27-T16-(0)</f>
        <v>673.6767526580688</v>
      </c>
      <c r="U34" s="32">
        <f>U27-U16-(0)</f>
        <v>701.074389376819</v>
      </c>
      <c r="V34" s="32">
        <f>V27-V16-(0)</f>
        <v>728.4720260955692</v>
      </c>
      <c r="W34" s="32">
        <f>W27-W16-(0)</f>
        <v>720.4056582793189</v>
      </c>
      <c r="X34" s="32">
        <f>X27-X16-(0)</f>
        <v>747.8032949980688</v>
      </c>
      <c r="Y34" s="32">
        <f>Y27-Y16-(0)</f>
        <v>775.200931716819</v>
      </c>
      <c r="Z34" s="32">
        <f>Z27-Z16-(0)</f>
        <v>802.5985684355687</v>
      </c>
      <c r="AA34" s="32">
        <f>AA27-AA16-(0)</f>
        <v>794.4703385600737</v>
      </c>
      <c r="AB34" s="32">
        <f>AB27-AB16-(0)</f>
        <v>821.8679752788237</v>
      </c>
      <c r="AC34" s="32">
        <f>AC27-AC16-(0)</f>
        <v>849.2656119975736</v>
      </c>
      <c r="AD34" s="32">
        <f>AD27-AD16-(0)</f>
        <v>876.6632487163238</v>
      </c>
      <c r="AE34" s="32">
        <f>AE27-AE16-(0)</f>
        <v>868.4727237471695</v>
      </c>
      <c r="AF34" s="32">
        <f>AF27-AF16-(0)</f>
        <v>895.8703604659195</v>
      </c>
      <c r="AG34" s="32">
        <f>AG27-AG16-(0)</f>
        <v>923.2679971846696</v>
      </c>
      <c r="AH34" s="32">
        <f>AH27-AH16-(0)</f>
        <v>950.6656339034196</v>
      </c>
      <c r="AI34" s="32">
        <f>AI27-AI16-(0)</f>
        <v>942.4123777749492</v>
      </c>
      <c r="AJ34" s="32">
        <f>AJ27-AJ16-(0)</f>
        <v>969.8100144936993</v>
      </c>
      <c r="AK34" s="32">
        <f>AK27-AK16-(0)</f>
        <v>997.2076512124493</v>
      </c>
      <c r="AL34" s="32">
        <f>AL27-AL16-(0)</f>
        <v>1024.6052879311992</v>
      </c>
      <c r="AM34" s="32">
        <f>AM27-AM16-(0)</f>
        <v>1016.288861525298</v>
      </c>
      <c r="AN34" s="32">
        <f>AN27-AN16-(0)</f>
        <v>1043.686498244048</v>
      </c>
      <c r="AO34" s="32">
        <f>AO27-AO16-(0)</f>
        <v>1071.084134962798</v>
      </c>
      <c r="AP34" s="32">
        <f>AP27-AP16-(0)</f>
        <v>1098.481771681548</v>
      </c>
      <c r="AQ34" s="32">
        <f>AQ27-AQ16-(0)</f>
        <v>1090.1017328062749</v>
      </c>
      <c r="AR34" s="32">
        <f>AR27-AR16-(0)</f>
        <v>1117.499369525025</v>
      </c>
      <c r="AS34" s="32">
        <f>AS27-AS16-(0)</f>
        <v>1144.897006243775</v>
      </c>
      <c r="AT34" s="32">
        <f>AT27-AT16-(0)</f>
        <v>1172.294642962525</v>
      </c>
      <c r="AU34" s="32">
        <f>AU27-AU16-(0)</f>
        <v>1163.8505463305946</v>
      </c>
      <c r="AV34" s="32">
        <f>AV27-AV16-(0)</f>
        <v>1191.2481830493443</v>
      </c>
      <c r="AW34" s="32">
        <f>AW27-AW16-(0)</f>
        <v>1218.6458197680945</v>
      </c>
      <c r="AX34" s="32">
        <f>AX27-AX16-(0)</f>
        <v>1246.0434564868444</v>
      </c>
      <c r="AY34" s="32">
        <f>AY27-AY16-(0)</f>
        <v>1237.5348536939582</v>
      </c>
      <c r="AZ34" s="32">
        <f>AZ27-AZ16-(0)</f>
        <v>1264.9324904127084</v>
      </c>
      <c r="BA34" s="32">
        <f>BA27-BA16-(0)</f>
        <v>1292.3301271314583</v>
      </c>
      <c r="BB34" s="32">
        <f>BB27-BB16-(0)</f>
        <v>1319.7277638502082</v>
      </c>
      <c r="BC34" s="32">
        <f>BC27-BC16-(0)</f>
        <v>1311.154203353241</v>
      </c>
      <c r="BD34" s="32">
        <f>BD27-BD16-(0)</f>
        <v>1338.551840071991</v>
      </c>
      <c r="BE34" s="32">
        <f>BE27-BE16-(0)</f>
        <v>1365.9494767907408</v>
      </c>
      <c r="BF34" s="32">
        <f>BF27-BF16-(0)</f>
        <v>1393.347113509491</v>
      </c>
      <c r="BG34" s="32">
        <f>BG27-BG16-(0)</f>
        <v>1384.708140604514</v>
      </c>
      <c r="BH34" s="32">
        <f>BH27-BH16-(0)</f>
        <v>1412.1057773232642</v>
      </c>
      <c r="BI34" s="32">
        <f>BI27-BI16-(0)</f>
        <v>1439.5034140420141</v>
      </c>
      <c r="BJ34" s="32">
        <f>BJ27-BJ16-(0)</f>
        <v>1466.901050760764</v>
      </c>
      <c r="BK34" s="32">
        <f>BK27-BK16-(0)</f>
        <v>1458.19620756092</v>
      </c>
      <c r="BL34" s="32">
        <f>BL27-BL16-(0)</f>
        <v>1485.5938442796698</v>
      </c>
      <c r="BM34" s="32">
        <f>BM27-BM16-(0)</f>
        <v>1512.9914809984198</v>
      </c>
      <c r="BN34" s="32">
        <f>BN27-BN16-(0)</f>
        <v>1540.38911771717</v>
      </c>
      <c r="BO34" s="32">
        <f>BO27-BO16-(0)</f>
        <v>1531.617943130396</v>
      </c>
      <c r="BP34" s="32">
        <f>BP27-BP16-(0)</f>
        <v>1559.015579849146</v>
      </c>
      <c r="BQ34" s="32">
        <f>BQ27-BQ16-(0)</f>
        <v>1586.413216567896</v>
      </c>
      <c r="BR34" s="32">
        <f>BR27-BR16-(0)</f>
        <v>1613.810853286646</v>
      </c>
      <c r="BS34" s="32">
        <f>BS27-BS16-(0)</f>
        <v>1604.972882993235</v>
      </c>
      <c r="BT34" s="32">
        <f>BT27-BT16-(0)</f>
        <v>1632.370519711985</v>
      </c>
      <c r="BU34" s="32">
        <f>BU27-BU16-(0)</f>
        <v>1659.768156430735</v>
      </c>
      <c r="BV34" s="32">
        <f>BV27-BV16-(0)</f>
        <v>1687.1657931494851</v>
      </c>
      <c r="BW34" s="32">
        <f>BW27-BW16-(0)</f>
        <v>1678.2605595794873</v>
      </c>
      <c r="BX34" s="32">
        <f>BX27-BX16-(0)</f>
        <v>1705.6581962982373</v>
      </c>
      <c r="BY34" s="32">
        <f>BY27-BY16-(0)</f>
        <v>1733.0558330169872</v>
      </c>
      <c r="BZ34" s="32">
        <f>BZ27-BZ16-(0)</f>
        <v>1760.4534697357374</v>
      </c>
      <c r="CA34" s="32">
        <f>CA27-CA16-(0)</f>
        <v>1751.480502046219</v>
      </c>
      <c r="CB34" s="32">
        <f>CB27-CB16-(0)</f>
        <v>1751.480502046219</v>
      </c>
      <c r="CC34" s="32">
        <f>CC27-CC16-(0)</f>
        <v>1751.480502046219</v>
      </c>
      <c r="CD34" s="32">
        <f>CD27-CD16-(0)</f>
        <v>1751.480502046219</v>
      </c>
      <c r="CE34" s="32">
        <f>CE27-CE16-(0)</f>
        <v>1715.041689379591</v>
      </c>
      <c r="CF34" s="32">
        <f>CF27-CF16-(0)</f>
        <v>1715.041689379591</v>
      </c>
      <c r="CG34" s="32">
        <f>CG27-CG16-(0)</f>
        <v>1715.041689379591</v>
      </c>
      <c r="CH34" s="32">
        <f>CH27-CH16-(0)</f>
        <v>1715.041689379591</v>
      </c>
      <c r="CI34" s="32">
        <f>CI27-CI16-(0)</f>
        <v>1678.5341909967988</v>
      </c>
      <c r="CJ34" s="32">
        <f>CJ27-CJ16-(0)</f>
        <v>1678.5341909967988</v>
      </c>
      <c r="CK34" s="32">
        <f>CK27-CK16-(0)</f>
        <v>1678.5341909967988</v>
      </c>
      <c r="CL34" s="32">
        <f>CL27-CL16-($D$60*100)</f>
        <v>-321.46580900320123</v>
      </c>
    </row>
    <row r="36" spans="2:26" x14ac:dyDescent="0.25">
      <c r="B36" s="34" t="s">
        <v>319</v>
      </c>
      <c r="E36" s="13">
        <v>2024</v>
      </c>
      <c r="F36" s="13">
        <v>2025</v>
      </c>
      <c r="G36" s="13">
        <v>2026</v>
      </c>
      <c r="H36" s="13">
        <v>2027</v>
      </c>
      <c r="I36" s="13">
        <v>2028</v>
      </c>
      <c r="J36" s="13">
        <v>2029</v>
      </c>
      <c r="K36" s="13">
        <v>2030</v>
      </c>
      <c r="L36" s="13">
        <v>2031</v>
      </c>
      <c r="M36" s="13">
        <v>2032</v>
      </c>
      <c r="N36" s="13">
        <v>2033</v>
      </c>
      <c r="O36" s="13">
        <v>2034</v>
      </c>
      <c r="P36" s="13">
        <v>2035</v>
      </c>
      <c r="Q36" s="13">
        <v>2036</v>
      </c>
      <c r="R36" s="13">
        <v>2037</v>
      </c>
      <c r="S36" s="13">
        <v>2038</v>
      </c>
      <c r="T36" s="13">
        <v>2039</v>
      </c>
      <c r="U36" s="13">
        <v>2040</v>
      </c>
      <c r="V36" s="13">
        <v>2041</v>
      </c>
      <c r="W36" s="13">
        <v>2042</v>
      </c>
      <c r="X36" s="13">
        <v>2043</v>
      </c>
      <c r="Y36" s="13">
        <v>2044</v>
      </c>
      <c r="Z36" s="13">
        <v>2045</v>
      </c>
    </row>
    <row r="37" spans="2:26" x14ac:dyDescent="0.25">
      <c r="B37" s="34" t="s">
        <v>320</v>
      </c>
      <c r="C37" s="35" t="s">
        <v>228</v>
      </c>
      <c r="E37" s="32">
        <f>E34+F34+G34</f>
        <v>0</v>
      </c>
      <c r="F37" s="32">
        <f>H34+I34+J34+K34</f>
        <v>607.432709064318</v>
      </c>
      <c r="G37" s="32">
        <f>L34+M34+N34+O34</f>
        <v>2394.3892687572725</v>
      </c>
      <c r="H37" s="32">
        <f>P34+Q34+R34+S34</f>
        <v>2526.938360944773</v>
      </c>
      <c r="I37" s="32">
        <f>T34+U34+V34+W34</f>
        <v>2823.6288264097757</v>
      </c>
      <c r="J37" s="32">
        <f>X34+Y34+Z34+AA34</f>
        <v>3120.0731337105303</v>
      </c>
      <c r="K37" s="32">
        <f>AB34+AC34+AD34+AE34</f>
        <v>3416.2695597398906</v>
      </c>
      <c r="L37" s="32">
        <f>AF34+AG34+AH34+AI34</f>
        <v>3712.2163693289576</v>
      </c>
      <c r="M37" s="32">
        <f>AJ34+AK34+AL34+AM34</f>
        <v>4007.9118151626453</v>
      </c>
      <c r="N37" s="32">
        <f>AN34+AO34+AP34+AQ34</f>
        <v>4303.354137694669</v>
      </c>
      <c r="O37" s="32">
        <f>AR34+AS34+AT34+AU34</f>
        <v>4598.54156506192</v>
      </c>
      <c r="P37" s="32">
        <f>AV34+AW34+AX34+AY34</f>
        <v>4893.472312998241</v>
      </c>
      <c r="Q37" s="32">
        <f>AZ34+BA34+BB34+BC34</f>
        <v>5188.144584747615</v>
      </c>
      <c r="R37" s="32">
        <f>BD34+BE34+BF34+BG34</f>
        <v>5482.556570976738</v>
      </c>
      <c r="S37" s="32">
        <f>BH34+BI34+BJ34+BK34</f>
        <v>5776.706449686962</v>
      </c>
      <c r="T37" s="32">
        <f>BL34+BM34+BN34+BO34</f>
        <v>6070.592386125656</v>
      </c>
      <c r="U37" s="32">
        <f>BP34+BQ34+BR34+BS34</f>
        <v>6364.2125326969235</v>
      </c>
      <c r="V37" s="32">
        <f>BT34+BU34+BV34+BW34</f>
        <v>6657.565028871692</v>
      </c>
      <c r="W37" s="32">
        <f>BX34+BY34+BZ34+CA34</f>
        <v>6950.648001097181</v>
      </c>
      <c r="X37" s="32">
        <f>CB34+CC34+CD34+CE34</f>
        <v>6969.483195518248</v>
      </c>
      <c r="Y37" s="32">
        <f>CF34+CG34+CH34+CI34</f>
        <v>6823.659259135571</v>
      </c>
      <c r="Z37" s="32">
        <f>CJ34+CK34+CL34</f>
        <v>3035.6025729903963</v>
      </c>
    </row>
    <row r="38" spans="2:26" x14ac:dyDescent="0.25">
      <c r="B38" s="34" t="s">
        <v>321</v>
      </c>
      <c r="C38" s="35" t="s">
        <v>228</v>
      </c>
      <c r="E38" s="32">
        <f>0</f>
        <v>0</v>
      </c>
      <c r="F38" s="32">
        <f>E40</f>
        <v>0</v>
      </c>
      <c r="G38" s="32">
        <f>F40</f>
        <v>0</v>
      </c>
      <c r="H38" s="32">
        <f>G40</f>
        <v>0</v>
      </c>
      <c r="I38" s="32">
        <f>H40</f>
        <v>0</v>
      </c>
      <c r="J38" s="32">
        <f>I40</f>
        <v>0</v>
      </c>
      <c r="K38" s="32">
        <f>J40</f>
        <v>0</v>
      </c>
      <c r="L38" s="32">
        <f>K40</f>
        <v>0</v>
      </c>
      <c r="M38" s="32">
        <f>L40</f>
        <v>0</v>
      </c>
      <c r="N38" s="32">
        <f>M40</f>
        <v>0</v>
      </c>
      <c r="O38" s="32">
        <f>N40</f>
        <v>0</v>
      </c>
      <c r="P38" s="32">
        <f>O40</f>
        <v>0</v>
      </c>
      <c r="Q38" s="32">
        <f>P40</f>
        <v>0</v>
      </c>
      <c r="R38" s="32">
        <f>Q40</f>
        <v>0</v>
      </c>
      <c r="S38" s="32">
        <f>R40</f>
        <v>0</v>
      </c>
      <c r="T38" s="32">
        <f>S40</f>
        <v>0</v>
      </c>
      <c r="U38" s="32">
        <f>T40</f>
        <v>0</v>
      </c>
      <c r="V38" s="32">
        <f>U40</f>
        <v>0</v>
      </c>
      <c r="W38" s="32">
        <f>V40</f>
        <v>0</v>
      </c>
      <c r="X38" s="32">
        <f>W40</f>
        <v>0</v>
      </c>
      <c r="Y38" s="32">
        <f>X40</f>
        <v>0</v>
      </c>
      <c r="Z38" s="32">
        <f>Y40</f>
        <v>0</v>
      </c>
    </row>
    <row r="39" spans="2:26" x14ac:dyDescent="0.25">
      <c r="B39" s="34" t="s">
        <v>322</v>
      </c>
      <c r="C39" s="35" t="s">
        <v>228</v>
      </c>
      <c r="E39" s="32">
        <f>IF(E37&lt;=0,0,MIN(E38,E37*$D$63/100))</f>
        <v>0</v>
      </c>
      <c r="F39" s="32">
        <f>IF(F37&lt;=0,0,MIN(F38,F37*$D$63/100))</f>
        <v>0</v>
      </c>
      <c r="G39" s="32">
        <f>IF(G37&lt;=0,0,MIN(G38,G37*$D$63/100))</f>
        <v>0</v>
      </c>
      <c r="H39" s="32">
        <f>IF(H37&lt;=0,0,MIN(H38,H37*$D$63/100))</f>
        <v>0</v>
      </c>
      <c r="I39" s="32">
        <f>IF(I37&lt;=0,0,MIN(I38,I37*$D$63/100))</f>
        <v>0</v>
      </c>
      <c r="J39" s="32">
        <f>IF(J37&lt;=0,0,MIN(J38,J37*$D$63/100))</f>
        <v>0</v>
      </c>
      <c r="K39" s="32">
        <f>IF(K37&lt;=0,0,MIN(K38,K37*$D$63/100))</f>
        <v>0</v>
      </c>
      <c r="L39" s="32">
        <f>IF(L37&lt;=0,0,MIN(L38,L37*$D$63/100))</f>
        <v>0</v>
      </c>
      <c r="M39" s="32">
        <f>IF(M37&lt;=0,0,MIN(M38,M37*$D$63/100))</f>
        <v>0</v>
      </c>
      <c r="N39" s="32">
        <f>IF(N37&lt;=0,0,MIN(N38,N37*$D$63/100))</f>
        <v>0</v>
      </c>
      <c r="O39" s="32">
        <f>IF(O37&lt;=0,0,MIN(O38,O37*$D$63/100))</f>
        <v>0</v>
      </c>
      <c r="P39" s="32">
        <f>IF(P37&lt;=0,0,MIN(P38,P37*$D$63/100))</f>
        <v>0</v>
      </c>
      <c r="Q39" s="32">
        <f>IF(Q37&lt;=0,0,MIN(Q38,Q37*$D$63/100))</f>
        <v>0</v>
      </c>
      <c r="R39" s="32">
        <f>IF(R37&lt;=0,0,MIN(R38,R37*$D$63/100))</f>
        <v>0</v>
      </c>
      <c r="S39" s="32">
        <f>IF(S37&lt;=0,0,MIN(S38,S37*$D$63/100))</f>
        <v>0</v>
      </c>
      <c r="T39" s="32">
        <f>IF(T37&lt;=0,0,MIN(T38,T37*$D$63/100))</f>
        <v>0</v>
      </c>
      <c r="U39" s="32">
        <f>IF(U37&lt;=0,0,MIN(U38,U37*$D$63/100))</f>
        <v>0</v>
      </c>
      <c r="V39" s="32">
        <f>IF(V37&lt;=0,0,MIN(V38,V37*$D$63/100))</f>
        <v>0</v>
      </c>
      <c r="W39" s="32">
        <f>IF(W37&lt;=0,0,MIN(W38,W37*$D$63/100))</f>
        <v>0</v>
      </c>
      <c r="X39" s="32">
        <f>IF(X37&lt;=0,0,MIN(X38,X37*$D$63/100))</f>
        <v>0</v>
      </c>
      <c r="Y39" s="32">
        <f>IF(Y37&lt;=0,0,MIN(Y38,Y37*$D$63/100))</f>
        <v>0</v>
      </c>
      <c r="Z39" s="32">
        <f>IF(Z37&lt;=0,0,MIN(Z38,Z37*$D$63/100))</f>
        <v>0</v>
      </c>
    </row>
    <row r="40" spans="2:26" x14ac:dyDescent="0.25">
      <c r="B40" s="34" t="s">
        <v>323</v>
      </c>
      <c r="C40" s="35" t="s">
        <v>228</v>
      </c>
      <c r="E40" s="32">
        <f>IF(E37&lt;=0,E38-E37,E38-E39)</f>
        <v>0</v>
      </c>
      <c r="F40" s="32">
        <f>IF(F37&lt;=0,F38-F37,F38-F39)</f>
        <v>0</v>
      </c>
      <c r="G40" s="32">
        <f>IF(G37&lt;=0,G38-G37,G38-G39)</f>
        <v>0</v>
      </c>
      <c r="H40" s="32">
        <f>IF(H37&lt;=0,H38-H37,H38-H39)</f>
        <v>0</v>
      </c>
      <c r="I40" s="32">
        <f>IF(I37&lt;=0,I38-I37,I38-I39)</f>
        <v>0</v>
      </c>
      <c r="J40" s="32">
        <f>IF(J37&lt;=0,J38-J37,J38-J39)</f>
        <v>0</v>
      </c>
      <c r="K40" s="32">
        <f>IF(K37&lt;=0,K38-K37,K38-K39)</f>
        <v>0</v>
      </c>
      <c r="L40" s="32">
        <f>IF(L37&lt;=0,L38-L37,L38-L39)</f>
        <v>0</v>
      </c>
      <c r="M40" s="32">
        <f>IF(M37&lt;=0,M38-M37,M38-M39)</f>
        <v>0</v>
      </c>
      <c r="N40" s="32">
        <f>IF(N37&lt;=0,N38-N37,N38-N39)</f>
        <v>0</v>
      </c>
      <c r="O40" s="32">
        <f>IF(O37&lt;=0,O38-O37,O38-O39)</f>
        <v>0</v>
      </c>
      <c r="P40" s="32">
        <f>IF(P37&lt;=0,P38-P37,P38-P39)</f>
        <v>0</v>
      </c>
      <c r="Q40" s="32">
        <f>IF(Q37&lt;=0,Q38-Q37,Q38-Q39)</f>
        <v>0</v>
      </c>
      <c r="R40" s="32">
        <f>IF(R37&lt;=0,R38-R37,R38-R39)</f>
        <v>0</v>
      </c>
      <c r="S40" s="32">
        <f>IF(S37&lt;=0,S38-S37,S38-S39)</f>
        <v>0</v>
      </c>
      <c r="T40" s="32">
        <f>IF(T37&lt;=0,T38-T37,T38-T39)</f>
        <v>0</v>
      </c>
      <c r="U40" s="32">
        <f>IF(U37&lt;=0,U38-U37,U38-U39)</f>
        <v>0</v>
      </c>
      <c r="V40" s="32">
        <f>IF(V37&lt;=0,V38-V37,V38-V39)</f>
        <v>0</v>
      </c>
      <c r="W40" s="32">
        <f>IF(W37&lt;=0,W38-W37,W38-W39)</f>
        <v>0</v>
      </c>
      <c r="X40" s="32">
        <f>IF(X37&lt;=0,X38-X37,X38-X39)</f>
        <v>0</v>
      </c>
      <c r="Y40" s="32">
        <f>IF(Y37&lt;=0,Y38-Y37,Y38-Y39)</f>
        <v>0</v>
      </c>
      <c r="Z40" s="32">
        <f>IF(Z37&lt;=0,Z38-Z37,Z38-Z39)</f>
        <v>0</v>
      </c>
    </row>
    <row r="41" spans="2:26" x14ac:dyDescent="0.25">
      <c r="B41" s="34" t="s">
        <v>324</v>
      </c>
      <c r="C41" s="35" t="s">
        <v>228</v>
      </c>
      <c r="E41" s="32">
        <f>MAX(0,E37-E39)</f>
        <v>0</v>
      </c>
      <c r="F41" s="32">
        <f>MAX(0,F37-F39)</f>
        <v>607.432709064318</v>
      </c>
      <c r="G41" s="32">
        <f>MAX(0,G37-G39)</f>
        <v>2394.3892687572725</v>
      </c>
      <c r="H41" s="32">
        <f>MAX(0,H37-H39)</f>
        <v>2526.938360944773</v>
      </c>
      <c r="I41" s="32">
        <f>MAX(0,I37-I39)</f>
        <v>2823.6288264097757</v>
      </c>
      <c r="J41" s="32">
        <f>MAX(0,J37-J39)</f>
        <v>3120.0731337105303</v>
      </c>
      <c r="K41" s="32">
        <f>MAX(0,K37-K39)</f>
        <v>3416.2695597398906</v>
      </c>
      <c r="L41" s="32">
        <f>MAX(0,L37-L39)</f>
        <v>3712.2163693289576</v>
      </c>
      <c r="M41" s="32">
        <f>MAX(0,M37-M39)</f>
        <v>4007.9118151626453</v>
      </c>
      <c r="N41" s="32">
        <f>MAX(0,N37-N39)</f>
        <v>4303.354137694669</v>
      </c>
      <c r="O41" s="32">
        <f>MAX(0,O37-O39)</f>
        <v>4598.54156506192</v>
      </c>
      <c r="P41" s="32">
        <f>MAX(0,P37-P39)</f>
        <v>4893.472312998241</v>
      </c>
      <c r="Q41" s="32">
        <f>MAX(0,Q37-Q39)</f>
        <v>5188.144584747615</v>
      </c>
      <c r="R41" s="32">
        <f>MAX(0,R37-R39)</f>
        <v>5482.556570976738</v>
      </c>
      <c r="S41" s="32">
        <f>MAX(0,S37-S39)</f>
        <v>5776.706449686962</v>
      </c>
      <c r="T41" s="32">
        <f>MAX(0,T37-T39)</f>
        <v>6070.592386125656</v>
      </c>
      <c r="U41" s="32">
        <f>MAX(0,U37-U39)</f>
        <v>6364.2125326969235</v>
      </c>
      <c r="V41" s="32">
        <f>MAX(0,V37-V39)</f>
        <v>6657.565028871692</v>
      </c>
      <c r="W41" s="32">
        <f>MAX(0,W37-W39)</f>
        <v>6950.648001097181</v>
      </c>
      <c r="X41" s="32">
        <f>MAX(0,X37-X39)</f>
        <v>6969.483195518248</v>
      </c>
      <c r="Y41" s="32">
        <f>MAX(0,Y37-Y39)</f>
        <v>6823.659259135571</v>
      </c>
      <c r="Z41" s="32">
        <f>MAX(0,Z37-Z39)</f>
        <v>3035.6025729903963</v>
      </c>
    </row>
    <row r="42" spans="2:26" x14ac:dyDescent="0.25">
      <c r="B42" s="34" t="s">
        <v>325</v>
      </c>
      <c r="C42" s="35" t="s">
        <v>228</v>
      </c>
      <c r="E42" s="32">
        <f>IF(E37&lt;=0,0,MIN(MAX(E41,0),200)*0.09+MIN(MAX(E41-200,0),19800)*0.19+MIN(MAX(E41-20000,0),280000)*0.21+MAX(E41-300000,0)*0.24)</f>
        <v>0</v>
      </c>
      <c r="F42" s="32">
        <f>IF(F37&lt;=0,0,MIN(MAX(F41,0),200)*0.09+MIN(MAX(F41-200,0),19800)*0.19+MIN(MAX(F41-20000,0),280000)*0.21+MAX(F41-300000,0)*0.24)</f>
        <v>95.41221472222043</v>
      </c>
      <c r="G42" s="32">
        <f>IF(G37&lt;=0,0,MIN(MAX(G41,0),200)*0.09+MIN(MAX(G41-200,0),19800)*0.19+MIN(MAX(G41-20000,0),280000)*0.21+MAX(G41-300000,0)*0.24)</f>
        <v>434.9339610638818</v>
      </c>
      <c r="H42" s="32">
        <f>IF(H37&lt;=0,0,MIN(MAX(H41,0),200)*0.09+MIN(MAX(H41-200,0),19800)*0.19+MIN(MAX(H41-20000,0),280000)*0.21+MAX(H41-300000,0)*0.24)</f>
        <v>460.1182885795069</v>
      </c>
      <c r="I42" s="32">
        <f>IF(I37&lt;=0,0,MIN(MAX(I41,0),200)*0.09+MIN(MAX(I41-200,0),19800)*0.19+MIN(MAX(I41-20000,0),280000)*0.21+MAX(I41-300000,0)*0.24)</f>
        <v>516.4894770178573</v>
      </c>
      <c r="J42" s="32">
        <f>IF(J37&lt;=0,0,MIN(MAX(J41,0),200)*0.09+MIN(MAX(J41-200,0),19800)*0.19+MIN(MAX(J41-20000,0),280000)*0.21+MAX(J41-300000,0)*0.24)</f>
        <v>572.8138954050007</v>
      </c>
      <c r="K42" s="32">
        <f>IF(K37&lt;=0,0,MIN(MAX(K41,0),200)*0.09+MIN(MAX(K41-200,0),19800)*0.19+MIN(MAX(K41-20000,0),280000)*0.21+MAX(K41-300000,0)*0.24)</f>
        <v>629.0912163505792</v>
      </c>
      <c r="L42" s="32">
        <f>IF(L37&lt;=0,0,MIN(MAX(L41,0),200)*0.09+MIN(MAX(L41-200,0),19800)*0.19+MIN(MAX(L41-20000,0),280000)*0.21+MAX(L41-300000,0)*0.24)</f>
        <v>685.3211101725019</v>
      </c>
      <c r="M42" s="32">
        <f>IF(M37&lt;=0,0,MIN(MAX(M41,0),200)*0.09+MIN(MAX(M41-200,0),19800)*0.19+MIN(MAX(M41-20000,0),280000)*0.21+MAX(M41-300000,0)*0.24)</f>
        <v>741.5032448809026</v>
      </c>
      <c r="N42" s="32">
        <f>IF(N37&lt;=0,0,MIN(MAX(N41,0),200)*0.09+MIN(MAX(N41-200,0),19800)*0.19+MIN(MAX(N41-20000,0),280000)*0.21+MAX(N41-300000,0)*0.24)</f>
        <v>797.637286161987</v>
      </c>
      <c r="O42" s="32">
        <f>IF(O37&lt;=0,0,MIN(MAX(O41,0),200)*0.09+MIN(MAX(O41-200,0),19800)*0.19+MIN(MAX(O41-20000,0),280000)*0.21+MAX(O41-300000,0)*0.24)</f>
        <v>853.7228973617648</v>
      </c>
      <c r="P42" s="32">
        <f>IF(P37&lt;=0,0,MIN(MAX(P41,0),200)*0.09+MIN(MAX(P41-200,0),19800)*0.19+MIN(MAX(P41-20000,0),280000)*0.21+MAX(P41-300000,0)*0.24)</f>
        <v>909.7597394696659</v>
      </c>
      <c r="Q42" s="32">
        <f>IF(Q37&lt;=0,0,MIN(MAX(Q41,0),200)*0.09+MIN(MAX(Q41-200,0),19800)*0.19+MIN(MAX(Q41-20000,0),280000)*0.21+MAX(Q41-300000,0)*0.24)</f>
        <v>965.7474711020469</v>
      </c>
      <c r="R42" s="32">
        <f>IF(R37&lt;=0,0,MIN(MAX(R41,0),200)*0.09+MIN(MAX(R41-200,0),19800)*0.19+MIN(MAX(R41-20000,0),280000)*0.21+MAX(R41-300000,0)*0.24)</f>
        <v>1021.6857484855802</v>
      </c>
      <c r="S42" s="32">
        <f>IF(S37&lt;=0,0,MIN(MAX(S41,0),200)*0.09+MIN(MAX(S41-200,0),19800)*0.19+MIN(MAX(S41-20000,0),280000)*0.21+MAX(S41-300000,0)*0.24)</f>
        <v>1077.5742254405227</v>
      </c>
      <c r="T42" s="32">
        <f>IF(T37&lt;=0,0,MIN(MAX(T41,0),200)*0.09+MIN(MAX(T41-200,0),19800)*0.19+MIN(MAX(T41-20000,0),280000)*0.21+MAX(T41-300000,0)*0.24)</f>
        <v>1133.4125533638746</v>
      </c>
      <c r="U42" s="32">
        <f>IF(U37&lt;=0,0,MIN(MAX(U41,0),200)*0.09+MIN(MAX(U41-200,0),19800)*0.19+MIN(MAX(U41-20000,0),280000)*0.21+MAX(U41-300000,0)*0.24)</f>
        <v>1189.2003812124156</v>
      </c>
      <c r="V42" s="32">
        <f>IF(V37&lt;=0,0,MIN(MAX(V41,0),200)*0.09+MIN(MAX(V41-200,0),19800)*0.19+MIN(MAX(V41-20000,0),280000)*0.21+MAX(V41-300000,0)*0.24)</f>
        <v>1244.9373554856215</v>
      </c>
      <c r="W42" s="32">
        <f>IF(W37&lt;=0,0,MIN(MAX(W41,0),200)*0.09+MIN(MAX(W41-200,0),19800)*0.19+MIN(MAX(W41-20000,0),280000)*0.21+MAX(W41-300000,0)*0.24)</f>
        <v>1300.6231202084643</v>
      </c>
      <c r="X42" s="32">
        <f>IF(X37&lt;=0,0,MIN(MAX(X41,0),200)*0.09+MIN(MAX(X41-200,0),19800)*0.19+MIN(MAX(X41-20000,0),280000)*0.21+MAX(X41-300000,0)*0.24)</f>
        <v>1304.2018071484672</v>
      </c>
      <c r="Y42" s="32">
        <f>IF(Y37&lt;=0,0,MIN(MAX(Y41,0),200)*0.09+MIN(MAX(Y41-200,0),19800)*0.19+MIN(MAX(Y41-20000,0),280000)*0.21+MAX(Y41-300000,0)*0.24)</f>
        <v>1276.4952592357586</v>
      </c>
      <c r="Z42" s="32">
        <f>IF(Z37&lt;=0,0,MIN(MAX(Z41,0),200)*0.09+MIN(MAX(Z41-200,0),19800)*0.19+MIN(MAX(Z41-20000,0),280000)*0.21+MAX(Z41-300000,0)*0.24)</f>
        <v>556.7644888681752</v>
      </c>
    </row>
    <row r="43" spans="2:26" x14ac:dyDescent="0.25">
      <c r="B43" s="34" t="s">
        <v>326</v>
      </c>
      <c r="C43" s="35" t="s">
        <v>228</v>
      </c>
      <c r="E43" s="32">
        <f>E41*$D$64/100</f>
        <v>0</v>
      </c>
      <c r="F43" s="32">
        <f>F41*$D$64/100</f>
        <v>0</v>
      </c>
      <c r="G43" s="32">
        <f>G41*$D$64/100</f>
        <v>0</v>
      </c>
      <c r="H43" s="32">
        <f>H41*$D$64/100</f>
        <v>0</v>
      </c>
      <c r="I43" s="32">
        <f>I41*$D$64/100</f>
        <v>0</v>
      </c>
      <c r="J43" s="32">
        <f>J41*$D$64/100</f>
        <v>0</v>
      </c>
      <c r="K43" s="32">
        <f>K41*$D$64/100</f>
        <v>0</v>
      </c>
      <c r="L43" s="32">
        <f>L41*$D$64/100</f>
        <v>0</v>
      </c>
      <c r="M43" s="32">
        <f>M41*$D$64/100</f>
        <v>0</v>
      </c>
      <c r="N43" s="32">
        <f>N41*$D$64/100</f>
        <v>0</v>
      </c>
      <c r="O43" s="32">
        <f>O41*$D$64/100</f>
        <v>0</v>
      </c>
      <c r="P43" s="32">
        <f>P41*$D$64/100</f>
        <v>0</v>
      </c>
      <c r="Q43" s="32">
        <f>Q41*$D$64/100</f>
        <v>0</v>
      </c>
      <c r="R43" s="32">
        <f>R41*$D$64/100</f>
        <v>0</v>
      </c>
      <c r="S43" s="32">
        <f>S41*$D$64/100</f>
        <v>0</v>
      </c>
      <c r="T43" s="32">
        <f>T41*$D$64/100</f>
        <v>0</v>
      </c>
      <c r="U43" s="32">
        <f>U41*$D$64/100</f>
        <v>0</v>
      </c>
      <c r="V43" s="32">
        <f>V41*$D$64/100</f>
        <v>0</v>
      </c>
      <c r="W43" s="32">
        <f>W41*$D$64/100</f>
        <v>0</v>
      </c>
      <c r="X43" s="32">
        <f>X41*$D$64/100</f>
        <v>0</v>
      </c>
      <c r="Y43" s="32">
        <f>Y41*$D$64/100</f>
        <v>0</v>
      </c>
      <c r="Z43" s="32">
        <f>Z41*$D$64/100</f>
        <v>0</v>
      </c>
    </row>
    <row r="44" spans="2:26" x14ac:dyDescent="0.25">
      <c r="B44" s="34" t="s">
        <v>327</v>
      </c>
      <c r="C44" s="35" t="s">
        <v>228</v>
      </c>
      <c r="E44" s="32">
        <f>0</f>
        <v>0</v>
      </c>
      <c r="F44" s="32">
        <f>E49</f>
        <v>0</v>
      </c>
      <c r="G44" s="32">
        <f>F49</f>
        <v>0</v>
      </c>
      <c r="H44" s="32">
        <f>G49</f>
        <v>0</v>
      </c>
      <c r="I44" s="32">
        <f>H49</f>
        <v>0</v>
      </c>
      <c r="J44" s="32">
        <f>I49</f>
        <v>0</v>
      </c>
      <c r="K44" s="32">
        <f>J49</f>
        <v>0</v>
      </c>
      <c r="L44" s="32">
        <f>K49</f>
        <v>0</v>
      </c>
      <c r="M44" s="32">
        <f>L49</f>
        <v>0</v>
      </c>
      <c r="N44" s="32">
        <f>M49</f>
        <v>0</v>
      </c>
      <c r="O44" s="32">
        <f>N49</f>
        <v>0</v>
      </c>
      <c r="P44" s="32">
        <f>O49</f>
        <v>0</v>
      </c>
      <c r="Q44" s="32">
        <f>P49</f>
        <v>0</v>
      </c>
      <c r="R44" s="32">
        <f>Q49</f>
        <v>0</v>
      </c>
      <c r="S44" s="32">
        <f>R49</f>
        <v>0</v>
      </c>
      <c r="T44" s="32">
        <f>S49</f>
        <v>0</v>
      </c>
      <c r="U44" s="32">
        <f>T49</f>
        <v>0</v>
      </c>
      <c r="V44" s="32">
        <f>U49</f>
        <v>0</v>
      </c>
      <c r="W44" s="32">
        <f>V49</f>
        <v>0</v>
      </c>
      <c r="X44" s="32">
        <f>W49</f>
        <v>0</v>
      </c>
      <c r="Y44" s="32">
        <f>X49</f>
        <v>0</v>
      </c>
      <c r="Z44" s="32">
        <f>Y49</f>
        <v>0</v>
      </c>
    </row>
    <row r="45" spans="2:26" x14ac:dyDescent="0.25">
      <c r="B45" s="34" t="s">
        <v>328</v>
      </c>
      <c r="C45" s="35" t="s">
        <v>228</v>
      </c>
      <c r="E45" s="32">
        <f>(0)*$D$65/100</f>
        <v>0</v>
      </c>
      <c r="F45" s="32">
        <f>(0)*$D$65/100</f>
        <v>0</v>
      </c>
      <c r="G45" s="32">
        <f>(0)*$D$65/100</f>
        <v>0</v>
      </c>
      <c r="H45" s="32">
        <f>(0)*$D$65/100</f>
        <v>0</v>
      </c>
      <c r="I45" s="32">
        <f>(0)*$D$65/100</f>
        <v>0</v>
      </c>
      <c r="J45" s="32">
        <f>(0)*$D$65/100</f>
        <v>0</v>
      </c>
      <c r="K45" s="32">
        <f>(0)*$D$65/100</f>
        <v>0</v>
      </c>
      <c r="L45" s="32">
        <f>(0)*$D$65/100</f>
        <v>0</v>
      </c>
      <c r="M45" s="32">
        <f>(0)*$D$65/100</f>
        <v>0</v>
      </c>
      <c r="N45" s="32">
        <f>(0)*$D$65/100</f>
        <v>0</v>
      </c>
      <c r="O45" s="32">
        <f>(0)*$D$65/100</f>
        <v>0</v>
      </c>
      <c r="P45" s="32">
        <f>(0)*$D$65/100</f>
        <v>0</v>
      </c>
      <c r="Q45" s="32">
        <f>(0)*$D$65/100</f>
        <v>0</v>
      </c>
      <c r="R45" s="32">
        <f>(0)*$D$65/100</f>
        <v>0</v>
      </c>
      <c r="S45" s="32">
        <f>(0)*$D$65/100</f>
        <v>0</v>
      </c>
      <c r="T45" s="32">
        <f>(0)*$D$65/100</f>
        <v>0</v>
      </c>
      <c r="U45" s="32">
        <f>(0)*$D$65/100</f>
        <v>0</v>
      </c>
      <c r="V45" s="32">
        <f>(0)*$D$65/100</f>
        <v>0</v>
      </c>
      <c r="W45" s="32">
        <f>(0)*$D$65/100</f>
        <v>0</v>
      </c>
      <c r="X45" s="32">
        <f>(0)*$D$65/100</f>
        <v>0</v>
      </c>
      <c r="Y45" s="32">
        <f>(0)*$D$65/100</f>
        <v>0</v>
      </c>
      <c r="Z45" s="32">
        <f>(0)*$D$65/100</f>
        <v>0</v>
      </c>
    </row>
    <row r="46" spans="2:26" x14ac:dyDescent="0.25">
      <c r="B46" s="34" t="s">
        <v>329</v>
      </c>
      <c r="C46" s="35" t="s">
        <v>228</v>
      </c>
      <c r="E46" s="32">
        <f>MAX(0,E42-(E44+E45))</f>
        <v>0</v>
      </c>
      <c r="F46" s="32">
        <f>MAX(0,F42-(F44+F45))</f>
        <v>95.41221472222043</v>
      </c>
      <c r="G46" s="32">
        <f>MAX(0,G42-(G44+G45))</f>
        <v>434.9339610638818</v>
      </c>
      <c r="H46" s="32">
        <f>MAX(0,H42-(H44+H45))</f>
        <v>460.1182885795069</v>
      </c>
      <c r="I46" s="32">
        <f>MAX(0,I42-(I44+I45))</f>
        <v>516.4894770178573</v>
      </c>
      <c r="J46" s="32">
        <f>MAX(0,J42-(J44+J45))</f>
        <v>572.8138954050007</v>
      </c>
      <c r="K46" s="32">
        <f>MAX(0,K42-(K44+K45))</f>
        <v>629.0912163505792</v>
      </c>
      <c r="L46" s="32">
        <f>MAX(0,L42-(L44+L45))</f>
        <v>685.3211101725019</v>
      </c>
      <c r="M46" s="32">
        <f>MAX(0,M42-(M44+M45))</f>
        <v>741.5032448809026</v>
      </c>
      <c r="N46" s="32">
        <f>MAX(0,N42-(N44+N45))</f>
        <v>797.637286161987</v>
      </c>
      <c r="O46" s="32">
        <f>MAX(0,O42-(O44+O45))</f>
        <v>853.7228973617648</v>
      </c>
      <c r="P46" s="32">
        <f>MAX(0,P42-(P44+P45))</f>
        <v>909.7597394696659</v>
      </c>
      <c r="Q46" s="32">
        <f>MAX(0,Q42-(Q44+Q45))</f>
        <v>965.7474711020469</v>
      </c>
      <c r="R46" s="32">
        <f>MAX(0,R42-(R44+R45))</f>
        <v>1021.6857484855802</v>
      </c>
      <c r="S46" s="32">
        <f>MAX(0,S42-(S44+S45))</f>
        <v>1077.5742254405227</v>
      </c>
      <c r="T46" s="32">
        <f>MAX(0,T42-(T44+T45))</f>
        <v>1133.4125533638746</v>
      </c>
      <c r="U46" s="32">
        <f>MAX(0,U42-(U44+U45))</f>
        <v>1189.2003812124156</v>
      </c>
      <c r="V46" s="32">
        <f>MAX(0,V42-(V44+V45))</f>
        <v>1244.9373554856215</v>
      </c>
      <c r="W46" s="32">
        <f>MAX(0,W42-(W44+W45))</f>
        <v>1300.6231202084643</v>
      </c>
      <c r="X46" s="32">
        <f>MAX(0,X42-(X44+X45))</f>
        <v>1304.2018071484672</v>
      </c>
      <c r="Y46" s="32">
        <f>MAX(0,Y42-(Y44+Y45))</f>
        <v>1276.4952592357586</v>
      </c>
      <c r="Z46" s="32">
        <f>MAX(0,Z42-(Z44+Z45))</f>
        <v>556.7644888681752</v>
      </c>
    </row>
    <row r="47" spans="2:26" x14ac:dyDescent="0.25">
      <c r="B47" s="34" t="s">
        <v>330</v>
      </c>
      <c r="C47" s="35" t="s">
        <v>228</v>
      </c>
      <c r="E47" s="32">
        <f>IF(E37&lt;=0,0,MAX(E43,E46))</f>
        <v>0</v>
      </c>
      <c r="F47" s="32">
        <f>IF(F37&lt;=0,0,MAX(F43,F46))</f>
        <v>95.41221472222043</v>
      </c>
      <c r="G47" s="32">
        <f>IF(G37&lt;=0,0,MAX(G43,G46))</f>
        <v>434.9339610638818</v>
      </c>
      <c r="H47" s="32">
        <f>IF(H37&lt;=0,0,MAX(H43,H46))</f>
        <v>460.1182885795069</v>
      </c>
      <c r="I47" s="32">
        <f>IF(I37&lt;=0,0,MAX(I43,I46))</f>
        <v>516.4894770178573</v>
      </c>
      <c r="J47" s="32">
        <f>IF(J37&lt;=0,0,MAX(J43,J46))</f>
        <v>572.8138954050007</v>
      </c>
      <c r="K47" s="32">
        <f>IF(K37&lt;=0,0,MAX(K43,K46))</f>
        <v>629.0912163505792</v>
      </c>
      <c r="L47" s="32">
        <f>IF(L37&lt;=0,0,MAX(L43,L46))</f>
        <v>685.3211101725019</v>
      </c>
      <c r="M47" s="32">
        <f>IF(M37&lt;=0,0,MAX(M43,M46))</f>
        <v>741.5032448809026</v>
      </c>
      <c r="N47" s="32">
        <f>IF(N37&lt;=0,0,MAX(N43,N46))</f>
        <v>797.637286161987</v>
      </c>
      <c r="O47" s="32">
        <f>IF(O37&lt;=0,0,MAX(O43,O46))</f>
        <v>853.7228973617648</v>
      </c>
      <c r="P47" s="32">
        <f>IF(P37&lt;=0,0,MAX(P43,P46))</f>
        <v>909.7597394696659</v>
      </c>
      <c r="Q47" s="32">
        <f>IF(Q37&lt;=0,0,MAX(Q43,Q46))</f>
        <v>965.7474711020469</v>
      </c>
      <c r="R47" s="32">
        <f>IF(R37&lt;=0,0,MAX(R43,R46))</f>
        <v>1021.6857484855802</v>
      </c>
      <c r="S47" s="32">
        <f>IF(S37&lt;=0,0,MAX(S43,S46))</f>
        <v>1077.5742254405227</v>
      </c>
      <c r="T47" s="32">
        <f>IF(T37&lt;=0,0,MAX(T43,T46))</f>
        <v>1133.4125533638746</v>
      </c>
      <c r="U47" s="32">
        <f>IF(U37&lt;=0,0,MAX(U43,U46))</f>
        <v>1189.2003812124156</v>
      </c>
      <c r="V47" s="32">
        <f>IF(V37&lt;=0,0,MAX(V43,V46))</f>
        <v>1244.9373554856215</v>
      </c>
      <c r="W47" s="32">
        <f>IF(W37&lt;=0,0,MAX(W43,W46))</f>
        <v>1300.6231202084643</v>
      </c>
      <c r="X47" s="32">
        <f>IF(X37&lt;=0,0,MAX(X43,X46))</f>
        <v>1304.2018071484672</v>
      </c>
      <c r="Y47" s="32">
        <f>IF(Y37&lt;=0,0,MAX(Y43,Y46))</f>
        <v>1276.4952592357586</v>
      </c>
      <c r="Z47" s="32">
        <f>IF(Z37&lt;=0,0,MAX(Z43,Z46))</f>
        <v>556.7644888681752</v>
      </c>
    </row>
    <row r="48" spans="2:26" x14ac:dyDescent="0.25">
      <c r="B48" s="34" t="s">
        <v>331</v>
      </c>
      <c r="C48" s="35" t="s">
        <v>228</v>
      </c>
      <c r="E48" s="32">
        <f>E42-E47</f>
        <v>0</v>
      </c>
      <c r="F48" s="32">
        <f>F42-F47</f>
        <v>0</v>
      </c>
      <c r="G48" s="32">
        <f>G42-G47</f>
        <v>0</v>
      </c>
      <c r="H48" s="32">
        <f>H42-H47</f>
        <v>0</v>
      </c>
      <c r="I48" s="32">
        <f>I42-I47</f>
        <v>0</v>
      </c>
      <c r="J48" s="32">
        <f>J42-J47</f>
        <v>0</v>
      </c>
      <c r="K48" s="32">
        <f>K42-K47</f>
        <v>0</v>
      </c>
      <c r="L48" s="32">
        <f>L42-L47</f>
        <v>0</v>
      </c>
      <c r="M48" s="32">
        <f>M42-M47</f>
        <v>0</v>
      </c>
      <c r="N48" s="32">
        <f>N42-N47</f>
        <v>0</v>
      </c>
      <c r="O48" s="32">
        <f>O42-O47</f>
        <v>0</v>
      </c>
      <c r="P48" s="32">
        <f>P42-P47</f>
        <v>0</v>
      </c>
      <c r="Q48" s="32">
        <f>Q42-Q47</f>
        <v>0</v>
      </c>
      <c r="R48" s="32">
        <f>R42-R47</f>
        <v>0</v>
      </c>
      <c r="S48" s="32">
        <f>S42-S47</f>
        <v>0</v>
      </c>
      <c r="T48" s="32">
        <f>T42-T47</f>
        <v>0</v>
      </c>
      <c r="U48" s="32">
        <f>U42-U47</f>
        <v>0</v>
      </c>
      <c r="V48" s="32">
        <f>V42-V47</f>
        <v>0</v>
      </c>
      <c r="W48" s="32">
        <f>W42-W47</f>
        <v>0</v>
      </c>
      <c r="X48" s="32">
        <f>X42-X47</f>
        <v>0</v>
      </c>
      <c r="Y48" s="32">
        <f>Y42-Y47</f>
        <v>0</v>
      </c>
      <c r="Z48" s="32">
        <f>Z42-Z47</f>
        <v>0</v>
      </c>
    </row>
    <row r="49" spans="2:26" x14ac:dyDescent="0.25">
      <c r="B49" s="34" t="s">
        <v>332</v>
      </c>
      <c r="C49" s="35" t="s">
        <v>228</v>
      </c>
      <c r="E49" s="32">
        <f>E44+E45-E48</f>
        <v>0</v>
      </c>
      <c r="F49" s="32">
        <f>F44+F45-F48</f>
        <v>0</v>
      </c>
      <c r="G49" s="32">
        <f>G44+G45-G48</f>
        <v>0</v>
      </c>
      <c r="H49" s="32">
        <f>H44+H45-H48</f>
        <v>0</v>
      </c>
      <c r="I49" s="32">
        <f>I44+I45-I48</f>
        <v>0</v>
      </c>
      <c r="J49" s="32">
        <f>J44+J45-J48</f>
        <v>0</v>
      </c>
      <c r="K49" s="32">
        <f>K44+K45-K48</f>
        <v>0</v>
      </c>
      <c r="L49" s="32">
        <f>L44+L45-L48</f>
        <v>0</v>
      </c>
      <c r="M49" s="32">
        <f>M44+M45-M48</f>
        <v>0</v>
      </c>
      <c r="N49" s="32">
        <f>N44+N45-N48</f>
        <v>0</v>
      </c>
      <c r="O49" s="32">
        <f>O44+O45-O48</f>
        <v>0</v>
      </c>
      <c r="P49" s="32">
        <f>P44+P45-P48</f>
        <v>0</v>
      </c>
      <c r="Q49" s="32">
        <f>Q44+Q45-Q48</f>
        <v>0</v>
      </c>
      <c r="R49" s="32">
        <f>R44+R45-R48</f>
        <v>0</v>
      </c>
      <c r="S49" s="32">
        <f>S44+S45-S48</f>
        <v>0</v>
      </c>
      <c r="T49" s="32">
        <f>T44+T45-T48</f>
        <v>0</v>
      </c>
      <c r="U49" s="32">
        <f>U44+U45-U48</f>
        <v>0</v>
      </c>
      <c r="V49" s="32">
        <f>V44+V45-V48</f>
        <v>0</v>
      </c>
      <c r="W49" s="32">
        <f>W44+W45-W48</f>
        <v>0</v>
      </c>
      <c r="X49" s="32">
        <f>X44+X45-X48</f>
        <v>0</v>
      </c>
      <c r="Y49" s="32">
        <f>Y44+Y45-Y48</f>
        <v>0</v>
      </c>
      <c r="Z49" s="32">
        <f>Z44+Z45-Z48</f>
        <v>0</v>
      </c>
    </row>
    <row r="50" spans="2:26" x14ac:dyDescent="0.25">
      <c r="B50" s="47" t="s">
        <v>333</v>
      </c>
      <c r="C50" s="35" t="s">
        <v>228</v>
      </c>
      <c r="E50" s="14">
        <f>E47*(1+$D$66/100)+E48*$D$67/100</f>
        <v>0</v>
      </c>
      <c r="F50" s="14">
        <f>F47*(1+$D$66/100)+F48*$D$67/100</f>
        <v>104.95343619444247</v>
      </c>
      <c r="G50" s="14">
        <f>G47*(1+$D$66/100)+G48*$D$67/100</f>
        <v>478.42735717027</v>
      </c>
      <c r="H50" s="14">
        <f>H47*(1+$D$66/100)+H48*$D$67/100</f>
        <v>506.1301174374576</v>
      </c>
      <c r="I50" s="14">
        <f>I47*(1+$D$66/100)+I48*$D$67/100</f>
        <v>568.1384247196431</v>
      </c>
      <c r="J50" s="14">
        <f>J47*(1+$D$66/100)+J48*$D$67/100</f>
        <v>630.0952849455008</v>
      </c>
      <c r="K50" s="14">
        <f>K47*(1+$D$66/100)+K48*$D$67/100</f>
        <v>692.0003379856372</v>
      </c>
      <c r="L50" s="14">
        <f>L47*(1+$D$66/100)+L48*$D$67/100</f>
        <v>753.8532211897522</v>
      </c>
      <c r="M50" s="14">
        <f>M47*(1+$D$66/100)+M48*$D$67/100</f>
        <v>815.6535693689929</v>
      </c>
      <c r="N50" s="14">
        <f>N47*(1+$D$66/100)+N48*$D$67/100</f>
        <v>877.4010147781859</v>
      </c>
      <c r="O50" s="14">
        <f>O47*(1+$D$66/100)+O48*$D$67/100</f>
        <v>939.0951870979413</v>
      </c>
      <c r="P50" s="14">
        <f>P47*(1+$D$66/100)+P48*$D$67/100</f>
        <v>1000.7357134166325</v>
      </c>
      <c r="Q50" s="14">
        <f>Q47*(1+$D$66/100)+Q48*$D$67/100</f>
        <v>1062.3222182122518</v>
      </c>
      <c r="R50" s="14">
        <f>R47*(1+$D$66/100)+R48*$D$67/100</f>
        <v>1123.8543233341384</v>
      </c>
      <c r="S50" s="14">
        <f>S47*(1+$D$66/100)+S48*$D$67/100</f>
        <v>1185.331647984575</v>
      </c>
      <c r="T50" s="14">
        <f>T47*(1+$D$66/100)+T48*$D$67/100</f>
        <v>1246.7538087002622</v>
      </c>
      <c r="U50" s="14">
        <f>U47*(1+$D$66/100)+U48*$D$67/100</f>
        <v>1308.1204193336573</v>
      </c>
      <c r="V50" s="14">
        <f>V47*(1+$D$66/100)+V48*$D$67/100</f>
        <v>1369.4310910341837</v>
      </c>
      <c r="W50" s="14">
        <f>W47*(1+$D$66/100)+W48*$D$67/100</f>
        <v>1430.685432229311</v>
      </c>
      <c r="X50" s="14">
        <f>X47*(1+$D$66/100)+X48*$D$67/100</f>
        <v>1434.621987863314</v>
      </c>
      <c r="Y50" s="14">
        <f>Y47*(1+$D$66/100)+Y48*$D$67/100</f>
        <v>1404.1447851593346</v>
      </c>
      <c r="Z50" s="14">
        <f>Z47*(1+$D$66/100)+Z48*$D$67/100</f>
        <v>612.4409377549928</v>
      </c>
    </row>
    <row r="51" spans="2:26" x14ac:dyDescent="0.25">
      <c r="B51" s="34" t="s">
        <v>334</v>
      </c>
      <c r="C51" s="35" t="s">
        <v>228</v>
      </c>
      <c r="E51" s="32">
        <f>MAX(0,E27)+MAX(0,F27)+MAX(0,G27)</f>
        <v>0</v>
      </c>
      <c r="F51" s="32">
        <f>MAX(0,H27)+MAX(0,I27)+MAX(0,J27)+MAX(0,K27)</f>
        <v>582.432709064318</v>
      </c>
      <c r="G51" s="32">
        <f>MAX(0,L27)+MAX(0,M27)+MAX(0,N27)+MAX(0,O27)</f>
        <v>2294.3892687572725</v>
      </c>
      <c r="H51" s="32">
        <f>MAX(0,P27)+MAX(0,Q27)+MAX(0,R27)+MAX(0,S27)</f>
        <v>2426.938360944773</v>
      </c>
      <c r="I51" s="32">
        <f>MAX(0,T27)+MAX(0,U27)+MAX(0,V27)+MAX(0,W27)</f>
        <v>2723.6288264097757</v>
      </c>
      <c r="J51" s="32">
        <f>MAX(0,X27)+MAX(0,Y27)+MAX(0,Z27)+MAX(0,AA27)</f>
        <v>3020.0731337105303</v>
      </c>
      <c r="K51" s="32">
        <f>MAX(0,AB27)+MAX(0,AC27)+MAX(0,AD27)+MAX(0,AE27)</f>
        <v>3316.2695597398906</v>
      </c>
      <c r="L51" s="32">
        <f>MAX(0,AF27)+MAX(0,AG27)+MAX(0,AH27)+MAX(0,AI27)</f>
        <v>3612.2163693289576</v>
      </c>
      <c r="M51" s="32">
        <f>MAX(0,AJ27)+MAX(0,AK27)+MAX(0,AL27)+MAX(0,AM27)</f>
        <v>3907.9118151626453</v>
      </c>
      <c r="N51" s="32">
        <f>MAX(0,AN27)+MAX(0,AO27)+MAX(0,AP27)+MAX(0,AQ27)</f>
        <v>4203.354137694669</v>
      </c>
      <c r="O51" s="32">
        <f>MAX(0,AR27)+MAX(0,AS27)+MAX(0,AT27)+MAX(0,AU27)</f>
        <v>4498.54156506192</v>
      </c>
      <c r="P51" s="32">
        <f>MAX(0,AV27)+MAX(0,AW27)+MAX(0,AX27)+MAX(0,AY27)</f>
        <v>4793.472312998241</v>
      </c>
      <c r="Q51" s="32">
        <f>MAX(0,AZ27)+MAX(0,BA27)+MAX(0,BB27)+MAX(0,BC27)</f>
        <v>5088.144584747615</v>
      </c>
      <c r="R51" s="32">
        <f>MAX(0,BD27)+MAX(0,BE27)+MAX(0,BF27)+MAX(0,BG27)</f>
        <v>5382.556570976737</v>
      </c>
      <c r="S51" s="32">
        <f>MAX(0,BH27)+MAX(0,BI27)+MAX(0,BJ27)+MAX(0,BK27)</f>
        <v>5676.706449686962</v>
      </c>
      <c r="T51" s="32">
        <f>MAX(0,BL27)+MAX(0,BM27)+MAX(0,BN27)+MAX(0,BO27)</f>
        <v>5970.592386125656</v>
      </c>
      <c r="U51" s="32">
        <f>MAX(0,BP27)+MAX(0,BQ27)+MAX(0,BR27)+MAX(0,BS27)</f>
        <v>6264.2125326969235</v>
      </c>
      <c r="V51" s="32">
        <f>MAX(0,BT27)+MAX(0,BU27)+MAX(0,BV27)+MAX(0,BW27)</f>
        <v>6557.565028871692</v>
      </c>
      <c r="W51" s="32">
        <f>MAX(0,BX27)+MAX(0,BY27)+MAX(0,BZ27)+MAX(0,CA27)</f>
        <v>6850.648001097181</v>
      </c>
      <c r="X51" s="32">
        <f>MAX(0,CB27)+MAX(0,CC27)+MAX(0,CD27)+MAX(0,CE27)</f>
        <v>6869.483195518248</v>
      </c>
      <c r="Y51" s="32">
        <f>MAX(0,CF27)+MAX(0,CG27)+MAX(0,CH27)+MAX(0,CI27)</f>
        <v>6723.659259135571</v>
      </c>
      <c r="Z51" s="32">
        <f>MAX(0,CJ27)+MAX(0,CK27)+MAX(0,CL27)</f>
        <v>4960.602572990396</v>
      </c>
    </row>
    <row r="53" spans="2:2" x14ac:dyDescent="0.25">
      <c r="B53" s="38" t="s">
        <v>335</v>
      </c>
    </row>
    <row r="56" spans="2:91" x14ac:dyDescent="0.25">
      <c r="B56" s="9" t="s">
        <v>212</v>
      </c>
      <c r="C56" s="10"/>
      <c r="D56" s="44" t="s">
        <v>213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</row>
    <row r="57" spans="2:2" x14ac:dyDescent="0.25">
      <c r="B57" s="38" t="s">
        <v>214</v>
      </c>
    </row>
    <row r="58" spans="2:4" x14ac:dyDescent="0.25">
      <c r="B58" s="34" t="s">
        <v>336</v>
      </c>
      <c r="C58" s="45" t="s">
        <v>337</v>
      </c>
      <c r="D58" s="60">
        <f>'입력값'!C15</f>
        <v>95</v>
      </c>
    </row>
    <row r="59" spans="2:4" x14ac:dyDescent="0.25">
      <c r="B59" s="34" t="s">
        <v>338</v>
      </c>
      <c r="C59" s="45" t="s">
        <v>339</v>
      </c>
      <c r="D59" s="62">
        <f>'입력값'!C16</f>
        <v>20</v>
      </c>
    </row>
    <row r="60" spans="2:4" x14ac:dyDescent="0.25">
      <c r="B60" s="34" t="s">
        <v>340</v>
      </c>
      <c r="C60" s="45" t="s">
        <v>341</v>
      </c>
      <c r="D60" s="46">
        <f>'입력값'!C17</f>
        <v>20</v>
      </c>
    </row>
    <row r="61" spans="2:4" x14ac:dyDescent="0.25">
      <c r="B61" s="34" t="s">
        <v>342</v>
      </c>
      <c r="C61" s="45" t="s">
        <v>343</v>
      </c>
      <c r="D61" s="46">
        <f>'입력값'!C21</f>
        <v>0</v>
      </c>
    </row>
    <row r="62" spans="2:4" x14ac:dyDescent="0.25">
      <c r="B62" s="34" t="s">
        <v>344</v>
      </c>
      <c r="C62" s="45" t="s">
        <v>345</v>
      </c>
      <c r="D62" s="46">
        <f>'입력값'!C22</f>
        <v>0</v>
      </c>
    </row>
    <row r="63" spans="2:4" x14ac:dyDescent="0.25">
      <c r="B63" s="34" t="s">
        <v>346</v>
      </c>
      <c r="C63" s="45" t="s">
        <v>347</v>
      </c>
      <c r="D63" s="60">
        <f>'입력값'!C32</f>
        <v>80</v>
      </c>
    </row>
    <row r="64" spans="2:4" x14ac:dyDescent="0.25">
      <c r="B64" s="34" t="s">
        <v>348</v>
      </c>
      <c r="C64" s="45" t="s">
        <v>349</v>
      </c>
      <c r="D64" s="60">
        <f>'입력값'!C33</f>
        <v>0</v>
      </c>
    </row>
    <row r="65" spans="2:4" x14ac:dyDescent="0.25">
      <c r="B65" s="34" t="s">
        <v>350</v>
      </c>
      <c r="C65" s="45" t="s">
        <v>351</v>
      </c>
      <c r="D65" s="60">
        <f>'입력값'!C34</f>
        <v>0</v>
      </c>
    </row>
    <row r="66" spans="2:4" x14ac:dyDescent="0.25">
      <c r="B66" s="34" t="s">
        <v>352</v>
      </c>
      <c r="C66" s="45" t="s">
        <v>353</v>
      </c>
      <c r="D66" s="60">
        <f>'입력값'!C35</f>
        <v>10</v>
      </c>
    </row>
    <row r="67" spans="2:4" x14ac:dyDescent="0.25">
      <c r="B67" s="34" t="s">
        <v>354</v>
      </c>
      <c r="C67" s="45" t="s">
        <v>355</v>
      </c>
      <c r="D67" s="60">
        <f>'입력값'!C36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79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356</v>
      </c>
    </row>
    <row r="4" spans="2:91" x14ac:dyDescent="0.25">
      <c r="B4" s="9" t="s">
        <v>357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8" t="s">
        <v>96</v>
      </c>
      <c r="C6" s="28" t="s">
        <v>97</v>
      </c>
      <c r="D6" s="28" t="s">
        <v>98</v>
      </c>
      <c r="E6" s="33" t="s">
        <v>99</v>
      </c>
      <c r="F6" s="33" t="s">
        <v>100</v>
      </c>
      <c r="G6" s="33" t="s">
        <v>101</v>
      </c>
      <c r="H6" s="33" t="s">
        <v>102</v>
      </c>
      <c r="I6" s="33" t="s">
        <v>103</v>
      </c>
      <c r="J6" s="33" t="s">
        <v>104</v>
      </c>
      <c r="K6" s="33" t="s">
        <v>105</v>
      </c>
      <c r="L6" s="33" t="s">
        <v>106</v>
      </c>
      <c r="M6" s="33" t="s">
        <v>107</v>
      </c>
      <c r="N6" s="33" t="s">
        <v>108</v>
      </c>
      <c r="O6" s="33" t="s">
        <v>109</v>
      </c>
      <c r="P6" s="33" t="s">
        <v>110</v>
      </c>
      <c r="Q6" s="33" t="s">
        <v>111</v>
      </c>
      <c r="R6" s="33" t="s">
        <v>112</v>
      </c>
      <c r="S6" s="33" t="s">
        <v>113</v>
      </c>
      <c r="T6" s="33" t="s">
        <v>114</v>
      </c>
      <c r="U6" s="33" t="s">
        <v>115</v>
      </c>
      <c r="V6" s="33" t="s">
        <v>116</v>
      </c>
      <c r="W6" s="33" t="s">
        <v>117</v>
      </c>
      <c r="X6" s="33" t="s">
        <v>118</v>
      </c>
      <c r="Y6" s="33" t="s">
        <v>119</v>
      </c>
      <c r="Z6" s="33" t="s">
        <v>120</v>
      </c>
      <c r="AA6" s="33" t="s">
        <v>121</v>
      </c>
      <c r="AB6" s="33" t="s">
        <v>122</v>
      </c>
      <c r="AC6" s="33" t="s">
        <v>123</v>
      </c>
      <c r="AD6" s="33" t="s">
        <v>124</v>
      </c>
      <c r="AE6" s="33" t="s">
        <v>125</v>
      </c>
      <c r="AF6" s="33" t="s">
        <v>126</v>
      </c>
      <c r="AG6" s="33" t="s">
        <v>127</v>
      </c>
      <c r="AH6" s="33" t="s">
        <v>128</v>
      </c>
      <c r="AI6" s="33" t="s">
        <v>129</v>
      </c>
      <c r="AJ6" s="33" t="s">
        <v>130</v>
      </c>
      <c r="AK6" s="33" t="s">
        <v>131</v>
      </c>
      <c r="AL6" s="33" t="s">
        <v>132</v>
      </c>
      <c r="AM6" s="33" t="s">
        <v>133</v>
      </c>
      <c r="AN6" s="33" t="s">
        <v>134</v>
      </c>
      <c r="AO6" s="33" t="s">
        <v>135</v>
      </c>
      <c r="AP6" s="33" t="s">
        <v>136</v>
      </c>
      <c r="AQ6" s="33" t="s">
        <v>137</v>
      </c>
      <c r="AR6" s="33" t="s">
        <v>138</v>
      </c>
      <c r="AS6" s="33" t="s">
        <v>139</v>
      </c>
      <c r="AT6" s="33" t="s">
        <v>140</v>
      </c>
      <c r="AU6" s="33" t="s">
        <v>141</v>
      </c>
      <c r="AV6" s="33" t="s">
        <v>142</v>
      </c>
      <c r="AW6" s="33" t="s">
        <v>143</v>
      </c>
      <c r="AX6" s="33" t="s">
        <v>144</v>
      </c>
      <c r="AY6" s="33" t="s">
        <v>145</v>
      </c>
      <c r="AZ6" s="33" t="s">
        <v>146</v>
      </c>
      <c r="BA6" s="33" t="s">
        <v>147</v>
      </c>
      <c r="BB6" s="33" t="s">
        <v>148</v>
      </c>
      <c r="BC6" s="33" t="s">
        <v>149</v>
      </c>
      <c r="BD6" s="33" t="s">
        <v>150</v>
      </c>
      <c r="BE6" s="33" t="s">
        <v>151</v>
      </c>
      <c r="BF6" s="33" t="s">
        <v>152</v>
      </c>
      <c r="BG6" s="33" t="s">
        <v>153</v>
      </c>
      <c r="BH6" s="33" t="s">
        <v>154</v>
      </c>
      <c r="BI6" s="33" t="s">
        <v>155</v>
      </c>
      <c r="BJ6" s="33" t="s">
        <v>156</v>
      </c>
      <c r="BK6" s="33" t="s">
        <v>157</v>
      </c>
      <c r="BL6" s="33" t="s">
        <v>158</v>
      </c>
      <c r="BM6" s="33" t="s">
        <v>159</v>
      </c>
      <c r="BN6" s="33" t="s">
        <v>160</v>
      </c>
      <c r="BO6" s="33" t="s">
        <v>161</v>
      </c>
      <c r="BP6" s="33" t="s">
        <v>162</v>
      </c>
      <c r="BQ6" s="33" t="s">
        <v>163</v>
      </c>
      <c r="BR6" s="33" t="s">
        <v>164</v>
      </c>
      <c r="BS6" s="33" t="s">
        <v>165</v>
      </c>
      <c r="BT6" s="33" t="s">
        <v>166</v>
      </c>
      <c r="BU6" s="33" t="s">
        <v>167</v>
      </c>
      <c r="BV6" s="33" t="s">
        <v>168</v>
      </c>
      <c r="BW6" s="33" t="s">
        <v>169</v>
      </c>
      <c r="BX6" s="33" t="s">
        <v>170</v>
      </c>
      <c r="BY6" s="33" t="s">
        <v>171</v>
      </c>
      <c r="BZ6" s="33" t="s">
        <v>172</v>
      </c>
      <c r="CA6" s="33" t="s">
        <v>173</v>
      </c>
      <c r="CB6" s="33" t="s">
        <v>174</v>
      </c>
      <c r="CC6" s="33" t="s">
        <v>175</v>
      </c>
      <c r="CD6" s="33" t="s">
        <v>176</v>
      </c>
      <c r="CE6" s="33" t="s">
        <v>177</v>
      </c>
      <c r="CF6" s="33" t="s">
        <v>178</v>
      </c>
      <c r="CG6" s="33" t="s">
        <v>179</v>
      </c>
      <c r="CH6" s="33" t="s">
        <v>180</v>
      </c>
      <c r="CI6" s="33" t="s">
        <v>181</v>
      </c>
      <c r="CJ6" s="33" t="s">
        <v>182</v>
      </c>
      <c r="CK6" s="33" t="s">
        <v>183</v>
      </c>
      <c r="CL6" s="33" t="s">
        <v>184</v>
      </c>
    </row>
    <row r="9" spans="2:91" x14ac:dyDescent="0.25">
      <c r="B9" s="48" t="s">
        <v>358</v>
      </c>
      <c r="C9" s="51" t="s">
        <v>228</v>
      </c>
      <c r="D9" s="43">
        <f>SUM(E9:CL9)</f>
        <v>279734.65097466396</v>
      </c>
      <c r="E9" s="43">
        <f>'Revenue'!E14-'Opex'!E8+'IS(Q)'!E28+'IS(Q)'!E18+'Revenue'!E19</f>
        <v>0</v>
      </c>
      <c r="F9" s="43">
        <f>'Revenue'!F14-'Opex'!F8+'IS(Q)'!F28+'IS(Q)'!F18+'Revenue'!F19</f>
        <v>0</v>
      </c>
      <c r="G9" s="43">
        <f>'Revenue'!G14-'Opex'!G8+'IS(Q)'!G28+'IS(Q)'!G18+'Revenue'!G19</f>
        <v>0</v>
      </c>
      <c r="H9" s="43">
        <f>'Revenue'!H14-'Opex'!H8+'IS(Q)'!H28+'IS(Q)'!H18+'Revenue'!H19</f>
        <v>0</v>
      </c>
      <c r="I9" s="43">
        <f>'Revenue'!I14-'Opex'!I8+'IS(Q)'!I28+'IS(Q)'!I18+'Revenue'!I19</f>
        <v>0</v>
      </c>
      <c r="J9" s="43">
        <f>'Revenue'!J14-'Opex'!J8+'IS(Q)'!J28+'IS(Q)'!J18+'Revenue'!J19</f>
        <v>0</v>
      </c>
      <c r="K9" s="43">
        <f>'Revenue'!K14-'Opex'!K8+'IS(Q)'!K28+'IS(Q)'!K18+'Revenue'!K19</f>
        <v>2200.255563805558</v>
      </c>
      <c r="L9" s="43">
        <f>'Revenue'!L14-'Opex'!L8+'IS(Q)'!L28+'IS(Q)'!L18+'Revenue'!L19</f>
        <v>3958.8642997611537</v>
      </c>
      <c r="M9" s="43">
        <f>'Revenue'!M14-'Opex'!M8+'IS(Q)'!M28+'IS(Q)'!M18+'Revenue'!M19</f>
        <v>3958.8642997611537</v>
      </c>
      <c r="N9" s="43">
        <f>'Revenue'!N14-'Opex'!N8+'IS(Q)'!N28+'IS(Q)'!N18+'Revenue'!N19</f>
        <v>3958.8642997611537</v>
      </c>
      <c r="O9" s="43">
        <f>'Revenue'!O14-'Opex'!O8+'IS(Q)'!O28+'IS(Q)'!O18+'Revenue'!O19</f>
        <v>3939.7676985462695</v>
      </c>
      <c r="P9" s="43">
        <f>'Revenue'!P14-'Opex'!P8+'IS(Q)'!P28+'IS(Q)'!P18+'Revenue'!P19</f>
        <v>3925.164162554941</v>
      </c>
      <c r="Q9" s="43">
        <f>'Revenue'!Q14-'Opex'!Q8+'IS(Q)'!Q28+'IS(Q)'!Q18+'Revenue'!Q19</f>
        <v>3919.450474348797</v>
      </c>
      <c r="R9" s="43">
        <f>'Revenue'!R14-'Opex'!R8+'IS(Q)'!R28+'IS(Q)'!R18+'Revenue'!R19</f>
        <v>3913.7367861426524</v>
      </c>
      <c r="S9" s="43">
        <f>'Revenue'!S14-'Opex'!S8+'IS(Q)'!S28+'IS(Q)'!S18+'Revenue'!S19</f>
        <v>3888.879139516155</v>
      </c>
      <c r="T9" s="43">
        <f>'Revenue'!T14-'Opex'!T8+'IS(Q)'!T28+'IS(Q)'!T18+'Revenue'!T19</f>
        <v>3874.257901686055</v>
      </c>
      <c r="U9" s="43">
        <f>'Revenue'!U14-'Opex'!U8+'IS(Q)'!U28+'IS(Q)'!U18+'Revenue'!U19</f>
        <v>3868.5428607761123</v>
      </c>
      <c r="V9" s="43">
        <f>'Revenue'!V14-'Opex'!V8+'IS(Q)'!V28+'IS(Q)'!V18+'Revenue'!V19</f>
        <v>3862.827819866169</v>
      </c>
      <c r="W9" s="43">
        <f>'Revenue'!W14-'Opex'!W8+'IS(Q)'!W28+'IS(Q)'!W18+'Revenue'!W19</f>
        <v>3837.921950917026</v>
      </c>
      <c r="X9" s="43">
        <f>'Revenue'!X14-'Opex'!X8+'IS(Q)'!X28+'IS(Q)'!X18+'Revenue'!X19</f>
        <v>3823.3027331583694</v>
      </c>
      <c r="Y9" s="43">
        <f>'Revenue'!Y14-'Opex'!Y8+'IS(Q)'!Y28+'IS(Q)'!Y18+'Revenue'!Y19</f>
        <v>3817.5866061141464</v>
      </c>
      <c r="Z9" s="43">
        <f>'Revenue'!Z14-'Opex'!Z8+'IS(Q)'!Z28+'IS(Q)'!Z18+'Revenue'!Z19</f>
        <v>3811.8704790699235</v>
      </c>
      <c r="AA9" s="43">
        <f>'Revenue'!AA14-'Opex'!AA8+'IS(Q)'!AA28+'IS(Q)'!AA18+'Revenue'!AA19</f>
        <v>3786.91597447782</v>
      </c>
      <c r="AB9" s="43">
        <f>'Revenue'!AB14-'Opex'!AB8+'IS(Q)'!AB28+'IS(Q)'!AB18+'Revenue'!AB19</f>
        <v>3772.298401555849</v>
      </c>
      <c r="AC9" s="43">
        <f>'Revenue'!AC14-'Opex'!AC8+'IS(Q)'!AC28+'IS(Q)'!AC18+'Revenue'!AC19</f>
        <v>3766.5813832230965</v>
      </c>
      <c r="AD9" s="43">
        <f>'Revenue'!AD14-'Opex'!AD8+'IS(Q)'!AD28+'IS(Q)'!AD18+'Revenue'!AD19</f>
        <v>3760.8643648903435</v>
      </c>
      <c r="AE9" s="43">
        <f>'Revenue'!AE14-'Opex'!AE8+'IS(Q)'!AE28+'IS(Q)'!AE18+'Revenue'!AE19</f>
        <v>3735.860828640193</v>
      </c>
      <c r="AF9" s="43">
        <f>'Revenue'!AF14-'Opex'!AF8+'IS(Q)'!AF28+'IS(Q)'!AF18+'Revenue'!AF19</f>
        <v>3721.2446211853166</v>
      </c>
      <c r="AG9" s="43">
        <f>'Revenue'!AG14-'Opex'!AG8+'IS(Q)'!AG28+'IS(Q)'!AG18+'Revenue'!AG19</f>
        <v>3715.5268582991325</v>
      </c>
      <c r="AH9" s="43">
        <f>'Revenue'!AH14-'Opex'!AH8+'IS(Q)'!AH28+'IS(Q)'!AH18+'Revenue'!AH19</f>
        <v>3709.809095412948</v>
      </c>
      <c r="AI9" s="43">
        <f>'Revenue'!AI14-'Opex'!AI8+'IS(Q)'!AI28+'IS(Q)'!AI18+'Revenue'!AI19</f>
        <v>3684.7561422970375</v>
      </c>
      <c r="AJ9" s="43">
        <f>'Revenue'!AJ14-'Opex'!AJ8+'IS(Q)'!AJ28+'IS(Q)'!AJ18+'Revenue'!AJ19</f>
        <v>3670.1410866668093</v>
      </c>
      <c r="AK9" s="43">
        <f>'Revenue'!AK14-'Opex'!AK8+'IS(Q)'!AK28+'IS(Q)'!AK18+'Revenue'!AK19</f>
        <v>3664.422692486261</v>
      </c>
      <c r="AL9" s="43">
        <f>'Revenue'!AL14-'Opex'!AL8+'IS(Q)'!AL28+'IS(Q)'!AL18+'Revenue'!AL19</f>
        <v>3658.704298305712</v>
      </c>
      <c r="AM9" s="43">
        <f>'Revenue'!AM14-'Opex'!AM8+'IS(Q)'!AM28+'IS(Q)'!AM18+'Revenue'!AM19</f>
        <v>3633.6015498900992</v>
      </c>
      <c r="AN9" s="43">
        <f>'Revenue'!AN14-'Opex'!AN8+'IS(Q)'!AN28+'IS(Q)'!AN18+'Revenue'!AN19</f>
        <v>3618.987479026091</v>
      </c>
      <c r="AO9" s="43">
        <f>'Revenue'!AO14-'Opex'!AO8+'IS(Q)'!AO28+'IS(Q)'!AO18+'Revenue'!AO19</f>
        <v>3613.268542797525</v>
      </c>
      <c r="AP9" s="43">
        <f>'Revenue'!AP14-'Opex'!AP8+'IS(Q)'!AP28+'IS(Q)'!AP18+'Revenue'!AP19</f>
        <v>3607.549606568959</v>
      </c>
      <c r="AQ9" s="43">
        <f>'Revenue'!AQ14-'Opex'!AQ8+'IS(Q)'!AQ28+'IS(Q)'!AQ18+'Revenue'!AQ19</f>
        <v>3582.396688579137</v>
      </c>
      <c r="AR9" s="43">
        <f>'Revenue'!AR14-'Opex'!AR8+'IS(Q)'!AR28+'IS(Q)'!AR18+'Revenue'!AR19</f>
        <v>3567.7834693674886</v>
      </c>
      <c r="AS9" s="43">
        <f>'Revenue'!AS14-'Opex'!AS8+'IS(Q)'!AS28+'IS(Q)'!AS18+'Revenue'!AS19</f>
        <v>3562.0640626646004</v>
      </c>
      <c r="AT9" s="43">
        <f>'Revenue'!AT14-'Opex'!AT8+'IS(Q)'!AT28+'IS(Q)'!AT18+'Revenue'!AT19</f>
        <v>3556.3446559617123</v>
      </c>
      <c r="AU9" s="43">
        <f>'Revenue'!AU14-'Opex'!AU8+'IS(Q)'!AU28+'IS(Q)'!AU18+'Revenue'!AU19</f>
        <v>3531.1411965254065</v>
      </c>
      <c r="AV9" s="43">
        <f>'Revenue'!AV14-'Opex'!AV8+'IS(Q)'!AV28+'IS(Q)'!AV18+'Revenue'!AV19</f>
        <v>3516.5287211757945</v>
      </c>
      <c r="AW9" s="43">
        <f>'Revenue'!AW14-'Opex'!AW8+'IS(Q)'!AW28+'IS(Q)'!AW18+'Revenue'!AW19</f>
        <v>3510.8089022768054</v>
      </c>
      <c r="AX9" s="43">
        <f>'Revenue'!AX14-'Opex'!AX8+'IS(Q)'!AX28+'IS(Q)'!AX18+'Revenue'!AX19</f>
        <v>3505.0890833778167</v>
      </c>
      <c r="AY9" s="43">
        <f>'Revenue'!AY14-'Opex'!AY8+'IS(Q)'!AY28+'IS(Q)'!AY18+'Revenue'!AY19</f>
        <v>3479.8347118064216</v>
      </c>
      <c r="AZ9" s="43">
        <f>'Revenue'!AZ14-'Opex'!AZ8+'IS(Q)'!AZ28+'IS(Q)'!AZ18+'Revenue'!AZ19</f>
        <v>3465.2228918067594</v>
      </c>
      <c r="BA9" s="43">
        <f>'Revenue'!BA14-'Opex'!BA8+'IS(Q)'!BA28+'IS(Q)'!BA18+'Revenue'!BA19</f>
        <v>3459.502708795435</v>
      </c>
      <c r="BB9" s="43">
        <f>'Revenue'!BB14-'Opex'!BB8+'IS(Q)'!BB28+'IS(Q)'!BB18+'Revenue'!BB19</f>
        <v>3453.7825257841105</v>
      </c>
      <c r="BC9" s="43">
        <f>'Revenue'!BC14-'Opex'!BC8+'IS(Q)'!BC28+'IS(Q)'!BC18+'Revenue'!BC19</f>
        <v>3428.476871704288</v>
      </c>
      <c r="BD9" s="43">
        <f>'Revenue'!BD14-'Opex'!BD8+'IS(Q)'!BD28+'IS(Q)'!BD18+'Revenue'!BD19</f>
        <v>3413.8656334790694</v>
      </c>
      <c r="BE9" s="43">
        <f>'Revenue'!BE14-'Opex'!BE8+'IS(Q)'!BE28+'IS(Q)'!BE18+'Revenue'!BE19</f>
        <v>3408.1451264914544</v>
      </c>
      <c r="BF9" s="43">
        <f>'Revenue'!BF14-'Opex'!BF8+'IS(Q)'!BF28+'IS(Q)'!BF18+'Revenue'!BF19</f>
        <v>3402.4246195038395</v>
      </c>
      <c r="BG9" s="43">
        <f>'Revenue'!BG14-'Opex'!BG8+'IS(Q)'!BG28+'IS(Q)'!BG18+'Revenue'!BG19</f>
        <v>3377.067312223464</v>
      </c>
      <c r="BH9" s="43">
        <f>'Revenue'!BH14-'Opex'!BH8+'IS(Q)'!BH28+'IS(Q)'!BH18+'Revenue'!BH19</f>
        <v>3362.456593949988</v>
      </c>
      <c r="BI9" s="43">
        <f>'Revenue'!BI14-'Opex'!BI8+'IS(Q)'!BI28+'IS(Q)'!BI18+'Revenue'!BI19</f>
        <v>3356.7357968345214</v>
      </c>
      <c r="BJ9" s="43">
        <f>'Revenue'!BJ14-'Opex'!BJ8+'IS(Q)'!BJ28+'IS(Q)'!BJ18+'Revenue'!BJ19</f>
        <v>3351.014999719055</v>
      </c>
      <c r="BK9" s="43">
        <f>'Revenue'!BK14-'Opex'!BK8+'IS(Q)'!BK28+'IS(Q)'!BK18+'Revenue'!BK19</f>
        <v>3325.6056677540523</v>
      </c>
      <c r="BL9" s="43">
        <f>'Revenue'!BL14-'Opex'!BL8+'IS(Q)'!BL28+'IS(Q)'!BL18+'Revenue'!BL19</f>
        <v>3310.995416984512</v>
      </c>
      <c r="BM9" s="43">
        <f>'Revenue'!BM14-'Opex'!BM8+'IS(Q)'!BM28+'IS(Q)'!BM18+'Revenue'!BM19</f>
        <v>3305.274358550199</v>
      </c>
      <c r="BN9" s="43">
        <f>'Revenue'!BN14-'Opex'!BN8+'IS(Q)'!BN28+'IS(Q)'!BN18+'Revenue'!BN19</f>
        <v>3299.5533001158865</v>
      </c>
      <c r="BO9" s="43">
        <f>'Revenue'!BO14-'Opex'!BO8+'IS(Q)'!BO28+'IS(Q)'!BO18+'Revenue'!BO19</f>
        <v>3274.0915708300254</v>
      </c>
      <c r="BP9" s="43">
        <f>'Revenue'!BP14-'Opex'!BP8+'IS(Q)'!BP28+'IS(Q)'!BP18+'Revenue'!BP19</f>
        <v>3259.481742686357</v>
      </c>
      <c r="BQ9" s="43">
        <f>'Revenue'!BQ14-'Opex'!BQ8+'IS(Q)'!BQ28+'IS(Q)'!BQ18+'Revenue'!BQ19</f>
        <v>3253.760447655862</v>
      </c>
      <c r="BR9" s="43">
        <f>'Revenue'!BR14-'Opex'!BR8+'IS(Q)'!BR28+'IS(Q)'!BR18+'Revenue'!BR19</f>
        <v>3248.0391526253675</v>
      </c>
      <c r="BS9" s="43">
        <f>'Revenue'!BS14-'Opex'!BS8+'IS(Q)'!BS28+'IS(Q)'!BS18+'Revenue'!BS19</f>
        <v>3222.524651950908</v>
      </c>
      <c r="BT9" s="43">
        <f>'Revenue'!BT14-'Opex'!BT8+'IS(Q)'!BT28+'IS(Q)'!BT18+'Revenue'!BT19</f>
        <v>3207.915207734375</v>
      </c>
      <c r="BU9" s="43">
        <f>'Revenue'!BU14-'Opex'!BU8+'IS(Q)'!BU28+'IS(Q)'!BU18+'Revenue'!BU19</f>
        <v>3202.1936974819682</v>
      </c>
      <c r="BV9" s="43">
        <f>'Revenue'!BV14-'Opex'!BV8+'IS(Q)'!BV28+'IS(Q)'!BV18+'Revenue'!BV19</f>
        <v>3196.472187229561</v>
      </c>
      <c r="BW9" s="43">
        <f>'Revenue'!BW14-'Opex'!BW8+'IS(Q)'!BW28+'IS(Q)'!BW18+'Revenue'!BW19</f>
        <v>3170.904539446834</v>
      </c>
      <c r="BX9" s="43">
        <f>'Revenue'!BX14-'Opex'!BX8+'IS(Q)'!BX28+'IS(Q)'!BX18+'Revenue'!BX19</f>
        <v>3156.295445552974</v>
      </c>
      <c r="BY9" s="43">
        <f>'Revenue'!BY14-'Opex'!BY8+'IS(Q)'!BY28+'IS(Q)'!BY18+'Revenue'!BY19</f>
        <v>3150.5737386830915</v>
      </c>
      <c r="BZ9" s="43">
        <f>'Revenue'!BZ14-'Opex'!BZ8+'IS(Q)'!BZ28+'IS(Q)'!BZ18+'Revenue'!BZ19</f>
        <v>3144.8520318132087</v>
      </c>
      <c r="CA9" s="43">
        <f>'Revenue'!CA14-'Opex'!CA8+'IS(Q)'!CA28+'IS(Q)'!CA18+'Revenue'!CA19</f>
        <v>3119.2308593738253</v>
      </c>
      <c r="CB9" s="43">
        <f>'Revenue'!CB14-'Opex'!CB8+'IS(Q)'!CB28+'IS(Q)'!CB18+'Revenue'!CB19</f>
        <v>3110.354576777292</v>
      </c>
      <c r="CC9" s="43">
        <f>'Revenue'!CC14-'Opex'!CC8+'IS(Q)'!CC28+'IS(Q)'!CC18+'Revenue'!CC19</f>
        <v>3110.354576777292</v>
      </c>
      <c r="CD9" s="43">
        <f>'Revenue'!CD14-'Opex'!CD8+'IS(Q)'!CD28+'IS(Q)'!CD18+'Revenue'!CD19</f>
        <v>3110.354576777292</v>
      </c>
      <c r="CE9" s="43">
        <f>'Revenue'!CE14-'Opex'!CE8+'IS(Q)'!CE28+'IS(Q)'!CE18+'Revenue'!CE19</f>
        <v>3090.401163565787</v>
      </c>
      <c r="CF9" s="43">
        <f>'Revenue'!CF14-'Opex'!CF8+'IS(Q)'!CF28+'IS(Q)'!CF18+'Revenue'!CF19</f>
        <v>3081.531510404308</v>
      </c>
      <c r="CG9" s="43">
        <f>'Revenue'!CG14-'Opex'!CG8+'IS(Q)'!CG28+'IS(Q)'!CG18+'Revenue'!CG19</f>
        <v>3081.531510404308</v>
      </c>
      <c r="CH9" s="43">
        <f>'Revenue'!CH14-'Opex'!CH8+'IS(Q)'!CH28+'IS(Q)'!CH18+'Revenue'!CH19</f>
        <v>3081.531510404308</v>
      </c>
      <c r="CI9" s="43">
        <f>'Revenue'!CI14-'Opex'!CI8+'IS(Q)'!CI28+'IS(Q)'!CI18+'Revenue'!CI19</f>
        <v>3061.523629006042</v>
      </c>
      <c r="CJ9" s="43">
        <f>'Revenue'!CJ14-'Opex'!CJ8+'IS(Q)'!CJ28+'IS(Q)'!CJ18+'Revenue'!CJ19</f>
        <v>3193.819252680817</v>
      </c>
      <c r="CK9" s="43">
        <f>'Revenue'!CK14-'Opex'!CK8+'IS(Q)'!CK28+'IS(Q)'!CK18+'Revenue'!CK19</f>
        <v>3193.819252680817</v>
      </c>
      <c r="CL9" s="43">
        <f>'Revenue'!CL14-'Opex'!CL8+'IS(Q)'!CL28+'IS(Q)'!CL18+'Revenue'!CL19</f>
        <v>4800.288825180817</v>
      </c>
      <c r="CM9" s="49"/>
    </row>
    <row r="10" spans="2:90" x14ac:dyDescent="0.25">
      <c r="B10" s="34" t="s">
        <v>247</v>
      </c>
      <c r="C10" s="35" t="s">
        <v>228</v>
      </c>
      <c r="D10" s="32">
        <f>SUM(E10:CL10)</f>
        <v>190069.879375</v>
      </c>
      <c r="E10" s="32">
        <f>'Debt'!E47</f>
        <v>0</v>
      </c>
      <c r="F10" s="32">
        <f>'Debt'!F47</f>
        <v>0</v>
      </c>
      <c r="G10" s="32">
        <f>'Debt'!G47</f>
        <v>0</v>
      </c>
      <c r="H10" s="32">
        <f>'Debt'!H47</f>
        <v>0</v>
      </c>
      <c r="I10" s="32">
        <f>'Debt'!I47</f>
        <v>0</v>
      </c>
      <c r="J10" s="32">
        <f>'Debt'!J47</f>
        <v>0</v>
      </c>
      <c r="K10" s="32">
        <f>'Debt'!K47</f>
        <v>1753.4487499999998</v>
      </c>
      <c r="L10" s="32">
        <f>'Debt'!L47</f>
        <v>1753.4487499999998</v>
      </c>
      <c r="M10" s="32">
        <f>'Debt'!M47</f>
        <v>1753.4487499999998</v>
      </c>
      <c r="N10" s="32">
        <f>'Debt'!N47</f>
        <v>1753.4487499999998</v>
      </c>
      <c r="O10" s="32">
        <f>'Debt'!O47</f>
        <v>3723.2768749999996</v>
      </c>
      <c r="P10" s="32">
        <f>'Debt'!P47</f>
        <v>3695.87923828125</v>
      </c>
      <c r="Q10" s="32">
        <f>'Debt'!Q47</f>
        <v>3668.4816015625</v>
      </c>
      <c r="R10" s="32">
        <f>'Debt'!R47</f>
        <v>3641.08396484375</v>
      </c>
      <c r="S10" s="32">
        <f>'Debt'!S47</f>
        <v>3613.686328125</v>
      </c>
      <c r="T10" s="32">
        <f>'Debt'!T47</f>
        <v>3586.28869140625</v>
      </c>
      <c r="U10" s="32">
        <f>'Debt'!U47</f>
        <v>3558.8910546875</v>
      </c>
      <c r="V10" s="32">
        <f>'Debt'!V47</f>
        <v>3531.49341796875</v>
      </c>
      <c r="W10" s="32">
        <f>'Debt'!W47</f>
        <v>3504.09578125</v>
      </c>
      <c r="X10" s="32">
        <f>'Debt'!X47</f>
        <v>3476.69814453125</v>
      </c>
      <c r="Y10" s="32">
        <f>'Debt'!Y47</f>
        <v>3449.3005078124997</v>
      </c>
      <c r="Z10" s="32">
        <f>'Debt'!Z47</f>
        <v>3421.90287109375</v>
      </c>
      <c r="AA10" s="32">
        <f>'Debt'!AA47</f>
        <v>3394.505234375</v>
      </c>
      <c r="AB10" s="32">
        <f>'Debt'!AB47</f>
        <v>3367.1075976562497</v>
      </c>
      <c r="AC10" s="32">
        <f>'Debt'!AC47</f>
        <v>3339.7099609375</v>
      </c>
      <c r="AD10" s="32">
        <f>'Debt'!AD47</f>
        <v>3312.31232421875</v>
      </c>
      <c r="AE10" s="32">
        <f>'Debt'!AE47</f>
        <v>3284.9146874999997</v>
      </c>
      <c r="AF10" s="32">
        <f>'Debt'!AF47</f>
        <v>3257.51705078125</v>
      </c>
      <c r="AG10" s="32">
        <f>'Debt'!AG47</f>
        <v>3230.1194140625</v>
      </c>
      <c r="AH10" s="32">
        <f>'Debt'!AH47</f>
        <v>3202.7217773437496</v>
      </c>
      <c r="AI10" s="32">
        <f>'Debt'!AI47</f>
        <v>3175.324140625</v>
      </c>
      <c r="AJ10" s="32">
        <f>'Debt'!AJ47</f>
        <v>3147.9265039062498</v>
      </c>
      <c r="AK10" s="32">
        <f>'Debt'!AK47</f>
        <v>3120.5288671874996</v>
      </c>
      <c r="AL10" s="32">
        <f>'Debt'!AL47</f>
        <v>3093.13123046875</v>
      </c>
      <c r="AM10" s="32">
        <f>'Debt'!AM47</f>
        <v>3065.73359375</v>
      </c>
      <c r="AN10" s="32">
        <f>'Debt'!AN47</f>
        <v>3038.33595703125</v>
      </c>
      <c r="AO10" s="32">
        <f>'Debt'!AO47</f>
        <v>3010.9383203125</v>
      </c>
      <c r="AP10" s="32">
        <f>'Debt'!AP47</f>
        <v>2983.54068359375</v>
      </c>
      <c r="AQ10" s="32">
        <f>'Debt'!AQ47</f>
        <v>2956.143046875</v>
      </c>
      <c r="AR10" s="32">
        <f>'Debt'!AR47</f>
        <v>2928.74541015625</v>
      </c>
      <c r="AS10" s="32">
        <f>'Debt'!AS47</f>
        <v>2901.3477734375</v>
      </c>
      <c r="AT10" s="32">
        <f>'Debt'!AT47</f>
        <v>2873.95013671875</v>
      </c>
      <c r="AU10" s="32">
        <f>'Debt'!AU47</f>
        <v>2846.5525</v>
      </c>
      <c r="AV10" s="32">
        <f>'Debt'!AV47</f>
        <v>2819.15486328125</v>
      </c>
      <c r="AW10" s="32">
        <f>'Debt'!AW47</f>
        <v>2791.7572265625</v>
      </c>
      <c r="AX10" s="32">
        <f>'Debt'!AX47</f>
        <v>2764.3595898437497</v>
      </c>
      <c r="AY10" s="32">
        <f>'Debt'!AY47</f>
        <v>2736.961953125</v>
      </c>
      <c r="AZ10" s="32">
        <f>'Debt'!AZ47</f>
        <v>2709.56431640625</v>
      </c>
      <c r="BA10" s="32">
        <f>'Debt'!BA47</f>
        <v>2682.1666796874997</v>
      </c>
      <c r="BB10" s="32">
        <f>'Debt'!BB47</f>
        <v>2654.76904296875</v>
      </c>
      <c r="BC10" s="32">
        <f>'Debt'!BC47</f>
        <v>2627.37140625</v>
      </c>
      <c r="BD10" s="32">
        <f>'Debt'!BD47</f>
        <v>2599.9737695312497</v>
      </c>
      <c r="BE10" s="32">
        <f>'Debt'!BE47</f>
        <v>2572.5761328125</v>
      </c>
      <c r="BF10" s="32">
        <f>'Debt'!BF47</f>
        <v>2545.17849609375</v>
      </c>
      <c r="BG10" s="32">
        <f>'Debt'!BG47</f>
        <v>2517.780859375</v>
      </c>
      <c r="BH10" s="32">
        <f>'Debt'!BH47</f>
        <v>2490.38322265625</v>
      </c>
      <c r="BI10" s="32">
        <f>'Debt'!BI47</f>
        <v>2462.9855859374998</v>
      </c>
      <c r="BJ10" s="32">
        <f>'Debt'!BJ47</f>
        <v>2435.58794921875</v>
      </c>
      <c r="BK10" s="32">
        <f>'Debt'!BK47</f>
        <v>2408.1903125</v>
      </c>
      <c r="BL10" s="32">
        <f>'Debt'!BL47</f>
        <v>2380.79267578125</v>
      </c>
      <c r="BM10" s="32">
        <f>'Debt'!BM47</f>
        <v>2353.3950390625</v>
      </c>
      <c r="BN10" s="32">
        <f>'Debt'!BN47</f>
        <v>2325.99740234375</v>
      </c>
      <c r="BO10" s="32">
        <f>'Debt'!BO47</f>
        <v>2298.599765625</v>
      </c>
      <c r="BP10" s="32">
        <f>'Debt'!BP47</f>
        <v>2271.20212890625</v>
      </c>
      <c r="BQ10" s="32">
        <f>'Debt'!BQ47</f>
        <v>2243.8044921875</v>
      </c>
      <c r="BR10" s="32">
        <f>'Debt'!BR47</f>
        <v>2216.40685546875</v>
      </c>
      <c r="BS10" s="32">
        <f>'Debt'!BS47</f>
        <v>2189.00921875</v>
      </c>
      <c r="BT10" s="32">
        <f>'Debt'!BT47</f>
        <v>2161.61158203125</v>
      </c>
      <c r="BU10" s="32">
        <f>'Debt'!BU47</f>
        <v>2134.2139453125</v>
      </c>
      <c r="BV10" s="32">
        <f>'Debt'!BV47</f>
        <v>2106.81630859375</v>
      </c>
      <c r="BW10" s="32">
        <f>'Debt'!BW47</f>
        <v>2079.418671875</v>
      </c>
      <c r="BX10" s="32">
        <f>'Debt'!BX47</f>
        <v>2052.02103515625</v>
      </c>
      <c r="BY10" s="32">
        <f>'Debt'!BY47</f>
        <v>2024.6233984375</v>
      </c>
      <c r="BZ10" s="32">
        <f>'Debt'!BZ47</f>
        <v>1997.22576171875</v>
      </c>
      <c r="CA10" s="32">
        <f>'Debt'!CA47</f>
        <v>0</v>
      </c>
      <c r="CB10" s="32">
        <f>'Debt'!CB47</f>
        <v>0</v>
      </c>
      <c r="CC10" s="32">
        <f>'Debt'!CC47</f>
        <v>0</v>
      </c>
      <c r="CD10" s="32">
        <f>'Debt'!CD47</f>
        <v>0</v>
      </c>
      <c r="CE10" s="32">
        <f>'Debt'!CE47</f>
        <v>0</v>
      </c>
      <c r="CF10" s="32">
        <f>'Debt'!CF47</f>
        <v>0</v>
      </c>
      <c r="CG10" s="32">
        <f>'Debt'!CG47</f>
        <v>0</v>
      </c>
      <c r="CH10" s="32">
        <f>'Debt'!CH47</f>
        <v>0</v>
      </c>
      <c r="CI10" s="32">
        <f>'Debt'!CI47</f>
        <v>0</v>
      </c>
      <c r="CJ10" s="32">
        <f>'Debt'!CJ47</f>
        <v>0</v>
      </c>
      <c r="CK10" s="32">
        <f>'Debt'!CK47</f>
        <v>0</v>
      </c>
      <c r="CL10" s="32">
        <f>'Debt'!CL47</f>
        <v>0</v>
      </c>
    </row>
    <row r="11" spans="2:90" x14ac:dyDescent="0.25">
      <c r="B11" s="47" t="s">
        <v>359</v>
      </c>
      <c r="C11" s="35" t="s">
        <v>360</v>
      </c>
      <c r="E11" s="17"/>
      <c r="F11" s="17"/>
      <c r="G11" s="17"/>
      <c r="H11" s="17"/>
      <c r="I11" s="17"/>
      <c r="J11" s="17"/>
      <c r="K11" s="17">
        <f>K9/K10</f>
        <v>1.2548160097667855</v>
      </c>
      <c r="L11" s="17">
        <f>L9/L10</f>
        <v>2.2577587738228186</v>
      </c>
      <c r="M11" s="17">
        <f>M9/M10</f>
        <v>2.2577587738228186</v>
      </c>
      <c r="N11" s="17">
        <f>N9/N10</f>
        <v>2.2577587738228186</v>
      </c>
      <c r="O11" s="17">
        <f>O9/O10</f>
        <v>1.0581452389425834</v>
      </c>
      <c r="P11" s="17">
        <f>P9/P10</f>
        <v>1.062037991365843</v>
      </c>
      <c r="Q11" s="17">
        <f>Q9/Q10</f>
        <v>1.0684121933934199</v>
      </c>
      <c r="R11" s="17">
        <f>R9/R10</f>
        <v>1.0748823218391788</v>
      </c>
      <c r="S11" s="17">
        <f>S9/S10</f>
        <v>1.076152932602189</v>
      </c>
      <c r="T11" s="17">
        <f>T9/T10</f>
        <v>1.0802972752778826</v>
      </c>
      <c r="U11" s="17">
        <f>U9/U10</f>
        <v>1.0870079475124035</v>
      </c>
      <c r="V11" s="17">
        <f>V9/V10</f>
        <v>1.0938227437184342</v>
      </c>
      <c r="W11" s="17">
        <f>W9/W10</f>
        <v>1.0952674214709799</v>
      </c>
      <c r="X11" s="17">
        <f>X9/X10</f>
        <v>1.0996936099190315</v>
      </c>
      <c r="Y11" s="17">
        <f>Y9/Y10</f>
        <v>1.1067712417249516</v>
      </c>
      <c r="Z11" s="17">
        <f>Z9/Z10</f>
        <v>1.1139622083579266</v>
      </c>
      <c r="AA11" s="17">
        <f>AA9/AA10</f>
        <v>1.1156017484165321</v>
      </c>
      <c r="AB11" s="17">
        <f>AB9/AB10</f>
        <v>1.1203379435161624</v>
      </c>
      <c r="AC11" s="17">
        <f>AC9/AC10</f>
        <v>1.127816914426236</v>
      </c>
      <c r="AD11" s="17">
        <f>AD9/AD10</f>
        <v>1.1354196092536022</v>
      </c>
      <c r="AE11" s="17">
        <f>AE9/AE10</f>
        <v>1.1372778851323497</v>
      </c>
      <c r="AF11" s="17">
        <f>AF9/AF10</f>
        <v>1.1423561452403912</v>
      </c>
      <c r="AG11" s="17">
        <f>AG9/AG10</f>
        <v>1.1502753867622928</v>
      </c>
      <c r="AH11" s="17">
        <f>AH9/AH10</f>
        <v>1.1583301183563197</v>
      </c>
      <c r="AI11" s="17">
        <f>AI9/AI10</f>
        <v>1.1604346451294154</v>
      </c>
      <c r="AJ11" s="17">
        <f>AJ9/AJ10</f>
        <v>1.1658916058276918</v>
      </c>
      <c r="AK11" s="17">
        <f>AK9/AK10</f>
        <v>1.174295399417012</v>
      </c>
      <c r="AL11" s="17">
        <f>AL9/AL10</f>
        <v>1.182848067442406</v>
      </c>
      <c r="AM11" s="17">
        <f>AM9/AM10</f>
        <v>1.185230692352979</v>
      </c>
      <c r="AN11" s="17">
        <f>AN9/AN10</f>
        <v>1.1911083995339982</v>
      </c>
      <c r="AO11" s="17">
        <f>AO9/AO10</f>
        <v>1.200047346842532</v>
      </c>
      <c r="AP11" s="17">
        <f>AP9/AP10</f>
        <v>1.2091504655547631</v>
      </c>
      <c r="AQ11" s="17">
        <f>AQ9/AQ10</f>
        <v>1.211848219715268</v>
      </c>
      <c r="AR11" s="17">
        <f>AR9/AR10</f>
        <v>1.2181951551661658</v>
      </c>
      <c r="AS11" s="17">
        <f>AS9/AS10</f>
        <v>1.2277273670106386</v>
      </c>
      <c r="AT11" s="17">
        <f>AT9/AT10</f>
        <v>1.2374413217976241</v>
      </c>
      <c r="AU11" s="17">
        <f>AU9/AU10</f>
        <v>1.2404974777473476</v>
      </c>
      <c r="AV11" s="17">
        <f>AV9/AV10</f>
        <v>1.2473698295108422</v>
      </c>
      <c r="AW11" s="17">
        <f>AW9/AW10</f>
        <v>1.2575623943489085</v>
      </c>
      <c r="AX11" s="17">
        <f>AX9/AX10</f>
        <v>1.2679569967147202</v>
      </c>
      <c r="AY11" s="17">
        <f>AY9/AY10</f>
        <v>1.2714223914706693</v>
      </c>
      <c r="AZ11" s="17">
        <f>AZ9/AZ10</f>
        <v>1.2788856388553105</v>
      </c>
      <c r="BA11" s="17">
        <f>BA9/BA10</f>
        <v>1.2898164513767292</v>
      </c>
      <c r="BB11" s="17">
        <f>BB9/BB10</f>
        <v>1.300972879328835</v>
      </c>
      <c r="BC11" s="17">
        <f>BC9/BC10</f>
        <v>1.3049075831260917</v>
      </c>
      <c r="BD11" s="17">
        <f>BD9/BD10</f>
        <v>1.313038490420831</v>
      </c>
      <c r="BE11" s="17">
        <f>BE9/BE10</f>
        <v>1.3247985484361384</v>
      </c>
      <c r="BF11" s="17">
        <f>BF9/BF10</f>
        <v>1.336811789320773</v>
      </c>
      <c r="BG11" s="17">
        <f>BG9/BG10</f>
        <v>1.3412872290489046</v>
      </c>
      <c r="BH11" s="17">
        <f>BH9/BH10</f>
        <v>1.3501763758123868</v>
      </c>
      <c r="BI11" s="17">
        <f>BI9/BI10</f>
        <v>1.3628726923941086</v>
      </c>
      <c r="BJ11" s="17">
        <f>BJ9/BJ10</f>
        <v>1.3758546476607185</v>
      </c>
      <c r="BK11" s="17">
        <f>BK9/BK10</f>
        <v>1.3809563349258978</v>
      </c>
      <c r="BL11" s="17">
        <f>BL9/BL10</f>
        <v>1.3907113587276214</v>
      </c>
      <c r="BM11" s="17">
        <f>BM9/BM10</f>
        <v>1.404470691782749</v>
      </c>
      <c r="BN11" s="17">
        <f>BN9/BN10</f>
        <v>1.4185541638142631</v>
      </c>
      <c r="BO11" s="17">
        <f>BO9/BO10</f>
        <v>1.424385236522368</v>
      </c>
      <c r="BP11" s="17">
        <f>BP9/BP10</f>
        <v>1.4351350332064174</v>
      </c>
      <c r="BQ11" s="17">
        <f>BQ9/BQ10</f>
        <v>1.4501087144556652</v>
      </c>
      <c r="BR11" s="17">
        <f>BR9/BR10</f>
        <v>1.4654525835864356</v>
      </c>
      <c r="BS11" s="17">
        <f>BS9/BS10</f>
        <v>1.4721384562240816</v>
      </c>
      <c r="BT11" s="17">
        <f>BT9/BT10</f>
        <v>1.4840386841006477</v>
      </c>
      <c r="BU11" s="17">
        <f>BU9/BU10</f>
        <v>1.5004089465890404</v>
      </c>
      <c r="BV11" s="17">
        <f>BV9/BV10</f>
        <v>1.517204976148647</v>
      </c>
      <c r="BW11" s="17">
        <f>BW9/BW10</f>
        <v>1.5248995223206527</v>
      </c>
      <c r="BX11" s="17">
        <f>BX9/BX10</f>
        <v>1.53813990767041</v>
      </c>
      <c r="BY11" s="17">
        <f>BY9/BY10</f>
        <v>1.5561282859392724</v>
      </c>
      <c r="BZ11" s="17">
        <f>BZ9/BZ10</f>
        <v>1.5746101878371765</v>
      </c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</row>
    <row r="13" spans="2:90" x14ac:dyDescent="0.25">
      <c r="B13" s="47" t="s">
        <v>361</v>
      </c>
      <c r="C13" s="35" t="s">
        <v>228</v>
      </c>
      <c r="D13" s="14">
        <f>SUM(E13:CL13)</f>
        <v>92664.77159966409</v>
      </c>
      <c r="E13" s="14">
        <f>E9-E10-E14-'Opex'!E9+E19</f>
        <v>0</v>
      </c>
      <c r="F13" s="14">
        <f>F9-F10-F14-'Opex'!F9+F19</f>
        <v>0</v>
      </c>
      <c r="G13" s="14">
        <f>G9-G10-G14-'Opex'!G9+G19</f>
        <v>0</v>
      </c>
      <c r="H13" s="14">
        <f>H9-H10-H14-'Opex'!H9+H19</f>
        <v>0</v>
      </c>
      <c r="I13" s="14">
        <f>I9-I10-I14-'Opex'!I9+I19</f>
        <v>0</v>
      </c>
      <c r="J13" s="14">
        <f>J9-J10-J14-'Opex'!J9+J19</f>
        <v>0</v>
      </c>
      <c r="K13" s="14">
        <f>K9-K10-K14-'Opex'!K9+K19</f>
        <v>1939.9093138055584</v>
      </c>
      <c r="L13" s="14">
        <f>L9-L10-L14-'Opex'!L9+L19</f>
        <v>2205.4155497611537</v>
      </c>
      <c r="M13" s="14">
        <f>M9-M10-M14-'Opex'!M9+M19</f>
        <v>235.58742476115413</v>
      </c>
      <c r="N13" s="14">
        <f>N9-N10-N14-'Opex'!N9+N19</f>
        <v>262.9850614799034</v>
      </c>
      <c r="O13" s="14">
        <f>O9-O10-O14-'Opex'!O9+O19</f>
        <v>271.2860969837693</v>
      </c>
      <c r="P13" s="14">
        <f>P9-P10-P14-'Opex'!P9+P19</f>
        <v>284.0801977111905</v>
      </c>
      <c r="Q13" s="14">
        <f>Q9-Q10-Q14-'Opex'!Q9+Q19</f>
        <v>305.764146223798</v>
      </c>
      <c r="R13" s="14">
        <f>R9-R10-R14-'Opex'!R9+R19</f>
        <v>327.4480947364018</v>
      </c>
      <c r="S13" s="14">
        <f>S9-S10-S14-'Opex'!S9+S19</f>
        <v>329.9880848286548</v>
      </c>
      <c r="T13" s="14">
        <f>T9-T10-T14-'Opex'!T9+T19</f>
        <v>342.7644837173061</v>
      </c>
      <c r="U13" s="14">
        <f>U9-U10-U14-'Opex'!U9+U19</f>
        <v>364.4470795261118</v>
      </c>
      <c r="V13" s="14">
        <f>V9-V10-V14-'Opex'!V9+V19</f>
        <v>386.12967533491883</v>
      </c>
      <c r="W13" s="14">
        <f>W9-W10-W14-'Opex'!W9+W19</f>
        <v>388.6214431045273</v>
      </c>
      <c r="X13" s="14">
        <f>X9-X10-X14-'Opex'!X9+X19</f>
        <v>401.3998620646189</v>
      </c>
      <c r="Y13" s="14">
        <f>Y9-Y10-Y14-'Opex'!Y9+Y19</f>
        <v>423.0813717391461</v>
      </c>
      <c r="Z13" s="14">
        <f>Z9-Z10-Z14-'Opex'!Z9+Z19</f>
        <v>444.7628814136747</v>
      </c>
      <c r="AA13" s="14">
        <f>AA9-AA10-AA14-'Opex'!AA9+AA19</f>
        <v>447.2060135403194</v>
      </c>
      <c r="AB13" s="14">
        <f>AB9-AB10-AB14-'Opex'!AB9+AB19</f>
        <v>459.9860773370988</v>
      </c>
      <c r="AC13" s="14">
        <f>AC9-AC10-AC14-'Opex'!AC9+AC19</f>
        <v>481.66669572309775</v>
      </c>
      <c r="AD13" s="14">
        <f>AD9-AD10-AD14-'Opex'!AD9+AD19</f>
        <v>503.3473141090931</v>
      </c>
      <c r="AE13" s="14">
        <f>AE9-AE10-AE14-'Opex'!AE9+AE19</f>
        <v>505.7414145776929</v>
      </c>
      <c r="AF13" s="14">
        <f>AF9-AF10-AF14-'Opex'!AF9+AF19</f>
        <v>518.5228438415679</v>
      </c>
      <c r="AG13" s="14">
        <f>AG9-AG10-AG14-'Opex'!AG9+AG19</f>
        <v>540.2027176741321</v>
      </c>
      <c r="AH13" s="14">
        <f>AH9-AH10-AH14-'Opex'!AH9+AH19</f>
        <v>561.8825915066977</v>
      </c>
      <c r="AI13" s="14">
        <f>AI9-AI10-AI14-'Opex'!AI9+AI19</f>
        <v>564.2272751095388</v>
      </c>
      <c r="AJ13" s="14">
        <f>AJ9-AJ10-AJ14-'Opex'!AJ9+AJ19</f>
        <v>577.009856198059</v>
      </c>
      <c r="AK13" s="14">
        <f>AK9-AK10-AK14-'Opex'!AK9+AK19</f>
        <v>598.6890987362608</v>
      </c>
      <c r="AL13" s="14">
        <f>AL9-AL10-AL14-'Opex'!AL9+AL19</f>
        <v>620.3683412744617</v>
      </c>
      <c r="AM13" s="14">
        <f>AM9-AM10-AM14-'Opex'!AM9+AM19</f>
        <v>622.6632295776003</v>
      </c>
      <c r="AN13" s="14">
        <f>AN9-AN10-AN14-'Opex'!AN9+AN19</f>
        <v>635.4467954323404</v>
      </c>
      <c r="AO13" s="14">
        <f>AO9-AO10-AO14-'Opex'!AO9+AO19</f>
        <v>657.1254959225244</v>
      </c>
      <c r="AP13" s="14">
        <f>AP9-AP10-AP14-'Opex'!AP9+AP19</f>
        <v>678.8041964127101</v>
      </c>
      <c r="AQ13" s="14">
        <f>AQ9-AQ10-AQ14-'Opex'!AQ9+AQ19</f>
        <v>681.0489151416364</v>
      </c>
      <c r="AR13" s="14">
        <f>AR9-AR10-AR14-'Opex'!AR9+AR19</f>
        <v>693.8333326487382</v>
      </c>
      <c r="AS13" s="14">
        <f>AS9-AS10-AS14-'Opex'!AS9+AS19</f>
        <v>715.5115626646016</v>
      </c>
      <c r="AT13" s="14">
        <f>AT9-AT10-AT14-'Opex'!AT9+AT19</f>
        <v>737.1897926804618</v>
      </c>
      <c r="AU13" s="14">
        <f>AU9-AU10-AU14-'Opex'!AU9+AU19</f>
        <v>739.3839699629061</v>
      </c>
      <c r="AV13" s="14">
        <f>AV9-AV10-AV14-'Opex'!AV9+AV19</f>
        <v>752.1691313320457</v>
      </c>
      <c r="AW13" s="14">
        <f>AW9-AW10-AW14-'Opex'!AW9+AW19</f>
        <v>773.8469491518049</v>
      </c>
      <c r="AX13" s="14">
        <f>AX9-AX10-AX14-'Opex'!AX9+AX19</f>
        <v>795.5247669715664</v>
      </c>
      <c r="AY13" s="14">
        <f>AY9-AY10-AY14-'Opex'!AY9+AY19</f>
        <v>797.6680321189228</v>
      </c>
      <c r="AZ13" s="14">
        <f>AZ9-AZ10-AZ14-'Opex'!AZ9+AZ19</f>
        <v>810.453848838009</v>
      </c>
      <c r="BA13" s="14">
        <f>BA9-BA10-BA14-'Opex'!BA9+BA19</f>
        <v>832.1313025454347</v>
      </c>
      <c r="BB13" s="14">
        <f>BB9-BB10-BB14-'Opex'!BB9+BB19</f>
        <v>853.8087562528617</v>
      </c>
      <c r="BC13" s="14">
        <f>BC9-BC10-BC14-'Opex'!BC9+BC19</f>
        <v>855.9007388917876</v>
      </c>
      <c r="BD13" s="14">
        <f>BD9-BD10-BD14-'Opex'!BD9+BD19</f>
        <v>868.6871373853191</v>
      </c>
      <c r="BE13" s="14">
        <f>BE9-BE10-BE14-'Opex'!BE9+BE19</f>
        <v>890.3642671164548</v>
      </c>
      <c r="BF13" s="14">
        <f>BF9-BF10-BF14-'Opex'!BF9+BF19</f>
        <v>912.04139684759</v>
      </c>
      <c r="BG13" s="14">
        <f>BG9-BG10-BG14-'Opex'!BG9+BG19</f>
        <v>914.0817262859632</v>
      </c>
      <c r="BH13" s="14">
        <f>BH9-BH10-BH14-'Opex'!BH9+BH19</f>
        <v>926.8686447312384</v>
      </c>
      <c r="BI13" s="14">
        <f>BI9-BI10-BI14-'Opex'!BI9+BI19</f>
        <v>948.5454843345219</v>
      </c>
      <c r="BJ13" s="14">
        <f>BJ9-BJ10-BJ14-'Opex'!BJ9+BJ19</f>
        <v>970.2223239378045</v>
      </c>
      <c r="BK13" s="14">
        <f>BK9-BK10-BK14-'Opex'!BK9+BK19</f>
        <v>972.2106286915518</v>
      </c>
      <c r="BL13" s="14">
        <f>BL9-BL10-BL14-'Opex'!BL9+BL19</f>
        <v>984.9980146407629</v>
      </c>
      <c r="BM13" s="14">
        <f>BM9-BM10-BM14-'Opex'!BM9+BM19</f>
        <v>1006.6745929251983</v>
      </c>
      <c r="BN13" s="14">
        <f>BN9-BN10-BN14-'Opex'!BN9+BN19</f>
        <v>1028.351171209636</v>
      </c>
      <c r="BO13" s="14">
        <f>BO9-BO10-BO14-'Opex'!BO9+BO19</f>
        <v>1030.2870786425265</v>
      </c>
      <c r="BP13" s="14">
        <f>BP9-BP10-BP14-'Opex'!BP9+BP19</f>
        <v>1043.0748872176064</v>
      </c>
      <c r="BQ13" s="14">
        <f>BQ9-BQ10-BQ14-'Opex'!BQ9+BQ19</f>
        <v>1064.7512289058618</v>
      </c>
      <c r="BR13" s="14">
        <f>BR9-BR10-BR14-'Opex'!BR9+BR19</f>
        <v>1086.4275705941186</v>
      </c>
      <c r="BS13" s="14">
        <f>BS9-BS10-BS14-'Opex'!BS9+BS19</f>
        <v>1088.3107066384073</v>
      </c>
      <c r="BT13" s="14">
        <f>BT9-BT10-BT14-'Opex'!BT9+BT19</f>
        <v>1101.0988991406248</v>
      </c>
      <c r="BU13" s="14">
        <f>BU9-BU10-BU14-'Opex'!BU9+BU19</f>
        <v>1122.7750256069685</v>
      </c>
      <c r="BV13" s="14">
        <f>BV9-BV10-BV14-'Opex'!BV9+BV19</f>
        <v>1144.4511520733113</v>
      </c>
      <c r="BW13" s="14">
        <f>BW9-BW10-BW14-'Opex'!BW9+BW19</f>
        <v>1146.2811410093332</v>
      </c>
      <c r="BX13" s="14">
        <f>BX9-BX10-BX14-'Opex'!BX9+BX19</f>
        <v>1159.0696838342242</v>
      </c>
      <c r="BY13" s="14">
        <f>BY9-BY10-BY14-'Opex'!BY9+BY19</f>
        <v>3150.5737386830915</v>
      </c>
      <c r="BZ13" s="14">
        <f>BZ9-BZ10-BZ14-'Opex'!BZ9+BZ19</f>
        <v>3144.8520318132087</v>
      </c>
      <c r="CA13" s="14">
        <f>CA9-CA10-CA14-'Opex'!CA9+CA19</f>
        <v>3119.2308593738253</v>
      </c>
      <c r="CB13" s="14">
        <f>CB9-CB10-CB14-'Opex'!CB9+CB19</f>
        <v>3110.354576777292</v>
      </c>
      <c r="CC13" s="14">
        <f>CC9-CC10-CC14-'Opex'!CC9+CC19</f>
        <v>3110.354576777292</v>
      </c>
      <c r="CD13" s="14">
        <f>CD9-CD10-CD14-'Opex'!CD9+CD19</f>
        <v>3110.354576777292</v>
      </c>
      <c r="CE13" s="14">
        <f>CE9-CE10-CE14-'Opex'!CE9+CE19</f>
        <v>3090.401163565787</v>
      </c>
      <c r="CF13" s="14">
        <f>CF9-CF10-CF14-'Opex'!CF9+CF19</f>
        <v>3081.531510404308</v>
      </c>
      <c r="CG13" s="14">
        <f>CG9-CG10-CG14-'Opex'!CG9+CG19</f>
        <v>3081.531510404308</v>
      </c>
      <c r="CH13" s="14">
        <f>CH9-CH10-CH14-'Opex'!CH9+CH19</f>
        <v>3081.531510404308</v>
      </c>
      <c r="CI13" s="14">
        <f>CI9-CI10-CI14-'Opex'!CI9+CI19</f>
        <v>3061.523629006042</v>
      </c>
      <c r="CJ13" s="14">
        <f>CJ9-CJ10-CJ14-'Opex'!CJ9+CJ19</f>
        <v>3193.819252680817</v>
      </c>
      <c r="CK13" s="14">
        <f>CK9-CK10-CK14-'Opex'!CK9+CK19</f>
        <v>3193.819252680817</v>
      </c>
      <c r="CL13" s="14">
        <f>CL9-CL10-CL14-'Opex'!CL9-$D$75*100+CL19</f>
        <v>2800.288825180817</v>
      </c>
    </row>
    <row r="14" spans="2:90" x14ac:dyDescent="0.25">
      <c r="B14" s="34" t="s">
        <v>362</v>
      </c>
      <c r="C14" s="35" t="s">
        <v>228</v>
      </c>
      <c r="D14" s="32">
        <f>SUM(E14:CL14)</f>
        <v>-5000</v>
      </c>
      <c r="E14" s="32">
        <f>E21-E20</f>
        <v>0</v>
      </c>
      <c r="F14" s="32">
        <f>F21-F20</f>
        <v>0</v>
      </c>
      <c r="G14" s="32">
        <f>G21-G20</f>
        <v>0</v>
      </c>
      <c r="H14" s="32">
        <f>H21-H20</f>
        <v>0</v>
      </c>
      <c r="I14" s="32">
        <f>I21-I20</f>
        <v>0</v>
      </c>
      <c r="J14" s="32">
        <f>J21-J20</f>
        <v>0</v>
      </c>
      <c r="K14" s="32">
        <f>K21-K20</f>
        <v>-1493.1025000000004</v>
      </c>
      <c r="L14" s="32">
        <f>L21-L20</f>
        <v>0</v>
      </c>
      <c r="M14" s="32">
        <f>M21-M20</f>
        <v>1969.8281249999995</v>
      </c>
      <c r="N14" s="32">
        <f>N21-N20</f>
        <v>1942.4304882812503</v>
      </c>
      <c r="O14" s="32">
        <f>O21-O20</f>
        <v>-54.79527343749942</v>
      </c>
      <c r="P14" s="32">
        <f>P21-P20</f>
        <v>-54.79527343749942</v>
      </c>
      <c r="Q14" s="32">
        <f>Q21-Q20</f>
        <v>-54.79527343750124</v>
      </c>
      <c r="R14" s="32">
        <f>R21-R20</f>
        <v>-54.79527343749942</v>
      </c>
      <c r="S14" s="32">
        <f>S21-S20</f>
        <v>-54.79527343749942</v>
      </c>
      <c r="T14" s="32">
        <f>T21-T20</f>
        <v>-54.79527343750124</v>
      </c>
      <c r="U14" s="32">
        <f>U21-U20</f>
        <v>-54.79527343749942</v>
      </c>
      <c r="V14" s="32">
        <f>V21-V20</f>
        <v>-54.79527343749942</v>
      </c>
      <c r="W14" s="32">
        <f>W21-W20</f>
        <v>-54.79527343750124</v>
      </c>
      <c r="X14" s="32">
        <f>X21-X20</f>
        <v>-54.79527343749942</v>
      </c>
      <c r="Y14" s="32">
        <f>Y21-Y20</f>
        <v>-54.79527343749942</v>
      </c>
      <c r="Z14" s="32">
        <f>Z21-Z20</f>
        <v>-54.79527343750124</v>
      </c>
      <c r="AA14" s="32">
        <f>AA21-AA20</f>
        <v>-54.79527343749942</v>
      </c>
      <c r="AB14" s="32">
        <f>AB21-AB20</f>
        <v>-54.79527343749942</v>
      </c>
      <c r="AC14" s="32">
        <f>AC21-AC20</f>
        <v>-54.79527343750124</v>
      </c>
      <c r="AD14" s="32">
        <f>AD21-AD20</f>
        <v>-54.79527343749942</v>
      </c>
      <c r="AE14" s="32">
        <f>AE21-AE20</f>
        <v>-54.79527343749942</v>
      </c>
      <c r="AF14" s="32">
        <f>AF21-AF20</f>
        <v>-54.79527343750124</v>
      </c>
      <c r="AG14" s="32">
        <f>AG21-AG20</f>
        <v>-54.79527343749942</v>
      </c>
      <c r="AH14" s="32">
        <f>AH21-AH20</f>
        <v>-54.79527343749942</v>
      </c>
      <c r="AI14" s="32">
        <f>AI21-AI20</f>
        <v>-54.79527343750124</v>
      </c>
      <c r="AJ14" s="32">
        <f>AJ21-AJ20</f>
        <v>-54.79527343749942</v>
      </c>
      <c r="AK14" s="32">
        <f>AK21-AK20</f>
        <v>-54.79527343749942</v>
      </c>
      <c r="AL14" s="32">
        <f>AL21-AL20</f>
        <v>-54.79527343749942</v>
      </c>
      <c r="AM14" s="32">
        <f>AM21-AM20</f>
        <v>-54.79527343750124</v>
      </c>
      <c r="AN14" s="32">
        <f>AN21-AN20</f>
        <v>-54.79527343749942</v>
      </c>
      <c r="AO14" s="32">
        <f>AO21-AO20</f>
        <v>-54.79527343749942</v>
      </c>
      <c r="AP14" s="32">
        <f>AP21-AP20</f>
        <v>-54.79527343750124</v>
      </c>
      <c r="AQ14" s="32">
        <f>AQ21-AQ20</f>
        <v>-54.79527343749942</v>
      </c>
      <c r="AR14" s="32">
        <f>AR21-AR20</f>
        <v>-54.79527343749942</v>
      </c>
      <c r="AS14" s="32">
        <f>AS21-AS20</f>
        <v>-54.79527343750124</v>
      </c>
      <c r="AT14" s="32">
        <f>AT21-AT20</f>
        <v>-54.79527343749942</v>
      </c>
      <c r="AU14" s="32">
        <f>AU21-AU20</f>
        <v>-54.79527343749942</v>
      </c>
      <c r="AV14" s="32">
        <f>AV21-AV20</f>
        <v>-54.79527343750124</v>
      </c>
      <c r="AW14" s="32">
        <f>AW21-AW20</f>
        <v>-54.79527343749942</v>
      </c>
      <c r="AX14" s="32">
        <f>AX21-AX20</f>
        <v>-54.79527343749942</v>
      </c>
      <c r="AY14" s="32">
        <f>AY21-AY20</f>
        <v>-54.79527343750124</v>
      </c>
      <c r="AZ14" s="32">
        <f>AZ21-AZ20</f>
        <v>-54.79527343749942</v>
      </c>
      <c r="BA14" s="32">
        <f>BA21-BA20</f>
        <v>-54.79527343749942</v>
      </c>
      <c r="BB14" s="32">
        <f>BB21-BB20</f>
        <v>-54.79527343750124</v>
      </c>
      <c r="BC14" s="32">
        <f>BC21-BC20</f>
        <v>-54.79527343749942</v>
      </c>
      <c r="BD14" s="32">
        <f>BD21-BD20</f>
        <v>-54.79527343749942</v>
      </c>
      <c r="BE14" s="32">
        <f>BE21-BE20</f>
        <v>-54.79527343750033</v>
      </c>
      <c r="BF14" s="32">
        <f>BF21-BF20</f>
        <v>-54.79527343750033</v>
      </c>
      <c r="BG14" s="32">
        <f>BG21-BG20</f>
        <v>-54.79527343749942</v>
      </c>
      <c r="BH14" s="32">
        <f>BH21-BH20</f>
        <v>-54.79527343750033</v>
      </c>
      <c r="BI14" s="32">
        <f>BI21-BI20</f>
        <v>-54.79527343750033</v>
      </c>
      <c r="BJ14" s="32">
        <f>BJ21-BJ20</f>
        <v>-54.79527343749942</v>
      </c>
      <c r="BK14" s="32">
        <f>BK21-BK20</f>
        <v>-54.79527343749942</v>
      </c>
      <c r="BL14" s="32">
        <f>BL21-BL20</f>
        <v>-54.79527343750124</v>
      </c>
      <c r="BM14" s="32">
        <f>BM21-BM20</f>
        <v>-54.79527343749942</v>
      </c>
      <c r="BN14" s="32">
        <f>BN21-BN20</f>
        <v>-54.79527343749942</v>
      </c>
      <c r="BO14" s="32">
        <f>BO21-BO20</f>
        <v>-54.79527343750124</v>
      </c>
      <c r="BP14" s="32">
        <f>BP21-BP20</f>
        <v>-54.79527343749942</v>
      </c>
      <c r="BQ14" s="32">
        <f>BQ21-BQ20</f>
        <v>-54.79527343749942</v>
      </c>
      <c r="BR14" s="32">
        <f>BR21-BR20</f>
        <v>-54.79527343750124</v>
      </c>
      <c r="BS14" s="32">
        <f>BS21-BS20</f>
        <v>-54.79527343749942</v>
      </c>
      <c r="BT14" s="32">
        <f>BT21-BT20</f>
        <v>-54.79527343749942</v>
      </c>
      <c r="BU14" s="32">
        <f>BU21-BU20</f>
        <v>-54.79527343750033</v>
      </c>
      <c r="BV14" s="32">
        <f>BV21-BV20</f>
        <v>-54.79527343750033</v>
      </c>
      <c r="BW14" s="32">
        <f>BW21-BW20</f>
        <v>-54.79527343749942</v>
      </c>
      <c r="BX14" s="32">
        <f>BX21-BX20</f>
        <v>-54.79527343750033</v>
      </c>
      <c r="BY14" s="32">
        <f>BY21-BY20</f>
        <v>-2024.6233984375</v>
      </c>
      <c r="BZ14" s="32">
        <f>BZ21-BZ20</f>
        <v>-1997.22576171875</v>
      </c>
      <c r="CA14" s="32">
        <f>CA21-CA20</f>
        <v>0</v>
      </c>
      <c r="CB14" s="32">
        <f>CB21-CB20</f>
        <v>0</v>
      </c>
      <c r="CC14" s="32">
        <f>CC21-CC20</f>
        <v>0</v>
      </c>
      <c r="CD14" s="32">
        <f>CD21-CD20</f>
        <v>0</v>
      </c>
      <c r="CE14" s="32">
        <f>CE21-CE20</f>
        <v>0</v>
      </c>
      <c r="CF14" s="32">
        <f>CF21-CF20</f>
        <v>0</v>
      </c>
      <c r="CG14" s="32">
        <f>CG21-CG20</f>
        <v>0</v>
      </c>
      <c r="CH14" s="32">
        <f>CH21-CH20</f>
        <v>0</v>
      </c>
      <c r="CI14" s="32">
        <f>CI21-CI20</f>
        <v>0</v>
      </c>
      <c r="CJ14" s="32">
        <f>CJ21-CJ20</f>
        <v>0</v>
      </c>
      <c r="CK14" s="32">
        <f>CK21-CK20</f>
        <v>0</v>
      </c>
      <c r="CL14" s="32">
        <f>CL21-CL20</f>
        <v>0</v>
      </c>
    </row>
    <row r="15" spans="2:90" x14ac:dyDescent="0.25">
      <c r="B15" s="34" t="s">
        <v>363</v>
      </c>
      <c r="C15" s="35" t="s">
        <v>228</v>
      </c>
      <c r="E15" s="32">
        <f>0</f>
        <v>0</v>
      </c>
      <c r="F15" s="32">
        <f>E17</f>
        <v>0</v>
      </c>
      <c r="G15" s="32">
        <f>F17</f>
        <v>0</v>
      </c>
      <c r="H15" s="32">
        <f>G17</f>
        <v>0</v>
      </c>
      <c r="I15" s="32">
        <f>H17</f>
        <v>0</v>
      </c>
      <c r="J15" s="32">
        <f>I17</f>
        <v>0</v>
      </c>
      <c r="K15" s="32">
        <f>J17</f>
        <v>0</v>
      </c>
      <c r="L15" s="32">
        <f>K17</f>
        <v>1939.9093138055584</v>
      </c>
      <c r="M15" s="32">
        <f>L17</f>
        <v>4145.324863566712</v>
      </c>
      <c r="N15" s="32">
        <f>M17</f>
        <v>4380.912288327867</v>
      </c>
      <c r="O15" s="32">
        <f>N17</f>
        <v>4643.89734980777</v>
      </c>
      <c r="P15" s="32">
        <f>O17</f>
        <v>4915.18344679154</v>
      </c>
      <c r="Q15" s="32">
        <f>P17</f>
        <v>5199.26364450273</v>
      </c>
      <c r="R15" s="32">
        <f>Q17</f>
        <v>5505.027790726528</v>
      </c>
      <c r="S15" s="32">
        <f>R17</f>
        <v>5832.47588546293</v>
      </c>
      <c r="T15" s="32">
        <f>S17</f>
        <v>6162.463970291585</v>
      </c>
      <c r="U15" s="32">
        <f>T17</f>
        <v>6505.228454008891</v>
      </c>
      <c r="V15" s="32">
        <f>U17</f>
        <v>6869.675533535003</v>
      </c>
      <c r="W15" s="32">
        <f>V17</f>
        <v>7255.805208869921</v>
      </c>
      <c r="X15" s="32">
        <f>W17</f>
        <v>7644.426651974449</v>
      </c>
      <c r="Y15" s="32">
        <f>X17</f>
        <v>8045.826514039068</v>
      </c>
      <c r="Z15" s="32">
        <f>Y17</f>
        <v>1000</v>
      </c>
      <c r="AA15" s="32">
        <f>Z17</f>
        <v>1000</v>
      </c>
      <c r="AB15" s="32">
        <f>AA17</f>
        <v>1000</v>
      </c>
      <c r="AC15" s="32">
        <f>AB17</f>
        <v>1000</v>
      </c>
      <c r="AD15" s="32">
        <f>AC17</f>
        <v>1000</v>
      </c>
      <c r="AE15" s="32">
        <f>AD17</f>
        <v>1000</v>
      </c>
      <c r="AF15" s="32">
        <f>AE17</f>
        <v>1000</v>
      </c>
      <c r="AG15" s="32">
        <f>AF17</f>
        <v>1000</v>
      </c>
      <c r="AH15" s="32">
        <f>AG17</f>
        <v>1000</v>
      </c>
      <c r="AI15" s="32">
        <f>AH17</f>
        <v>1000</v>
      </c>
      <c r="AJ15" s="32">
        <f>AI17</f>
        <v>1000</v>
      </c>
      <c r="AK15" s="32">
        <f>AJ17</f>
        <v>1000</v>
      </c>
      <c r="AL15" s="32">
        <f>AK17</f>
        <v>1000</v>
      </c>
      <c r="AM15" s="32">
        <f>AL17</f>
        <v>1000</v>
      </c>
      <c r="AN15" s="32">
        <f>AM17</f>
        <v>1000</v>
      </c>
      <c r="AO15" s="32">
        <f>AN17</f>
        <v>1000</v>
      </c>
      <c r="AP15" s="32">
        <f>AO17</f>
        <v>1000</v>
      </c>
      <c r="AQ15" s="32">
        <f>AP17</f>
        <v>1000</v>
      </c>
      <c r="AR15" s="32">
        <f>AQ17</f>
        <v>1000</v>
      </c>
      <c r="AS15" s="32">
        <f>AR17</f>
        <v>1000</v>
      </c>
      <c r="AT15" s="32">
        <f>AS17</f>
        <v>1000</v>
      </c>
      <c r="AU15" s="32">
        <f>AT17</f>
        <v>1000</v>
      </c>
      <c r="AV15" s="32">
        <f>AU17</f>
        <v>1000</v>
      </c>
      <c r="AW15" s="32">
        <f>AV17</f>
        <v>1000</v>
      </c>
      <c r="AX15" s="32">
        <f>AW17</f>
        <v>1000</v>
      </c>
      <c r="AY15" s="32">
        <f>AX17</f>
        <v>1000</v>
      </c>
      <c r="AZ15" s="32">
        <f>AY17</f>
        <v>1000</v>
      </c>
      <c r="BA15" s="32">
        <f>AZ17</f>
        <v>1000</v>
      </c>
      <c r="BB15" s="32">
        <f>BA17</f>
        <v>1000</v>
      </c>
      <c r="BC15" s="32">
        <f>BB17</f>
        <v>1000</v>
      </c>
      <c r="BD15" s="32">
        <f>BC17</f>
        <v>1000</v>
      </c>
      <c r="BE15" s="32">
        <f>BD17</f>
        <v>1000</v>
      </c>
      <c r="BF15" s="32">
        <f>BE17</f>
        <v>1000</v>
      </c>
      <c r="BG15" s="32">
        <f>BF17</f>
        <v>1000</v>
      </c>
      <c r="BH15" s="32">
        <f>BG17</f>
        <v>1000</v>
      </c>
      <c r="BI15" s="32">
        <f>BH17</f>
        <v>1000</v>
      </c>
      <c r="BJ15" s="32">
        <f>BI17</f>
        <v>1000</v>
      </c>
      <c r="BK15" s="32">
        <f>BJ17</f>
        <v>1000</v>
      </c>
      <c r="BL15" s="32">
        <f>BK17</f>
        <v>1000</v>
      </c>
      <c r="BM15" s="32">
        <f>BL17</f>
        <v>1000</v>
      </c>
      <c r="BN15" s="32">
        <f>BM17</f>
        <v>1000</v>
      </c>
      <c r="BO15" s="32">
        <f>BN17</f>
        <v>1000</v>
      </c>
      <c r="BP15" s="32">
        <f>BO17</f>
        <v>1000</v>
      </c>
      <c r="BQ15" s="32">
        <f>BP17</f>
        <v>1000</v>
      </c>
      <c r="BR15" s="32">
        <f>BQ17</f>
        <v>1000</v>
      </c>
      <c r="BS15" s="32">
        <f>BR17</f>
        <v>1000</v>
      </c>
      <c r="BT15" s="32">
        <f>BS17</f>
        <v>1000</v>
      </c>
      <c r="BU15" s="32">
        <f>BT17</f>
        <v>1000</v>
      </c>
      <c r="BV15" s="32">
        <f>BU17</f>
        <v>1000</v>
      </c>
      <c r="BW15" s="32">
        <f>BV17</f>
        <v>1000</v>
      </c>
      <c r="BX15" s="32">
        <f>BW17</f>
        <v>1000</v>
      </c>
      <c r="BY15" s="32">
        <f>BX17</f>
        <v>1000</v>
      </c>
      <c r="BZ15" s="32">
        <f>BY17</f>
        <v>1000</v>
      </c>
      <c r="CA15" s="32">
        <f>BZ17</f>
        <v>1000</v>
      </c>
      <c r="CB15" s="32">
        <f>CA17</f>
        <v>1000</v>
      </c>
      <c r="CC15" s="32">
        <f>CB17</f>
        <v>1000</v>
      </c>
      <c r="CD15" s="32">
        <f>CC17</f>
        <v>1000</v>
      </c>
      <c r="CE15" s="32">
        <f>CD17</f>
        <v>1000</v>
      </c>
      <c r="CF15" s="32">
        <f>CE17</f>
        <v>1000</v>
      </c>
      <c r="CG15" s="32">
        <f>CF17</f>
        <v>1000</v>
      </c>
      <c r="CH15" s="32">
        <f>CG17</f>
        <v>1000</v>
      </c>
      <c r="CI15" s="32">
        <f>CH17</f>
        <v>1000</v>
      </c>
      <c r="CJ15" s="32">
        <f>CI17</f>
        <v>1000</v>
      </c>
      <c r="CK15" s="32">
        <f>CJ17</f>
        <v>1000</v>
      </c>
      <c r="CL15" s="32">
        <f>CK17</f>
        <v>1000</v>
      </c>
    </row>
    <row r="16" spans="2:91" x14ac:dyDescent="0.25">
      <c r="B16" s="48" t="s">
        <v>364</v>
      </c>
      <c r="C16" s="51" t="s">
        <v>228</v>
      </c>
      <c r="D16" s="43">
        <f>SUM(E16:CL16)</f>
        <v>92664.77159966409</v>
      </c>
      <c r="E16" s="43">
        <f>0</f>
        <v>0</v>
      </c>
      <c r="F16" s="43">
        <f>0</f>
        <v>0</v>
      </c>
      <c r="G16" s="43">
        <f>0</f>
        <v>0</v>
      </c>
      <c r="H16" s="43">
        <f>0</f>
        <v>0</v>
      </c>
      <c r="I16" s="43">
        <f>0</f>
        <v>0</v>
      </c>
      <c r="J16" s="43">
        <f>0</f>
        <v>0</v>
      </c>
      <c r="K16" s="43">
        <f>IF(AND(0&gt;=($D$79-1),OR(ISBLANK(K11),K11&gt;=$D$77),OR(ISBLANK(K48),K48&gt;=$D$78)),MAX(0,K18-$D$76*100),0)</f>
        <v>0</v>
      </c>
      <c r="L16" s="43">
        <f>IF(AND(0&gt;=($D$79-1),OR(ISBLANK(L11),L11&gt;=$D$77),OR(ISBLANK(L48),L48&gt;=$D$78)),MAX(0,L18-$D$76*100),0)</f>
        <v>0</v>
      </c>
      <c r="M16" s="43">
        <f>IF(AND(0&gt;=($D$79-1),OR(ISBLANK(M11),M11&gt;=$D$77),OR(ISBLANK(M48),M48&gt;=$D$78)),MAX(0,M18-$D$76*100),0)</f>
        <v>0</v>
      </c>
      <c r="N16" s="43">
        <f>IF(AND(0&gt;=($D$79-1),OR(ISBLANK(N11),N11&gt;=$D$77),OR(ISBLANK(N48),N48&gt;=$D$78)),MAX(0,N18-$D$76*100),0)</f>
        <v>0</v>
      </c>
      <c r="O16" s="43">
        <f>IF(AND(1&gt;=($D$79-1),OR(ISBLANK(O11),O11&gt;=$D$77),OR(ISBLANK(O48),O48&gt;=$D$78)),MAX(0,O18-$D$76*100),0)</f>
        <v>0</v>
      </c>
      <c r="P16" s="43">
        <f>IF(AND(1&gt;=($D$79-1),OR(ISBLANK(P11),P11&gt;=$D$77),OR(ISBLANK(P48),P48&gt;=$D$78)),MAX(0,P18-$D$76*100),0)</f>
        <v>0</v>
      </c>
      <c r="Q16" s="43">
        <f>IF(AND(1&gt;=($D$79-1),OR(ISBLANK(Q11),Q11&gt;=$D$77),OR(ISBLANK(Q48),Q48&gt;=$D$78)),MAX(0,Q18-$D$76*100),0)</f>
        <v>0</v>
      </c>
      <c r="R16" s="43">
        <f>IF(AND(1&gt;=($D$79-1),OR(ISBLANK(R11),R11&gt;=$D$77),OR(ISBLANK(R48),R48&gt;=$D$78)),MAX(0,R18-$D$76*100),0)</f>
        <v>0</v>
      </c>
      <c r="S16" s="43">
        <f>IF(AND(2&gt;=($D$79-1),OR(ISBLANK(S11),S11&gt;=$D$77),OR(ISBLANK(S48),S48&gt;=$D$78)),MAX(0,S18-$D$76*100),0)</f>
        <v>0</v>
      </c>
      <c r="T16" s="43">
        <f>IF(AND(2&gt;=($D$79-1),OR(ISBLANK(T11),T11&gt;=$D$77),OR(ISBLANK(T48),T48&gt;=$D$78)),MAX(0,T18-$D$76*100),0)</f>
        <v>0</v>
      </c>
      <c r="U16" s="43">
        <f>IF(AND(2&gt;=($D$79-1),OR(ISBLANK(U11),U11&gt;=$D$77),OR(ISBLANK(U48),U48&gt;=$D$78)),MAX(0,U18-$D$76*100),0)</f>
        <v>0</v>
      </c>
      <c r="V16" s="43">
        <f>IF(AND(2&gt;=($D$79-1),OR(ISBLANK(V11),V11&gt;=$D$77),OR(ISBLANK(V48),V48&gt;=$D$78)),MAX(0,V18-$D$76*100),0)</f>
        <v>0</v>
      </c>
      <c r="W16" s="43">
        <f>IF(AND(3&gt;=($D$79-1),OR(ISBLANK(W11),W11&gt;=$D$77),OR(ISBLANK(W48),W48&gt;=$D$78)),MAX(0,W18-$D$76*100),0)</f>
        <v>0</v>
      </c>
      <c r="X16" s="43">
        <f>IF(AND(3&gt;=($D$79-1),OR(ISBLANK(X11),X11&gt;=$D$77),OR(ISBLANK(X48),X48&gt;=$D$78)),MAX(0,X18-$D$76*100),0)</f>
        <v>0</v>
      </c>
      <c r="Y16" s="43">
        <f>IF(AND(3&gt;=($D$79-1),OR(ISBLANK(Y11),Y11&gt;=$D$77),OR(ISBLANK(Y48),Y48&gt;=$D$78)),MAX(0,Y18-$D$76*100),0)</f>
        <v>7468.907885778213</v>
      </c>
      <c r="Z16" s="43">
        <f>IF(AND(3&gt;=($D$79-1),OR(ISBLANK(Z11),Z11&gt;=$D$77),OR(ISBLANK(Z48),Z48&gt;=$D$78)),MAX(0,Z18-$D$76*100),0)</f>
        <v>444.7628814136747</v>
      </c>
      <c r="AA16" s="43">
        <f>IF(AND(4&gt;=($D$79-1),OR(ISBLANK(AA11),AA11&gt;=$D$77),OR(ISBLANK(AA48),AA48&gt;=$D$78)),MAX(0,AA18-$D$76*100),0)</f>
        <v>447.2060135403194</v>
      </c>
      <c r="AB16" s="43">
        <f>IF(AND(4&gt;=($D$79-1),OR(ISBLANK(AB11),AB11&gt;=$D$77),OR(ISBLANK(AB48),AB48&gt;=$D$78)),MAX(0,AB18-$D$76*100),0)</f>
        <v>459.9860773370988</v>
      </c>
      <c r="AC16" s="43">
        <f>IF(AND(4&gt;=($D$79-1),OR(ISBLANK(AC11),AC11&gt;=$D$77),OR(ISBLANK(AC48),AC48&gt;=$D$78)),MAX(0,AC18-$D$76*100),0)</f>
        <v>481.66669572309775</v>
      </c>
      <c r="AD16" s="43">
        <f>IF(AND(4&gt;=($D$79-1),OR(ISBLANK(AD11),AD11&gt;=$D$77),OR(ISBLANK(AD48),AD48&gt;=$D$78)),MAX(0,AD18-$D$76*100),0)</f>
        <v>503.3473141090931</v>
      </c>
      <c r="AE16" s="43">
        <f>IF(AND(5&gt;=($D$79-1),OR(ISBLANK(AE11),AE11&gt;=$D$77),OR(ISBLANK(AE48),AE48&gt;=$D$78)),MAX(0,AE18-$D$76*100),0)</f>
        <v>505.7414145776929</v>
      </c>
      <c r="AF16" s="43">
        <f>IF(AND(5&gt;=($D$79-1),OR(ISBLANK(AF11),AF11&gt;=$D$77),OR(ISBLANK(AF48),AF48&gt;=$D$78)),MAX(0,AF18-$D$76*100),0)</f>
        <v>518.5228438415679</v>
      </c>
      <c r="AG16" s="43">
        <f>IF(AND(5&gt;=($D$79-1),OR(ISBLANK(AG11),AG11&gt;=$D$77),OR(ISBLANK(AG48),AG48&gt;=$D$78)),MAX(0,AG18-$D$76*100),0)</f>
        <v>540.2027176741321</v>
      </c>
      <c r="AH16" s="43">
        <f>IF(AND(5&gt;=($D$79-1),OR(ISBLANK(AH11),AH11&gt;=$D$77),OR(ISBLANK(AH48),AH48&gt;=$D$78)),MAX(0,AH18-$D$76*100),0)</f>
        <v>561.8825915066977</v>
      </c>
      <c r="AI16" s="43">
        <f>IF(AND(6&gt;=($D$79-1),OR(ISBLANK(AI11),AI11&gt;=$D$77),OR(ISBLANK(AI48),AI48&gt;=$D$78)),MAX(0,AI18-$D$76*100),0)</f>
        <v>564.2272751095388</v>
      </c>
      <c r="AJ16" s="43">
        <f>IF(AND(6&gt;=($D$79-1),OR(ISBLANK(AJ11),AJ11&gt;=$D$77),OR(ISBLANK(AJ48),AJ48&gt;=$D$78)),MAX(0,AJ18-$D$76*100),0)</f>
        <v>577.009856198059</v>
      </c>
      <c r="AK16" s="43">
        <f>IF(AND(6&gt;=($D$79-1),OR(ISBLANK(AK11),AK11&gt;=$D$77),OR(ISBLANK(AK48),AK48&gt;=$D$78)),MAX(0,AK18-$D$76*100),0)</f>
        <v>598.6890987362608</v>
      </c>
      <c r="AL16" s="43">
        <f>IF(AND(6&gt;=($D$79-1),OR(ISBLANK(AL11),AL11&gt;=$D$77),OR(ISBLANK(AL48),AL48&gt;=$D$78)),MAX(0,AL18-$D$76*100),0)</f>
        <v>620.3683412744617</v>
      </c>
      <c r="AM16" s="43">
        <f>IF(AND(7&gt;=($D$79-1),OR(ISBLANK(AM11),AM11&gt;=$D$77),OR(ISBLANK(AM48),AM48&gt;=$D$78)),MAX(0,AM18-$D$76*100),0)</f>
        <v>622.6632295776003</v>
      </c>
      <c r="AN16" s="43">
        <f>IF(AND(7&gt;=($D$79-1),OR(ISBLANK(AN11),AN11&gt;=$D$77),OR(ISBLANK(AN48),AN48&gt;=$D$78)),MAX(0,AN18-$D$76*100),0)</f>
        <v>635.4467954323404</v>
      </c>
      <c r="AO16" s="43">
        <f>IF(AND(7&gt;=($D$79-1),OR(ISBLANK(AO11),AO11&gt;=$D$77),OR(ISBLANK(AO48),AO48&gt;=$D$78)),MAX(0,AO18-$D$76*100),0)</f>
        <v>657.1254959225244</v>
      </c>
      <c r="AP16" s="43">
        <f>IF(AND(7&gt;=($D$79-1),OR(ISBLANK(AP11),AP11&gt;=$D$77),OR(ISBLANK(AP48),AP48&gt;=$D$78)),MAX(0,AP18-$D$76*100),0)</f>
        <v>678.8041964127101</v>
      </c>
      <c r="AQ16" s="43">
        <f>IF(AND(8&gt;=($D$79-1),OR(ISBLANK(AQ11),AQ11&gt;=$D$77),OR(ISBLANK(AQ48),AQ48&gt;=$D$78)),MAX(0,AQ18-$D$76*100),0)</f>
        <v>681.0489151416364</v>
      </c>
      <c r="AR16" s="43">
        <f>IF(AND(8&gt;=($D$79-1),OR(ISBLANK(AR11),AR11&gt;=$D$77),OR(ISBLANK(AR48),AR48&gt;=$D$78)),MAX(0,AR18-$D$76*100),0)</f>
        <v>693.8333326487382</v>
      </c>
      <c r="AS16" s="43">
        <f>IF(AND(8&gt;=($D$79-1),OR(ISBLANK(AS11),AS11&gt;=$D$77),OR(ISBLANK(AS48),AS48&gt;=$D$78)),MAX(0,AS18-$D$76*100),0)</f>
        <v>715.5115626646016</v>
      </c>
      <c r="AT16" s="43">
        <f>IF(AND(8&gt;=($D$79-1),OR(ISBLANK(AT11),AT11&gt;=$D$77),OR(ISBLANK(AT48),AT48&gt;=$D$78)),MAX(0,AT18-$D$76*100),0)</f>
        <v>737.1897926804618</v>
      </c>
      <c r="AU16" s="43">
        <f>IF(AND(9&gt;=($D$79-1),OR(ISBLANK(AU11),AU11&gt;=$D$77),OR(ISBLANK(AU48),AU48&gt;=$D$78)),MAX(0,AU18-$D$76*100),0)</f>
        <v>739.3839699629061</v>
      </c>
      <c r="AV16" s="43">
        <f>IF(AND(9&gt;=($D$79-1),OR(ISBLANK(AV11),AV11&gt;=$D$77),OR(ISBLANK(AV48),AV48&gt;=$D$78)),MAX(0,AV18-$D$76*100),0)</f>
        <v>752.1691313320457</v>
      </c>
      <c r="AW16" s="43">
        <f>IF(AND(9&gt;=($D$79-1),OR(ISBLANK(AW11),AW11&gt;=$D$77),OR(ISBLANK(AW48),AW48&gt;=$D$78)),MAX(0,AW18-$D$76*100),0)</f>
        <v>773.8469491518049</v>
      </c>
      <c r="AX16" s="43">
        <f>IF(AND(9&gt;=($D$79-1),OR(ISBLANK(AX11),AX11&gt;=$D$77),OR(ISBLANK(AX48),AX48&gt;=$D$78)),MAX(0,AX18-$D$76*100),0)</f>
        <v>795.5247669715664</v>
      </c>
      <c r="AY16" s="43">
        <f>IF(AND(10&gt;=($D$79-1),OR(ISBLANK(AY11),AY11&gt;=$D$77),OR(ISBLANK(AY48),AY48&gt;=$D$78)),MAX(0,AY18-$D$76*100),0)</f>
        <v>797.6680321189228</v>
      </c>
      <c r="AZ16" s="43">
        <f>IF(AND(10&gt;=($D$79-1),OR(ISBLANK(AZ11),AZ11&gt;=$D$77),OR(ISBLANK(AZ48),AZ48&gt;=$D$78)),MAX(0,AZ18-$D$76*100),0)</f>
        <v>810.453848838009</v>
      </c>
      <c r="BA16" s="43">
        <f>IF(AND(10&gt;=($D$79-1),OR(ISBLANK(BA11),BA11&gt;=$D$77),OR(ISBLANK(BA48),BA48&gt;=$D$78)),MAX(0,BA18-$D$76*100),0)</f>
        <v>832.1313025454347</v>
      </c>
      <c r="BB16" s="43">
        <f>IF(AND(10&gt;=($D$79-1),OR(ISBLANK(BB11),BB11&gt;=$D$77),OR(ISBLANK(BB48),BB48&gt;=$D$78)),MAX(0,BB18-$D$76*100),0)</f>
        <v>853.8087562528617</v>
      </c>
      <c r="BC16" s="43">
        <f>IF(AND(11&gt;=($D$79-1),OR(ISBLANK(BC11),BC11&gt;=$D$77),OR(ISBLANK(BC48),BC48&gt;=$D$78)),MAX(0,BC18-$D$76*100),0)</f>
        <v>855.9007388917876</v>
      </c>
      <c r="BD16" s="43">
        <f>IF(AND(11&gt;=($D$79-1),OR(ISBLANK(BD11),BD11&gt;=$D$77),OR(ISBLANK(BD48),BD48&gt;=$D$78)),MAX(0,BD18-$D$76*100),0)</f>
        <v>868.6871373853191</v>
      </c>
      <c r="BE16" s="43">
        <f>IF(AND(11&gt;=($D$79-1),OR(ISBLANK(BE11),BE11&gt;=$D$77),OR(ISBLANK(BE48),BE48&gt;=$D$78)),MAX(0,BE18-$D$76*100),0)</f>
        <v>890.3642671164548</v>
      </c>
      <c r="BF16" s="43">
        <f>IF(AND(11&gt;=($D$79-1),OR(ISBLANK(BF11),BF11&gt;=$D$77),OR(ISBLANK(BF48),BF48&gt;=$D$78)),MAX(0,BF18-$D$76*100),0)</f>
        <v>912.04139684759</v>
      </c>
      <c r="BG16" s="43">
        <f>IF(AND(12&gt;=($D$79-1),OR(ISBLANK(BG11),BG11&gt;=$D$77),OR(ISBLANK(BG48),BG48&gt;=$D$78)),MAX(0,BG18-$D$76*100),0)</f>
        <v>914.0817262859632</v>
      </c>
      <c r="BH16" s="43">
        <f>IF(AND(12&gt;=($D$79-1),OR(ISBLANK(BH11),BH11&gt;=$D$77),OR(ISBLANK(BH48),BH48&gt;=$D$78)),MAX(0,BH18-$D$76*100),0)</f>
        <v>926.8686447312384</v>
      </c>
      <c r="BI16" s="43">
        <f>IF(AND(12&gt;=($D$79-1),OR(ISBLANK(BI11),BI11&gt;=$D$77),OR(ISBLANK(BI48),BI48&gt;=$D$78)),MAX(0,BI18-$D$76*100),0)</f>
        <v>948.5454843345219</v>
      </c>
      <c r="BJ16" s="43">
        <f>IF(AND(12&gt;=($D$79-1),OR(ISBLANK(BJ11),BJ11&gt;=$D$77),OR(ISBLANK(BJ48),BJ48&gt;=$D$78)),MAX(0,BJ18-$D$76*100),0)</f>
        <v>970.2223239378045</v>
      </c>
      <c r="BK16" s="43">
        <f>IF(AND(13&gt;=($D$79-1),OR(ISBLANK(BK11),BK11&gt;=$D$77),OR(ISBLANK(BK48),BK48&gt;=$D$78)),MAX(0,BK18-$D$76*100),0)</f>
        <v>972.2106286915518</v>
      </c>
      <c r="BL16" s="43">
        <f>IF(AND(13&gt;=($D$79-1),OR(ISBLANK(BL11),BL11&gt;=$D$77),OR(ISBLANK(BL48),BL48&gt;=$D$78)),MAX(0,BL18-$D$76*100),0)</f>
        <v>984.9980146407629</v>
      </c>
      <c r="BM16" s="43">
        <f>IF(AND(13&gt;=($D$79-1),OR(ISBLANK(BM11),BM11&gt;=$D$77),OR(ISBLANK(BM48),BM48&gt;=$D$78)),MAX(0,BM18-$D$76*100),0)</f>
        <v>1006.6745929251983</v>
      </c>
      <c r="BN16" s="43">
        <f>IF(AND(13&gt;=($D$79-1),OR(ISBLANK(BN11),BN11&gt;=$D$77),OR(ISBLANK(BN48),BN48&gt;=$D$78)),MAX(0,BN18-$D$76*100),0)</f>
        <v>1028.351171209636</v>
      </c>
      <c r="BO16" s="43">
        <f>IF(AND(14&gt;=($D$79-1),OR(ISBLANK(BO11),BO11&gt;=$D$77),OR(ISBLANK(BO48),BO48&gt;=$D$78)),MAX(0,BO18-$D$76*100),0)</f>
        <v>1030.2870786425265</v>
      </c>
      <c r="BP16" s="43">
        <f>IF(AND(14&gt;=($D$79-1),OR(ISBLANK(BP11),BP11&gt;=$D$77),OR(ISBLANK(BP48),BP48&gt;=$D$78)),MAX(0,BP18-$D$76*100),0)</f>
        <v>1043.0748872176064</v>
      </c>
      <c r="BQ16" s="43">
        <f>IF(AND(14&gt;=($D$79-1),OR(ISBLANK(BQ11),BQ11&gt;=$D$77),OR(ISBLANK(BQ48),BQ48&gt;=$D$78)),MAX(0,BQ18-$D$76*100),0)</f>
        <v>1064.7512289058618</v>
      </c>
      <c r="BR16" s="43">
        <f>IF(AND(14&gt;=($D$79-1),OR(ISBLANK(BR11),BR11&gt;=$D$77),OR(ISBLANK(BR48),BR48&gt;=$D$78)),MAX(0,BR18-$D$76*100),0)</f>
        <v>1086.4275705941186</v>
      </c>
      <c r="BS16" s="43">
        <f>IF(AND(15&gt;=($D$79-1),OR(ISBLANK(BS11),BS11&gt;=$D$77),OR(ISBLANK(BS48),BS48&gt;=$D$78)),MAX(0,BS18-$D$76*100),0)</f>
        <v>1088.3107066384073</v>
      </c>
      <c r="BT16" s="43">
        <f>IF(AND(15&gt;=($D$79-1),OR(ISBLANK(BT11),BT11&gt;=$D$77),OR(ISBLANK(BT48),BT48&gt;=$D$78)),MAX(0,BT18-$D$76*100),0)</f>
        <v>1101.0988991406248</v>
      </c>
      <c r="BU16" s="43">
        <f>IF(AND(15&gt;=($D$79-1),OR(ISBLANK(BU11),BU11&gt;=$D$77),OR(ISBLANK(BU48),BU48&gt;=$D$78)),MAX(0,BU18-$D$76*100),0)</f>
        <v>1122.7750256069685</v>
      </c>
      <c r="BV16" s="43">
        <f>IF(AND(15&gt;=($D$79-1),OR(ISBLANK(BV11),BV11&gt;=$D$77),OR(ISBLANK(BV48),BV48&gt;=$D$78)),MAX(0,BV18-$D$76*100),0)</f>
        <v>1144.4511520733113</v>
      </c>
      <c r="BW16" s="43">
        <f>IF(AND(16&gt;=($D$79-1),OR(ISBLANK(BW11),BW11&gt;=$D$77),OR(ISBLANK(BW48),BW48&gt;=$D$78)),MAX(0,BW18-$D$76*100),0)</f>
        <v>1146.2811410093332</v>
      </c>
      <c r="BX16" s="43">
        <f>IF(AND(16&gt;=($D$79-1),OR(ISBLANK(BX11),BX11&gt;=$D$77),OR(ISBLANK(BX48),BX48&gt;=$D$78)),MAX(0,BX18-$D$76*100),0)</f>
        <v>1159.0696838342242</v>
      </c>
      <c r="BY16" s="43">
        <f>IF(AND(16&gt;=($D$79-1),OR(ISBLANK(BY11),BY11&gt;=$D$77),OR(ISBLANK(BY48),BY48&gt;=$D$78)),MAX(0,BY18-$D$76*100),0)</f>
        <v>3150.5737386830915</v>
      </c>
      <c r="BZ16" s="43">
        <f>IF(AND(16&gt;=($D$79-1),OR(ISBLANK(BZ11),BZ11&gt;=$D$77),OR(ISBLANK(BZ48),BZ48&gt;=$D$78)),MAX(0,BZ18-$D$76*100),0)</f>
        <v>3144.8520318132087</v>
      </c>
      <c r="CA16" s="43">
        <f>IF(AND(17&gt;=($D$79-1),OR(ISBLANK(CA11),CA11&gt;=$D$77),OR(ISBLANK(CA48),CA48&gt;=$D$78)),MAX(0,CA18-$D$76*100),0)</f>
        <v>3119.2308593738253</v>
      </c>
      <c r="CB16" s="43">
        <f>IF(AND(17&gt;=($D$79-1),OR(ISBLANK(CB11),CB11&gt;=$D$77),OR(ISBLANK(CB48),CB48&gt;=$D$78)),MAX(0,CB18-$D$76*100),0)</f>
        <v>3110.354576777292</v>
      </c>
      <c r="CC16" s="43">
        <f>IF(AND(17&gt;=($D$79-1),OR(ISBLANK(CC11),CC11&gt;=$D$77),OR(ISBLANK(CC48),CC48&gt;=$D$78)),MAX(0,CC18-$D$76*100),0)</f>
        <v>3110.354576777292</v>
      </c>
      <c r="CD16" s="43">
        <f>IF(AND(17&gt;=($D$79-1),OR(ISBLANK(CD11),CD11&gt;=$D$77),OR(ISBLANK(CD48),CD48&gt;=$D$78)),MAX(0,CD18-$D$76*100),0)</f>
        <v>3110.354576777292</v>
      </c>
      <c r="CE16" s="43">
        <f>IF(AND(18&gt;=($D$79-1),OR(ISBLANK(CE11),CE11&gt;=$D$77),OR(ISBLANK(CE48),CE48&gt;=$D$78)),MAX(0,CE18-$D$76*100),0)</f>
        <v>3090.401163565787</v>
      </c>
      <c r="CF16" s="43">
        <f>IF(AND(18&gt;=($D$79-1),OR(ISBLANK(CF11),CF11&gt;=$D$77),OR(ISBLANK(CF48),CF48&gt;=$D$78)),MAX(0,CF18-$D$76*100),0)</f>
        <v>3081.531510404308</v>
      </c>
      <c r="CG16" s="43">
        <f>IF(AND(18&gt;=($D$79-1),OR(ISBLANK(CG11),CG11&gt;=$D$77),OR(ISBLANK(CG48),CG48&gt;=$D$78)),MAX(0,CG18-$D$76*100),0)</f>
        <v>3081.531510404308</v>
      </c>
      <c r="CH16" s="43">
        <f>IF(AND(18&gt;=($D$79-1),OR(ISBLANK(CH11),CH11&gt;=$D$77),OR(ISBLANK(CH48),CH48&gt;=$D$78)),MAX(0,CH18-$D$76*100),0)</f>
        <v>3081.531510404308</v>
      </c>
      <c r="CI16" s="43">
        <f>IF(AND(19&gt;=($D$79-1),OR(ISBLANK(CI11),CI11&gt;=$D$77),OR(ISBLANK(CI48),CI48&gt;=$D$78)),MAX(0,CI18-$D$76*100),0)</f>
        <v>3061.523629006042</v>
      </c>
      <c r="CJ16" s="43">
        <f>IF(AND(19&gt;=($D$79-1),OR(ISBLANK(CJ11),CJ11&gt;=$D$77),OR(ISBLANK(CJ48),CJ48&gt;=$D$78)),MAX(0,CJ18-$D$76*100),0)</f>
        <v>3193.819252680817</v>
      </c>
      <c r="CK16" s="43">
        <f>IF(AND(19&gt;=($D$79-1),OR(ISBLANK(CK11),CK11&gt;=$D$77),OR(ISBLANK(CK48),CK48&gt;=$D$78)),MAX(0,CK18-$D$76*100),0)</f>
        <v>3193.819252680817</v>
      </c>
      <c r="CL16" s="43">
        <f>MAX(0,CL18)</f>
        <v>3800.288825180817</v>
      </c>
      <c r="CM16" s="49"/>
    </row>
    <row r="17" spans="2:90" x14ac:dyDescent="0.25">
      <c r="B17" s="34" t="s">
        <v>365</v>
      </c>
      <c r="C17" s="35" t="s">
        <v>228</v>
      </c>
      <c r="E17" s="32">
        <f>E18-E16</f>
        <v>0</v>
      </c>
      <c r="F17" s="32">
        <f>F18-F16</f>
        <v>0</v>
      </c>
      <c r="G17" s="32">
        <f>G18-G16</f>
        <v>0</v>
      </c>
      <c r="H17" s="32">
        <f>H18-H16</f>
        <v>0</v>
      </c>
      <c r="I17" s="32">
        <f>I18-I16</f>
        <v>0</v>
      </c>
      <c r="J17" s="32">
        <f>J18-J16</f>
        <v>0</v>
      </c>
      <c r="K17" s="32">
        <f>K18-K16</f>
        <v>1939.9093138055584</v>
      </c>
      <c r="L17" s="32">
        <f>L18-L16</f>
        <v>4145.324863566712</v>
      </c>
      <c r="M17" s="32">
        <f>M18-M16</f>
        <v>4380.912288327867</v>
      </c>
      <c r="N17" s="32">
        <f>N18-N16</f>
        <v>4643.89734980777</v>
      </c>
      <c r="O17" s="32">
        <f>O18-O16</f>
        <v>4915.18344679154</v>
      </c>
      <c r="P17" s="32">
        <f>P18-P16</f>
        <v>5199.26364450273</v>
      </c>
      <c r="Q17" s="32">
        <f>Q18-Q16</f>
        <v>5505.027790726528</v>
      </c>
      <c r="R17" s="32">
        <f>R18-R16</f>
        <v>5832.47588546293</v>
      </c>
      <c r="S17" s="32">
        <f>S18-S16</f>
        <v>6162.463970291585</v>
      </c>
      <c r="T17" s="32">
        <f>T18-T16</f>
        <v>6505.228454008891</v>
      </c>
      <c r="U17" s="32">
        <f>U18-U16</f>
        <v>6869.675533535003</v>
      </c>
      <c r="V17" s="32">
        <f>V18-V16</f>
        <v>7255.805208869921</v>
      </c>
      <c r="W17" s="32">
        <f>W18-W16</f>
        <v>7644.426651974449</v>
      </c>
      <c r="X17" s="32">
        <f>X18-X16</f>
        <v>8045.826514039068</v>
      </c>
      <c r="Y17" s="32">
        <f>Y18-Y16</f>
        <v>1000</v>
      </c>
      <c r="Z17" s="32">
        <f>Z18-Z16</f>
        <v>1000</v>
      </c>
      <c r="AA17" s="32">
        <f>AA18-AA16</f>
        <v>1000</v>
      </c>
      <c r="AB17" s="32">
        <f>AB18-AB16</f>
        <v>1000</v>
      </c>
      <c r="AC17" s="32">
        <f>AC18-AC16</f>
        <v>1000</v>
      </c>
      <c r="AD17" s="32">
        <f>AD18-AD16</f>
        <v>1000</v>
      </c>
      <c r="AE17" s="32">
        <f>AE18-AE16</f>
        <v>1000</v>
      </c>
      <c r="AF17" s="32">
        <f>AF18-AF16</f>
        <v>1000</v>
      </c>
      <c r="AG17" s="32">
        <f>AG18-AG16</f>
        <v>1000</v>
      </c>
      <c r="AH17" s="32">
        <f>AH18-AH16</f>
        <v>1000</v>
      </c>
      <c r="AI17" s="32">
        <f>AI18-AI16</f>
        <v>1000</v>
      </c>
      <c r="AJ17" s="32">
        <f>AJ18-AJ16</f>
        <v>1000</v>
      </c>
      <c r="AK17" s="32">
        <f>AK18-AK16</f>
        <v>1000</v>
      </c>
      <c r="AL17" s="32">
        <f>AL18-AL16</f>
        <v>1000</v>
      </c>
      <c r="AM17" s="32">
        <f>AM18-AM16</f>
        <v>1000</v>
      </c>
      <c r="AN17" s="32">
        <f>AN18-AN16</f>
        <v>1000</v>
      </c>
      <c r="AO17" s="32">
        <f>AO18-AO16</f>
        <v>1000</v>
      </c>
      <c r="AP17" s="32">
        <f>AP18-AP16</f>
        <v>1000</v>
      </c>
      <c r="AQ17" s="32">
        <f>AQ18-AQ16</f>
        <v>1000</v>
      </c>
      <c r="AR17" s="32">
        <f>AR18-AR16</f>
        <v>1000</v>
      </c>
      <c r="AS17" s="32">
        <f>AS18-AS16</f>
        <v>1000</v>
      </c>
      <c r="AT17" s="32">
        <f>AT18-AT16</f>
        <v>1000</v>
      </c>
      <c r="AU17" s="32">
        <f>AU18-AU16</f>
        <v>1000</v>
      </c>
      <c r="AV17" s="32">
        <f>AV18-AV16</f>
        <v>1000</v>
      </c>
      <c r="AW17" s="32">
        <f>AW18-AW16</f>
        <v>1000</v>
      </c>
      <c r="AX17" s="32">
        <f>AX18-AX16</f>
        <v>1000</v>
      </c>
      <c r="AY17" s="32">
        <f>AY18-AY16</f>
        <v>1000</v>
      </c>
      <c r="AZ17" s="32">
        <f>AZ18-AZ16</f>
        <v>1000</v>
      </c>
      <c r="BA17" s="32">
        <f>BA18-BA16</f>
        <v>1000</v>
      </c>
      <c r="BB17" s="32">
        <f>BB18-BB16</f>
        <v>1000</v>
      </c>
      <c r="BC17" s="32">
        <f>BC18-BC16</f>
        <v>1000</v>
      </c>
      <c r="BD17" s="32">
        <f>BD18-BD16</f>
        <v>1000</v>
      </c>
      <c r="BE17" s="32">
        <f>BE18-BE16</f>
        <v>1000</v>
      </c>
      <c r="BF17" s="32">
        <f>BF18-BF16</f>
        <v>1000</v>
      </c>
      <c r="BG17" s="32">
        <f>BG18-BG16</f>
        <v>1000</v>
      </c>
      <c r="BH17" s="32">
        <f>BH18-BH16</f>
        <v>1000</v>
      </c>
      <c r="BI17" s="32">
        <f>BI18-BI16</f>
        <v>1000</v>
      </c>
      <c r="BJ17" s="32">
        <f>BJ18-BJ16</f>
        <v>1000</v>
      </c>
      <c r="BK17" s="32">
        <f>BK18-BK16</f>
        <v>1000</v>
      </c>
      <c r="BL17" s="32">
        <f>BL18-BL16</f>
        <v>1000</v>
      </c>
      <c r="BM17" s="32">
        <f>BM18-BM16</f>
        <v>1000</v>
      </c>
      <c r="BN17" s="32">
        <f>BN18-BN16</f>
        <v>1000</v>
      </c>
      <c r="BO17" s="32">
        <f>BO18-BO16</f>
        <v>1000</v>
      </c>
      <c r="BP17" s="32">
        <f>BP18-BP16</f>
        <v>1000</v>
      </c>
      <c r="BQ17" s="32">
        <f>BQ18-BQ16</f>
        <v>1000</v>
      </c>
      <c r="BR17" s="32">
        <f>BR18-BR16</f>
        <v>1000</v>
      </c>
      <c r="BS17" s="32">
        <f>BS18-BS16</f>
        <v>1000</v>
      </c>
      <c r="BT17" s="32">
        <f>BT18-BT16</f>
        <v>1000</v>
      </c>
      <c r="BU17" s="32">
        <f>BU18-BU16</f>
        <v>1000</v>
      </c>
      <c r="BV17" s="32">
        <f>BV18-BV16</f>
        <v>1000</v>
      </c>
      <c r="BW17" s="32">
        <f>BW18-BW16</f>
        <v>1000</v>
      </c>
      <c r="BX17" s="32">
        <f>BX18-BX16</f>
        <v>1000</v>
      </c>
      <c r="BY17" s="32">
        <f>BY18-BY16</f>
        <v>1000</v>
      </c>
      <c r="BZ17" s="32">
        <f>BZ18-BZ16</f>
        <v>1000</v>
      </c>
      <c r="CA17" s="32">
        <f>CA18-CA16</f>
        <v>1000</v>
      </c>
      <c r="CB17" s="32">
        <f>CB18-CB16</f>
        <v>1000</v>
      </c>
      <c r="CC17" s="32">
        <f>CC18-CC16</f>
        <v>1000</v>
      </c>
      <c r="CD17" s="32">
        <f>CD18-CD16</f>
        <v>1000</v>
      </c>
      <c r="CE17" s="32">
        <f>CE18-CE16</f>
        <v>1000</v>
      </c>
      <c r="CF17" s="32">
        <f>CF18-CF16</f>
        <v>1000</v>
      </c>
      <c r="CG17" s="32">
        <f>CG18-CG16</f>
        <v>1000</v>
      </c>
      <c r="CH17" s="32">
        <f>CH18-CH16</f>
        <v>1000</v>
      </c>
      <c r="CI17" s="32">
        <f>CI18-CI16</f>
        <v>1000</v>
      </c>
      <c r="CJ17" s="32">
        <f>CJ18-CJ16</f>
        <v>1000</v>
      </c>
      <c r="CK17" s="32">
        <f>CK18-CK16</f>
        <v>1000</v>
      </c>
      <c r="CL17" s="32">
        <f>CL18-CL16</f>
        <v>0</v>
      </c>
    </row>
    <row r="18" spans="2:90" x14ac:dyDescent="0.25">
      <c r="B18" s="34" t="s">
        <v>366</v>
      </c>
      <c r="C18" s="35" t="s">
        <v>228</v>
      </c>
      <c r="E18" s="32">
        <f>E15+E13</f>
        <v>0</v>
      </c>
      <c r="F18" s="32">
        <f>F15+F13</f>
        <v>0</v>
      </c>
      <c r="G18" s="32">
        <f>G15+G13</f>
        <v>0</v>
      </c>
      <c r="H18" s="32">
        <f>H15+H13</f>
        <v>0</v>
      </c>
      <c r="I18" s="32">
        <f>I15+I13</f>
        <v>0</v>
      </c>
      <c r="J18" s="32">
        <f>J15+J13</f>
        <v>0</v>
      </c>
      <c r="K18" s="32">
        <f>K15+K13</f>
        <v>1939.9093138055584</v>
      </c>
      <c r="L18" s="32">
        <f>L15+L13</f>
        <v>4145.324863566712</v>
      </c>
      <c r="M18" s="32">
        <f>M15+M13</f>
        <v>4380.912288327867</v>
      </c>
      <c r="N18" s="32">
        <f>N15+N13</f>
        <v>4643.89734980777</v>
      </c>
      <c r="O18" s="32">
        <f>O15+O13</f>
        <v>4915.18344679154</v>
      </c>
      <c r="P18" s="32">
        <f>P15+P13</f>
        <v>5199.26364450273</v>
      </c>
      <c r="Q18" s="32">
        <f>Q15+Q13</f>
        <v>5505.027790726528</v>
      </c>
      <c r="R18" s="32">
        <f>R15+R13</f>
        <v>5832.47588546293</v>
      </c>
      <c r="S18" s="32">
        <f>S15+S13</f>
        <v>6162.463970291585</v>
      </c>
      <c r="T18" s="32">
        <f>T15+T13</f>
        <v>6505.228454008891</v>
      </c>
      <c r="U18" s="32">
        <f>U15+U13</f>
        <v>6869.675533535003</v>
      </c>
      <c r="V18" s="32">
        <f>V15+V13</f>
        <v>7255.805208869921</v>
      </c>
      <c r="W18" s="32">
        <f>W15+W13</f>
        <v>7644.426651974449</v>
      </c>
      <c r="X18" s="32">
        <f>X15+X13</f>
        <v>8045.826514039068</v>
      </c>
      <c r="Y18" s="32">
        <f>Y15+Y13</f>
        <v>8468.907885778213</v>
      </c>
      <c r="Z18" s="32">
        <f>Z15+Z13</f>
        <v>1444.7628814136747</v>
      </c>
      <c r="AA18" s="32">
        <f>AA15+AA13</f>
        <v>1447.2060135403194</v>
      </c>
      <c r="AB18" s="32">
        <f>AB15+AB13</f>
        <v>1459.9860773370988</v>
      </c>
      <c r="AC18" s="32">
        <f>AC15+AC13</f>
        <v>1481.6666957230977</v>
      </c>
      <c r="AD18" s="32">
        <f>AD15+AD13</f>
        <v>1503.347314109093</v>
      </c>
      <c r="AE18" s="32">
        <f>AE15+AE13</f>
        <v>1505.741414577693</v>
      </c>
      <c r="AF18" s="32">
        <f>AF15+AF13</f>
        <v>1518.522843841568</v>
      </c>
      <c r="AG18" s="32">
        <f>AG15+AG13</f>
        <v>1540.2027176741321</v>
      </c>
      <c r="AH18" s="32">
        <f>AH15+AH13</f>
        <v>1561.8825915066977</v>
      </c>
      <c r="AI18" s="32">
        <f>AI15+AI13</f>
        <v>1564.2272751095388</v>
      </c>
      <c r="AJ18" s="32">
        <f>AJ15+AJ13</f>
        <v>1577.009856198059</v>
      </c>
      <c r="AK18" s="32">
        <f>AK15+AK13</f>
        <v>1598.6890987362608</v>
      </c>
      <c r="AL18" s="32">
        <f>AL15+AL13</f>
        <v>1620.3683412744617</v>
      </c>
      <c r="AM18" s="32">
        <f>AM15+AM13</f>
        <v>1622.6632295776003</v>
      </c>
      <c r="AN18" s="32">
        <f>AN15+AN13</f>
        <v>1635.4467954323404</v>
      </c>
      <c r="AO18" s="32">
        <f>AO15+AO13</f>
        <v>1657.1254959225244</v>
      </c>
      <c r="AP18" s="32">
        <f>AP15+AP13</f>
        <v>1678.80419641271</v>
      </c>
      <c r="AQ18" s="32">
        <f>AQ15+AQ13</f>
        <v>1681.0489151416364</v>
      </c>
      <c r="AR18" s="32">
        <f>AR15+AR13</f>
        <v>1693.8333326487382</v>
      </c>
      <c r="AS18" s="32">
        <f>AS15+AS13</f>
        <v>1715.5115626646016</v>
      </c>
      <c r="AT18" s="32">
        <f>AT15+AT13</f>
        <v>1737.1897926804618</v>
      </c>
      <c r="AU18" s="32">
        <f>AU15+AU13</f>
        <v>1739.3839699629061</v>
      </c>
      <c r="AV18" s="32">
        <f>AV15+AV13</f>
        <v>1752.1691313320457</v>
      </c>
      <c r="AW18" s="32">
        <f>AW15+AW13</f>
        <v>1773.846949151805</v>
      </c>
      <c r="AX18" s="32">
        <f>AX15+AX13</f>
        <v>1795.5247669715664</v>
      </c>
      <c r="AY18" s="32">
        <f>AY15+AY13</f>
        <v>1797.6680321189228</v>
      </c>
      <c r="AZ18" s="32">
        <f>AZ15+AZ13</f>
        <v>1810.453848838009</v>
      </c>
      <c r="BA18" s="32">
        <f>BA15+BA13</f>
        <v>1832.1313025454347</v>
      </c>
      <c r="BB18" s="32">
        <f>BB15+BB13</f>
        <v>1853.8087562528617</v>
      </c>
      <c r="BC18" s="32">
        <f>BC15+BC13</f>
        <v>1855.9007388917876</v>
      </c>
      <c r="BD18" s="32">
        <f>BD15+BD13</f>
        <v>1868.6871373853191</v>
      </c>
      <c r="BE18" s="32">
        <f>BE15+BE13</f>
        <v>1890.3642671164548</v>
      </c>
      <c r="BF18" s="32">
        <f>BF15+BF13</f>
        <v>1912.04139684759</v>
      </c>
      <c r="BG18" s="32">
        <f>BG15+BG13</f>
        <v>1914.0817262859632</v>
      </c>
      <c r="BH18" s="32">
        <f>BH15+BH13</f>
        <v>1926.8686447312384</v>
      </c>
      <c r="BI18" s="32">
        <f>BI15+BI13</f>
        <v>1948.545484334522</v>
      </c>
      <c r="BJ18" s="32">
        <f>BJ15+BJ13</f>
        <v>1970.2223239378045</v>
      </c>
      <c r="BK18" s="32">
        <f>BK15+BK13</f>
        <v>1972.2106286915518</v>
      </c>
      <c r="BL18" s="32">
        <f>BL15+BL13</f>
        <v>1984.998014640763</v>
      </c>
      <c r="BM18" s="32">
        <f>BM15+BM13</f>
        <v>2006.6745929251983</v>
      </c>
      <c r="BN18" s="32">
        <f>BN15+BN13</f>
        <v>2028.351171209636</v>
      </c>
      <c r="BO18" s="32">
        <f>BO15+BO13</f>
        <v>2030.2870786425265</v>
      </c>
      <c r="BP18" s="32">
        <f>BP15+BP13</f>
        <v>2043.0748872176064</v>
      </c>
      <c r="BQ18" s="32">
        <f>BQ15+BQ13</f>
        <v>2064.751228905862</v>
      </c>
      <c r="BR18" s="32">
        <f>BR15+BR13</f>
        <v>2086.4275705941186</v>
      </c>
      <c r="BS18" s="32">
        <f>BS15+BS13</f>
        <v>2088.3107066384073</v>
      </c>
      <c r="BT18" s="32">
        <f>BT15+BT13</f>
        <v>2101.098899140625</v>
      </c>
      <c r="BU18" s="32">
        <f>BU15+BU13</f>
        <v>2122.7750256069685</v>
      </c>
      <c r="BV18" s="32">
        <f>BV15+BV13</f>
        <v>2144.4511520733113</v>
      </c>
      <c r="BW18" s="32">
        <f>BW15+BW13</f>
        <v>2146.281141009333</v>
      </c>
      <c r="BX18" s="32">
        <f>BX15+BX13</f>
        <v>2159.069683834224</v>
      </c>
      <c r="BY18" s="32">
        <f>BY15+BY13</f>
        <v>4150.5737386830915</v>
      </c>
      <c r="BZ18" s="32">
        <f>BZ15+BZ13</f>
        <v>4144.852031813209</v>
      </c>
      <c r="CA18" s="32">
        <f>CA15+CA13</f>
        <v>4119.230859373825</v>
      </c>
      <c r="CB18" s="32">
        <f>CB15+CB13</f>
        <v>4110.354576777292</v>
      </c>
      <c r="CC18" s="32">
        <f>CC15+CC13</f>
        <v>4110.354576777292</v>
      </c>
      <c r="CD18" s="32">
        <f>CD15+CD13</f>
        <v>4110.354576777292</v>
      </c>
      <c r="CE18" s="32">
        <f>CE15+CE13</f>
        <v>4090.401163565787</v>
      </c>
      <c r="CF18" s="32">
        <f>CF15+CF13</f>
        <v>4081.531510404308</v>
      </c>
      <c r="CG18" s="32">
        <f>CG15+CG13</f>
        <v>4081.531510404308</v>
      </c>
      <c r="CH18" s="32">
        <f>CH15+CH13</f>
        <v>4081.531510404308</v>
      </c>
      <c r="CI18" s="32">
        <f>CI15+CI13</f>
        <v>4061.523629006042</v>
      </c>
      <c r="CJ18" s="32">
        <f>CJ15+CJ13</f>
        <v>4193.819252680817</v>
      </c>
      <c r="CK18" s="32">
        <f>CK15+CK13</f>
        <v>4193.819252680817</v>
      </c>
      <c r="CL18" s="32">
        <f>CL15+CL13</f>
        <v>3800.288825180817</v>
      </c>
    </row>
    <row r="19" spans="2:90" x14ac:dyDescent="0.25">
      <c r="B19" s="34" t="s">
        <v>367</v>
      </c>
      <c r="C19" s="35" t="s">
        <v>228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0</v>
      </c>
      <c r="CJ19" s="32">
        <v>0</v>
      </c>
      <c r="CK19" s="32">
        <v>0</v>
      </c>
      <c r="CL19" s="32">
        <v>0</v>
      </c>
    </row>
    <row r="20" spans="2:90" x14ac:dyDescent="0.25">
      <c r="B20" s="34" t="s">
        <v>368</v>
      </c>
      <c r="C20" s="35" t="s">
        <v>228</v>
      </c>
      <c r="E20" s="32">
        <f>0</f>
        <v>0</v>
      </c>
      <c r="F20" s="32">
        <f>E21</f>
        <v>0</v>
      </c>
      <c r="G20" s="32">
        <f>F21</f>
        <v>0</v>
      </c>
      <c r="H20" s="32">
        <f>G21</f>
        <v>0</v>
      </c>
      <c r="I20" s="32">
        <f>H21</f>
        <v>0</v>
      </c>
      <c r="J20" s="32">
        <f>'입력값'!C23*100</f>
        <v>5000</v>
      </c>
      <c r="K20" s="32">
        <f>J21</f>
        <v>5000</v>
      </c>
      <c r="L20" s="32">
        <f>K21</f>
        <v>3506.8974999999996</v>
      </c>
      <c r="M20" s="32">
        <f>L21</f>
        <v>3506.8974999999996</v>
      </c>
      <c r="N20" s="32">
        <f>M21</f>
        <v>5476.725624999999</v>
      </c>
      <c r="O20" s="32">
        <f>N21</f>
        <v>7419.156113281249</v>
      </c>
      <c r="P20" s="32">
        <f>O21</f>
        <v>7364.36083984375</v>
      </c>
      <c r="Q20" s="32">
        <f>P21</f>
        <v>7309.565566406251</v>
      </c>
      <c r="R20" s="32">
        <f>Q21</f>
        <v>7254.770292968749</v>
      </c>
      <c r="S20" s="32">
        <f>R21</f>
        <v>7199.97501953125</v>
      </c>
      <c r="T20" s="32">
        <f>S21</f>
        <v>7145.1797460937505</v>
      </c>
      <c r="U20" s="32">
        <f>T21</f>
        <v>7090.384472656249</v>
      </c>
      <c r="V20" s="32">
        <f>U21</f>
        <v>7035.58919921875</v>
      </c>
      <c r="W20" s="32">
        <f>V21</f>
        <v>6980.79392578125</v>
      </c>
      <c r="X20" s="32">
        <f>W21</f>
        <v>6925.998652343749</v>
      </c>
      <c r="Y20" s="32">
        <f>X21</f>
        <v>6871.20337890625</v>
      </c>
      <c r="Z20" s="32">
        <f>Y21</f>
        <v>6816.40810546875</v>
      </c>
      <c r="AA20" s="32">
        <f>Z21</f>
        <v>6761.612832031249</v>
      </c>
      <c r="AB20" s="32">
        <f>AA21</f>
        <v>6706.81755859375</v>
      </c>
      <c r="AC20" s="32">
        <f>AB21</f>
        <v>6652.02228515625</v>
      </c>
      <c r="AD20" s="32">
        <f>AC21</f>
        <v>6597.227011718749</v>
      </c>
      <c r="AE20" s="32">
        <f>AD21</f>
        <v>6542.43173828125</v>
      </c>
      <c r="AF20" s="32">
        <f>AE21</f>
        <v>6487.63646484375</v>
      </c>
      <c r="AG20" s="32">
        <f>AF21</f>
        <v>6432.841191406249</v>
      </c>
      <c r="AH20" s="32">
        <f>AG21</f>
        <v>6378.04591796875</v>
      </c>
      <c r="AI20" s="32">
        <f>AH21</f>
        <v>6323.25064453125</v>
      </c>
      <c r="AJ20" s="32">
        <f>AI21</f>
        <v>6268.455371093749</v>
      </c>
      <c r="AK20" s="32">
        <f>AJ21</f>
        <v>6213.6600976562495</v>
      </c>
      <c r="AL20" s="32">
        <f>AK21</f>
        <v>6158.86482421875</v>
      </c>
      <c r="AM20" s="32">
        <f>AL21</f>
        <v>6104.069550781251</v>
      </c>
      <c r="AN20" s="32">
        <f>AM21</f>
        <v>6049.274277343749</v>
      </c>
      <c r="AO20" s="32">
        <f>AN21</f>
        <v>5994.47900390625</v>
      </c>
      <c r="AP20" s="32">
        <f>AO21</f>
        <v>5939.683730468751</v>
      </c>
      <c r="AQ20" s="32">
        <f>AP21</f>
        <v>5884.888457031249</v>
      </c>
      <c r="AR20" s="32">
        <f>AQ21</f>
        <v>5830.09318359375</v>
      </c>
      <c r="AS20" s="32">
        <f>AR21</f>
        <v>5775.2979101562505</v>
      </c>
      <c r="AT20" s="32">
        <f>AS21</f>
        <v>5720.502636718749</v>
      </c>
      <c r="AU20" s="32">
        <f>AT21</f>
        <v>5665.70736328125</v>
      </c>
      <c r="AV20" s="32">
        <f>AU21</f>
        <v>5610.91208984375</v>
      </c>
      <c r="AW20" s="32">
        <f>AV21</f>
        <v>5556.116816406249</v>
      </c>
      <c r="AX20" s="32">
        <f>AW21</f>
        <v>5501.32154296875</v>
      </c>
      <c r="AY20" s="32">
        <f>AX21</f>
        <v>5446.52626953125</v>
      </c>
      <c r="AZ20" s="32">
        <f>AY21</f>
        <v>5391.730996093749</v>
      </c>
      <c r="BA20" s="32">
        <f>AZ21</f>
        <v>5336.93572265625</v>
      </c>
      <c r="BB20" s="32">
        <f>BA21</f>
        <v>5282.14044921875</v>
      </c>
      <c r="BC20" s="32">
        <f>BB21</f>
        <v>5227.345175781249</v>
      </c>
      <c r="BD20" s="32">
        <f>BC21</f>
        <v>5172.54990234375</v>
      </c>
      <c r="BE20" s="32">
        <f>BD21</f>
        <v>5117.75462890625</v>
      </c>
      <c r="BF20" s="32">
        <f>BE21</f>
        <v>5062.95935546875</v>
      </c>
      <c r="BG20" s="32">
        <f>BF21</f>
        <v>5008.16408203125</v>
      </c>
      <c r="BH20" s="32">
        <f>BG21</f>
        <v>4953.36880859375</v>
      </c>
      <c r="BI20" s="32">
        <f>BH21</f>
        <v>4898.57353515625</v>
      </c>
      <c r="BJ20" s="32">
        <f>BI21</f>
        <v>4843.7782617187495</v>
      </c>
      <c r="BK20" s="32">
        <f>BJ21</f>
        <v>4788.98298828125</v>
      </c>
      <c r="BL20" s="32">
        <f>BK21</f>
        <v>4734.187714843751</v>
      </c>
      <c r="BM20" s="32">
        <f>BL21</f>
        <v>4679.392441406249</v>
      </c>
      <c r="BN20" s="32">
        <f>BM21</f>
        <v>4624.59716796875</v>
      </c>
      <c r="BO20" s="32">
        <f>BN21</f>
        <v>4569.801894531251</v>
      </c>
      <c r="BP20" s="32">
        <f>BO21</f>
        <v>4515.006621093749</v>
      </c>
      <c r="BQ20" s="32">
        <f>BP21</f>
        <v>4460.21134765625</v>
      </c>
      <c r="BR20" s="32">
        <f>BQ21</f>
        <v>4405.4160742187505</v>
      </c>
      <c r="BS20" s="32">
        <f>BR21</f>
        <v>4350.620800781249</v>
      </c>
      <c r="BT20" s="32">
        <f>BS21</f>
        <v>4295.82552734375</v>
      </c>
      <c r="BU20" s="32">
        <f>BT21</f>
        <v>4241.03025390625</v>
      </c>
      <c r="BV20" s="32">
        <f>BU21</f>
        <v>4186.23498046875</v>
      </c>
      <c r="BW20" s="32">
        <f>BV21</f>
        <v>4131.43970703125</v>
      </c>
      <c r="BX20" s="32">
        <f>BW21</f>
        <v>4076.6444335937504</v>
      </c>
      <c r="BY20" s="32">
        <f>BX21</f>
        <v>4021.84916015625</v>
      </c>
      <c r="BZ20" s="32">
        <f>BY21</f>
        <v>1997.22576171875</v>
      </c>
      <c r="CA20" s="32">
        <f>BZ21</f>
        <v>0</v>
      </c>
      <c r="CB20" s="32">
        <f>CA21</f>
        <v>0</v>
      </c>
      <c r="CC20" s="32">
        <f>CB21</f>
        <v>0</v>
      </c>
      <c r="CD20" s="32">
        <f>CC21</f>
        <v>0</v>
      </c>
      <c r="CE20" s="32">
        <f>CD21</f>
        <v>0</v>
      </c>
      <c r="CF20" s="32">
        <f>CE21</f>
        <v>0</v>
      </c>
      <c r="CG20" s="32">
        <f>CF21</f>
        <v>0</v>
      </c>
      <c r="CH20" s="32">
        <f>CG21</f>
        <v>0</v>
      </c>
      <c r="CI20" s="32">
        <f>CH21</f>
        <v>0</v>
      </c>
      <c r="CJ20" s="32">
        <f>CI21</f>
        <v>0</v>
      </c>
      <c r="CK20" s="32">
        <f>CJ21</f>
        <v>0</v>
      </c>
      <c r="CL20" s="32">
        <f>CK21</f>
        <v>0</v>
      </c>
    </row>
    <row r="21" spans="2:90" x14ac:dyDescent="0.25">
      <c r="B21" s="34" t="s">
        <v>369</v>
      </c>
      <c r="C21" s="35" t="s">
        <v>228</v>
      </c>
      <c r="E21" s="32">
        <f>E20</f>
        <v>0</v>
      </c>
      <c r="F21" s="32">
        <f>F20</f>
        <v>0</v>
      </c>
      <c r="G21" s="32">
        <f>G20</f>
        <v>0</v>
      </c>
      <c r="H21" s="32">
        <f>H20</f>
        <v>0</v>
      </c>
      <c r="I21" s="32">
        <f>I20</f>
        <v>0</v>
      </c>
      <c r="J21" s="32">
        <f>J20</f>
        <v>5000</v>
      </c>
      <c r="K21" s="32">
        <f>L10+M10</f>
        <v>3506.8974999999996</v>
      </c>
      <c r="L21" s="32">
        <f>M10+N10</f>
        <v>3506.8974999999996</v>
      </c>
      <c r="M21" s="32">
        <f>N10+O10</f>
        <v>5476.725624999999</v>
      </c>
      <c r="N21" s="32">
        <f>O10+P10</f>
        <v>7419.156113281249</v>
      </c>
      <c r="O21" s="32">
        <f>P10+Q10</f>
        <v>7364.36083984375</v>
      </c>
      <c r="P21" s="32">
        <f>Q10+R10</f>
        <v>7309.565566406251</v>
      </c>
      <c r="Q21" s="32">
        <f>R10+S10</f>
        <v>7254.770292968749</v>
      </c>
      <c r="R21" s="32">
        <f>S10+T10</f>
        <v>7199.97501953125</v>
      </c>
      <c r="S21" s="32">
        <f>T10+U10</f>
        <v>7145.1797460937505</v>
      </c>
      <c r="T21" s="32">
        <f>U10+V10</f>
        <v>7090.384472656249</v>
      </c>
      <c r="U21" s="32">
        <f>V10+W10</f>
        <v>7035.58919921875</v>
      </c>
      <c r="V21" s="32">
        <f>W10+X10</f>
        <v>6980.79392578125</v>
      </c>
      <c r="W21" s="32">
        <f>X10+Y10</f>
        <v>6925.998652343749</v>
      </c>
      <c r="X21" s="32">
        <f>Y10+Z10</f>
        <v>6871.20337890625</v>
      </c>
      <c r="Y21" s="32">
        <f>Z10+AA10</f>
        <v>6816.40810546875</v>
      </c>
      <c r="Z21" s="32">
        <f>AA10+AB10</f>
        <v>6761.612832031249</v>
      </c>
      <c r="AA21" s="32">
        <f>AB10+AC10</f>
        <v>6706.81755859375</v>
      </c>
      <c r="AB21" s="32">
        <f>AC10+AD10</f>
        <v>6652.02228515625</v>
      </c>
      <c r="AC21" s="32">
        <f>AD10+AE10</f>
        <v>6597.227011718749</v>
      </c>
      <c r="AD21" s="32">
        <f>AE10+AF10</f>
        <v>6542.43173828125</v>
      </c>
      <c r="AE21" s="32">
        <f>AF10+AG10</f>
        <v>6487.63646484375</v>
      </c>
      <c r="AF21" s="32">
        <f>AG10+AH10</f>
        <v>6432.841191406249</v>
      </c>
      <c r="AG21" s="32">
        <f>AH10+AI10</f>
        <v>6378.04591796875</v>
      </c>
      <c r="AH21" s="32">
        <f>AI10+AJ10</f>
        <v>6323.25064453125</v>
      </c>
      <c r="AI21" s="32">
        <f>AJ10+AK10</f>
        <v>6268.455371093749</v>
      </c>
      <c r="AJ21" s="32">
        <f>AK10+AL10</f>
        <v>6213.6600976562495</v>
      </c>
      <c r="AK21" s="32">
        <f>AL10+AM10</f>
        <v>6158.86482421875</v>
      </c>
      <c r="AL21" s="32">
        <f>AM10+AN10</f>
        <v>6104.069550781251</v>
      </c>
      <c r="AM21" s="32">
        <f>AN10+AO10</f>
        <v>6049.274277343749</v>
      </c>
      <c r="AN21" s="32">
        <f>AO10+AP10</f>
        <v>5994.47900390625</v>
      </c>
      <c r="AO21" s="32">
        <f>AP10+AQ10</f>
        <v>5939.683730468751</v>
      </c>
      <c r="AP21" s="32">
        <f>AQ10+AR10</f>
        <v>5884.888457031249</v>
      </c>
      <c r="AQ21" s="32">
        <f>AR10+AS10</f>
        <v>5830.09318359375</v>
      </c>
      <c r="AR21" s="32">
        <f>AS10+AT10</f>
        <v>5775.2979101562505</v>
      </c>
      <c r="AS21" s="32">
        <f>AT10+AU10</f>
        <v>5720.502636718749</v>
      </c>
      <c r="AT21" s="32">
        <f>AU10+AV10</f>
        <v>5665.70736328125</v>
      </c>
      <c r="AU21" s="32">
        <f>AV10+AW10</f>
        <v>5610.91208984375</v>
      </c>
      <c r="AV21" s="32">
        <f>AW10+AX10</f>
        <v>5556.116816406249</v>
      </c>
      <c r="AW21" s="32">
        <f>AX10+AY10</f>
        <v>5501.32154296875</v>
      </c>
      <c r="AX21" s="32">
        <f>AY10+AZ10</f>
        <v>5446.52626953125</v>
      </c>
      <c r="AY21" s="32">
        <f>AZ10+BA10</f>
        <v>5391.730996093749</v>
      </c>
      <c r="AZ21" s="32">
        <f>BA10+BB10</f>
        <v>5336.93572265625</v>
      </c>
      <c r="BA21" s="32">
        <f>BB10+BC10</f>
        <v>5282.14044921875</v>
      </c>
      <c r="BB21" s="32">
        <f>BC10+BD10</f>
        <v>5227.345175781249</v>
      </c>
      <c r="BC21" s="32">
        <f>BD10+BE10</f>
        <v>5172.54990234375</v>
      </c>
      <c r="BD21" s="32">
        <f>BE10+BF10</f>
        <v>5117.75462890625</v>
      </c>
      <c r="BE21" s="32">
        <f>BF10+BG10</f>
        <v>5062.95935546875</v>
      </c>
      <c r="BF21" s="32">
        <f>BG10+BH10</f>
        <v>5008.16408203125</v>
      </c>
      <c r="BG21" s="32">
        <f>BH10+BI10</f>
        <v>4953.36880859375</v>
      </c>
      <c r="BH21" s="32">
        <f>BI10+BJ10</f>
        <v>4898.57353515625</v>
      </c>
      <c r="BI21" s="32">
        <f>BJ10+BK10</f>
        <v>4843.7782617187495</v>
      </c>
      <c r="BJ21" s="32">
        <f>BK10+BL10</f>
        <v>4788.98298828125</v>
      </c>
      <c r="BK21" s="32">
        <f>BL10+BM10</f>
        <v>4734.187714843751</v>
      </c>
      <c r="BL21" s="32">
        <f>BM10+BN10</f>
        <v>4679.392441406249</v>
      </c>
      <c r="BM21" s="32">
        <f>BN10+BO10</f>
        <v>4624.59716796875</v>
      </c>
      <c r="BN21" s="32">
        <f>BO10+BP10</f>
        <v>4569.801894531251</v>
      </c>
      <c r="BO21" s="32">
        <f>BP10+BQ10</f>
        <v>4515.006621093749</v>
      </c>
      <c r="BP21" s="32">
        <f>BQ10+BR10</f>
        <v>4460.21134765625</v>
      </c>
      <c r="BQ21" s="32">
        <f>BR10+BS10</f>
        <v>4405.4160742187505</v>
      </c>
      <c r="BR21" s="32">
        <f>BS10+BT10</f>
        <v>4350.620800781249</v>
      </c>
      <c r="BS21" s="32">
        <f>BT10+BU10</f>
        <v>4295.82552734375</v>
      </c>
      <c r="BT21" s="32">
        <f>BU10+BV10</f>
        <v>4241.03025390625</v>
      </c>
      <c r="BU21" s="32">
        <f>BV10+BW10</f>
        <v>4186.23498046875</v>
      </c>
      <c r="BV21" s="32">
        <f>BW10+BX10</f>
        <v>4131.43970703125</v>
      </c>
      <c r="BW21" s="32">
        <f>BX10+BY10</f>
        <v>4076.6444335937504</v>
      </c>
      <c r="BX21" s="32">
        <f>BY10+BZ10</f>
        <v>4021.84916015625</v>
      </c>
      <c r="BY21" s="32">
        <f>BZ10+CA10</f>
        <v>1997.22576171875</v>
      </c>
      <c r="BZ21" s="32">
        <f>CA10+CB10</f>
        <v>0</v>
      </c>
      <c r="CA21" s="32">
        <f>CB10+CC10</f>
        <v>0</v>
      </c>
      <c r="CB21" s="32">
        <f>CC10+CD10</f>
        <v>0</v>
      </c>
      <c r="CC21" s="32">
        <f>CD10+CE10</f>
        <v>0</v>
      </c>
      <c r="CD21" s="32">
        <f>CE10+CF10</f>
        <v>0</v>
      </c>
      <c r="CE21" s="32">
        <f>CF10+CG10</f>
        <v>0</v>
      </c>
      <c r="CF21" s="32">
        <f>CG10+CH10</f>
        <v>0</v>
      </c>
      <c r="CG21" s="32">
        <f>CH10+CI10</f>
        <v>0</v>
      </c>
      <c r="CH21" s="32">
        <f>CI10+CJ10</f>
        <v>0</v>
      </c>
      <c r="CI21" s="32">
        <f>CJ10+CK10</f>
        <v>0</v>
      </c>
      <c r="CJ21" s="32">
        <f>CK10+CL10</f>
        <v>0</v>
      </c>
      <c r="CK21" s="32">
        <f>CL10</f>
        <v>0</v>
      </c>
      <c r="CL21" s="32">
        <f>0</f>
        <v>0</v>
      </c>
    </row>
    <row r="22" spans="2:90" x14ac:dyDescent="0.25">
      <c r="B22" s="34" t="s">
        <v>370</v>
      </c>
      <c r="C22" s="35" t="s">
        <v>228</v>
      </c>
      <c r="E22" s="32">
        <f>0</f>
        <v>0</v>
      </c>
      <c r="F22" s="32">
        <f>E22</f>
        <v>0</v>
      </c>
      <c r="G22" s="32">
        <f>F22</f>
        <v>0</v>
      </c>
      <c r="H22" s="32">
        <f>G22</f>
        <v>0</v>
      </c>
      <c r="I22" s="32">
        <f>H22</f>
        <v>0</v>
      </c>
      <c r="J22" s="32">
        <f>I22</f>
        <v>0</v>
      </c>
      <c r="K22" s="32">
        <f>J22+'IS(Q)'!K29</f>
        <v>477.47927286987556</v>
      </c>
      <c r="L22" s="32">
        <f>K22+'IS(Q)'!L29</f>
        <v>938.4627816953471</v>
      </c>
      <c r="M22" s="32">
        <f>L22+'IS(Q)'!M29</f>
        <v>1399.4462905208186</v>
      </c>
      <c r="N22" s="32">
        <f>M22+'IS(Q)'!N29</f>
        <v>1860.42979934629</v>
      </c>
      <c r="O22" s="32">
        <f>N22+'IS(Q)'!O29</f>
        <v>2293.4411844568776</v>
      </c>
      <c r="P22" s="32">
        <f>O22+'IS(Q)'!P29</f>
        <v>2748.1221927948864</v>
      </c>
      <c r="Q22" s="32">
        <f>P22+'IS(Q)'!Q29</f>
        <v>3224.4871496455007</v>
      </c>
      <c r="R22" s="32">
        <f>Q22+'IS(Q)'!R29</f>
        <v>3722.5360550087207</v>
      </c>
      <c r="S22" s="32">
        <f>R22+'IS(Q)'!S29</f>
        <v>4214.249427964193</v>
      </c>
      <c r="T22" s="32">
        <f>S22+'IS(Q)'!T29</f>
        <v>4727.614722308315</v>
      </c>
      <c r="U22" s="32">
        <f>T22+'IS(Q)'!U29</f>
        <v>5262.662612461245</v>
      </c>
      <c r="V22" s="32">
        <f>U22+'IS(Q)'!V29</f>
        <v>5819.393098422982</v>
      </c>
      <c r="W22" s="32">
        <f>V22+'IS(Q)'!W29</f>
        <v>6369.739829654325</v>
      </c>
      <c r="X22" s="32">
        <f>W22+'IS(Q)'!X29</f>
        <v>6941.740502345762</v>
      </c>
      <c r="Y22" s="32">
        <f>X22+'IS(Q)'!Y29</f>
        <v>7535.422684711726</v>
      </c>
      <c r="Z22" s="32">
        <f>Y22+'IS(Q)'!Z29</f>
        <v>8150.786376752217</v>
      </c>
      <c r="AA22" s="32">
        <f>Z22+'IS(Q)'!AA29</f>
        <v>8759.717678419354</v>
      </c>
      <c r="AB22" s="32">
        <f>AA22+'IS(Q)'!AB29</f>
        <v>9390.30456638327</v>
      </c>
      <c r="AC22" s="32">
        <f>AB22+'IS(Q)'!AC29</f>
        <v>10042.572072733185</v>
      </c>
      <c r="AD22" s="32">
        <f>AC22+'IS(Q)'!AD29</f>
        <v>10716.520197469095</v>
      </c>
      <c r="AE22" s="32">
        <f>AD22+'IS(Q)'!AE29</f>
        <v>11383.986900173606</v>
      </c>
      <c r="AF22" s="32">
        <f>AE22+'IS(Q)'!AF29</f>
        <v>12073.11055464199</v>
      </c>
      <c r="AG22" s="32">
        <f>AF22+'IS(Q)'!AG29</f>
        <v>12783.91408294294</v>
      </c>
      <c r="AH22" s="32">
        <f>AG22+'IS(Q)'!AH29</f>
        <v>13516.397485076455</v>
      </c>
      <c r="AI22" s="32">
        <f>AH22+'IS(Q)'!AI29</f>
        <v>14242.35004831281</v>
      </c>
      <c r="AJ22" s="32">
        <f>AI22+'IS(Q)'!AJ29</f>
        <v>14989.960715137688</v>
      </c>
      <c r="AK22" s="32">
        <f>AJ22+'IS(Q)'!AK29</f>
        <v>15759.250624500766</v>
      </c>
      <c r="AL22" s="32">
        <f>AK22+'IS(Q)'!AL29</f>
        <v>16550.219776402046</v>
      </c>
      <c r="AM22" s="32">
        <f>AL22+'IS(Q)'!AM29</f>
        <v>17334.608294106463</v>
      </c>
      <c r="AN22" s="32">
        <f>AM22+'IS(Q)'!AN29</f>
        <v>18140.65590016562</v>
      </c>
      <c r="AO22" s="32">
        <f>AN22+'IS(Q)'!AO29</f>
        <v>18968.382206714963</v>
      </c>
      <c r="AP22" s="32">
        <f>AO22+'IS(Q)'!AP29</f>
        <v>19817.78721375449</v>
      </c>
      <c r="AQ22" s="32">
        <f>AP22+'IS(Q)'!AQ29</f>
        <v>20660.561417022946</v>
      </c>
      <c r="AR22" s="32">
        <f>AQ22+'IS(Q)'!AR29</f>
        <v>21524.995560298503</v>
      </c>
      <c r="AS22" s="32">
        <f>AR22+'IS(Q)'!AS29</f>
        <v>22411.10793358992</v>
      </c>
      <c r="AT22" s="32">
        <f>AS22+'IS(Q)'!AT29</f>
        <v>23318.8985368972</v>
      </c>
      <c r="AU22" s="32">
        <f>AT22+'IS(Q)'!AU29</f>
        <v>24220.007794986923</v>
      </c>
      <c r="AV22" s="32">
        <f>AU22+'IS(Q)'!AV29</f>
        <v>25142.777736945784</v>
      </c>
      <c r="AW22" s="32">
        <f>AV22+'IS(Q)'!AW29</f>
        <v>26087.225496724408</v>
      </c>
      <c r="AX22" s="32">
        <f>AW22+'IS(Q)'!AX29</f>
        <v>27053.351074322793</v>
      </c>
      <c r="AY22" s="32">
        <f>AX22+'IS(Q)'!AY29</f>
        <v>28012.744394568534</v>
      </c>
      <c r="AZ22" s="32">
        <f>AY22+'IS(Q)'!AZ29</f>
        <v>28993.79905403336</v>
      </c>
      <c r="BA22" s="32">
        <f>AZ22+'IS(Q)'!BA29</f>
        <v>29996.531167205612</v>
      </c>
      <c r="BB22" s="32">
        <f>BA22+'IS(Q)'!BB29</f>
        <v>31020.940734085292</v>
      </c>
      <c r="BC22" s="32">
        <f>BB22+'IS(Q)'!BC29</f>
        <v>32038.5667611039</v>
      </c>
      <c r="BD22" s="32">
        <f>BC22+'IS(Q)'!BD29</f>
        <v>33077.854709116036</v>
      </c>
      <c r="BE22" s="32">
        <f>BD22+'IS(Q)'!BE29</f>
        <v>34138.819786859305</v>
      </c>
      <c r="BF22" s="32">
        <f>BE22+'IS(Q)'!BF29</f>
        <v>35221.46199433371</v>
      </c>
      <c r="BG22" s="32">
        <f>BF22+'IS(Q)'!BG29</f>
        <v>36297.26900874649</v>
      </c>
      <c r="BH22" s="32">
        <f>BG22+'IS(Q)'!BH29</f>
        <v>37394.73846410454</v>
      </c>
      <c r="BI22" s="32">
        <f>BH22+'IS(Q)'!BI29</f>
        <v>38513.884759065884</v>
      </c>
      <c r="BJ22" s="32">
        <f>BI22+'IS(Q)'!BJ29</f>
        <v>39654.707893630504</v>
      </c>
      <c r="BK22" s="32">
        <f>BJ22+'IS(Q)'!BK29</f>
        <v>40788.64381044888</v>
      </c>
      <c r="BL22" s="32">
        <f>BK22+'IS(Q)'!BL29</f>
        <v>41944.24263571646</v>
      </c>
      <c r="BM22" s="32">
        <f>BL22+'IS(Q)'!BM29</f>
        <v>43121.51803926848</v>
      </c>
      <c r="BN22" s="32">
        <f>BM22+'IS(Q)'!BN29</f>
        <v>44320.470021104935</v>
      </c>
      <c r="BO22" s="32">
        <f>BN22+'IS(Q)'!BO29</f>
        <v>45512.482387874275</v>
      </c>
      <c r="BP22" s="32">
        <f>BO22+'IS(Q)'!BP29</f>
        <v>46726.1580857187</v>
      </c>
      <c r="BQ22" s="32">
        <f>BP22+'IS(Q)'!BQ29</f>
        <v>47961.51012525138</v>
      </c>
      <c r="BR22" s="32">
        <f>BQ22+'IS(Q)'!BR29</f>
        <v>49218.538506472316</v>
      </c>
      <c r="BS22" s="32">
        <f>BR22+'IS(Q)'!BS29</f>
        <v>50468.57450123754</v>
      </c>
      <c r="BT22" s="32">
        <f>BS22+'IS(Q)'!BT29</f>
        <v>51740.27421100498</v>
      </c>
      <c r="BU22" s="32">
        <f>BT22+'IS(Q)'!BU29</f>
        <v>53033.65004723876</v>
      </c>
      <c r="BV22" s="32">
        <f>BU22+'IS(Q)'!BV29</f>
        <v>54348.70200993889</v>
      </c>
      <c r="BW22" s="32">
        <f>BV22+'IS(Q)'!BW29</f>
        <v>55656.70843907504</v>
      </c>
      <c r="BX22" s="32">
        <f>BW22+'IS(Q)'!BX29</f>
        <v>56986.37893353608</v>
      </c>
      <c r="BY22" s="32">
        <f>BX22+'IS(Q)'!BY29</f>
        <v>58337.725357845986</v>
      </c>
      <c r="BZ22" s="32">
        <f>BY22+'IS(Q)'!BZ29</f>
        <v>59710.74771200476</v>
      </c>
      <c r="CA22" s="32">
        <f>BZ22+'IS(Q)'!CA29</f>
        <v>61076.6710079429</v>
      </c>
      <c r="CB22" s="32">
        <f>CA22+'IS(Q)'!CB29</f>
        <v>62442.59354378451</v>
      </c>
      <c r="CC22" s="32">
        <f>CB22+'IS(Q)'!CC29</f>
        <v>63808.51607962612</v>
      </c>
      <c r="CD22" s="32">
        <f>CC22+'IS(Q)'!CD29</f>
        <v>65174.43861546773</v>
      </c>
      <c r="CE22" s="32">
        <f>CD22+'IS(Q)'!CE29</f>
        <v>66511.53221559784</v>
      </c>
      <c r="CF22" s="32">
        <f>CE22+'IS(Q)'!CF29</f>
        <v>67848.63168506646</v>
      </c>
      <c r="CG22" s="32">
        <f>CF22+'IS(Q)'!CG29</f>
        <v>69185.73115453508</v>
      </c>
      <c r="CH22" s="32">
        <f>CG22+'IS(Q)'!CH29</f>
        <v>70522.8306240037</v>
      </c>
      <c r="CI22" s="32">
        <f>CH22+'IS(Q)'!CI29</f>
        <v>71831.04668957407</v>
      </c>
      <c r="CJ22" s="32">
        <f>CI22+'IS(Q)'!CJ29</f>
        <v>73280.43390131921</v>
      </c>
      <c r="CK22" s="32">
        <f>CJ22+'IS(Q)'!CK29</f>
        <v>74729.82111306435</v>
      </c>
      <c r="CL22" s="32">
        <f>CK22+'IS(Q)'!CL29</f>
        <v>76179.20832480949</v>
      </c>
    </row>
    <row r="23" spans="2:90" x14ac:dyDescent="0.25">
      <c r="B23" s="34" t="s">
        <v>371</v>
      </c>
      <c r="C23" s="35" t="s">
        <v>228</v>
      </c>
      <c r="E23" s="32">
        <f>0</f>
        <v>0</v>
      </c>
      <c r="F23" s="32">
        <f>E23</f>
        <v>0</v>
      </c>
      <c r="G23" s="32">
        <f>F23</f>
        <v>0</v>
      </c>
      <c r="H23" s="32">
        <f>G23</f>
        <v>0</v>
      </c>
      <c r="I23" s="32">
        <f>H23</f>
        <v>0</v>
      </c>
      <c r="J23" s="32">
        <f>I23</f>
        <v>0</v>
      </c>
      <c r="K23" s="32">
        <f>J23</f>
        <v>0</v>
      </c>
      <c r="L23" s="32">
        <f>K23</f>
        <v>0</v>
      </c>
      <c r="M23" s="32">
        <f>L23</f>
        <v>0</v>
      </c>
      <c r="N23" s="32">
        <f>M23</f>
        <v>0</v>
      </c>
      <c r="O23" s="32">
        <f>N23</f>
        <v>0</v>
      </c>
      <c r="P23" s="32">
        <f>O23</f>
        <v>0</v>
      </c>
      <c r="Q23" s="32">
        <f>P23</f>
        <v>0</v>
      </c>
      <c r="R23" s="32">
        <f>Q23</f>
        <v>0</v>
      </c>
      <c r="S23" s="32">
        <f>R23</f>
        <v>0</v>
      </c>
      <c r="T23" s="32">
        <f>S23</f>
        <v>0</v>
      </c>
      <c r="U23" s="32">
        <f>T23</f>
        <v>0</v>
      </c>
      <c r="V23" s="32">
        <f>U23</f>
        <v>0</v>
      </c>
      <c r="W23" s="32">
        <f>V23</f>
        <v>0</v>
      </c>
      <c r="X23" s="32">
        <f>W23</f>
        <v>0</v>
      </c>
      <c r="Y23" s="32">
        <f>X23</f>
        <v>0</v>
      </c>
      <c r="Z23" s="32">
        <f>Y23</f>
        <v>0</v>
      </c>
      <c r="AA23" s="32">
        <f>Z23</f>
        <v>0</v>
      </c>
      <c r="AB23" s="32">
        <f>AA23</f>
        <v>0</v>
      </c>
      <c r="AC23" s="32">
        <f>AB23</f>
        <v>0</v>
      </c>
      <c r="AD23" s="32">
        <f>AC23</f>
        <v>0</v>
      </c>
      <c r="AE23" s="32">
        <f>AD23</f>
        <v>0</v>
      </c>
      <c r="AF23" s="32">
        <f>AE23</f>
        <v>0</v>
      </c>
      <c r="AG23" s="32">
        <f>AF23</f>
        <v>0</v>
      </c>
      <c r="AH23" s="32">
        <f>AG23</f>
        <v>0</v>
      </c>
      <c r="AI23" s="32">
        <f>AH23</f>
        <v>0</v>
      </c>
      <c r="AJ23" s="32">
        <f>AI23</f>
        <v>0</v>
      </c>
      <c r="AK23" s="32">
        <f>AJ23</f>
        <v>0</v>
      </c>
      <c r="AL23" s="32">
        <f>AK23</f>
        <v>0</v>
      </c>
      <c r="AM23" s="32">
        <f>AL23</f>
        <v>0</v>
      </c>
      <c r="AN23" s="32">
        <f>AM23</f>
        <v>0</v>
      </c>
      <c r="AO23" s="32">
        <f>AN23</f>
        <v>0</v>
      </c>
      <c r="AP23" s="32">
        <f>AO23</f>
        <v>0</v>
      </c>
      <c r="AQ23" s="32">
        <f>AP23</f>
        <v>0</v>
      </c>
      <c r="AR23" s="32">
        <f>AQ23</f>
        <v>0</v>
      </c>
      <c r="AS23" s="32">
        <f>AR23</f>
        <v>0</v>
      </c>
      <c r="AT23" s="32">
        <f>AS23</f>
        <v>0</v>
      </c>
      <c r="AU23" s="32">
        <f>AT23</f>
        <v>0</v>
      </c>
      <c r="AV23" s="32">
        <f>AU23</f>
        <v>0</v>
      </c>
      <c r="AW23" s="32">
        <f>AV23</f>
        <v>0</v>
      </c>
      <c r="AX23" s="32">
        <f>AW23</f>
        <v>0</v>
      </c>
      <c r="AY23" s="32">
        <f>AX23</f>
        <v>0</v>
      </c>
      <c r="AZ23" s="32">
        <f>AY23</f>
        <v>0</v>
      </c>
      <c r="BA23" s="32">
        <f>AZ23</f>
        <v>0</v>
      </c>
      <c r="BB23" s="32">
        <f>BA23</f>
        <v>0</v>
      </c>
      <c r="BC23" s="32">
        <f>BB23</f>
        <v>0</v>
      </c>
      <c r="BD23" s="32">
        <f>BC23</f>
        <v>0</v>
      </c>
      <c r="BE23" s="32">
        <f>BD23</f>
        <v>0</v>
      </c>
      <c r="BF23" s="32">
        <f>BE23</f>
        <v>0</v>
      </c>
      <c r="BG23" s="32">
        <f>BF23</f>
        <v>0</v>
      </c>
      <c r="BH23" s="32">
        <f>BG23</f>
        <v>0</v>
      </c>
      <c r="BI23" s="32">
        <f>BH23</f>
        <v>0</v>
      </c>
      <c r="BJ23" s="32">
        <f>BI23</f>
        <v>0</v>
      </c>
      <c r="BK23" s="32">
        <f>BJ23</f>
        <v>0</v>
      </c>
      <c r="BL23" s="32">
        <f>BK23</f>
        <v>0</v>
      </c>
      <c r="BM23" s="32">
        <f>BL23</f>
        <v>0</v>
      </c>
      <c r="BN23" s="32">
        <f>BM23</f>
        <v>0</v>
      </c>
      <c r="BO23" s="32">
        <f>BN23</f>
        <v>0</v>
      </c>
      <c r="BP23" s="32">
        <f>BO23</f>
        <v>0</v>
      </c>
      <c r="BQ23" s="32">
        <f>BP23</f>
        <v>0</v>
      </c>
      <c r="BR23" s="32">
        <f>BQ23</f>
        <v>0</v>
      </c>
      <c r="BS23" s="32">
        <f>BR23</f>
        <v>0</v>
      </c>
      <c r="BT23" s="32">
        <f>BS23</f>
        <v>0</v>
      </c>
      <c r="BU23" s="32">
        <f>BT23</f>
        <v>0</v>
      </c>
      <c r="BV23" s="32">
        <f>BU23</f>
        <v>0</v>
      </c>
      <c r="BW23" s="32">
        <f>BV23</f>
        <v>0</v>
      </c>
      <c r="BX23" s="32">
        <f>BW23</f>
        <v>0</v>
      </c>
      <c r="BY23" s="32">
        <f>BX23</f>
        <v>0</v>
      </c>
      <c r="BZ23" s="32">
        <f>BY23</f>
        <v>0</v>
      </c>
      <c r="CA23" s="32">
        <f>BZ23</f>
        <v>0</v>
      </c>
      <c r="CB23" s="32">
        <f>CA23</f>
        <v>0</v>
      </c>
      <c r="CC23" s="32">
        <f>CB23</f>
        <v>0</v>
      </c>
      <c r="CD23" s="32">
        <f>CC23</f>
        <v>0</v>
      </c>
      <c r="CE23" s="32">
        <f>CD23</f>
        <v>0</v>
      </c>
      <c r="CF23" s="32">
        <f>CE23</f>
        <v>0</v>
      </c>
      <c r="CG23" s="32">
        <f>CF23</f>
        <v>0</v>
      </c>
      <c r="CH23" s="32">
        <f>CG23</f>
        <v>0</v>
      </c>
      <c r="CI23" s="32">
        <f>CH23</f>
        <v>0</v>
      </c>
      <c r="CJ23" s="32">
        <f>CI23</f>
        <v>0</v>
      </c>
      <c r="CK23" s="32">
        <f>CJ23</f>
        <v>0</v>
      </c>
      <c r="CL23" s="32">
        <f>CK23</f>
        <v>0</v>
      </c>
    </row>
    <row r="24" spans="2:91" x14ac:dyDescent="0.25">
      <c r="B24" s="9" t="s">
        <v>372</v>
      </c>
      <c r="C24" s="63" t="s">
        <v>228</v>
      </c>
      <c r="D24" s="10"/>
      <c r="E24" s="64">
        <f>0</f>
        <v>0</v>
      </c>
      <c r="F24" s="64">
        <f>E24</f>
        <v>0</v>
      </c>
      <c r="G24" s="64">
        <f>F24</f>
        <v>0</v>
      </c>
      <c r="H24" s="64">
        <f>G24</f>
        <v>0</v>
      </c>
      <c r="I24" s="64">
        <f>H24</f>
        <v>0</v>
      </c>
      <c r="J24" s="64">
        <f>I24</f>
        <v>0</v>
      </c>
      <c r="K24" s="64">
        <f>J24</f>
        <v>0</v>
      </c>
      <c r="L24" s="64">
        <f>K24</f>
        <v>0</v>
      </c>
      <c r="M24" s="64">
        <f>L24</f>
        <v>0</v>
      </c>
      <c r="N24" s="64">
        <f>M24</f>
        <v>0</v>
      </c>
      <c r="O24" s="64">
        <f>N24</f>
        <v>0</v>
      </c>
      <c r="P24" s="64">
        <f>O24</f>
        <v>0</v>
      </c>
      <c r="Q24" s="64">
        <f>P24</f>
        <v>0</v>
      </c>
      <c r="R24" s="64">
        <f>Q24</f>
        <v>0</v>
      </c>
      <c r="S24" s="64">
        <f>R24</f>
        <v>0</v>
      </c>
      <c r="T24" s="64">
        <f>S24</f>
        <v>0</v>
      </c>
      <c r="U24" s="64">
        <f>T24</f>
        <v>0</v>
      </c>
      <c r="V24" s="64">
        <f>U24</f>
        <v>0</v>
      </c>
      <c r="W24" s="64">
        <f>V24</f>
        <v>0</v>
      </c>
      <c r="X24" s="64">
        <f>W24</f>
        <v>0</v>
      </c>
      <c r="Y24" s="64">
        <f>X24</f>
        <v>0</v>
      </c>
      <c r="Z24" s="64">
        <f>Y24</f>
        <v>0</v>
      </c>
      <c r="AA24" s="64">
        <f>Z24</f>
        <v>0</v>
      </c>
      <c r="AB24" s="64">
        <f>AA24</f>
        <v>0</v>
      </c>
      <c r="AC24" s="64">
        <f>AB24</f>
        <v>0</v>
      </c>
      <c r="AD24" s="64">
        <f>AC24</f>
        <v>0</v>
      </c>
      <c r="AE24" s="64">
        <f>AD24</f>
        <v>0</v>
      </c>
      <c r="AF24" s="64">
        <f>AE24</f>
        <v>0</v>
      </c>
      <c r="AG24" s="64">
        <f>AF24</f>
        <v>0</v>
      </c>
      <c r="AH24" s="64">
        <f>AG24</f>
        <v>0</v>
      </c>
      <c r="AI24" s="64">
        <f>AH24</f>
        <v>0</v>
      </c>
      <c r="AJ24" s="64">
        <f>AI24</f>
        <v>0</v>
      </c>
      <c r="AK24" s="64">
        <f>AJ24</f>
        <v>0</v>
      </c>
      <c r="AL24" s="64">
        <f>AK24</f>
        <v>0</v>
      </c>
      <c r="AM24" s="64">
        <f>AL24</f>
        <v>0</v>
      </c>
      <c r="AN24" s="64">
        <f>AM24</f>
        <v>0</v>
      </c>
      <c r="AO24" s="64">
        <f>AN24</f>
        <v>0</v>
      </c>
      <c r="AP24" s="64">
        <f>AO24</f>
        <v>0</v>
      </c>
      <c r="AQ24" s="64">
        <f>AP24</f>
        <v>0</v>
      </c>
      <c r="AR24" s="64">
        <f>AQ24</f>
        <v>0</v>
      </c>
      <c r="AS24" s="64">
        <f>AR24</f>
        <v>0</v>
      </c>
      <c r="AT24" s="64">
        <f>AS24</f>
        <v>0</v>
      </c>
      <c r="AU24" s="64">
        <f>AT24</f>
        <v>0</v>
      </c>
      <c r="AV24" s="64">
        <f>AU24</f>
        <v>0</v>
      </c>
      <c r="AW24" s="64">
        <f>AV24</f>
        <v>0</v>
      </c>
      <c r="AX24" s="64">
        <f>AW24</f>
        <v>0</v>
      </c>
      <c r="AY24" s="64">
        <f>AX24</f>
        <v>0</v>
      </c>
      <c r="AZ24" s="64">
        <f>AY24</f>
        <v>0</v>
      </c>
      <c r="BA24" s="64">
        <f>AZ24</f>
        <v>0</v>
      </c>
      <c r="BB24" s="64">
        <f>BA24</f>
        <v>0</v>
      </c>
      <c r="BC24" s="64">
        <f>BB24</f>
        <v>0</v>
      </c>
      <c r="BD24" s="64">
        <f>BC24</f>
        <v>0</v>
      </c>
      <c r="BE24" s="64">
        <f>BD24</f>
        <v>0</v>
      </c>
      <c r="BF24" s="64">
        <f>BE24</f>
        <v>0</v>
      </c>
      <c r="BG24" s="64">
        <f>BF24</f>
        <v>0</v>
      </c>
      <c r="BH24" s="64">
        <f>BG24</f>
        <v>0</v>
      </c>
      <c r="BI24" s="64">
        <f>BH24</f>
        <v>0</v>
      </c>
      <c r="BJ24" s="64">
        <f>BI24</f>
        <v>0</v>
      </c>
      <c r="BK24" s="64">
        <f>BJ24</f>
        <v>0</v>
      </c>
      <c r="BL24" s="64">
        <f>BK24</f>
        <v>0</v>
      </c>
      <c r="BM24" s="64">
        <f>BL24</f>
        <v>0</v>
      </c>
      <c r="BN24" s="64">
        <f>BM24</f>
        <v>0</v>
      </c>
      <c r="BO24" s="64">
        <f>BN24</f>
        <v>0</v>
      </c>
      <c r="BP24" s="64">
        <f>BO24</f>
        <v>0</v>
      </c>
      <c r="BQ24" s="64">
        <f>BP24</f>
        <v>0</v>
      </c>
      <c r="BR24" s="64">
        <f>BQ24</f>
        <v>0</v>
      </c>
      <c r="BS24" s="64">
        <f>BR24</f>
        <v>0</v>
      </c>
      <c r="BT24" s="64">
        <f>BS24</f>
        <v>0</v>
      </c>
      <c r="BU24" s="64">
        <f>BT24</f>
        <v>0</v>
      </c>
      <c r="BV24" s="64">
        <f>BU24</f>
        <v>0</v>
      </c>
      <c r="BW24" s="64">
        <f>BV24</f>
        <v>0</v>
      </c>
      <c r="BX24" s="64">
        <f>BW24</f>
        <v>0</v>
      </c>
      <c r="BY24" s="64">
        <f>BX24</f>
        <v>0</v>
      </c>
      <c r="BZ24" s="64">
        <f>BY24</f>
        <v>0</v>
      </c>
      <c r="CA24" s="64">
        <f>BZ24</f>
        <v>0</v>
      </c>
      <c r="CB24" s="64">
        <f>CA24</f>
        <v>0</v>
      </c>
      <c r="CC24" s="64">
        <f>CB24</f>
        <v>0</v>
      </c>
      <c r="CD24" s="64">
        <f>CC24</f>
        <v>0</v>
      </c>
      <c r="CE24" s="64">
        <f>CD24</f>
        <v>0</v>
      </c>
      <c r="CF24" s="64">
        <f>CE24</f>
        <v>0</v>
      </c>
      <c r="CG24" s="64">
        <f>CF24</f>
        <v>0</v>
      </c>
      <c r="CH24" s="64">
        <f>CG24</f>
        <v>0</v>
      </c>
      <c r="CI24" s="64">
        <f>CH24</f>
        <v>0</v>
      </c>
      <c r="CJ24" s="64">
        <f>CI24</f>
        <v>0</v>
      </c>
      <c r="CK24" s="64">
        <f>CJ24</f>
        <v>0</v>
      </c>
      <c r="CL24" s="64">
        <f>CK24</f>
        <v>0</v>
      </c>
      <c r="CM24" s="10"/>
    </row>
    <row r="26" spans="2:22" x14ac:dyDescent="0.25">
      <c r="B26" s="34" t="s">
        <v>319</v>
      </c>
      <c r="E26" s="13">
        <v>2025</v>
      </c>
      <c r="F26" s="13">
        <v>2026</v>
      </c>
      <c r="G26" s="13">
        <v>2027</v>
      </c>
      <c r="H26" s="13">
        <v>2028</v>
      </c>
      <c r="I26" s="13">
        <v>2029</v>
      </c>
      <c r="J26" s="13">
        <v>2030</v>
      </c>
      <c r="K26" s="13">
        <v>2031</v>
      </c>
      <c r="L26" s="13">
        <v>2032</v>
      </c>
      <c r="M26" s="13">
        <v>2033</v>
      </c>
      <c r="N26" s="13">
        <v>2034</v>
      </c>
      <c r="O26" s="13">
        <v>2035</v>
      </c>
      <c r="P26" s="13">
        <v>2036</v>
      </c>
      <c r="Q26" s="13">
        <v>2037</v>
      </c>
      <c r="R26" s="13">
        <v>2038</v>
      </c>
      <c r="S26" s="13">
        <v>2039</v>
      </c>
      <c r="T26" s="13">
        <v>2040</v>
      </c>
      <c r="U26" s="13">
        <v>2041</v>
      </c>
      <c r="V26" s="13">
        <v>2042</v>
      </c>
    </row>
    <row r="27" spans="2:22" x14ac:dyDescent="0.25">
      <c r="B27" s="34" t="s">
        <v>373</v>
      </c>
      <c r="C27" s="35" t="s">
        <v>228</v>
      </c>
      <c r="E27" s="32">
        <f>K10</f>
        <v>1753.4487499999998</v>
      </c>
      <c r="F27" s="32">
        <f>L10+M10+N10+O10</f>
        <v>8983.623124999998</v>
      </c>
      <c r="G27" s="32">
        <f>P10+Q10+R10+S10</f>
        <v>14619.131132812501</v>
      </c>
      <c r="H27" s="32">
        <f>T10+U10+V10+W10</f>
        <v>14180.7689453125</v>
      </c>
      <c r="I27" s="32">
        <f>X10+Y10+Z10+AA10</f>
        <v>13742.4067578125</v>
      </c>
      <c r="J27" s="32">
        <f>AB10+AC10+AD10+AE10</f>
        <v>13304.0445703125</v>
      </c>
      <c r="K27" s="32">
        <f>AF10+AG10+AH10+AI10</f>
        <v>12865.6823828125</v>
      </c>
      <c r="L27" s="32">
        <f>AJ10+AK10+AL10+AM10</f>
        <v>12427.320195312499</v>
      </c>
      <c r="M27" s="32">
        <f>AN10+AO10+AP10+AQ10</f>
        <v>11988.9580078125</v>
      </c>
      <c r="N27" s="32">
        <f>AR10+AS10+AT10+AU10</f>
        <v>11550.5958203125</v>
      </c>
      <c r="O27" s="32">
        <f>AV10+AW10+AX10+AY10</f>
        <v>11112.233632812498</v>
      </c>
      <c r="P27" s="32">
        <f>AZ10+BA10+BB10+BC10</f>
        <v>10673.8714453125</v>
      </c>
      <c r="Q27" s="32">
        <f>BD10+BE10+BF10+BG10</f>
        <v>10235.509257812499</v>
      </c>
      <c r="R27" s="32">
        <f>BH10+BI10+BJ10+BK10</f>
        <v>9797.147070312501</v>
      </c>
      <c r="S27" s="32">
        <f>BL10+BM10+BN10+BO10</f>
        <v>9358.7848828125</v>
      </c>
      <c r="T27" s="32">
        <f>BP10+BQ10+BR10+BS10</f>
        <v>8920.4226953125</v>
      </c>
      <c r="U27" s="32">
        <f>BT10+BU10+BV10+BW10</f>
        <v>8482.0605078125</v>
      </c>
      <c r="V27" s="32">
        <f>BX10+BY10+BZ10</f>
        <v>6073.8701953125</v>
      </c>
    </row>
    <row r="28" spans="2:22" x14ac:dyDescent="0.25">
      <c r="B28" s="34" t="s">
        <v>374</v>
      </c>
      <c r="C28" s="35" t="s">
        <v>228</v>
      </c>
      <c r="E28" s="32">
        <f>K9</f>
        <v>2200.255563805558</v>
      </c>
      <c r="F28" s="32">
        <f>L9+M9+N9+O9</f>
        <v>15816.360597829731</v>
      </c>
      <c r="G28" s="32">
        <f>P9+Q9+R9+S9</f>
        <v>15647.230562562545</v>
      </c>
      <c r="H28" s="32">
        <f>T9+U9+V9+W9</f>
        <v>15443.550533245361</v>
      </c>
      <c r="I28" s="32">
        <f>X9+Y9+Z9+AA9</f>
        <v>15239.67579282026</v>
      </c>
      <c r="J28" s="32">
        <f>AB9+AC9+AD9+AE9</f>
        <v>15035.604978309482</v>
      </c>
      <c r="K28" s="32">
        <f>AF9+AG9+AH9+AI9</f>
        <v>14831.336717194434</v>
      </c>
      <c r="L28" s="32">
        <f>AJ9+AK9+AL9+AM9</f>
        <v>14626.869627348882</v>
      </c>
      <c r="M28" s="32">
        <f>AN9+AO9+AP9+AQ9</f>
        <v>14422.20231697171</v>
      </c>
      <c r="N28" s="32">
        <f>AR9+AS9+AT9+AU9</f>
        <v>14217.333384519208</v>
      </c>
      <c r="O28" s="32">
        <f>AV9+AW9+AX9+AY9</f>
        <v>14012.26141863684</v>
      </c>
      <c r="P28" s="32">
        <f>AZ9+BA9+BB9+BC9</f>
        <v>13806.984998090593</v>
      </c>
      <c r="Q28" s="32">
        <f>BD9+BE9+BF9+BG9</f>
        <v>13601.502691697828</v>
      </c>
      <c r="R28" s="32">
        <f>BH9+BI9+BJ9+BK9</f>
        <v>13395.813058257618</v>
      </c>
      <c r="S28" s="32">
        <f>BL9+BM9+BN9+BO9</f>
        <v>13189.914646480624</v>
      </c>
      <c r="T28" s="32">
        <f>BP9+BQ9+BR9+BS9</f>
        <v>12983.805994918494</v>
      </c>
      <c r="U28" s="32">
        <f>BT9+BU9+BV9+BW9</f>
        <v>12777.485631892738</v>
      </c>
      <c r="V28" s="32">
        <f>BX9+BY9+BZ9</f>
        <v>9451.721216049275</v>
      </c>
    </row>
    <row r="29" spans="2:22" x14ac:dyDescent="0.25">
      <c r="B29" s="34" t="s">
        <v>375</v>
      </c>
      <c r="C29" s="35" t="s">
        <v>360</v>
      </c>
      <c r="E29" s="65">
        <f>IF(E27=0,"",E28/E27)</f>
        <v>1.2548160097667855</v>
      </c>
      <c r="F29" s="65">
        <f>IF(F27=0,"",F28/F27)</f>
        <v>1.7605770386577446</v>
      </c>
      <c r="G29" s="65">
        <f>IF(G27=0,"",G28/G27)</f>
        <v>1.070325617877692</v>
      </c>
      <c r="H29" s="65">
        <f>IF(H27=0,"",H28/H27)</f>
        <v>1.0890488797048117</v>
      </c>
      <c r="I29" s="65">
        <f>IF(I27=0,"",I28/I27)</f>
        <v>1.108952460904024</v>
      </c>
      <c r="J29" s="65">
        <f>IF(J27=0,"",J28/J27)</f>
        <v>1.130152931978362</v>
      </c>
      <c r="K29" s="65">
        <f>IF(K27=0,"",K28/K27)</f>
        <v>1.1527827499463135</v>
      </c>
      <c r="L29" s="65">
        <f>IF(L27=0,"",L28/L27)</f>
        <v>1.1769930602468937</v>
      </c>
      <c r="M29" s="65">
        <f>IF(M27=0,"",M28/M27)</f>
        <v>1.202957113334921</v>
      </c>
      <c r="N29" s="65">
        <f>IF(N27=0,"",N28/N27)</f>
        <v>1.2308744592653023</v>
      </c>
      <c r="O29" s="65">
        <f>IF(O27=0,"",O28/O27)</f>
        <v>1.2609761351004232</v>
      </c>
      <c r="P29" s="65">
        <f>IF(P27=0,"",P28/P27)</f>
        <v>1.293531130558446</v>
      </c>
      <c r="Q29" s="65">
        <f>IF(Q27=0,"",Q28/Q27)</f>
        <v>1.3288545151103404</v>
      </c>
      <c r="R29" s="65">
        <f>IF(R27=0,"",R28/R27)</f>
        <v>1.3673177469030613</v>
      </c>
      <c r="S29" s="65">
        <f>IF(S27=0,"",S28/S27)</f>
        <v>1.4093618788806686</v>
      </c>
      <c r="T29" s="65">
        <f>IF(T27=0,"",T28/T27)</f>
        <v>1.4555146587101997</v>
      </c>
      <c r="U29" s="65">
        <f>IF(U27=0,"",U28/U27)</f>
        <v>1.5064129311650023</v>
      </c>
      <c r="V29" s="65">
        <f>IF(V27=0,"",V28/V27)</f>
        <v>1.5561282859392724</v>
      </c>
    </row>
    <row r="30" spans="2:22" x14ac:dyDescent="0.25">
      <c r="B30" s="34" t="s">
        <v>376</v>
      </c>
      <c r="C30" s="35" t="s">
        <v>360</v>
      </c>
      <c r="E30" s="65">
        <f>IF(E27=0,"",(H15+H20+E28)/E27)</f>
        <v>1.2548160097667855</v>
      </c>
      <c r="F30" s="65">
        <f>IF(F27=0,"",(L15+L20+F28)/F27)</f>
        <v>2.36688105854121</v>
      </c>
      <c r="G30" s="65">
        <f>IF(G27=0,"",(P15+P20+G28)/G27)</f>
        <v>1.9102896468666632</v>
      </c>
      <c r="H30" s="65">
        <f>IF(H27=0,"",(T15+T20+H28)/H27)</f>
        <v>2.0274778018391237</v>
      </c>
      <c r="I30" s="65">
        <f>IF(I27=0,"",(X15+X20+I28)/I27)</f>
        <v>2.169205265314356</v>
      </c>
      <c r="J30" s="65">
        <f>IF(J27=0,"",(AB15+AB20+J28)/J27)</f>
        <v>1.7094367368290493</v>
      </c>
      <c r="K30" s="65">
        <f>IF(K27=0,"",(AF15+AF20+K28)/K27)</f>
        <v>1.7347679289716114</v>
      </c>
      <c r="L30" s="65">
        <f>IF(L27=0,"",(AJ15+AJ20+L28)/L27)</f>
        <v>1.761870190381141</v>
      </c>
      <c r="M30" s="65">
        <f>IF(M27=0,"",(AN15+AN20+M28)/M27)</f>
        <v>1.790937676178677</v>
      </c>
      <c r="N30" s="65">
        <f>IF(N27=0,"",(AR15+AR20+N28)/N27)</f>
        <v>1.8221940145372972</v>
      </c>
      <c r="O30" s="65">
        <f>IF(O27=0,"",(AV15+AV20+O28)/O27)</f>
        <v>1.8558981200308764</v>
      </c>
      <c r="P30" s="65">
        <f>IF(P27=0,"",(AZ15+AZ20+P28)/P27)</f>
        <v>1.8923514394633956</v>
      </c>
      <c r="Q30" s="65">
        <f>IF(Q27=0,"",(BD15+BD20+Q28)/Q27)</f>
        <v>1.9319070596266184</v>
      </c>
      <c r="R30" s="65">
        <f>IF(R27=0,"",(BH15+BH20+R28)/R27)</f>
        <v>1.974981260155175</v>
      </c>
      <c r="S30" s="65">
        <f>IF(S27=0,"",(BL15+BL20+S28)/S27)</f>
        <v>2.022068313171582</v>
      </c>
      <c r="T30" s="65">
        <f>IF(T27=0,"",(BP15+BP20+T28)/T27)</f>
        <v>2.073759646584123</v>
      </c>
      <c r="U30" s="65">
        <f>IF(U27=0,"",(BT15+BT20+U28)/U27)</f>
        <v>2.1307689496661633</v>
      </c>
      <c r="V30" s="65">
        <f>IF(V27=0,"",(BX15+BX20+V28)/V27)</f>
        <v>2.3919453630825482</v>
      </c>
    </row>
    <row r="31" spans="2:3" x14ac:dyDescent="0.25">
      <c r="B31" s="34" t="s">
        <v>377</v>
      </c>
      <c r="C31" s="35" t="s">
        <v>228</v>
      </c>
    </row>
    <row r="32" spans="2:3" x14ac:dyDescent="0.25">
      <c r="B32" s="34" t="s">
        <v>378</v>
      </c>
      <c r="C32" s="35" t="s">
        <v>228</v>
      </c>
    </row>
    <row r="33" spans="2:3" x14ac:dyDescent="0.25">
      <c r="B33" s="34" t="s">
        <v>379</v>
      </c>
      <c r="C33" s="35" t="s">
        <v>228</v>
      </c>
    </row>
    <row r="34" spans="2:3" x14ac:dyDescent="0.25">
      <c r="B34" s="34" t="s">
        <v>380</v>
      </c>
      <c r="C34" s="35" t="s">
        <v>228</v>
      </c>
    </row>
    <row r="35" spans="2:3" x14ac:dyDescent="0.25">
      <c r="B35" s="34" t="s">
        <v>381</v>
      </c>
      <c r="C35" s="35" t="s">
        <v>382</v>
      </c>
    </row>
    <row r="36" spans="2:3" x14ac:dyDescent="0.25">
      <c r="B36" s="34" t="s">
        <v>383</v>
      </c>
      <c r="C36" s="35" t="s">
        <v>382</v>
      </c>
    </row>
    <row r="37" spans="2:3" x14ac:dyDescent="0.25">
      <c r="B37" s="34" t="s">
        <v>384</v>
      </c>
      <c r="C37" s="35" t="s">
        <v>382</v>
      </c>
    </row>
    <row r="38" spans="2:3" x14ac:dyDescent="0.25">
      <c r="B38" s="34" t="s">
        <v>385</v>
      </c>
      <c r="C38" s="35" t="s">
        <v>228</v>
      </c>
    </row>
    <row r="39" spans="2:3" x14ac:dyDescent="0.25">
      <c r="B39" s="34" t="s">
        <v>386</v>
      </c>
      <c r="C39" s="35" t="s">
        <v>228</v>
      </c>
    </row>
    <row r="40" spans="2:3" x14ac:dyDescent="0.25">
      <c r="B40" s="34" t="s">
        <v>387</v>
      </c>
      <c r="C40" s="35" t="s">
        <v>228</v>
      </c>
    </row>
    <row r="41" spans="2:3" x14ac:dyDescent="0.25">
      <c r="B41" s="34" t="s">
        <v>388</v>
      </c>
      <c r="C41" s="35" t="s">
        <v>228</v>
      </c>
    </row>
    <row r="42" spans="2:3" x14ac:dyDescent="0.25">
      <c r="B42" s="34" t="s">
        <v>389</v>
      </c>
      <c r="C42" s="35" t="s">
        <v>228</v>
      </c>
    </row>
    <row r="43" spans="2:3" x14ac:dyDescent="0.25">
      <c r="B43" s="34" t="s">
        <v>390</v>
      </c>
      <c r="C43" s="35" t="s">
        <v>228</v>
      </c>
    </row>
    <row r="45" spans="2:91" x14ac:dyDescent="0.25">
      <c r="B45" s="9" t="s">
        <v>391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</row>
    <row r="46" spans="2:90" x14ac:dyDescent="0.25">
      <c r="B46" s="34" t="s">
        <v>392</v>
      </c>
      <c r="C46" s="35" t="s">
        <v>228</v>
      </c>
      <c r="E46" s="32">
        <f>0</f>
        <v>0</v>
      </c>
      <c r="F46" s="32">
        <f>E46</f>
        <v>0</v>
      </c>
      <c r="G46" s="32">
        <f>F46</f>
        <v>0</v>
      </c>
      <c r="H46" s="32">
        <f>G46</f>
        <v>0</v>
      </c>
      <c r="I46" s="32">
        <f>H46</f>
        <v>0</v>
      </c>
      <c r="J46" s="32">
        <f>I46</f>
        <v>0</v>
      </c>
      <c r="K46" s="32">
        <f>J46+K9</f>
        <v>2200.255563805558</v>
      </c>
      <c r="L46" s="32">
        <f>K46+L9</f>
        <v>6159.1198635667115</v>
      </c>
      <c r="M46" s="32">
        <f>L46+M9</f>
        <v>10117.984163327865</v>
      </c>
      <c r="N46" s="32">
        <f>M46+N9</f>
        <v>14076.848463089018</v>
      </c>
      <c r="O46" s="32">
        <f>N46+O9</f>
        <v>18016.616161635287</v>
      </c>
      <c r="P46" s="32">
        <f>O46+P9</f>
        <v>21941.78032419023</v>
      </c>
      <c r="Q46" s="32">
        <f>P46+Q9</f>
        <v>25861.230798539025</v>
      </c>
      <c r="R46" s="32">
        <f>Q46+R9</f>
        <v>29774.96758468168</v>
      </c>
      <c r="S46" s="32">
        <f>R46+S9</f>
        <v>33663.846724197836</v>
      </c>
      <c r="T46" s="32">
        <f>S46+T9</f>
        <v>37538.10462588389</v>
      </c>
      <c r="U46" s="32">
        <f>T46+U9</f>
        <v>41406.647486660004</v>
      </c>
      <c r="V46" s="32">
        <f>U46+V9</f>
        <v>45269.475306526176</v>
      </c>
      <c r="W46" s="32">
        <f>V46+W9</f>
        <v>49107.397257443205</v>
      </c>
      <c r="X46" s="32">
        <f>W46+X9</f>
        <v>52930.69999060158</v>
      </c>
      <c r="Y46" s="32">
        <f>X46+Y9</f>
        <v>56748.28659671573</v>
      </c>
      <c r="Z46" s="32">
        <f>Y46+Z9</f>
        <v>60560.15707578565</v>
      </c>
      <c r="AA46" s="32">
        <f>Z46+AA9</f>
        <v>64347.073050263476</v>
      </c>
      <c r="AB46" s="32">
        <f>AA46+AB9</f>
        <v>68119.37145181933</v>
      </c>
      <c r="AC46" s="32">
        <f>AB46+AC9</f>
        <v>71885.95283504242</v>
      </c>
      <c r="AD46" s="32">
        <f>AC46+AD9</f>
        <v>75646.81719993276</v>
      </c>
      <c r="AE46" s="32">
        <f>AD46+AE9</f>
        <v>79382.67802857295</v>
      </c>
      <c r="AF46" s="32">
        <f>AE46+AF9</f>
        <v>83103.92264975826</v>
      </c>
      <c r="AG46" s="32">
        <f>AF46+AG9</f>
        <v>86819.44950805738</v>
      </c>
      <c r="AH46" s="32">
        <f>AG46+AH9</f>
        <v>90529.25860347033</v>
      </c>
      <c r="AI46" s="32">
        <f>AH46+AI9</f>
        <v>94214.01474576736</v>
      </c>
      <c r="AJ46" s="32">
        <f>AI46+AJ9</f>
        <v>97884.15583243417</v>
      </c>
      <c r="AK46" s="32">
        <f>AJ46+AK9</f>
        <v>101548.57852492043</v>
      </c>
      <c r="AL46" s="32">
        <f>AK46+AL9</f>
        <v>105207.28282322615</v>
      </c>
      <c r="AM46" s="32">
        <f>AL46+AM9</f>
        <v>108840.88437311625</v>
      </c>
      <c r="AN46" s="32">
        <f>AM46+AN9</f>
        <v>112459.87185214234</v>
      </c>
      <c r="AO46" s="32">
        <f>AN46+AO9</f>
        <v>116073.14039493987</v>
      </c>
      <c r="AP46" s="32">
        <f>AO46+AP9</f>
        <v>119680.69000150883</v>
      </c>
      <c r="AQ46" s="32">
        <f>AP46+AQ9</f>
        <v>123263.08669008796</v>
      </c>
      <c r="AR46" s="32">
        <f>AQ46+AR9</f>
        <v>126830.87015945546</v>
      </c>
      <c r="AS46" s="32">
        <f>AR46+AS9</f>
        <v>130392.93422212006</v>
      </c>
      <c r="AT46" s="32">
        <f>AS46+AT9</f>
        <v>133949.27887808176</v>
      </c>
      <c r="AU46" s="32">
        <f>AT46+AU9</f>
        <v>137480.42007460716</v>
      </c>
      <c r="AV46" s="32">
        <f>AU46+AV9</f>
        <v>140996.94879578296</v>
      </c>
      <c r="AW46" s="32">
        <f>AV46+AW9</f>
        <v>144507.75769805975</v>
      </c>
      <c r="AX46" s="32">
        <f>AW46+AX9</f>
        <v>148012.84678143758</v>
      </c>
      <c r="AY46" s="32">
        <f>AX46+AY9</f>
        <v>151492.681493244</v>
      </c>
      <c r="AZ46" s="32">
        <f>AY46+AZ9</f>
        <v>154957.90438505076</v>
      </c>
      <c r="BA46" s="32">
        <f>AZ46+BA9</f>
        <v>158417.40709384618</v>
      </c>
      <c r="BB46" s="32">
        <f>BA46+BB9</f>
        <v>161871.18961963028</v>
      </c>
      <c r="BC46" s="32">
        <f>BB46+BC9</f>
        <v>165299.66649133456</v>
      </c>
      <c r="BD46" s="32">
        <f>BC46+BD9</f>
        <v>168713.53212481362</v>
      </c>
      <c r="BE46" s="32">
        <f>BD46+BE9</f>
        <v>172121.67725130508</v>
      </c>
      <c r="BF46" s="32">
        <f>BE46+BF9</f>
        <v>175524.10187080893</v>
      </c>
      <c r="BG46" s="32">
        <f>BF46+BG9</f>
        <v>178901.16918303238</v>
      </c>
      <c r="BH46" s="32">
        <f>BG46+BH9</f>
        <v>182263.62577698237</v>
      </c>
      <c r="BI46" s="32">
        <f>BH46+BI9</f>
        <v>185620.3615738169</v>
      </c>
      <c r="BJ46" s="32">
        <f>BI46+BJ9</f>
        <v>188971.37657353593</v>
      </c>
      <c r="BK46" s="32">
        <f>BJ46+BK9</f>
        <v>192296.98224128998</v>
      </c>
      <c r="BL46" s="32">
        <f>BK46+BL9</f>
        <v>195607.9776582745</v>
      </c>
      <c r="BM46" s="32">
        <f>BL46+BM9</f>
        <v>198913.2520168247</v>
      </c>
      <c r="BN46" s="32">
        <f>BM46+BN9</f>
        <v>202212.8053169406</v>
      </c>
      <c r="BO46" s="32">
        <f>BN46+BO9</f>
        <v>205486.89688777062</v>
      </c>
      <c r="BP46" s="32">
        <f>BO46+BP9</f>
        <v>208746.37863045698</v>
      </c>
      <c r="BQ46" s="32">
        <f>BP46+BQ9</f>
        <v>212000.13907811284</v>
      </c>
      <c r="BR46" s="32">
        <f>BQ46+BR9</f>
        <v>215248.1782307382</v>
      </c>
      <c r="BS46" s="32">
        <f>BR46+BS9</f>
        <v>218470.7028826891</v>
      </c>
      <c r="BT46" s="32">
        <f>BS46+BT9</f>
        <v>221678.61809042346</v>
      </c>
      <c r="BU46" s="32">
        <f>BT46+BU9</f>
        <v>224880.81178790543</v>
      </c>
      <c r="BV46" s="32">
        <f>BU46+BV9</f>
        <v>228077.28397513498</v>
      </c>
      <c r="BW46" s="32">
        <f>BV46+BW9</f>
        <v>231248.18851458182</v>
      </c>
      <c r="BX46" s="32">
        <f>BW46+BX9</f>
        <v>234404.4839601348</v>
      </c>
      <c r="BY46" s="32">
        <f>BX46+BY9</f>
        <v>237555.0576988179</v>
      </c>
      <c r="BZ46" s="32">
        <f>BY46+BZ9</f>
        <v>240699.9097306311</v>
      </c>
      <c r="CA46" s="32">
        <f>BZ46+CA9</f>
        <v>243819.1405900049</v>
      </c>
      <c r="CB46" s="32">
        <f>CA46+CB9</f>
        <v>246929.4951667822</v>
      </c>
      <c r="CC46" s="32">
        <f>CB46+CC9</f>
        <v>250039.8497435595</v>
      </c>
      <c r="CD46" s="32">
        <f>CC46+CD9</f>
        <v>253150.20432033678</v>
      </c>
      <c r="CE46" s="32">
        <f>CD46+CE9</f>
        <v>256240.60548390256</v>
      </c>
      <c r="CF46" s="32">
        <f>CE46+CF9</f>
        <v>259322.13699430687</v>
      </c>
      <c r="CG46" s="32">
        <f>CF46+CG9</f>
        <v>262403.6685047112</v>
      </c>
      <c r="CH46" s="32">
        <f>CG46+CH9</f>
        <v>265485.2000151155</v>
      </c>
      <c r="CI46" s="32">
        <f>CH46+CI9</f>
        <v>268546.72364412155</v>
      </c>
      <c r="CJ46" s="32">
        <f>CI46+CJ9</f>
        <v>271740.54289680236</v>
      </c>
      <c r="CK46" s="32">
        <f>CJ46+CK9</f>
        <v>274934.3621494832</v>
      </c>
      <c r="CL46" s="32">
        <f>CK46+CL9</f>
        <v>279734.65097466396</v>
      </c>
    </row>
    <row r="47" spans="2:90" x14ac:dyDescent="0.25">
      <c r="B47" s="47" t="s">
        <v>393</v>
      </c>
      <c r="C47" s="35" t="s">
        <v>360</v>
      </c>
      <c r="D47" s="17">
        <f>MIN(E29:V29)</f>
        <v>1.070325617877692</v>
      </c>
      <c r="E47" s="32">
        <f>0</f>
        <v>0</v>
      </c>
      <c r="F47" s="32">
        <f>E47</f>
        <v>0</v>
      </c>
      <c r="G47" s="32">
        <f>F47</f>
        <v>0</v>
      </c>
      <c r="H47" s="32">
        <f>G47</f>
        <v>0</v>
      </c>
      <c r="I47" s="32">
        <f>H47</f>
        <v>0</v>
      </c>
      <c r="J47" s="32">
        <f>I47</f>
        <v>0</v>
      </c>
      <c r="K47" s="32">
        <f>J47+K10</f>
        <v>1753.4487499999998</v>
      </c>
      <c r="L47" s="32">
        <f>K47+L10</f>
        <v>3506.8974999999996</v>
      </c>
      <c r="M47" s="32">
        <f>L47+M10</f>
        <v>5260.34625</v>
      </c>
      <c r="N47" s="32">
        <f>M47+N10</f>
        <v>7013.794999999999</v>
      </c>
      <c r="O47" s="32">
        <f>N47+O10</f>
        <v>10737.071874999998</v>
      </c>
      <c r="P47" s="32">
        <f>O47+P10</f>
        <v>14432.951113281248</v>
      </c>
      <c r="Q47" s="32">
        <f>P47+Q10</f>
        <v>18101.432714843748</v>
      </c>
      <c r="R47" s="32">
        <f>Q47+R10</f>
        <v>21742.5166796875</v>
      </c>
      <c r="S47" s="32">
        <f>R47+S10</f>
        <v>25356.2030078125</v>
      </c>
      <c r="T47" s="32">
        <f>S47+T10</f>
        <v>28942.49169921875</v>
      </c>
      <c r="U47" s="32">
        <f>T47+U10</f>
        <v>32501.38275390625</v>
      </c>
      <c r="V47" s="32">
        <f>U47+V10</f>
        <v>36032.876171875</v>
      </c>
      <c r="W47" s="32">
        <f>V47+W10</f>
        <v>39536.971953125</v>
      </c>
      <c r="X47" s="32">
        <f>W47+X10</f>
        <v>43013.67009765625</v>
      </c>
      <c r="Y47" s="32">
        <f>X47+Y10</f>
        <v>46462.97060546875</v>
      </c>
      <c r="Z47" s="32">
        <f>Y47+Z10</f>
        <v>49884.8734765625</v>
      </c>
      <c r="AA47" s="32">
        <f>Z47+AA10</f>
        <v>53279.3787109375</v>
      </c>
      <c r="AB47" s="32">
        <f>AA47+AB10</f>
        <v>56646.48630859375</v>
      </c>
      <c r="AC47" s="32">
        <f>AB47+AC10</f>
        <v>59986.19626953125</v>
      </c>
      <c r="AD47" s="32">
        <f>AC47+AD10</f>
        <v>63298.50859375</v>
      </c>
      <c r="AE47" s="32">
        <f>AD47+AE10</f>
        <v>66583.42328125</v>
      </c>
      <c r="AF47" s="32">
        <f>AE47+AF10</f>
        <v>69840.94033203124</v>
      </c>
      <c r="AG47" s="32">
        <f>AF47+AG10</f>
        <v>73071.05974609374</v>
      </c>
      <c r="AH47" s="32">
        <f>AG47+AH10</f>
        <v>76273.78152343749</v>
      </c>
      <c r="AI47" s="32">
        <f>AH47+AI10</f>
        <v>79449.10566406249</v>
      </c>
      <c r="AJ47" s="32">
        <f>AI47+AJ10</f>
        <v>82597.03216796873</v>
      </c>
      <c r="AK47" s="32">
        <f>AJ47+AK10</f>
        <v>85717.56103515624</v>
      </c>
      <c r="AL47" s="32">
        <f>AK47+AL10</f>
        <v>88810.69226562498</v>
      </c>
      <c r="AM47" s="32">
        <f>AL47+AM10</f>
        <v>91876.42585937498</v>
      </c>
      <c r="AN47" s="32">
        <f>AM47+AN10</f>
        <v>94914.76181640623</v>
      </c>
      <c r="AO47" s="32">
        <f>AN47+AO10</f>
        <v>97925.70013671873</v>
      </c>
      <c r="AP47" s="32">
        <f>AO47+AP10</f>
        <v>100909.24082031248</v>
      </c>
      <c r="AQ47" s="32">
        <f>AP47+AQ10</f>
        <v>103865.38386718748</v>
      </c>
      <c r="AR47" s="32">
        <f>AQ47+AR10</f>
        <v>106794.12927734373</v>
      </c>
      <c r="AS47" s="32">
        <f>AR47+AS10</f>
        <v>109695.47705078124</v>
      </c>
      <c r="AT47" s="32">
        <f>AS47+AT10</f>
        <v>112569.42718749998</v>
      </c>
      <c r="AU47" s="32">
        <f>AT47+AU10</f>
        <v>115415.97968749999</v>
      </c>
      <c r="AV47" s="32">
        <f>AU47+AV10</f>
        <v>118235.13455078124</v>
      </c>
      <c r="AW47" s="32">
        <f>AV47+AW10</f>
        <v>121026.89177734374</v>
      </c>
      <c r="AX47" s="32">
        <f>AW47+AX10</f>
        <v>123791.25136718749</v>
      </c>
      <c r="AY47" s="32">
        <f>AX47+AY10</f>
        <v>126528.2133203125</v>
      </c>
      <c r="AZ47" s="32">
        <f>AY47+AZ10</f>
        <v>129237.77763671875</v>
      </c>
      <c r="BA47" s="32">
        <f>AZ47+BA10</f>
        <v>131919.94431640624</v>
      </c>
      <c r="BB47" s="32">
        <f>BA47+BB10</f>
        <v>134574.713359375</v>
      </c>
      <c r="BC47" s="32">
        <f>BB47+BC10</f>
        <v>137202.08476562498</v>
      </c>
      <c r="BD47" s="32">
        <f>BC47+BD10</f>
        <v>139802.05853515622</v>
      </c>
      <c r="BE47" s="32">
        <f>BD47+BE10</f>
        <v>142374.63466796873</v>
      </c>
      <c r="BF47" s="32">
        <f>BE47+BF10</f>
        <v>144919.81316406248</v>
      </c>
      <c r="BG47" s="32">
        <f>BF47+BG10</f>
        <v>147437.59402343747</v>
      </c>
      <c r="BH47" s="32">
        <f>BG47+BH10</f>
        <v>149927.9772460937</v>
      </c>
      <c r="BI47" s="32">
        <f>BH47+BI10</f>
        <v>152390.96283203122</v>
      </c>
      <c r="BJ47" s="32">
        <f>BI47+BJ10</f>
        <v>154826.55078124997</v>
      </c>
      <c r="BK47" s="32">
        <f>BJ47+BK10</f>
        <v>157234.74109374997</v>
      </c>
      <c r="BL47" s="32">
        <f>BK47+BL10</f>
        <v>159615.5337695312</v>
      </c>
      <c r="BM47" s="32">
        <f>BL47+BM10</f>
        <v>161968.92880859372</v>
      </c>
      <c r="BN47" s="32">
        <f>BM47+BN10</f>
        <v>164294.92621093747</v>
      </c>
      <c r="BO47" s="32">
        <f>BN47+BO10</f>
        <v>166593.52597656247</v>
      </c>
      <c r="BP47" s="32">
        <f>BO47+BP10</f>
        <v>168864.7281054687</v>
      </c>
      <c r="BQ47" s="32">
        <f>BP47+BQ10</f>
        <v>171108.53259765622</v>
      </c>
      <c r="BR47" s="32">
        <f>BQ47+BR10</f>
        <v>173324.93945312497</v>
      </c>
      <c r="BS47" s="32">
        <f>BR47+BS10</f>
        <v>175513.94867187497</v>
      </c>
      <c r="BT47" s="32">
        <f>BS47+BT10</f>
        <v>177675.5602539062</v>
      </c>
      <c r="BU47" s="32">
        <f>BT47+BU10</f>
        <v>179809.77419921872</v>
      </c>
      <c r="BV47" s="32">
        <f>BU47+BV10</f>
        <v>181916.59050781248</v>
      </c>
      <c r="BW47" s="32">
        <f>BV47+BW10</f>
        <v>183996.00917968748</v>
      </c>
      <c r="BX47" s="32">
        <f>BW47+BX10</f>
        <v>186048.03021484372</v>
      </c>
      <c r="BY47" s="32">
        <f>BX47+BY10</f>
        <v>188072.65361328123</v>
      </c>
      <c r="BZ47" s="32">
        <f>BY47+BZ10</f>
        <v>190069.879375</v>
      </c>
      <c r="CA47" s="32">
        <f>BZ47+CA10</f>
        <v>190069.879375</v>
      </c>
      <c r="CB47" s="32">
        <f>CA47+CB10</f>
        <v>190069.879375</v>
      </c>
      <c r="CC47" s="32">
        <f>CB47+CC10</f>
        <v>190069.879375</v>
      </c>
      <c r="CD47" s="32">
        <f>CC47+CD10</f>
        <v>190069.879375</v>
      </c>
      <c r="CE47" s="32">
        <f>CD47+CE10</f>
        <v>190069.879375</v>
      </c>
      <c r="CF47" s="32">
        <f>CE47+CF10</f>
        <v>190069.879375</v>
      </c>
      <c r="CG47" s="32">
        <f>CF47+CG10</f>
        <v>190069.879375</v>
      </c>
      <c r="CH47" s="32">
        <f>CG47+CH10</f>
        <v>190069.879375</v>
      </c>
      <c r="CI47" s="32">
        <f>CH47+CI10</f>
        <v>190069.879375</v>
      </c>
      <c r="CJ47" s="32">
        <f>CI47+CJ10</f>
        <v>190069.879375</v>
      </c>
      <c r="CK47" s="32">
        <f>CJ47+CK10</f>
        <v>190069.879375</v>
      </c>
      <c r="CL47" s="32">
        <f>CK47+CL10</f>
        <v>190069.879375</v>
      </c>
    </row>
    <row r="48" spans="2:90" x14ac:dyDescent="0.25">
      <c r="B48" s="47" t="s">
        <v>394</v>
      </c>
      <c r="C48" s="35" t="s">
        <v>360</v>
      </c>
      <c r="D48" s="17">
        <f>MIN(E30:V30)</f>
        <v>1.2548160097667855</v>
      </c>
      <c r="E48" s="65"/>
      <c r="F48" s="65"/>
      <c r="G48" s="65"/>
      <c r="H48" s="65"/>
      <c r="I48" s="65"/>
      <c r="J48" s="65"/>
      <c r="K48" s="65">
        <f>IF(K47&gt;0,K46/K47,"")</f>
        <v>1.2548160097667855</v>
      </c>
      <c r="L48" s="65">
        <f>IF(L47&gt;0,L46/L47,"")</f>
        <v>1.756287391794802</v>
      </c>
      <c r="M48" s="65">
        <f>IF(M47&gt;0,M46/M47,"")</f>
        <v>1.9234445191374743</v>
      </c>
      <c r="N48" s="65">
        <f>IF(N47&gt;0,N46/N47,"")</f>
        <v>2.0070230828088103</v>
      </c>
      <c r="O48" s="65">
        <f>IF(O47&gt;0,O46/O47,"")</f>
        <v>1.6779822628909515</v>
      </c>
      <c r="P48" s="65">
        <f>IF(P47&gt;0,P46/P47,"")</f>
        <v>1.520255985901548</v>
      </c>
      <c r="Q48" s="65">
        <f>IF(Q47&gt;0,Q46/Q47,"")</f>
        <v>1.4286841934523777</v>
      </c>
      <c r="R48" s="65">
        <f>IF(R47&gt;0,R46/R47,"")</f>
        <v>1.3694351957194695</v>
      </c>
      <c r="S48" s="65">
        <f>IF(S47&gt;0,S46/S47,"")</f>
        <v>1.32763752971317</v>
      </c>
      <c r="T48" s="65">
        <f>IF(T47&gt;0,T46/T47,"")</f>
        <v>1.2969893890268323</v>
      </c>
      <c r="U48" s="65">
        <f>IF(U47&gt;0,U46/U47,"")</f>
        <v>1.2739964880935244</v>
      </c>
      <c r="V48" s="65">
        <f>IF(V47&gt;0,V46/V47,"")</f>
        <v>1.2563381033085748</v>
      </c>
      <c r="W48" s="65">
        <f>IF(W47&gt;0,W46/W47,"")</f>
        <v>1.2420626778313952</v>
      </c>
      <c r="X48" s="65">
        <f>IF(X47&gt;0,X46/X47,"")</f>
        <v>1.2305553064974497</v>
      </c>
      <c r="Y48" s="65">
        <f>IF(Y47&gt;0,Y46/Y47,"")</f>
        <v>1.2213658717300435</v>
      </c>
      <c r="Z48" s="65">
        <f>IF(Z47&gt;0,Z46/Z47,"")</f>
        <v>1.2139984098433916</v>
      </c>
      <c r="AA48" s="65">
        <f>IF(AA47&gt;0,AA46/AA47,"")</f>
        <v>1.2077294181558078</v>
      </c>
      <c r="AB48" s="65">
        <f>IF(AB47&gt;0,AB46/AB47,"")</f>
        <v>1.2025348064966397</v>
      </c>
      <c r="AC48" s="65">
        <f>IF(AC47&gt;0,AC46/AC47,"")</f>
        <v>1.198374914656081</v>
      </c>
      <c r="AD48" s="65">
        <f>IF(AD47&gt;0,AD46/AD47,"")</f>
        <v>1.1950805616200888</v>
      </c>
      <c r="AE48" s="65">
        <f>IF(AE47&gt;0,AE46/AE47,"")</f>
        <v>1.192228847910967</v>
      </c>
      <c r="AF48" s="65">
        <f>IF(AF47&gt;0,AF46/AF47,"")</f>
        <v>1.1899026882323376</v>
      </c>
      <c r="AG48" s="65">
        <f>IF(AG47&gt;0,AG46/AG47,"")</f>
        <v>1.1881509562025834</v>
      </c>
      <c r="AH48" s="65">
        <f>IF(AH47&gt;0,AH46/AH47,"")</f>
        <v>1.1868987848157548</v>
      </c>
      <c r="AI48" s="65">
        <f>IF(AI47&gt;0,AI46/AI47,"")</f>
        <v>1.1858410986290502</v>
      </c>
      <c r="AJ48" s="65">
        <f>IF(AJ47&gt;0,AJ46/AJ47,"")</f>
        <v>1.1850807863577673</v>
      </c>
      <c r="AK48" s="65">
        <f>IF(AK47&gt;0,AK46/AK47,"")</f>
        <v>1.184688146729598</v>
      </c>
      <c r="AL48" s="65">
        <f>IF(AL47&gt;0,AL46/AL47,"")</f>
        <v>1.1846240597760505</v>
      </c>
      <c r="AM48" s="65">
        <f>IF(AM47&gt;0,AM46/AM47,"")</f>
        <v>1.1846443018985835</v>
      </c>
      <c r="AN48" s="65">
        <f>IF(AN47&gt;0,AN46/AN47,"")</f>
        <v>1.184851225457149</v>
      </c>
      <c r="AO48" s="65">
        <f>IF(AO47&gt;0,AO46/AO47,"")</f>
        <v>1.185318463211237</v>
      </c>
      <c r="AP48" s="65">
        <f>IF(AP47&gt;0,AP46/AP47,"")</f>
        <v>1.1860230939069534</v>
      </c>
      <c r="AQ48" s="65">
        <f>IF(AQ47&gt;0,AQ46/AQ47,"")</f>
        <v>1.1867581103604672</v>
      </c>
      <c r="AR48" s="65">
        <f>IF(AR47&gt;0,AR46/AR47,"")</f>
        <v>1.1876202467092216</v>
      </c>
      <c r="AS48" s="65">
        <f>IF(AS47&gt;0,AS46/AS47,"")</f>
        <v>1.1886810443584412</v>
      </c>
      <c r="AT48" s="65">
        <f>IF(AT47&gt;0,AT46/AT47,"")</f>
        <v>1.1899259170518002</v>
      </c>
      <c r="AU48" s="65">
        <f>IF(AU47&gt;0,AU46/AU47,"")</f>
        <v>1.1911731845698386</v>
      </c>
      <c r="AV48" s="65">
        <f>IF(AV47&gt;0,AV46/AV47,"")</f>
        <v>1.1925131166085463</v>
      </c>
      <c r="AW48" s="65">
        <f>IF(AW47&gt;0,AW46/AW47,"")</f>
        <v>1.1940136243762614</v>
      </c>
      <c r="AX48" s="65">
        <f>IF(AX47&gt;0,AX46/AX47,"")</f>
        <v>1.195664840178442</v>
      </c>
      <c r="AY48" s="65">
        <f>IF(AY47&gt;0,AY46/AY47,"")</f>
        <v>1.1973035698349166</v>
      </c>
      <c r="AZ48" s="65">
        <f>IF(AZ47&gt;0,AZ46/AZ47,"")</f>
        <v>1.1990139974445404</v>
      </c>
      <c r="BA48" s="65">
        <f>IF(BA47&gt;0,BA46/BA47,"")</f>
        <v>1.200860172544392</v>
      </c>
      <c r="BB48" s="65">
        <f>IF(BB47&gt;0,BB46/BB47,"")</f>
        <v>1.2028351060823843</v>
      </c>
      <c r="BC48" s="65">
        <f>IF(BC47&gt;0,BC46/BC47,"")</f>
        <v>1.2047897579231919</v>
      </c>
      <c r="BD48" s="65">
        <f>IF(BD47&gt;0,BD46/BD47,"")</f>
        <v>1.2068029175864172</v>
      </c>
      <c r="BE48" s="65">
        <f>IF(BE47&gt;0,BE46/BE47,"")</f>
        <v>1.2089349879822997</v>
      </c>
      <c r="BF48" s="65">
        <f>IF(BF47&gt;0,BF46/BF47,"")</f>
        <v>1.2111808457281104</v>
      </c>
      <c r="BG48" s="65">
        <f>IF(BG47&gt;0,BG46/BG47,"")</f>
        <v>1.2134026627875742</v>
      </c>
      <c r="BH48" s="65">
        <f>IF(BH47&gt;0,BH46/BH47,"")</f>
        <v>1.2156745467045988</v>
      </c>
      <c r="BI48" s="65">
        <f>IF(BI47&gt;0,BI46/BI47,"")</f>
        <v>1.2180536045199206</v>
      </c>
      <c r="BJ48" s="65">
        <f>IF(BJ47&gt;0,BJ46/BJ47,"")</f>
        <v>1.220535984428977</v>
      </c>
      <c r="BK48" s="65">
        <f>IF(BK47&gt;0,BK46/BK47,"")</f>
        <v>1.2229929651910352</v>
      </c>
      <c r="BL48" s="65">
        <f>IF(BL47&gt;0,BL46/BL47,"")</f>
        <v>1.2254946184668516</v>
      </c>
      <c r="BM48" s="65">
        <f>IF(BM47&gt;0,BM46/BM47,"")</f>
        <v>1.2280951258984358</v>
      </c>
      <c r="BN48" s="65">
        <f>IF(BN47&gt;0,BN46/BN47,"")</f>
        <v>1.230791540435768</v>
      </c>
      <c r="BO48" s="65">
        <f>IF(BO47&gt;0,BO46/BO47,"")</f>
        <v>1.2334626791960688</v>
      </c>
      <c r="BP48" s="65">
        <f>IF(BP47&gt;0,BP46/BP47,"")</f>
        <v>1.236175138363289</v>
      </c>
      <c r="BQ48" s="65">
        <f>IF(BQ47&gt;0,BQ46/BQ47,"")</f>
        <v>1.2389805222432067</v>
      </c>
      <c r="BR48" s="65">
        <f>IF(BR47&gt;0,BR46/BR47,"")</f>
        <v>1.2418765522716435</v>
      </c>
      <c r="BS48" s="65">
        <f>IF(BS47&gt;0,BS46/BS47,"")</f>
        <v>1.2447483777549908</v>
      </c>
      <c r="BT48" s="65">
        <f>IF(BT47&gt;0,BT46/BT47,"")</f>
        <v>1.2476595980540877</v>
      </c>
      <c r="BU48" s="65">
        <f>IF(BU47&gt;0,BU46/BU47,"")</f>
        <v>1.2506595527935576</v>
      </c>
      <c r="BV48" s="65">
        <f>IF(BV47&gt;0,BV46/BV47,"")</f>
        <v>1.2537464743510578</v>
      </c>
      <c r="BW48" s="65">
        <f>IF(BW47&gt;0,BW46/BW47,"")</f>
        <v>1.256810892505547</v>
      </c>
      <c r="BX48" s="65">
        <f>IF(BX47&gt;0,BX46/BX47,"")</f>
        <v>1.259913817359153</v>
      </c>
      <c r="BY48" s="65">
        <f>IF(BY47&gt;0,BY46/BY47,"")</f>
        <v>1.26310259963303</v>
      </c>
      <c r="BZ48" s="65">
        <f>IF(BZ47&gt;0,BZ46/BZ47,"")</f>
        <v>1.2663758746105171</v>
      </c>
      <c r="CA48" s="65">
        <f>IF(CA47&gt;0,CA46/CA47,"")</f>
        <v>1.2827868434059446</v>
      </c>
      <c r="CB48" s="65">
        <f>IF(CB47&gt;0,CB46/CB47,"")</f>
        <v>1.2991511121002006</v>
      </c>
      <c r="CC48" s="65">
        <f>IF(CC47&gt;0,CC46/CC47,"")</f>
        <v>1.3155153807944564</v>
      </c>
      <c r="CD48" s="65">
        <f>IF(CD47&gt;0,CD46/CD47,"")</f>
        <v>1.3318796494887122</v>
      </c>
      <c r="CE48" s="65">
        <f>IF(CE47&gt;0,CE46/CE47,"")</f>
        <v>1.3481389388286529</v>
      </c>
      <c r="CF48" s="65">
        <f>IF(CF47&gt;0,CF46/CF47,"")</f>
        <v>1.3643515629463574</v>
      </c>
      <c r="CG48" s="65">
        <f>IF(CG47&gt;0,CG46/CG47,"")</f>
        <v>1.380564187064062</v>
      </c>
      <c r="CH48" s="65">
        <f>IF(CH47&gt;0,CH46/CH47,"")</f>
        <v>1.3967768111817664</v>
      </c>
      <c r="CI48" s="65">
        <f>IF(CI47&gt;0,CI46/CI47,"")</f>
        <v>1.4128841693758851</v>
      </c>
      <c r="CJ48" s="65">
        <f>IF(CJ47&gt;0,CJ46/CJ47,"")</f>
        <v>1.4296875643334814</v>
      </c>
      <c r="CK48" s="65">
        <f>IF(CK47&gt;0,CK46/CK47,"")</f>
        <v>1.4464909592910777</v>
      </c>
      <c r="CL48" s="65">
        <f>IF(CL47&gt;0,CL46/CL47,"")</f>
        <v>1.4717463487350309</v>
      </c>
    </row>
    <row r="49" spans="2:4" x14ac:dyDescent="0.25">
      <c r="B49" s="47" t="s">
        <v>395</v>
      </c>
      <c r="C49" s="35" t="s">
        <v>228</v>
      </c>
      <c r="D49" s="14">
        <f>CL17</f>
        <v>0</v>
      </c>
    </row>
    <row r="51" spans="2:91" x14ac:dyDescent="0.25">
      <c r="B51" s="9" t="s">
        <v>396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3" spans="2:90" x14ac:dyDescent="0.25">
      <c r="B53" s="28" t="s">
        <v>96</v>
      </c>
      <c r="C53" s="28" t="s">
        <v>97</v>
      </c>
      <c r="D53" s="28" t="s">
        <v>98</v>
      </c>
      <c r="E53" s="33" t="s">
        <v>99</v>
      </c>
      <c r="F53" s="33" t="s">
        <v>100</v>
      </c>
      <c r="G53" s="33" t="s">
        <v>101</v>
      </c>
      <c r="H53" s="33" t="s">
        <v>102</v>
      </c>
      <c r="I53" s="33" t="s">
        <v>103</v>
      </c>
      <c r="J53" s="33" t="s">
        <v>104</v>
      </c>
      <c r="K53" s="33" t="s">
        <v>105</v>
      </c>
      <c r="L53" s="33" t="s">
        <v>106</v>
      </c>
      <c r="M53" s="33" t="s">
        <v>107</v>
      </c>
      <c r="N53" s="33" t="s">
        <v>108</v>
      </c>
      <c r="O53" s="33" t="s">
        <v>109</v>
      </c>
      <c r="P53" s="33" t="s">
        <v>110</v>
      </c>
      <c r="Q53" s="33" t="s">
        <v>111</v>
      </c>
      <c r="R53" s="33" t="s">
        <v>112</v>
      </c>
      <c r="S53" s="33" t="s">
        <v>113</v>
      </c>
      <c r="T53" s="33" t="s">
        <v>114</v>
      </c>
      <c r="U53" s="33" t="s">
        <v>115</v>
      </c>
      <c r="V53" s="33" t="s">
        <v>116</v>
      </c>
      <c r="W53" s="33" t="s">
        <v>117</v>
      </c>
      <c r="X53" s="33" t="s">
        <v>118</v>
      </c>
      <c r="Y53" s="33" t="s">
        <v>119</v>
      </c>
      <c r="Z53" s="33" t="s">
        <v>120</v>
      </c>
      <c r="AA53" s="33" t="s">
        <v>121</v>
      </c>
      <c r="AB53" s="33" t="s">
        <v>122</v>
      </c>
      <c r="AC53" s="33" t="s">
        <v>123</v>
      </c>
      <c r="AD53" s="33" t="s">
        <v>124</v>
      </c>
      <c r="AE53" s="33" t="s">
        <v>125</v>
      </c>
      <c r="AF53" s="33" t="s">
        <v>126</v>
      </c>
      <c r="AG53" s="33" t="s">
        <v>127</v>
      </c>
      <c r="AH53" s="33" t="s">
        <v>128</v>
      </c>
      <c r="AI53" s="33" t="s">
        <v>129</v>
      </c>
      <c r="AJ53" s="33" t="s">
        <v>130</v>
      </c>
      <c r="AK53" s="33" t="s">
        <v>131</v>
      </c>
      <c r="AL53" s="33" t="s">
        <v>132</v>
      </c>
      <c r="AM53" s="33" t="s">
        <v>133</v>
      </c>
      <c r="AN53" s="33" t="s">
        <v>134</v>
      </c>
      <c r="AO53" s="33" t="s">
        <v>135</v>
      </c>
      <c r="AP53" s="33" t="s">
        <v>136</v>
      </c>
      <c r="AQ53" s="33" t="s">
        <v>137</v>
      </c>
      <c r="AR53" s="33" t="s">
        <v>138</v>
      </c>
      <c r="AS53" s="33" t="s">
        <v>139</v>
      </c>
      <c r="AT53" s="33" t="s">
        <v>140</v>
      </c>
      <c r="AU53" s="33" t="s">
        <v>141</v>
      </c>
      <c r="AV53" s="33" t="s">
        <v>142</v>
      </c>
      <c r="AW53" s="33" t="s">
        <v>143</v>
      </c>
      <c r="AX53" s="33" t="s">
        <v>144</v>
      </c>
      <c r="AY53" s="33" t="s">
        <v>145</v>
      </c>
      <c r="AZ53" s="33" t="s">
        <v>146</v>
      </c>
      <c r="BA53" s="33" t="s">
        <v>147</v>
      </c>
      <c r="BB53" s="33" t="s">
        <v>148</v>
      </c>
      <c r="BC53" s="33" t="s">
        <v>149</v>
      </c>
      <c r="BD53" s="33" t="s">
        <v>150</v>
      </c>
      <c r="BE53" s="33" t="s">
        <v>151</v>
      </c>
      <c r="BF53" s="33" t="s">
        <v>152</v>
      </c>
      <c r="BG53" s="33" t="s">
        <v>153</v>
      </c>
      <c r="BH53" s="33" t="s">
        <v>154</v>
      </c>
      <c r="BI53" s="33" t="s">
        <v>155</v>
      </c>
      <c r="BJ53" s="33" t="s">
        <v>156</v>
      </c>
      <c r="BK53" s="33" t="s">
        <v>157</v>
      </c>
      <c r="BL53" s="33" t="s">
        <v>158</v>
      </c>
      <c r="BM53" s="33" t="s">
        <v>159</v>
      </c>
      <c r="BN53" s="33" t="s">
        <v>160</v>
      </c>
      <c r="BO53" s="33" t="s">
        <v>161</v>
      </c>
      <c r="BP53" s="33" t="s">
        <v>162</v>
      </c>
      <c r="BQ53" s="33" t="s">
        <v>163</v>
      </c>
      <c r="BR53" s="33" t="s">
        <v>164</v>
      </c>
      <c r="BS53" s="33" t="s">
        <v>165</v>
      </c>
      <c r="BT53" s="33" t="s">
        <v>166</v>
      </c>
      <c r="BU53" s="33" t="s">
        <v>167</v>
      </c>
      <c r="BV53" s="33" t="s">
        <v>168</v>
      </c>
      <c r="BW53" s="33" t="s">
        <v>169</v>
      </c>
      <c r="BX53" s="33" t="s">
        <v>170</v>
      </c>
      <c r="BY53" s="33" t="s">
        <v>171</v>
      </c>
      <c r="BZ53" s="33" t="s">
        <v>172</v>
      </c>
      <c r="CA53" s="33" t="s">
        <v>173</v>
      </c>
      <c r="CB53" s="33" t="s">
        <v>174</v>
      </c>
      <c r="CC53" s="33" t="s">
        <v>175</v>
      </c>
      <c r="CD53" s="33" t="s">
        <v>176</v>
      </c>
      <c r="CE53" s="33" t="s">
        <v>177</v>
      </c>
      <c r="CF53" s="33" t="s">
        <v>178</v>
      </c>
      <c r="CG53" s="33" t="s">
        <v>179</v>
      </c>
      <c r="CH53" s="33" t="s">
        <v>180</v>
      </c>
      <c r="CI53" s="33" t="s">
        <v>181</v>
      </c>
      <c r="CJ53" s="33" t="s">
        <v>182</v>
      </c>
      <c r="CK53" s="33" t="s">
        <v>183</v>
      </c>
      <c r="CL53" s="33" t="s">
        <v>184</v>
      </c>
    </row>
    <row r="55" spans="2:90" x14ac:dyDescent="0.25">
      <c r="B55" s="34" t="s">
        <v>397</v>
      </c>
      <c r="C55" s="35" t="s">
        <v>228</v>
      </c>
      <c r="D55" s="32">
        <f>SUM(E55:CL55)</f>
        <v>15000</v>
      </c>
      <c r="E55" s="32">
        <f>'Debt'!E14</f>
        <v>14106.900000000005</v>
      </c>
      <c r="F55" s="32">
        <f>'Debt'!F14-'Debt'!E14</f>
        <v>893.0999999999949</v>
      </c>
      <c r="G55" s="32">
        <f>'Debt'!G14-'Debt'!F14</f>
        <v>0</v>
      </c>
      <c r="H55" s="32">
        <f>'Debt'!H14-'Debt'!G14</f>
        <v>0</v>
      </c>
      <c r="I55" s="32">
        <f>'Debt'!I14-'Debt'!H14</f>
        <v>0</v>
      </c>
      <c r="J55" s="32">
        <f>'Debt'!J14-'Debt'!I14</f>
        <v>0</v>
      </c>
      <c r="K55" s="32">
        <f>'Debt'!K14-'Debt'!J14</f>
        <v>0</v>
      </c>
      <c r="L55" s="32">
        <f>'Debt'!L14-'Debt'!K14</f>
        <v>0</v>
      </c>
      <c r="M55" s="32">
        <f>'Debt'!M14-'Debt'!L14</f>
        <v>0</v>
      </c>
      <c r="N55" s="32">
        <f>'Debt'!N14-'Debt'!M14</f>
        <v>0</v>
      </c>
      <c r="O55" s="32">
        <f>'Debt'!O14-'Debt'!N14</f>
        <v>0</v>
      </c>
      <c r="P55" s="32">
        <f>'Debt'!P14-'Debt'!O14</f>
        <v>0</v>
      </c>
      <c r="Q55" s="32">
        <f>'Debt'!Q14-'Debt'!P14</f>
        <v>0</v>
      </c>
      <c r="R55" s="32">
        <f>'Debt'!R14-'Debt'!Q14</f>
        <v>0</v>
      </c>
      <c r="S55" s="32">
        <f>'Debt'!S14-'Debt'!R14</f>
        <v>0</v>
      </c>
      <c r="T55" s="32">
        <f>'Debt'!T14-'Debt'!S14</f>
        <v>0</v>
      </c>
      <c r="U55" s="32">
        <f>'Debt'!U14-'Debt'!T14</f>
        <v>0</v>
      </c>
      <c r="V55" s="32">
        <f>'Debt'!V14-'Debt'!U14</f>
        <v>0</v>
      </c>
      <c r="W55" s="32">
        <f>'Debt'!W14-'Debt'!V14</f>
        <v>0</v>
      </c>
      <c r="X55" s="32">
        <f>'Debt'!X14-'Debt'!W14</f>
        <v>0</v>
      </c>
      <c r="Y55" s="32">
        <f>'Debt'!Y14-'Debt'!X14</f>
        <v>0</v>
      </c>
      <c r="Z55" s="32">
        <f>'Debt'!Z14-'Debt'!Y14</f>
        <v>0</v>
      </c>
      <c r="AA55" s="32">
        <f>'Debt'!AA14-'Debt'!Z14</f>
        <v>0</v>
      </c>
      <c r="AB55" s="32">
        <f>'Debt'!AB14-'Debt'!AA14</f>
        <v>0</v>
      </c>
      <c r="AC55" s="32">
        <f>'Debt'!AC14-'Debt'!AB14</f>
        <v>0</v>
      </c>
      <c r="AD55" s="32">
        <f>'Debt'!AD14-'Debt'!AC14</f>
        <v>0</v>
      </c>
      <c r="AE55" s="32">
        <f>'Debt'!AE14-'Debt'!AD14</f>
        <v>0</v>
      </c>
      <c r="AF55" s="32">
        <f>'Debt'!AF14-'Debt'!AE14</f>
        <v>0</v>
      </c>
      <c r="AG55" s="32">
        <f>'Debt'!AG14-'Debt'!AF14</f>
        <v>0</v>
      </c>
      <c r="AH55" s="32">
        <f>'Debt'!AH14-'Debt'!AG14</f>
        <v>0</v>
      </c>
      <c r="AI55" s="32">
        <f>'Debt'!AI14-'Debt'!AH14</f>
        <v>0</v>
      </c>
      <c r="AJ55" s="32">
        <f>'Debt'!AJ14-'Debt'!AI14</f>
        <v>0</v>
      </c>
      <c r="AK55" s="32">
        <f>'Debt'!AK14-'Debt'!AJ14</f>
        <v>0</v>
      </c>
      <c r="AL55" s="32">
        <f>'Debt'!AL14-'Debt'!AK14</f>
        <v>0</v>
      </c>
      <c r="AM55" s="32">
        <f>'Debt'!AM14-'Debt'!AL14</f>
        <v>0</v>
      </c>
      <c r="AN55" s="32">
        <f>'Debt'!AN14-'Debt'!AM14</f>
        <v>0</v>
      </c>
      <c r="AO55" s="32">
        <f>'Debt'!AO14-'Debt'!AN14</f>
        <v>0</v>
      </c>
      <c r="AP55" s="32">
        <f>'Debt'!AP14-'Debt'!AO14</f>
        <v>0</v>
      </c>
      <c r="AQ55" s="32">
        <f>'Debt'!AQ14-'Debt'!AP14</f>
        <v>0</v>
      </c>
      <c r="AR55" s="32">
        <f>'Debt'!AR14-'Debt'!AQ14</f>
        <v>0</v>
      </c>
      <c r="AS55" s="32">
        <f>'Debt'!AS14-'Debt'!AR14</f>
        <v>0</v>
      </c>
      <c r="AT55" s="32">
        <f>'Debt'!AT14-'Debt'!AS14</f>
        <v>0</v>
      </c>
      <c r="AU55" s="32">
        <f>'Debt'!AU14-'Debt'!AT14</f>
        <v>0</v>
      </c>
      <c r="AV55" s="32">
        <f>'Debt'!AV14-'Debt'!AU14</f>
        <v>0</v>
      </c>
      <c r="AW55" s="32">
        <f>'Debt'!AW14-'Debt'!AV14</f>
        <v>0</v>
      </c>
      <c r="AX55" s="32">
        <f>'Debt'!AX14-'Debt'!AW14</f>
        <v>0</v>
      </c>
      <c r="AY55" s="32">
        <f>'Debt'!AY14-'Debt'!AX14</f>
        <v>0</v>
      </c>
      <c r="AZ55" s="32">
        <f>'Debt'!AZ14-'Debt'!AY14</f>
        <v>0</v>
      </c>
      <c r="BA55" s="32">
        <f>'Debt'!BA14-'Debt'!AZ14</f>
        <v>0</v>
      </c>
      <c r="BB55" s="32">
        <f>'Debt'!BB14-'Debt'!BA14</f>
        <v>0</v>
      </c>
      <c r="BC55" s="32">
        <f>'Debt'!BC14-'Debt'!BB14</f>
        <v>0</v>
      </c>
      <c r="BD55" s="32">
        <f>'Debt'!BD14-'Debt'!BC14</f>
        <v>0</v>
      </c>
      <c r="BE55" s="32">
        <f>'Debt'!BE14-'Debt'!BD14</f>
        <v>0</v>
      </c>
      <c r="BF55" s="32">
        <f>'Debt'!BF14-'Debt'!BE14</f>
        <v>0</v>
      </c>
      <c r="BG55" s="32">
        <f>'Debt'!BG14-'Debt'!BF14</f>
        <v>0</v>
      </c>
      <c r="BH55" s="32">
        <f>'Debt'!BH14-'Debt'!BG14</f>
        <v>0</v>
      </c>
      <c r="BI55" s="32">
        <f>'Debt'!BI14-'Debt'!BH14</f>
        <v>0</v>
      </c>
      <c r="BJ55" s="32">
        <f>'Debt'!BJ14-'Debt'!BI14</f>
        <v>0</v>
      </c>
      <c r="BK55" s="32">
        <f>'Debt'!BK14-'Debt'!BJ14</f>
        <v>0</v>
      </c>
      <c r="BL55" s="32">
        <f>'Debt'!BL14-'Debt'!BK14</f>
        <v>0</v>
      </c>
      <c r="BM55" s="32">
        <f>'Debt'!BM14-'Debt'!BL14</f>
        <v>0</v>
      </c>
      <c r="BN55" s="32">
        <f>'Debt'!BN14-'Debt'!BM14</f>
        <v>0</v>
      </c>
      <c r="BO55" s="32">
        <f>'Debt'!BO14-'Debt'!BN14</f>
        <v>0</v>
      </c>
      <c r="BP55" s="32">
        <f>'Debt'!BP14-'Debt'!BO14</f>
        <v>0</v>
      </c>
      <c r="BQ55" s="32">
        <f>'Debt'!BQ14-'Debt'!BP14</f>
        <v>0</v>
      </c>
      <c r="BR55" s="32">
        <f>'Debt'!BR14-'Debt'!BQ14</f>
        <v>0</v>
      </c>
      <c r="BS55" s="32">
        <f>'Debt'!BS14-'Debt'!BR14</f>
        <v>0</v>
      </c>
      <c r="BT55" s="32">
        <f>'Debt'!BT14-'Debt'!BS14</f>
        <v>0</v>
      </c>
      <c r="BU55" s="32">
        <f>'Debt'!BU14-'Debt'!BT14</f>
        <v>0</v>
      </c>
      <c r="BV55" s="32">
        <f>'Debt'!BV14-'Debt'!BU14</f>
        <v>0</v>
      </c>
      <c r="BW55" s="32">
        <f>'Debt'!BW14-'Debt'!BV14</f>
        <v>0</v>
      </c>
      <c r="BX55" s="32">
        <f>'Debt'!BX14-'Debt'!BW14</f>
        <v>0</v>
      </c>
      <c r="BY55" s="32">
        <f>'Debt'!BY14-'Debt'!BX14</f>
        <v>0</v>
      </c>
      <c r="BZ55" s="32">
        <f>'Debt'!BZ14-'Debt'!BY14</f>
        <v>0</v>
      </c>
      <c r="CA55" s="32">
        <f>'Debt'!CA14-'Debt'!BZ14</f>
        <v>0</v>
      </c>
      <c r="CB55" s="32">
        <f>'Debt'!CB14-'Debt'!CA14</f>
        <v>0</v>
      </c>
      <c r="CC55" s="32">
        <f>'Debt'!CC14-'Debt'!CB14</f>
        <v>0</v>
      </c>
      <c r="CD55" s="32">
        <f>'Debt'!CD14-'Debt'!CC14</f>
        <v>0</v>
      </c>
      <c r="CE55" s="32">
        <f>'Debt'!CE14-'Debt'!CD14</f>
        <v>0</v>
      </c>
      <c r="CF55" s="32">
        <f>'Debt'!CF14-'Debt'!CE14</f>
        <v>0</v>
      </c>
      <c r="CG55" s="32">
        <f>'Debt'!CG14-'Debt'!CF14</f>
        <v>0</v>
      </c>
      <c r="CH55" s="32">
        <f>'Debt'!CH14-'Debt'!CG14</f>
        <v>0</v>
      </c>
      <c r="CI55" s="32">
        <f>'Debt'!CI14-'Debt'!CH14</f>
        <v>0</v>
      </c>
      <c r="CJ55" s="32">
        <f>'Debt'!CJ14-'Debt'!CI14</f>
        <v>0</v>
      </c>
      <c r="CK55" s="32">
        <f>'Debt'!CK14-'Debt'!CJ14</f>
        <v>0</v>
      </c>
      <c r="CL55" s="32">
        <f>'Debt'!CL14-'Debt'!CK14</f>
        <v>0</v>
      </c>
    </row>
    <row r="56" spans="2:90" x14ac:dyDescent="0.25">
      <c r="B56" s="34" t="s">
        <v>398</v>
      </c>
      <c r="C56" s="35" t="s">
        <v>228</v>
      </c>
      <c r="E56" s="32">
        <f>'Revenue'!E14-'Opex'!E10+'IS(Q)'!E28+'IS(Q)'!E18+'Revenue'!E19-('Debt'!E8)</f>
        <v>-14106.900000000005</v>
      </c>
      <c r="F56" s="32">
        <f>'Revenue'!F14-'Opex'!F10+'IS(Q)'!F28+'IS(Q)'!F18+'Revenue'!F19-('Debt'!F8)</f>
        <v>-21160.350000000006</v>
      </c>
      <c r="G56" s="32">
        <f>'Revenue'!G14-'Opex'!G10+'IS(Q)'!G28+'IS(Q)'!G18+'Revenue'!G19-('Debt'!G8)</f>
        <v>-28213.80000000001</v>
      </c>
      <c r="H56" s="32">
        <f>'Revenue'!H14-'Opex'!H10+'IS(Q)'!H28+'IS(Q)'!H18+'Revenue'!H19-('Debt'!H8)</f>
        <v>-35267.25000000001</v>
      </c>
      <c r="I56" s="32">
        <f>'Revenue'!I14-'Opex'!I10+'IS(Q)'!I28+'IS(Q)'!I18+'Revenue'!I19-('Debt'!I8)</f>
        <v>-28213.80000000001</v>
      </c>
      <c r="J56" s="32">
        <f>'Revenue'!J14-'Opex'!J10+'IS(Q)'!J28+'IS(Q)'!J18+'Revenue'!J19-('Debt'!J8)</f>
        <v>-14106.900000000005</v>
      </c>
      <c r="K56" s="32">
        <f>'Revenue'!K14-'Opex'!K10+'IS(Q)'!K28+'IS(Q)'!K18+'Revenue'!K19-('Debt'!K8)</f>
        <v>2200.255563805558</v>
      </c>
      <c r="L56" s="32">
        <f>'Revenue'!L14-'Opex'!L10+'IS(Q)'!L28+'IS(Q)'!L18+'Revenue'!L19-('Debt'!L8)</f>
        <v>3958.8642997611537</v>
      </c>
      <c r="M56" s="32">
        <f>'Revenue'!M14-'Opex'!M10+'IS(Q)'!M28+'IS(Q)'!M18+'Revenue'!M19-('Debt'!M8)</f>
        <v>3958.8642997611537</v>
      </c>
      <c r="N56" s="32">
        <f>'Revenue'!N14-'Opex'!N10+'IS(Q)'!N28+'IS(Q)'!N18+'Revenue'!N19-('Debt'!N8)</f>
        <v>3958.8642997611537</v>
      </c>
      <c r="O56" s="32">
        <f>'Revenue'!O14-'Opex'!O10+'IS(Q)'!O28+'IS(Q)'!O18+'Revenue'!O19-('Debt'!O8)</f>
        <v>3939.7676985462695</v>
      </c>
      <c r="P56" s="32">
        <f>'Revenue'!P14-'Opex'!P10+'IS(Q)'!P28+'IS(Q)'!P18+'Revenue'!P19-('Debt'!P8)</f>
        <v>3925.164162554941</v>
      </c>
      <c r="Q56" s="32">
        <f>'Revenue'!Q14-'Opex'!Q10+'IS(Q)'!Q28+'IS(Q)'!Q18+'Revenue'!Q19-('Debt'!Q8)</f>
        <v>3919.450474348797</v>
      </c>
      <c r="R56" s="32">
        <f>'Revenue'!R14-'Opex'!R10+'IS(Q)'!R28+'IS(Q)'!R18+'Revenue'!R19-('Debt'!R8)</f>
        <v>3913.7367861426524</v>
      </c>
      <c r="S56" s="32">
        <f>'Revenue'!S14-'Opex'!S10+'IS(Q)'!S28+'IS(Q)'!S18+'Revenue'!S19-('Debt'!S8)</f>
        <v>3888.879139516155</v>
      </c>
      <c r="T56" s="32">
        <f>'Revenue'!T14-'Opex'!T10+'IS(Q)'!T28+'IS(Q)'!T18+'Revenue'!T19-('Debt'!T8)</f>
        <v>3874.257901686055</v>
      </c>
      <c r="U56" s="32">
        <f>'Revenue'!U14-'Opex'!U10+'IS(Q)'!U28+'IS(Q)'!U18+'Revenue'!U19-('Debt'!U8)</f>
        <v>3868.5428607761123</v>
      </c>
      <c r="V56" s="32">
        <f>'Revenue'!V14-'Opex'!V10+'IS(Q)'!V28+'IS(Q)'!V18+'Revenue'!V19-('Debt'!V8)</f>
        <v>3862.827819866169</v>
      </c>
      <c r="W56" s="32">
        <f>'Revenue'!W14-'Opex'!W10+'IS(Q)'!W28+'IS(Q)'!W18+'Revenue'!W19-('Debt'!W8)</f>
        <v>3837.921950917026</v>
      </c>
      <c r="X56" s="32">
        <f>'Revenue'!X14-'Opex'!X10+'IS(Q)'!X28+'IS(Q)'!X18+'Revenue'!X19-('Debt'!X8)</f>
        <v>3823.3027331583694</v>
      </c>
      <c r="Y56" s="32">
        <f>'Revenue'!Y14-'Opex'!Y10+'IS(Q)'!Y28+'IS(Q)'!Y18+'Revenue'!Y19-('Debt'!Y8)</f>
        <v>3817.5866061141464</v>
      </c>
      <c r="Z56" s="32">
        <f>'Revenue'!Z14-'Opex'!Z10+'IS(Q)'!Z28+'IS(Q)'!Z18+'Revenue'!Z19-('Debt'!Z8)</f>
        <v>3811.8704790699235</v>
      </c>
      <c r="AA56" s="32">
        <f>'Revenue'!AA14-'Opex'!AA10+'IS(Q)'!AA28+'IS(Q)'!AA18+'Revenue'!AA19-('Debt'!AA8)</f>
        <v>3786.91597447782</v>
      </c>
      <c r="AB56" s="32">
        <f>'Revenue'!AB14-'Opex'!AB10+'IS(Q)'!AB28+'IS(Q)'!AB18+'Revenue'!AB19-('Debt'!AB8)</f>
        <v>3772.298401555849</v>
      </c>
      <c r="AC56" s="32">
        <f>'Revenue'!AC14-'Opex'!AC10+'IS(Q)'!AC28+'IS(Q)'!AC18+'Revenue'!AC19-('Debt'!AC8)</f>
        <v>3766.5813832230965</v>
      </c>
      <c r="AD56" s="32">
        <f>'Revenue'!AD14-'Opex'!AD10+'IS(Q)'!AD28+'IS(Q)'!AD18+'Revenue'!AD19-('Debt'!AD8)</f>
        <v>3760.8643648903435</v>
      </c>
      <c r="AE56" s="32">
        <f>'Revenue'!AE14-'Opex'!AE10+'IS(Q)'!AE28+'IS(Q)'!AE18+'Revenue'!AE19-('Debt'!AE8)</f>
        <v>3735.860828640193</v>
      </c>
      <c r="AF56" s="32">
        <f>'Revenue'!AF14-'Opex'!AF10+'IS(Q)'!AF28+'IS(Q)'!AF18+'Revenue'!AF19-('Debt'!AF8)</f>
        <v>3721.2446211853166</v>
      </c>
      <c r="AG56" s="32">
        <f>'Revenue'!AG14-'Opex'!AG10+'IS(Q)'!AG28+'IS(Q)'!AG18+'Revenue'!AG19-('Debt'!AG8)</f>
        <v>3715.5268582991325</v>
      </c>
      <c r="AH56" s="32">
        <f>'Revenue'!AH14-'Opex'!AH10+'IS(Q)'!AH28+'IS(Q)'!AH18+'Revenue'!AH19-('Debt'!AH8)</f>
        <v>3709.809095412948</v>
      </c>
      <c r="AI56" s="32">
        <f>'Revenue'!AI14-'Opex'!AI10+'IS(Q)'!AI28+'IS(Q)'!AI18+'Revenue'!AI19-('Debt'!AI8)</f>
        <v>3684.7561422970375</v>
      </c>
      <c r="AJ56" s="32">
        <f>'Revenue'!AJ14-'Opex'!AJ10+'IS(Q)'!AJ28+'IS(Q)'!AJ18+'Revenue'!AJ19-('Debt'!AJ8)</f>
        <v>3670.1410866668093</v>
      </c>
      <c r="AK56" s="32">
        <f>'Revenue'!AK14-'Opex'!AK10+'IS(Q)'!AK28+'IS(Q)'!AK18+'Revenue'!AK19-('Debt'!AK8)</f>
        <v>3664.422692486261</v>
      </c>
      <c r="AL56" s="32">
        <f>'Revenue'!AL14-'Opex'!AL10+'IS(Q)'!AL28+'IS(Q)'!AL18+'Revenue'!AL19-('Debt'!AL8)</f>
        <v>3658.704298305712</v>
      </c>
      <c r="AM56" s="32">
        <f>'Revenue'!AM14-'Opex'!AM10+'IS(Q)'!AM28+'IS(Q)'!AM18+'Revenue'!AM19-('Debt'!AM8)</f>
        <v>3633.6015498900992</v>
      </c>
      <c r="AN56" s="32">
        <f>'Revenue'!AN14-'Opex'!AN10+'IS(Q)'!AN28+'IS(Q)'!AN18+'Revenue'!AN19-('Debt'!AN8)</f>
        <v>3618.987479026091</v>
      </c>
      <c r="AO56" s="32">
        <f>'Revenue'!AO14-'Opex'!AO10+'IS(Q)'!AO28+'IS(Q)'!AO18+'Revenue'!AO19-('Debt'!AO8)</f>
        <v>3613.268542797525</v>
      </c>
      <c r="AP56" s="32">
        <f>'Revenue'!AP14-'Opex'!AP10+'IS(Q)'!AP28+'IS(Q)'!AP18+'Revenue'!AP19-('Debt'!AP8)</f>
        <v>3607.549606568959</v>
      </c>
      <c r="AQ56" s="32">
        <f>'Revenue'!AQ14-'Opex'!AQ10+'IS(Q)'!AQ28+'IS(Q)'!AQ18+'Revenue'!AQ19-('Debt'!AQ8)</f>
        <v>3582.396688579137</v>
      </c>
      <c r="AR56" s="32">
        <f>'Revenue'!AR14-'Opex'!AR10+'IS(Q)'!AR28+'IS(Q)'!AR18+'Revenue'!AR19-('Debt'!AR8)</f>
        <v>3567.7834693674886</v>
      </c>
      <c r="AS56" s="32">
        <f>'Revenue'!AS14-'Opex'!AS10+'IS(Q)'!AS28+'IS(Q)'!AS18+'Revenue'!AS19-('Debt'!AS8)</f>
        <v>3562.0640626646004</v>
      </c>
      <c r="AT56" s="32">
        <f>'Revenue'!AT14-'Opex'!AT10+'IS(Q)'!AT28+'IS(Q)'!AT18+'Revenue'!AT19-('Debt'!AT8)</f>
        <v>3556.3446559617123</v>
      </c>
      <c r="AU56" s="32">
        <f>'Revenue'!AU14-'Opex'!AU10+'IS(Q)'!AU28+'IS(Q)'!AU18+'Revenue'!AU19-('Debt'!AU8)</f>
        <v>3531.1411965254065</v>
      </c>
      <c r="AV56" s="32">
        <f>'Revenue'!AV14-'Opex'!AV10+'IS(Q)'!AV28+'IS(Q)'!AV18+'Revenue'!AV19-('Debt'!AV8)</f>
        <v>3516.5287211757945</v>
      </c>
      <c r="AW56" s="32">
        <f>'Revenue'!AW14-'Opex'!AW10+'IS(Q)'!AW28+'IS(Q)'!AW18+'Revenue'!AW19-('Debt'!AW8)</f>
        <v>3510.8089022768054</v>
      </c>
      <c r="AX56" s="32">
        <f>'Revenue'!AX14-'Opex'!AX10+'IS(Q)'!AX28+'IS(Q)'!AX18+'Revenue'!AX19-('Debt'!AX8)</f>
        <v>3505.0890833778167</v>
      </c>
      <c r="AY56" s="32">
        <f>'Revenue'!AY14-'Opex'!AY10+'IS(Q)'!AY28+'IS(Q)'!AY18+'Revenue'!AY19-('Debt'!AY8)</f>
        <v>3479.8347118064216</v>
      </c>
      <c r="AZ56" s="32">
        <f>'Revenue'!AZ14-'Opex'!AZ10+'IS(Q)'!AZ28+'IS(Q)'!AZ18+'Revenue'!AZ19-('Debt'!AZ8)</f>
        <v>3465.2228918067594</v>
      </c>
      <c r="BA56" s="32">
        <f>'Revenue'!BA14-'Opex'!BA10+'IS(Q)'!BA28+'IS(Q)'!BA18+'Revenue'!BA19-('Debt'!BA8)</f>
        <v>3459.502708795435</v>
      </c>
      <c r="BB56" s="32">
        <f>'Revenue'!BB14-'Opex'!BB10+'IS(Q)'!BB28+'IS(Q)'!BB18+'Revenue'!BB19-('Debt'!BB8)</f>
        <v>3453.7825257841105</v>
      </c>
      <c r="BC56" s="32">
        <f>'Revenue'!BC14-'Opex'!BC10+'IS(Q)'!BC28+'IS(Q)'!BC18+'Revenue'!BC19-('Debt'!BC8)</f>
        <v>3428.476871704288</v>
      </c>
      <c r="BD56" s="32">
        <f>'Revenue'!BD14-'Opex'!BD10+'IS(Q)'!BD28+'IS(Q)'!BD18+'Revenue'!BD19-('Debt'!BD8)</f>
        <v>3413.8656334790694</v>
      </c>
      <c r="BE56" s="32">
        <f>'Revenue'!BE14-'Opex'!BE10+'IS(Q)'!BE28+'IS(Q)'!BE18+'Revenue'!BE19-('Debt'!BE8)</f>
        <v>3408.1451264914544</v>
      </c>
      <c r="BF56" s="32">
        <f>'Revenue'!BF14-'Opex'!BF10+'IS(Q)'!BF28+'IS(Q)'!BF18+'Revenue'!BF19-('Debt'!BF8)</f>
        <v>3402.4246195038395</v>
      </c>
      <c r="BG56" s="32">
        <f>'Revenue'!BG14-'Opex'!BG10+'IS(Q)'!BG28+'IS(Q)'!BG18+'Revenue'!BG19-('Debt'!BG8)</f>
        <v>3377.067312223464</v>
      </c>
      <c r="BH56" s="32">
        <f>'Revenue'!BH14-'Opex'!BH10+'IS(Q)'!BH28+'IS(Q)'!BH18+'Revenue'!BH19-('Debt'!BH8)</f>
        <v>3362.456593949988</v>
      </c>
      <c r="BI56" s="32">
        <f>'Revenue'!BI14-'Opex'!BI10+'IS(Q)'!BI28+'IS(Q)'!BI18+'Revenue'!BI19-('Debt'!BI8)</f>
        <v>3356.7357968345214</v>
      </c>
      <c r="BJ56" s="32">
        <f>'Revenue'!BJ14-'Opex'!BJ10+'IS(Q)'!BJ28+'IS(Q)'!BJ18+'Revenue'!BJ19-('Debt'!BJ8)</f>
        <v>3351.014999719055</v>
      </c>
      <c r="BK56" s="32">
        <f>'Revenue'!BK14-'Opex'!BK10+'IS(Q)'!BK28+'IS(Q)'!BK18+'Revenue'!BK19-('Debt'!BK8)</f>
        <v>3325.6056677540523</v>
      </c>
      <c r="BL56" s="32">
        <f>'Revenue'!BL14-'Opex'!BL10+'IS(Q)'!BL28+'IS(Q)'!BL18+'Revenue'!BL19-('Debt'!BL8)</f>
        <v>3310.995416984512</v>
      </c>
      <c r="BM56" s="32">
        <f>'Revenue'!BM14-'Opex'!BM10+'IS(Q)'!BM28+'IS(Q)'!BM18+'Revenue'!BM19-('Debt'!BM8)</f>
        <v>3305.274358550199</v>
      </c>
      <c r="BN56" s="32">
        <f>'Revenue'!BN14-'Opex'!BN10+'IS(Q)'!BN28+'IS(Q)'!BN18+'Revenue'!BN19-('Debt'!BN8)</f>
        <v>3299.5533001158865</v>
      </c>
      <c r="BO56" s="32">
        <f>'Revenue'!BO14-'Opex'!BO10+'IS(Q)'!BO28+'IS(Q)'!BO18+'Revenue'!BO19-('Debt'!BO8)</f>
        <v>3274.0915708300254</v>
      </c>
      <c r="BP56" s="32">
        <f>'Revenue'!BP14-'Opex'!BP10+'IS(Q)'!BP28+'IS(Q)'!BP18+'Revenue'!BP19-('Debt'!BP8)</f>
        <v>3259.481742686357</v>
      </c>
      <c r="BQ56" s="32">
        <f>'Revenue'!BQ14-'Opex'!BQ10+'IS(Q)'!BQ28+'IS(Q)'!BQ18+'Revenue'!BQ19-('Debt'!BQ8)</f>
        <v>3253.760447655862</v>
      </c>
      <c r="BR56" s="32">
        <f>'Revenue'!BR14-'Opex'!BR10+'IS(Q)'!BR28+'IS(Q)'!BR18+'Revenue'!BR19-('Debt'!BR8)</f>
        <v>3248.0391526253675</v>
      </c>
      <c r="BS56" s="32">
        <f>'Revenue'!BS14-'Opex'!BS10+'IS(Q)'!BS28+'IS(Q)'!BS18+'Revenue'!BS19-('Debt'!BS8)</f>
        <v>3222.524651950908</v>
      </c>
      <c r="BT56" s="32">
        <f>'Revenue'!BT14-'Opex'!BT10+'IS(Q)'!BT28+'IS(Q)'!BT18+'Revenue'!BT19-('Debt'!BT8)</f>
        <v>3207.915207734375</v>
      </c>
      <c r="BU56" s="32">
        <f>'Revenue'!BU14-'Opex'!BU10+'IS(Q)'!BU28+'IS(Q)'!BU18+'Revenue'!BU19-('Debt'!BU8)</f>
        <v>3202.1936974819682</v>
      </c>
      <c r="BV56" s="32">
        <f>'Revenue'!BV14-'Opex'!BV10+'IS(Q)'!BV28+'IS(Q)'!BV18+'Revenue'!BV19-('Debt'!BV8)</f>
        <v>3196.472187229561</v>
      </c>
      <c r="BW56" s="32">
        <f>'Revenue'!BW14-'Opex'!BW10+'IS(Q)'!BW28+'IS(Q)'!BW18+'Revenue'!BW19-('Debt'!BW8)</f>
        <v>3170.904539446834</v>
      </c>
      <c r="BX56" s="32">
        <f>'Revenue'!BX14-'Opex'!BX10+'IS(Q)'!BX28+'IS(Q)'!BX18+'Revenue'!BX19-('Debt'!BX8)</f>
        <v>3156.295445552974</v>
      </c>
      <c r="BY56" s="32">
        <f>'Revenue'!BY14-'Opex'!BY10+'IS(Q)'!BY28+'IS(Q)'!BY18+'Revenue'!BY19-('Debt'!BY8)</f>
        <v>3150.5737386830915</v>
      </c>
      <c r="BZ56" s="32">
        <f>'Revenue'!BZ14-'Opex'!BZ10+'IS(Q)'!BZ28+'IS(Q)'!BZ18+'Revenue'!BZ19-('Debt'!BZ8)</f>
        <v>3144.8520318132087</v>
      </c>
      <c r="CA56" s="32">
        <f>'Revenue'!CA14-'Opex'!CA10+'IS(Q)'!CA28+'IS(Q)'!CA18+'Revenue'!CA19-('Debt'!CA8)</f>
        <v>3119.2308593738253</v>
      </c>
      <c r="CB56" s="32">
        <f>'Revenue'!CB14-'Opex'!CB10+'IS(Q)'!CB28+'IS(Q)'!CB18+'Revenue'!CB19-('Debt'!CB8)</f>
        <v>3110.354576777292</v>
      </c>
      <c r="CC56" s="32">
        <f>'Revenue'!CC14-'Opex'!CC10+'IS(Q)'!CC28+'IS(Q)'!CC18+'Revenue'!CC19-('Debt'!CC8)</f>
        <v>3110.354576777292</v>
      </c>
      <c r="CD56" s="32">
        <f>'Revenue'!CD14-'Opex'!CD10+'IS(Q)'!CD28+'IS(Q)'!CD18+'Revenue'!CD19-('Debt'!CD8)</f>
        <v>3110.354576777292</v>
      </c>
      <c r="CE56" s="32">
        <f>'Revenue'!CE14-'Opex'!CE10+'IS(Q)'!CE28+'IS(Q)'!CE18+'Revenue'!CE19-('Debt'!CE8)</f>
        <v>3090.401163565787</v>
      </c>
      <c r="CF56" s="32">
        <f>'Revenue'!CF14-'Opex'!CF10+'IS(Q)'!CF28+'IS(Q)'!CF18+'Revenue'!CF19-('Debt'!CF8)</f>
        <v>3081.531510404308</v>
      </c>
      <c r="CG56" s="32">
        <f>'Revenue'!CG14-'Opex'!CG10+'IS(Q)'!CG28+'IS(Q)'!CG18+'Revenue'!CG19-('Debt'!CG8)</f>
        <v>3081.531510404308</v>
      </c>
      <c r="CH56" s="32">
        <f>'Revenue'!CH14-'Opex'!CH10+'IS(Q)'!CH28+'IS(Q)'!CH18+'Revenue'!CH19-('Debt'!CH8)</f>
        <v>3081.531510404308</v>
      </c>
      <c r="CI56" s="32">
        <f>'Revenue'!CI14-'Opex'!CI10+'IS(Q)'!CI28+'IS(Q)'!CI18+'Revenue'!CI19-('Debt'!CI8)</f>
        <v>3061.523629006042</v>
      </c>
      <c r="CJ56" s="32">
        <f>'Revenue'!CJ14-'Opex'!CJ10+'IS(Q)'!CJ28+'IS(Q)'!CJ18+'Revenue'!CJ19-('Debt'!CJ8)</f>
        <v>3193.819252680817</v>
      </c>
      <c r="CK56" s="32">
        <f>'Revenue'!CK14-'Opex'!CK10+'IS(Q)'!CK28+'IS(Q)'!CK18+'Revenue'!CK19-('Debt'!CK8)</f>
        <v>3193.819252680817</v>
      </c>
      <c r="CL56" s="32">
        <f>'Revenue'!CL14-'Opex'!CL10+'IS(Q)'!CL28-$D$75*100+'IS(Q)'!CL18+'Revenue'!CL19-('Debt'!CL8)</f>
        <v>2800.288825180817</v>
      </c>
    </row>
    <row r="57" spans="2:90" x14ac:dyDescent="0.25">
      <c r="B57" s="34" t="s">
        <v>399</v>
      </c>
      <c r="C57" s="35" t="s">
        <v>228</v>
      </c>
      <c r="E57" s="32">
        <f>'Revenue'!E14-'Opex'!E10+'IS(Q)'!E18+'Revenue'!E19-('Debt'!E8)</f>
        <v>-14106.900000000005</v>
      </c>
      <c r="F57" s="32">
        <f>'Revenue'!F14-'Opex'!F10+'IS(Q)'!F18+'Revenue'!F19-('Debt'!F8)</f>
        <v>-21160.350000000006</v>
      </c>
      <c r="G57" s="32">
        <f>'Revenue'!G14-'Opex'!G10+'IS(Q)'!G18+'Revenue'!G19-('Debt'!G8)</f>
        <v>-28213.80000000001</v>
      </c>
      <c r="H57" s="32">
        <f>'Revenue'!H14-'Opex'!H10+'IS(Q)'!H18+'Revenue'!H19-('Debt'!H8)</f>
        <v>-35267.25000000001</v>
      </c>
      <c r="I57" s="32">
        <f>'Revenue'!I14-'Opex'!I10+'IS(Q)'!I18+'Revenue'!I19-('Debt'!I8)</f>
        <v>-28213.80000000001</v>
      </c>
      <c r="J57" s="32">
        <f>'Revenue'!J14-'Opex'!J10+'IS(Q)'!J18+'Revenue'!J19-('Debt'!J8)</f>
        <v>-14106.900000000005</v>
      </c>
      <c r="K57" s="32">
        <f>'Revenue'!K14-'Opex'!K10+'IS(Q)'!K18+'Revenue'!K19-('Debt'!K8)</f>
        <v>2305.2090000000003</v>
      </c>
      <c r="L57" s="32">
        <f>'Revenue'!L14-'Opex'!L10+'IS(Q)'!L18+'Revenue'!L19-('Debt'!L8)</f>
        <v>4080.3135</v>
      </c>
      <c r="M57" s="32">
        <f>'Revenue'!M14-'Opex'!M10+'IS(Q)'!M18+'Revenue'!M19-('Debt'!M8)</f>
        <v>4080.3135</v>
      </c>
      <c r="N57" s="32">
        <f>'Revenue'!N14-'Opex'!N10+'IS(Q)'!N18+'Revenue'!N19-('Debt'!N8)</f>
        <v>4080.3135</v>
      </c>
      <c r="O57" s="32">
        <f>'Revenue'!O14-'Opex'!O10+'IS(Q)'!O18+'Revenue'!O19-('Debt'!O8)</f>
        <v>4053.847455</v>
      </c>
      <c r="P57" s="32">
        <f>'Revenue'!P14-'Opex'!P10+'IS(Q)'!P18+'Revenue'!P19-('Debt'!P8)</f>
        <v>4044.9719325000005</v>
      </c>
      <c r="Q57" s="32">
        <f>'Revenue'!Q14-'Opex'!Q10+'IS(Q)'!Q18+'Revenue'!Q19-('Debt'!Q8)</f>
        <v>4044.9719325000005</v>
      </c>
      <c r="R57" s="32">
        <f>'Revenue'!R14-'Opex'!R10+'IS(Q)'!R18+'Revenue'!R19-('Debt'!R8)</f>
        <v>4044.9719325000005</v>
      </c>
      <c r="S57" s="32">
        <f>'Revenue'!S14-'Opex'!S10+'IS(Q)'!S18+'Revenue'!S19-('Debt'!S8)</f>
        <v>4018.444882500001</v>
      </c>
      <c r="T57" s="32">
        <f>'Revenue'!T14-'Opex'!T10+'IS(Q)'!T18+'Revenue'!T19-('Debt'!T8)</f>
        <v>4009.5693600000013</v>
      </c>
      <c r="U57" s="32">
        <f>'Revenue'!U14-'Opex'!U10+'IS(Q)'!U18+'Revenue'!U19-('Debt'!U8)</f>
        <v>4009.5693600000013</v>
      </c>
      <c r="V57" s="32">
        <f>'Revenue'!V14-'Opex'!V10+'IS(Q)'!V18+'Revenue'!V19-('Debt'!V8)</f>
        <v>4009.5693600000013</v>
      </c>
      <c r="W57" s="32">
        <f>'Revenue'!W14-'Opex'!W10+'IS(Q)'!W18+'Revenue'!W19-('Debt'!W8)</f>
        <v>3982.980877965001</v>
      </c>
      <c r="X57" s="32">
        <f>'Revenue'!X14-'Opex'!X10+'IS(Q)'!X18+'Revenue'!X19-('Debt'!X8)</f>
        <v>3974.105355465001</v>
      </c>
      <c r="Y57" s="32">
        <f>'Revenue'!Y14-'Opex'!Y10+'IS(Q)'!Y18+'Revenue'!Y19-('Debt'!Y8)</f>
        <v>3974.105355465001</v>
      </c>
      <c r="Z57" s="32">
        <f>'Revenue'!Z14-'Opex'!Z10+'IS(Q)'!Z18+'Revenue'!Z19-('Debt'!Z8)</f>
        <v>3974.105355465001</v>
      </c>
      <c r="AA57" s="32">
        <f>'Revenue'!AA14-'Opex'!AA10+'IS(Q)'!AA18+'Revenue'!AA19-('Debt'!AA8)</f>
        <v>3947.4550113707564</v>
      </c>
      <c r="AB57" s="32">
        <f>'Revenue'!AB14-'Opex'!AB10+'IS(Q)'!AB18+'Revenue'!AB19-('Debt'!AB8)</f>
        <v>3938.579488870756</v>
      </c>
      <c r="AC57" s="32">
        <f>'Revenue'!AC14-'Opex'!AC10+'IS(Q)'!AC18+'Revenue'!AC19-('Debt'!AC8)</f>
        <v>3938.579488870756</v>
      </c>
      <c r="AD57" s="32">
        <f>'Revenue'!AD14-'Opex'!AD10+'IS(Q)'!AD18+'Revenue'!AD19-('Debt'!AD8)</f>
        <v>3938.579488870756</v>
      </c>
      <c r="AE57" s="32">
        <f>'Revenue'!AE14-'Opex'!AE10+'IS(Q)'!AE18+'Revenue'!AE19-('Debt'!AE8)</f>
        <v>3911.8668496828514</v>
      </c>
      <c r="AF57" s="32">
        <f>'Revenue'!AF14-'Opex'!AF10+'IS(Q)'!AF18+'Revenue'!AF19-('Debt'!AF8)</f>
        <v>3902.991327182852</v>
      </c>
      <c r="AG57" s="32">
        <f>'Revenue'!AG14-'Opex'!AG10+'IS(Q)'!AG18+'Revenue'!AG19-('Debt'!AG8)</f>
        <v>3902.991327182852</v>
      </c>
      <c r="AH57" s="32">
        <f>'Revenue'!AH14-'Opex'!AH10+'IS(Q)'!AH18+'Revenue'!AH19-('Debt'!AH8)</f>
        <v>3902.991327182852</v>
      </c>
      <c r="AI57" s="32">
        <f>'Revenue'!AI14-'Opex'!AI10+'IS(Q)'!AI18+'Revenue'!AI19-('Debt'!AI8)</f>
        <v>3876.215956835632</v>
      </c>
      <c r="AJ57" s="32">
        <f>'Revenue'!AJ14-'Opex'!AJ10+'IS(Q)'!AJ18+'Revenue'!AJ19-('Debt'!AJ8)</f>
        <v>3867.3404343356315</v>
      </c>
      <c r="AK57" s="32">
        <f>'Revenue'!AK14-'Opex'!AK10+'IS(Q)'!AK18+'Revenue'!AK19-('Debt'!AK8)</f>
        <v>3867.3404343356315</v>
      </c>
      <c r="AL57" s="32">
        <f>'Revenue'!AL14-'Opex'!AL10+'IS(Q)'!AL18+'Revenue'!AL19-('Debt'!AL8)</f>
        <v>3867.3404343356315</v>
      </c>
      <c r="AM57" s="32">
        <f>'Revenue'!AM14-'Opex'!AM10+'IS(Q)'!AM18+'Revenue'!AM19-('Debt'!AM8)</f>
        <v>3840.5018937109803</v>
      </c>
      <c r="AN57" s="32">
        <f>'Revenue'!AN14-'Opex'!AN10+'IS(Q)'!AN18+'Revenue'!AN19-('Debt'!AN8)</f>
        <v>3831.6263712109803</v>
      </c>
      <c r="AO57" s="32">
        <f>'Revenue'!AO14-'Opex'!AO10+'IS(Q)'!AO18+'Revenue'!AO19-('Debt'!AO8)</f>
        <v>3831.6263712109803</v>
      </c>
      <c r="AP57" s="32">
        <f>'Revenue'!AP14-'Opex'!AP10+'IS(Q)'!AP18+'Revenue'!AP19-('Debt'!AP8)</f>
        <v>3831.6263712109803</v>
      </c>
      <c r="AQ57" s="32">
        <f>'Revenue'!AQ14-'Opex'!AQ10+'IS(Q)'!AQ18+'Revenue'!AQ19-('Debt'!AQ8)</f>
        <v>3804.7242181169577</v>
      </c>
      <c r="AR57" s="32">
        <f>'Revenue'!AR14-'Opex'!AR10+'IS(Q)'!AR18+'Revenue'!AR19-('Debt'!AR8)</f>
        <v>3795.8486956169572</v>
      </c>
      <c r="AS57" s="32">
        <f>'Revenue'!AS14-'Opex'!AS10+'IS(Q)'!AS18+'Revenue'!AS19-('Debt'!AS8)</f>
        <v>3795.8486956169572</v>
      </c>
      <c r="AT57" s="32">
        <f>'Revenue'!AT14-'Opex'!AT10+'IS(Q)'!AT18+'Revenue'!AT19-('Debt'!AT8)</f>
        <v>3795.8486956169572</v>
      </c>
      <c r="AU57" s="32">
        <f>'Revenue'!AU14-'Opex'!AU10+'IS(Q)'!AU18+'Revenue'!AU19-('Debt'!AU8)</f>
        <v>3768.8824847662763</v>
      </c>
      <c r="AV57" s="32">
        <f>'Revenue'!AV14-'Opex'!AV10+'IS(Q)'!AV18+'Revenue'!AV19-('Debt'!AV8)</f>
        <v>3760.006962266277</v>
      </c>
      <c r="AW57" s="32">
        <f>'Revenue'!AW14-'Opex'!AW10+'IS(Q)'!AW18+'Revenue'!AW19-('Debt'!AW8)</f>
        <v>3760.006962266277</v>
      </c>
      <c r="AX57" s="32">
        <f>'Revenue'!AX14-'Opex'!AX10+'IS(Q)'!AX18+'Revenue'!AX19-('Debt'!AX8)</f>
        <v>3760.006962266277</v>
      </c>
      <c r="AY57" s="32">
        <f>'Revenue'!AY14-'Opex'!AY10+'IS(Q)'!AY18+'Revenue'!AY19-('Debt'!AY8)</f>
        <v>3732.9762452546406</v>
      </c>
      <c r="AZ57" s="32">
        <f>'Revenue'!AZ14-'Opex'!AZ10+'IS(Q)'!AZ18+'Revenue'!AZ19-('Debt'!AZ8)</f>
        <v>3724.1007227546406</v>
      </c>
      <c r="BA57" s="32">
        <f>'Revenue'!BA14-'Opex'!BA10+'IS(Q)'!BA18+'Revenue'!BA19-('Debt'!BA8)</f>
        <v>3724.1007227546406</v>
      </c>
      <c r="BB57" s="32">
        <f>'Revenue'!BB14-'Opex'!BB10+'IS(Q)'!BB18+'Revenue'!BB19-('Debt'!BB8)</f>
        <v>3724.1007227546406</v>
      </c>
      <c r="BC57" s="32">
        <f>'Revenue'!BC14-'Opex'!BC10+'IS(Q)'!BC18+'Revenue'!BC19-('Debt'!BC8)</f>
        <v>3697.005048038923</v>
      </c>
      <c r="BD57" s="32">
        <f>'Revenue'!BD14-'Opex'!BD10+'IS(Q)'!BD18+'Revenue'!BD19-('Debt'!BD8)</f>
        <v>3688.129525538923</v>
      </c>
      <c r="BE57" s="32">
        <f>'Revenue'!BE14-'Opex'!BE10+'IS(Q)'!BE18+'Revenue'!BE19-('Debt'!BE8)</f>
        <v>3688.129525538923</v>
      </c>
      <c r="BF57" s="32">
        <f>'Revenue'!BF14-'Opex'!BF10+'IS(Q)'!BF18+'Revenue'!BF19-('Debt'!BF8)</f>
        <v>3688.129525538923</v>
      </c>
      <c r="BG57" s="32">
        <f>'Revenue'!BG14-'Opex'!BG10+'IS(Q)'!BG18+'Revenue'!BG19-('Debt'!BG8)</f>
        <v>3660.9684384151965</v>
      </c>
      <c r="BH57" s="32">
        <f>'Revenue'!BH14-'Opex'!BH10+'IS(Q)'!BH18+'Revenue'!BH19-('Debt'!BH8)</f>
        <v>3652.0929159151965</v>
      </c>
      <c r="BI57" s="32">
        <f>'Revenue'!BI14-'Opex'!BI10+'IS(Q)'!BI18+'Revenue'!BI19-('Debt'!BI8)</f>
        <v>3652.0929159151965</v>
      </c>
      <c r="BJ57" s="32">
        <f>'Revenue'!BJ14-'Opex'!BJ10+'IS(Q)'!BJ18+'Revenue'!BJ19-('Debt'!BJ8)</f>
        <v>3652.0929159151965</v>
      </c>
      <c r="BK57" s="32">
        <f>'Revenue'!BK14-'Opex'!BK10+'IS(Q)'!BK18+'Revenue'!BK19-('Debt'!BK8)</f>
        <v>3624.865958496602</v>
      </c>
      <c r="BL57" s="32">
        <f>'Revenue'!BL14-'Opex'!BL10+'IS(Q)'!BL18+'Revenue'!BL19-('Debt'!BL8)</f>
        <v>3615.990435996602</v>
      </c>
      <c r="BM57" s="32">
        <f>'Revenue'!BM14-'Opex'!BM10+'IS(Q)'!BM18+'Revenue'!BM19-('Debt'!BM8)</f>
        <v>3615.990435996602</v>
      </c>
      <c r="BN57" s="32">
        <f>'Revenue'!BN14-'Opex'!BN10+'IS(Q)'!BN18+'Revenue'!BN19-('Debt'!BN8)</f>
        <v>3615.990435996602</v>
      </c>
      <c r="BO57" s="32">
        <f>'Revenue'!BO14-'Opex'!BO10+'IS(Q)'!BO18+'Revenue'!BO19-('Debt'!BO8)</f>
        <v>3588.6971471910783</v>
      </c>
      <c r="BP57" s="32">
        <f>'Revenue'!BP14-'Opex'!BP10+'IS(Q)'!BP18+'Revenue'!BP19-('Debt'!BP8)</f>
        <v>3579.8216246910783</v>
      </c>
      <c r="BQ57" s="32">
        <f>'Revenue'!BQ14-'Opex'!BQ10+'IS(Q)'!BQ18+'Revenue'!BQ19-('Debt'!BQ8)</f>
        <v>3579.8216246910783</v>
      </c>
      <c r="BR57" s="32">
        <f>'Revenue'!BR14-'Opex'!BR10+'IS(Q)'!BR18+'Revenue'!BR19-('Debt'!BR8)</f>
        <v>3579.8216246910783</v>
      </c>
      <c r="BS57" s="32">
        <f>'Revenue'!BS14-'Opex'!BS10+'IS(Q)'!BS18+'Revenue'!BS19-('Debt'!BS8)</f>
        <v>3552.461540178917</v>
      </c>
      <c r="BT57" s="32">
        <f>'Revenue'!BT14-'Opex'!BT10+'IS(Q)'!BT18+'Revenue'!BT19-('Debt'!BT8)</f>
        <v>3543.5860176789174</v>
      </c>
      <c r="BU57" s="32">
        <f>'Revenue'!BU14-'Opex'!BU10+'IS(Q)'!BU18+'Revenue'!BU19-('Debt'!BU8)</f>
        <v>3543.5860176789174</v>
      </c>
      <c r="BV57" s="32">
        <f>'Revenue'!BV14-'Opex'!BV10+'IS(Q)'!BV18+'Revenue'!BV19-('Debt'!BV8)</f>
        <v>3543.5860176789174</v>
      </c>
      <c r="BW57" s="32">
        <f>'Revenue'!BW14-'Opex'!BW10+'IS(Q)'!BW18+'Revenue'!BW19-('Debt'!BW8)</f>
        <v>3516.15866989017</v>
      </c>
      <c r="BX57" s="32">
        <f>'Revenue'!BX14-'Opex'!BX10+'IS(Q)'!BX18+'Revenue'!BX19-('Debt'!BX8)</f>
        <v>3507.2831473901697</v>
      </c>
      <c r="BY57" s="32">
        <f>'Revenue'!BY14-'Opex'!BY10+'IS(Q)'!BY18+'Revenue'!BY19-('Debt'!BY8)</f>
        <v>3507.2831473901697</v>
      </c>
      <c r="BZ57" s="32">
        <f>'Revenue'!BZ14-'Opex'!BZ10+'IS(Q)'!BZ18+'Revenue'!BZ19-('Debt'!BZ8)</f>
        <v>3507.2831473901697</v>
      </c>
      <c r="CA57" s="32">
        <f>'Revenue'!CA14-'Opex'!CA10+'IS(Q)'!CA18+'Revenue'!CA19-('Debt'!CA8)</f>
        <v>3479.788065481901</v>
      </c>
      <c r="CB57" s="32">
        <f>'Revenue'!CB14-'Opex'!CB10+'IS(Q)'!CB18+'Revenue'!CB19-('Debt'!CB8)</f>
        <v>3470.9125429819014</v>
      </c>
      <c r="CC57" s="32">
        <f>'Revenue'!CC14-'Opex'!CC10+'IS(Q)'!CC18+'Revenue'!CC19-('Debt'!CC8)</f>
        <v>3470.9125429819014</v>
      </c>
      <c r="CD57" s="32">
        <f>'Revenue'!CD14-'Opex'!CD10+'IS(Q)'!CD18+'Revenue'!CD19-('Debt'!CD8)</f>
        <v>3470.9125429819014</v>
      </c>
      <c r="CE57" s="32">
        <f>'Revenue'!CE14-'Opex'!CE10+'IS(Q)'!CE18+'Revenue'!CE19-('Debt'!CE8)</f>
        <v>3443.3492528152738</v>
      </c>
      <c r="CF57" s="32">
        <f>'Revenue'!CF14-'Opex'!CF10+'IS(Q)'!CF18+'Revenue'!CF19-('Debt'!CF8)</f>
        <v>3434.4737303152733</v>
      </c>
      <c r="CG57" s="32">
        <f>'Revenue'!CG14-'Opex'!CG10+'IS(Q)'!CG18+'Revenue'!CG19-('Debt'!CG8)</f>
        <v>3434.4737303152733</v>
      </c>
      <c r="CH57" s="32">
        <f>'Revenue'!CH14-'Opex'!CH10+'IS(Q)'!CH18+'Revenue'!CH19-('Debt'!CH8)</f>
        <v>3434.4737303152733</v>
      </c>
      <c r="CI57" s="32">
        <f>'Revenue'!CI14-'Opex'!CI10+'IS(Q)'!CI18+'Revenue'!CI19-('Debt'!CI8)</f>
        <v>3406.841754432481</v>
      </c>
      <c r="CJ57" s="32">
        <f>'Revenue'!CJ14-'Opex'!CJ10+'IS(Q)'!CJ18+'Revenue'!CJ19-('Debt'!CJ8)</f>
        <v>3397.966231932481</v>
      </c>
      <c r="CK57" s="32">
        <f>'Revenue'!CK14-'Opex'!CK10+'IS(Q)'!CK18+'Revenue'!CK19-('Debt'!CK8)</f>
        <v>3397.966231932481</v>
      </c>
      <c r="CL57" s="32">
        <f>'Revenue'!CL14-'Opex'!CL10-$D$75*100+'IS(Q)'!CL18+'Revenue'!CL19-('Debt'!CL8)</f>
        <v>3004.4358044324813</v>
      </c>
    </row>
    <row r="58" spans="2:90" x14ac:dyDescent="0.25">
      <c r="B58" s="34" t="s">
        <v>400</v>
      </c>
      <c r="C58" s="35" t="s">
        <v>228</v>
      </c>
      <c r="E58" s="32">
        <f>E13-E55</f>
        <v>-14106.900000000005</v>
      </c>
      <c r="F58" s="32">
        <f>F13-F55</f>
        <v>-893.0999999999949</v>
      </c>
      <c r="G58" s="32">
        <f>G13-G55</f>
        <v>0</v>
      </c>
      <c r="H58" s="32">
        <f>H13-H55</f>
        <v>0</v>
      </c>
      <c r="I58" s="32">
        <f>I13-I55</f>
        <v>0</v>
      </c>
      <c r="J58" s="32">
        <f>J13-J55</f>
        <v>0</v>
      </c>
      <c r="K58" s="32">
        <f>K13-K55</f>
        <v>1939.9093138055584</v>
      </c>
      <c r="L58" s="32">
        <f>L13-L55</f>
        <v>2205.4155497611537</v>
      </c>
      <c r="M58" s="32">
        <f>M13-M55</f>
        <v>235.58742476115413</v>
      </c>
      <c r="N58" s="32">
        <f>N13-N55</f>
        <v>262.9850614799034</v>
      </c>
      <c r="O58" s="32">
        <f>O13-O55</f>
        <v>271.2860969837693</v>
      </c>
      <c r="P58" s="32">
        <f>P13-P55</f>
        <v>284.0801977111905</v>
      </c>
      <c r="Q58" s="32">
        <f>Q13-Q55</f>
        <v>305.764146223798</v>
      </c>
      <c r="R58" s="32">
        <f>R13-R55</f>
        <v>327.4480947364018</v>
      </c>
      <c r="S58" s="32">
        <f>S13-S55</f>
        <v>329.9880848286548</v>
      </c>
      <c r="T58" s="32">
        <f>T13-T55</f>
        <v>342.7644837173061</v>
      </c>
      <c r="U58" s="32">
        <f>U13-U55</f>
        <v>364.4470795261118</v>
      </c>
      <c r="V58" s="32">
        <f>V13-V55</f>
        <v>386.12967533491883</v>
      </c>
      <c r="W58" s="32">
        <f>W13-W55</f>
        <v>388.6214431045273</v>
      </c>
      <c r="X58" s="32">
        <f>X13-X55</f>
        <v>401.3998620646189</v>
      </c>
      <c r="Y58" s="32">
        <f>Y13-Y55</f>
        <v>423.0813717391461</v>
      </c>
      <c r="Z58" s="32">
        <f>Z13-Z55</f>
        <v>444.7628814136747</v>
      </c>
      <c r="AA58" s="32">
        <f>AA13-AA55</f>
        <v>447.2060135403194</v>
      </c>
      <c r="AB58" s="32">
        <f>AB13-AB55</f>
        <v>459.9860773370988</v>
      </c>
      <c r="AC58" s="32">
        <f>AC13-AC55</f>
        <v>481.66669572309775</v>
      </c>
      <c r="AD58" s="32">
        <f>AD13-AD55</f>
        <v>503.3473141090931</v>
      </c>
      <c r="AE58" s="32">
        <f>AE13-AE55</f>
        <v>505.7414145776929</v>
      </c>
      <c r="AF58" s="32">
        <f>AF13-AF55</f>
        <v>518.5228438415679</v>
      </c>
      <c r="AG58" s="32">
        <f>AG13-AG55</f>
        <v>540.2027176741321</v>
      </c>
      <c r="AH58" s="32">
        <f>AH13-AH55</f>
        <v>561.8825915066977</v>
      </c>
      <c r="AI58" s="32">
        <f>AI13-AI55</f>
        <v>564.2272751095388</v>
      </c>
      <c r="AJ58" s="32">
        <f>AJ13-AJ55</f>
        <v>577.009856198059</v>
      </c>
      <c r="AK58" s="32">
        <f>AK13-AK55</f>
        <v>598.6890987362608</v>
      </c>
      <c r="AL58" s="32">
        <f>AL13-AL55</f>
        <v>620.3683412744617</v>
      </c>
      <c r="AM58" s="32">
        <f>AM13-AM55</f>
        <v>622.6632295776003</v>
      </c>
      <c r="AN58" s="32">
        <f>AN13-AN55</f>
        <v>635.4467954323404</v>
      </c>
      <c r="AO58" s="32">
        <f>AO13-AO55</f>
        <v>657.1254959225244</v>
      </c>
      <c r="AP58" s="32">
        <f>AP13-AP55</f>
        <v>678.8041964127101</v>
      </c>
      <c r="AQ58" s="32">
        <f>AQ13-AQ55</f>
        <v>681.0489151416364</v>
      </c>
      <c r="AR58" s="32">
        <f>AR13-AR55</f>
        <v>693.8333326487382</v>
      </c>
      <c r="AS58" s="32">
        <f>AS13-AS55</f>
        <v>715.5115626646016</v>
      </c>
      <c r="AT58" s="32">
        <f>AT13-AT55</f>
        <v>737.1897926804618</v>
      </c>
      <c r="AU58" s="32">
        <f>AU13-AU55</f>
        <v>739.3839699629061</v>
      </c>
      <c r="AV58" s="32">
        <f>AV13-AV55</f>
        <v>752.1691313320457</v>
      </c>
      <c r="AW58" s="32">
        <f>AW13-AW55</f>
        <v>773.8469491518049</v>
      </c>
      <c r="AX58" s="32">
        <f>AX13-AX55</f>
        <v>795.5247669715664</v>
      </c>
      <c r="AY58" s="32">
        <f>AY13-AY55</f>
        <v>797.6680321189228</v>
      </c>
      <c r="AZ58" s="32">
        <f>AZ13-AZ55</f>
        <v>810.453848838009</v>
      </c>
      <c r="BA58" s="32">
        <f>BA13-BA55</f>
        <v>832.1313025454347</v>
      </c>
      <c r="BB58" s="32">
        <f>BB13-BB55</f>
        <v>853.8087562528617</v>
      </c>
      <c r="BC58" s="32">
        <f>BC13-BC55</f>
        <v>855.9007388917876</v>
      </c>
      <c r="BD58" s="32">
        <f>BD13-BD55</f>
        <v>868.6871373853191</v>
      </c>
      <c r="BE58" s="32">
        <f>BE13-BE55</f>
        <v>890.3642671164548</v>
      </c>
      <c r="BF58" s="32">
        <f>BF13-BF55</f>
        <v>912.04139684759</v>
      </c>
      <c r="BG58" s="32">
        <f>BG13-BG55</f>
        <v>914.0817262859632</v>
      </c>
      <c r="BH58" s="32">
        <f>BH13-BH55</f>
        <v>926.8686447312384</v>
      </c>
      <c r="BI58" s="32">
        <f>BI13-BI55</f>
        <v>948.5454843345219</v>
      </c>
      <c r="BJ58" s="32">
        <f>BJ13-BJ55</f>
        <v>970.2223239378045</v>
      </c>
      <c r="BK58" s="32">
        <f>BK13-BK55</f>
        <v>972.2106286915518</v>
      </c>
      <c r="BL58" s="32">
        <f>BL13-BL55</f>
        <v>984.9980146407629</v>
      </c>
      <c r="BM58" s="32">
        <f>BM13-BM55</f>
        <v>1006.6745929251983</v>
      </c>
      <c r="BN58" s="32">
        <f>BN13-BN55</f>
        <v>1028.351171209636</v>
      </c>
      <c r="BO58" s="32">
        <f>BO13-BO55</f>
        <v>1030.2870786425265</v>
      </c>
      <c r="BP58" s="32">
        <f>BP13-BP55</f>
        <v>1043.0748872176064</v>
      </c>
      <c r="BQ58" s="32">
        <f>BQ13-BQ55</f>
        <v>1064.7512289058618</v>
      </c>
      <c r="BR58" s="32">
        <f>BR13-BR55</f>
        <v>1086.4275705941186</v>
      </c>
      <c r="BS58" s="32">
        <f>BS13-BS55</f>
        <v>1088.3107066384073</v>
      </c>
      <c r="BT58" s="32">
        <f>BT13-BT55</f>
        <v>1101.0988991406248</v>
      </c>
      <c r="BU58" s="32">
        <f>BU13-BU55</f>
        <v>1122.7750256069685</v>
      </c>
      <c r="BV58" s="32">
        <f>BV13-BV55</f>
        <v>1144.4511520733113</v>
      </c>
      <c r="BW58" s="32">
        <f>BW13-BW55</f>
        <v>1146.2811410093332</v>
      </c>
      <c r="BX58" s="32">
        <f>BX13-BX55</f>
        <v>1159.0696838342242</v>
      </c>
      <c r="BY58" s="32">
        <f>BY13-BY55</f>
        <v>3150.5737386830915</v>
      </c>
      <c r="BZ58" s="32">
        <f>BZ13-BZ55</f>
        <v>3144.8520318132087</v>
      </c>
      <c r="CA58" s="32">
        <f>CA13-CA55</f>
        <v>3119.2308593738253</v>
      </c>
      <c r="CB58" s="32">
        <f>CB13-CB55</f>
        <v>3110.354576777292</v>
      </c>
      <c r="CC58" s="32">
        <f>CC13-CC55</f>
        <v>3110.354576777292</v>
      </c>
      <c r="CD58" s="32">
        <f>CD13-CD55</f>
        <v>3110.354576777292</v>
      </c>
      <c r="CE58" s="32">
        <f>CE13-CE55</f>
        <v>3090.401163565787</v>
      </c>
      <c r="CF58" s="32">
        <f>CF13-CF55</f>
        <v>3081.531510404308</v>
      </c>
      <c r="CG58" s="32">
        <f>CG13-CG55</f>
        <v>3081.531510404308</v>
      </c>
      <c r="CH58" s="32">
        <f>CH13-CH55</f>
        <v>3081.531510404308</v>
      </c>
      <c r="CI58" s="32">
        <f>CI13-CI55</f>
        <v>3061.523629006042</v>
      </c>
      <c r="CJ58" s="32">
        <f>CJ13-CJ55</f>
        <v>3193.819252680817</v>
      </c>
      <c r="CK58" s="32">
        <f>CK13-CK55</f>
        <v>3193.819252680817</v>
      </c>
      <c r="CL58" s="32">
        <f>CL13-CL55</f>
        <v>2800.288825180817</v>
      </c>
    </row>
    <row r="59" spans="2:90" x14ac:dyDescent="0.25">
      <c r="B59" s="34" t="s">
        <v>401</v>
      </c>
      <c r="C59" s="35" t="s">
        <v>228</v>
      </c>
      <c r="E59" s="32">
        <f>E13-'IS(Q)'!E28-E19-E55</f>
        <v>-14106.900000000005</v>
      </c>
      <c r="F59" s="32">
        <f>F13-'IS(Q)'!F28-F19-F55</f>
        <v>-893.0999999999949</v>
      </c>
      <c r="G59" s="32">
        <f>G13-'IS(Q)'!G28-G19-G55</f>
        <v>0</v>
      </c>
      <c r="H59" s="32">
        <f>H13-'IS(Q)'!H28-H19-H55</f>
        <v>0</v>
      </c>
      <c r="I59" s="32">
        <f>I13-'IS(Q)'!I28-I19-I55</f>
        <v>0</v>
      </c>
      <c r="J59" s="32">
        <f>J13-'IS(Q)'!J28-J19-J55</f>
        <v>0</v>
      </c>
      <c r="K59" s="32">
        <f>K13-'IS(Q)'!K28-K19-K55</f>
        <v>2044.862750000001</v>
      </c>
      <c r="L59" s="32">
        <f>L13-'IS(Q)'!L28-L19-L55</f>
        <v>2326.86475</v>
      </c>
      <c r="M59" s="32">
        <f>M13-'IS(Q)'!M28-M19-M55</f>
        <v>357.0366250000006</v>
      </c>
      <c r="N59" s="32">
        <f>N13-'IS(Q)'!N28-N19-N55</f>
        <v>384.43426171874984</v>
      </c>
      <c r="O59" s="32">
        <f>O13-'IS(Q)'!O28-O19-O55</f>
        <v>385.3658534375</v>
      </c>
      <c r="P59" s="32">
        <f>P13-'IS(Q)'!P28-P19-P55</f>
        <v>403.88796765624994</v>
      </c>
      <c r="Q59" s="32">
        <f>Q13-'IS(Q)'!Q28-Q19-Q55</f>
        <v>431.28560437500175</v>
      </c>
      <c r="R59" s="32">
        <f>R13-'IS(Q)'!R28-R19-R55</f>
        <v>458.6832410937501</v>
      </c>
      <c r="S59" s="32">
        <f>S13-'IS(Q)'!S28-S19-S55</f>
        <v>459.5538278125009</v>
      </c>
      <c r="T59" s="32">
        <f>T13-'IS(Q)'!T28-T19-T55</f>
        <v>478.07594203125245</v>
      </c>
      <c r="U59" s="32">
        <f>U13-'IS(Q)'!U28-U19-U55</f>
        <v>505.473578750001</v>
      </c>
      <c r="V59" s="32">
        <f>V13-'IS(Q)'!V28-V19-V55</f>
        <v>532.871215468751</v>
      </c>
      <c r="W59" s="32">
        <f>W13-'IS(Q)'!W28-W19-W55</f>
        <v>533.6803701525027</v>
      </c>
      <c r="X59" s="32">
        <f>X13-'IS(Q)'!X28-X19-X55</f>
        <v>552.2024843712506</v>
      </c>
      <c r="Y59" s="32">
        <f>Y13-'IS(Q)'!Y28-Y19-Y55</f>
        <v>579.6001210900009</v>
      </c>
      <c r="Z59" s="32">
        <f>Z13-'IS(Q)'!Z28-Z19-Z55</f>
        <v>606.9977578087525</v>
      </c>
      <c r="AA59" s="32">
        <f>AA13-'IS(Q)'!AA28-AA19-AA55</f>
        <v>607.7450504332558</v>
      </c>
      <c r="AB59" s="32">
        <f>AB13-'IS(Q)'!AB28-AB19-AB55</f>
        <v>626.2671646520056</v>
      </c>
      <c r="AC59" s="32">
        <f>AC13-'IS(Q)'!AC28-AC19-AC55</f>
        <v>653.6648013707572</v>
      </c>
      <c r="AD59" s="32">
        <f>AD13-'IS(Q)'!AD28-AD19-AD55</f>
        <v>681.0624380895053</v>
      </c>
      <c r="AE59" s="32">
        <f>AE13-'IS(Q)'!AE28-AE19-AE55</f>
        <v>681.7474356203516</v>
      </c>
      <c r="AF59" s="32">
        <f>AF13-'IS(Q)'!AF28-AF19-AF55</f>
        <v>700.2695498391031</v>
      </c>
      <c r="AG59" s="32">
        <f>AG13-'IS(Q)'!AG28-AG19-AG55</f>
        <v>727.6671865578516</v>
      </c>
      <c r="AH59" s="32">
        <f>AH13-'IS(Q)'!AH28-AH19-AH55</f>
        <v>755.0648232766014</v>
      </c>
      <c r="AI59" s="32">
        <f>AI13-'IS(Q)'!AI28-AI19-AI55</f>
        <v>755.6870896481328</v>
      </c>
      <c r="AJ59" s="32">
        <f>AJ13-'IS(Q)'!AJ28-AJ19-AJ55</f>
        <v>774.2092038668809</v>
      </c>
      <c r="AK59" s="32">
        <f>AK13-'IS(Q)'!AK28-AK19-AK55</f>
        <v>801.6068405856315</v>
      </c>
      <c r="AL59" s="32">
        <f>AL13-'IS(Q)'!AL28-AL19-AL55</f>
        <v>829.004477304381</v>
      </c>
      <c r="AM59" s="32">
        <f>AM13-'IS(Q)'!AM28-AM19-AM55</f>
        <v>829.5635733984814</v>
      </c>
      <c r="AN59" s="32">
        <f>AN13-'IS(Q)'!AN28-AN19-AN55</f>
        <v>848.0856876172295</v>
      </c>
      <c r="AO59" s="32">
        <f>AO13-'IS(Q)'!AO28-AO19-AO55</f>
        <v>875.4833243359797</v>
      </c>
      <c r="AP59" s="32">
        <f>AP13-'IS(Q)'!AP28-AP19-AP55</f>
        <v>902.8809610547314</v>
      </c>
      <c r="AQ59" s="32">
        <f>AQ13-'IS(Q)'!AQ28-AQ19-AQ55</f>
        <v>903.3764446794564</v>
      </c>
      <c r="AR59" s="32">
        <f>AR13-'IS(Q)'!AR28-AR19-AR55</f>
        <v>921.898558898207</v>
      </c>
      <c r="AS59" s="32">
        <f>AS13-'IS(Q)'!AS28-AS19-AS55</f>
        <v>949.2961956169585</v>
      </c>
      <c r="AT59" s="32">
        <f>AT13-'IS(Q)'!AT28-AT19-AT55</f>
        <v>976.6938323357068</v>
      </c>
      <c r="AU59" s="32">
        <f>AU13-'IS(Q)'!AU28-AU19-AU55</f>
        <v>977.1252582037766</v>
      </c>
      <c r="AV59" s="32">
        <f>AV13-'IS(Q)'!AV28-AV19-AV55</f>
        <v>995.647372422528</v>
      </c>
      <c r="AW59" s="32">
        <f>AW13-'IS(Q)'!AW28-AW19-AW55</f>
        <v>1023.0450091412761</v>
      </c>
      <c r="AX59" s="32">
        <f>AX13-'IS(Q)'!AX28-AX19-AX55</f>
        <v>1050.4426458600267</v>
      </c>
      <c r="AY59" s="32">
        <f>AY13-'IS(Q)'!AY28-AY19-AY55</f>
        <v>1050.8095655671418</v>
      </c>
      <c r="AZ59" s="32">
        <f>AZ13-'IS(Q)'!AZ28-AZ19-AZ55</f>
        <v>1069.3316797858902</v>
      </c>
      <c r="BA59" s="32">
        <f>BA13-'IS(Q)'!BA28-BA19-BA55</f>
        <v>1096.7293165046403</v>
      </c>
      <c r="BB59" s="32">
        <f>BB13-'IS(Q)'!BB28-BB19-BB55</f>
        <v>1124.1269532233919</v>
      </c>
      <c r="BC59" s="32">
        <f>BC13-'IS(Q)'!BC28-BC19-BC55</f>
        <v>1124.4289152264228</v>
      </c>
      <c r="BD59" s="32">
        <f>BD13-'IS(Q)'!BD28-BD19-BD55</f>
        <v>1142.9510294451727</v>
      </c>
      <c r="BE59" s="32">
        <f>BE13-'IS(Q)'!BE28-BE19-BE55</f>
        <v>1170.3486661639236</v>
      </c>
      <c r="BF59" s="32">
        <f>BF13-'IS(Q)'!BF28-BF19-BF55</f>
        <v>1197.7463028826737</v>
      </c>
      <c r="BG59" s="32">
        <f>BG13-'IS(Q)'!BG28-BG19-BG55</f>
        <v>1197.9828524776958</v>
      </c>
      <c r="BH59" s="32">
        <f>BH13-'IS(Q)'!BH28-BH19-BH55</f>
        <v>1216.5049666964471</v>
      </c>
      <c r="BI59" s="32">
        <f>BI13-'IS(Q)'!BI28-BI19-BI55</f>
        <v>1243.902603415197</v>
      </c>
      <c r="BJ59" s="32">
        <f>BJ13-'IS(Q)'!BJ28-BJ19-BJ55</f>
        <v>1271.3002401339459</v>
      </c>
      <c r="BK59" s="32">
        <f>BK13-'IS(Q)'!BK28-BK19-BK55</f>
        <v>1271.4709194341017</v>
      </c>
      <c r="BL59" s="32">
        <f>BL13-'IS(Q)'!BL28-BL19-BL55</f>
        <v>1289.9930336528532</v>
      </c>
      <c r="BM59" s="32">
        <f>BM13-'IS(Q)'!BM28-BM19-BM55</f>
        <v>1317.3906703716013</v>
      </c>
      <c r="BN59" s="32">
        <f>BN13-'IS(Q)'!BN28-BN19-BN55</f>
        <v>1344.788307090352</v>
      </c>
      <c r="BO59" s="32">
        <f>BO13-'IS(Q)'!BO28-BO19-BO55</f>
        <v>1344.8926550035794</v>
      </c>
      <c r="BP59" s="32">
        <f>BP13-'IS(Q)'!BP28-BP19-BP55</f>
        <v>1363.4147692223275</v>
      </c>
      <c r="BQ59" s="32">
        <f>BQ13-'IS(Q)'!BQ28-BQ19-BQ55</f>
        <v>1390.812405941078</v>
      </c>
      <c r="BR59" s="32">
        <f>BR13-'IS(Q)'!BR28-BR19-BR55</f>
        <v>1418.2100426598295</v>
      </c>
      <c r="BS59" s="32">
        <f>BS13-'IS(Q)'!BS28-BS19-BS55</f>
        <v>1418.2475948664164</v>
      </c>
      <c r="BT59" s="32">
        <f>BT13-'IS(Q)'!BT28-BT19-BT55</f>
        <v>1436.769709085167</v>
      </c>
      <c r="BU59" s="32">
        <f>BU13-'IS(Q)'!BU28-BU19-BU55</f>
        <v>1464.167345803918</v>
      </c>
      <c r="BV59" s="32">
        <f>BV13-'IS(Q)'!BV28-BV19-BV55</f>
        <v>1491.5649825226678</v>
      </c>
      <c r="BW59" s="32">
        <f>BW13-'IS(Q)'!BW28-BW19-BW55</f>
        <v>1491.5352714526687</v>
      </c>
      <c r="BX59" s="32">
        <f>BX13-'IS(Q)'!BX28-BX19-BX55</f>
        <v>1510.0573856714198</v>
      </c>
      <c r="BY59" s="32">
        <f>BY13-'IS(Q)'!BY28-BY19-BY55</f>
        <v>3507.2831473901697</v>
      </c>
      <c r="BZ59" s="32">
        <f>BZ13-'IS(Q)'!BZ28-BZ19-BZ55</f>
        <v>3507.2831473901697</v>
      </c>
      <c r="CA59" s="32">
        <f>CA13-'IS(Q)'!CA28-CA19-CA55</f>
        <v>3479.788065481901</v>
      </c>
      <c r="CB59" s="32">
        <f>CB13-'IS(Q)'!CB28-CB19-CB55</f>
        <v>3470.9125429819014</v>
      </c>
      <c r="CC59" s="32">
        <f>CC13-'IS(Q)'!CC28-CC19-CC55</f>
        <v>3470.9125429819014</v>
      </c>
      <c r="CD59" s="32">
        <f>CD13-'IS(Q)'!CD28-CD19-CD55</f>
        <v>3470.9125429819014</v>
      </c>
      <c r="CE59" s="32">
        <f>CE13-'IS(Q)'!CE28-CE19-CE55</f>
        <v>3443.3492528152738</v>
      </c>
      <c r="CF59" s="32">
        <f>CF13-'IS(Q)'!CF28-CF19-CF55</f>
        <v>3434.4737303152733</v>
      </c>
      <c r="CG59" s="32">
        <f>CG13-'IS(Q)'!CG28-CG19-CG55</f>
        <v>3434.4737303152733</v>
      </c>
      <c r="CH59" s="32">
        <f>CH13-'IS(Q)'!CH28-CH19-CH55</f>
        <v>3434.4737303152733</v>
      </c>
      <c r="CI59" s="32">
        <f>CI13-'IS(Q)'!CI28-CI19-CI55</f>
        <v>3406.841754432481</v>
      </c>
      <c r="CJ59" s="32">
        <f>CJ13-'IS(Q)'!CJ28-CJ19-CJ55</f>
        <v>3397.966231932481</v>
      </c>
      <c r="CK59" s="32">
        <f>CK13-'IS(Q)'!CK28-CK19-CK55</f>
        <v>3397.966231932481</v>
      </c>
      <c r="CL59" s="32">
        <f>CL13-'IS(Q)'!CL28-CL19-CL55</f>
        <v>3004.4358044324813</v>
      </c>
    </row>
    <row r="60" spans="2:90" x14ac:dyDescent="0.25">
      <c r="B60" s="34" t="s">
        <v>402</v>
      </c>
      <c r="C60" s="35" t="s">
        <v>228</v>
      </c>
      <c r="E60" s="32">
        <f>E16-E55</f>
        <v>-14106.900000000005</v>
      </c>
      <c r="F60" s="32">
        <f>F16-F55</f>
        <v>-893.0999999999949</v>
      </c>
      <c r="G60" s="32">
        <f>G16-G55</f>
        <v>0</v>
      </c>
      <c r="H60" s="32">
        <f>H16-H55</f>
        <v>0</v>
      </c>
      <c r="I60" s="32">
        <f>I16-I55</f>
        <v>0</v>
      </c>
      <c r="J60" s="32">
        <f>J16-J55</f>
        <v>0</v>
      </c>
      <c r="K60" s="32">
        <f>K16-K55</f>
        <v>0</v>
      </c>
      <c r="L60" s="32">
        <f>L16-L55</f>
        <v>0</v>
      </c>
      <c r="M60" s="32">
        <f>M16-M55</f>
        <v>0</v>
      </c>
      <c r="N60" s="32">
        <f>N16-N55</f>
        <v>0</v>
      </c>
      <c r="O60" s="32">
        <f>O16-O55</f>
        <v>0</v>
      </c>
      <c r="P60" s="32">
        <f>P16-P55</f>
        <v>0</v>
      </c>
      <c r="Q60" s="32">
        <f>Q16-Q55</f>
        <v>0</v>
      </c>
      <c r="R60" s="32">
        <f>R16-R55</f>
        <v>0</v>
      </c>
      <c r="S60" s="32">
        <f>S16-S55</f>
        <v>0</v>
      </c>
      <c r="T60" s="32">
        <f>T16-T55</f>
        <v>0</v>
      </c>
      <c r="U60" s="32">
        <f>U16-U55</f>
        <v>0</v>
      </c>
      <c r="V60" s="32">
        <f>V16-V55</f>
        <v>0</v>
      </c>
      <c r="W60" s="32">
        <f>W16-W55</f>
        <v>0</v>
      </c>
      <c r="X60" s="32">
        <f>X16-X55</f>
        <v>0</v>
      </c>
      <c r="Y60" s="32">
        <f>Y16-Y55</f>
        <v>7468.907885778213</v>
      </c>
      <c r="Z60" s="32">
        <f>Z16-Z55</f>
        <v>444.7628814136747</v>
      </c>
      <c r="AA60" s="32">
        <f>AA16-AA55</f>
        <v>447.2060135403194</v>
      </c>
      <c r="AB60" s="32">
        <f>AB16-AB55</f>
        <v>459.9860773370988</v>
      </c>
      <c r="AC60" s="32">
        <f>AC16-AC55</f>
        <v>481.66669572309775</v>
      </c>
      <c r="AD60" s="32">
        <f>AD16-AD55</f>
        <v>503.3473141090931</v>
      </c>
      <c r="AE60" s="32">
        <f>AE16-AE55</f>
        <v>505.7414145776929</v>
      </c>
      <c r="AF60" s="32">
        <f>AF16-AF55</f>
        <v>518.5228438415679</v>
      </c>
      <c r="AG60" s="32">
        <f>AG16-AG55</f>
        <v>540.2027176741321</v>
      </c>
      <c r="AH60" s="32">
        <f>AH16-AH55</f>
        <v>561.8825915066977</v>
      </c>
      <c r="AI60" s="32">
        <f>AI16-AI55</f>
        <v>564.2272751095388</v>
      </c>
      <c r="AJ60" s="32">
        <f>AJ16-AJ55</f>
        <v>577.009856198059</v>
      </c>
      <c r="AK60" s="32">
        <f>AK16-AK55</f>
        <v>598.6890987362608</v>
      </c>
      <c r="AL60" s="32">
        <f>AL16-AL55</f>
        <v>620.3683412744617</v>
      </c>
      <c r="AM60" s="32">
        <f>AM16-AM55</f>
        <v>622.6632295776003</v>
      </c>
      <c r="AN60" s="32">
        <f>AN16-AN55</f>
        <v>635.4467954323404</v>
      </c>
      <c r="AO60" s="32">
        <f>AO16-AO55</f>
        <v>657.1254959225244</v>
      </c>
      <c r="AP60" s="32">
        <f>AP16-AP55</f>
        <v>678.8041964127101</v>
      </c>
      <c r="AQ60" s="32">
        <f>AQ16-AQ55</f>
        <v>681.0489151416364</v>
      </c>
      <c r="AR60" s="32">
        <f>AR16-AR55</f>
        <v>693.8333326487382</v>
      </c>
      <c r="AS60" s="32">
        <f>AS16-AS55</f>
        <v>715.5115626646016</v>
      </c>
      <c r="AT60" s="32">
        <f>AT16-AT55</f>
        <v>737.1897926804618</v>
      </c>
      <c r="AU60" s="32">
        <f>AU16-AU55</f>
        <v>739.3839699629061</v>
      </c>
      <c r="AV60" s="32">
        <f>AV16-AV55</f>
        <v>752.1691313320457</v>
      </c>
      <c r="AW60" s="32">
        <f>AW16-AW55</f>
        <v>773.8469491518049</v>
      </c>
      <c r="AX60" s="32">
        <f>AX16-AX55</f>
        <v>795.5247669715664</v>
      </c>
      <c r="AY60" s="32">
        <f>AY16-AY55</f>
        <v>797.6680321189228</v>
      </c>
      <c r="AZ60" s="32">
        <f>AZ16-AZ55</f>
        <v>810.453848838009</v>
      </c>
      <c r="BA60" s="32">
        <f>BA16-BA55</f>
        <v>832.1313025454347</v>
      </c>
      <c r="BB60" s="32">
        <f>BB16-BB55</f>
        <v>853.8087562528617</v>
      </c>
      <c r="BC60" s="32">
        <f>BC16-BC55</f>
        <v>855.9007388917876</v>
      </c>
      <c r="BD60" s="32">
        <f>BD16-BD55</f>
        <v>868.6871373853191</v>
      </c>
      <c r="BE60" s="32">
        <f>BE16-BE55</f>
        <v>890.3642671164548</v>
      </c>
      <c r="BF60" s="32">
        <f>BF16-BF55</f>
        <v>912.04139684759</v>
      </c>
      <c r="BG60" s="32">
        <f>BG16-BG55</f>
        <v>914.0817262859632</v>
      </c>
      <c r="BH60" s="32">
        <f>BH16-BH55</f>
        <v>926.8686447312384</v>
      </c>
      <c r="BI60" s="32">
        <f>BI16-BI55</f>
        <v>948.5454843345219</v>
      </c>
      <c r="BJ60" s="32">
        <f>BJ16-BJ55</f>
        <v>970.2223239378045</v>
      </c>
      <c r="BK60" s="32">
        <f>BK16-BK55</f>
        <v>972.2106286915518</v>
      </c>
      <c r="BL60" s="32">
        <f>BL16-BL55</f>
        <v>984.9980146407629</v>
      </c>
      <c r="BM60" s="32">
        <f>BM16-BM55</f>
        <v>1006.6745929251983</v>
      </c>
      <c r="BN60" s="32">
        <f>BN16-BN55</f>
        <v>1028.351171209636</v>
      </c>
      <c r="BO60" s="32">
        <f>BO16-BO55</f>
        <v>1030.2870786425265</v>
      </c>
      <c r="BP60" s="32">
        <f>BP16-BP55</f>
        <v>1043.0748872176064</v>
      </c>
      <c r="BQ60" s="32">
        <f>BQ16-BQ55</f>
        <v>1064.7512289058618</v>
      </c>
      <c r="BR60" s="32">
        <f>BR16-BR55</f>
        <v>1086.4275705941186</v>
      </c>
      <c r="BS60" s="32">
        <f>BS16-BS55</f>
        <v>1088.3107066384073</v>
      </c>
      <c r="BT60" s="32">
        <f>BT16-BT55</f>
        <v>1101.0988991406248</v>
      </c>
      <c r="BU60" s="32">
        <f>BU16-BU55</f>
        <v>1122.7750256069685</v>
      </c>
      <c r="BV60" s="32">
        <f>BV16-BV55</f>
        <v>1144.4511520733113</v>
      </c>
      <c r="BW60" s="32">
        <f>BW16-BW55</f>
        <v>1146.2811410093332</v>
      </c>
      <c r="BX60" s="32">
        <f>BX16-BX55</f>
        <v>1159.0696838342242</v>
      </c>
      <c r="BY60" s="32">
        <f>BY16-BY55</f>
        <v>3150.5737386830915</v>
      </c>
      <c r="BZ60" s="32">
        <f>BZ16-BZ55</f>
        <v>3144.8520318132087</v>
      </c>
      <c r="CA60" s="32">
        <f>CA16-CA55</f>
        <v>3119.2308593738253</v>
      </c>
      <c r="CB60" s="32">
        <f>CB16-CB55</f>
        <v>3110.354576777292</v>
      </c>
      <c r="CC60" s="32">
        <f>CC16-CC55</f>
        <v>3110.354576777292</v>
      </c>
      <c r="CD60" s="32">
        <f>CD16-CD55</f>
        <v>3110.354576777292</v>
      </c>
      <c r="CE60" s="32">
        <f>CE16-CE55</f>
        <v>3090.401163565787</v>
      </c>
      <c r="CF60" s="32">
        <f>CF16-CF55</f>
        <v>3081.531510404308</v>
      </c>
      <c r="CG60" s="32">
        <f>CG16-CG55</f>
        <v>3081.531510404308</v>
      </c>
      <c r="CH60" s="32">
        <f>CH16-CH55</f>
        <v>3081.531510404308</v>
      </c>
      <c r="CI60" s="32">
        <f>CI16-CI55</f>
        <v>3061.523629006042</v>
      </c>
      <c r="CJ60" s="32">
        <f>CJ16-CJ55</f>
        <v>3193.819252680817</v>
      </c>
      <c r="CK60" s="32">
        <f>CK16-CK55</f>
        <v>3193.819252680817</v>
      </c>
      <c r="CL60" s="32">
        <f>CL16-CL55</f>
        <v>3800.288825180817</v>
      </c>
    </row>
    <row r="61" spans="2:90" x14ac:dyDescent="0.25">
      <c r="B61" s="34" t="s">
        <v>403</v>
      </c>
      <c r="C61" s="35" t="s">
        <v>228</v>
      </c>
      <c r="E61" s="32">
        <f>-E55-('Debt'!E15+'Debt'!E16)+'Debt'!E45+'Debt'!E46+E16</f>
        <v>-14106.900000000005</v>
      </c>
      <c r="F61" s="32">
        <f>-F55-('Debt'!F15-'Debt'!E15+'Debt'!F16-'Debt'!E16)+'Debt'!F45+'Debt'!F46+F16</f>
        <v>-21160.35000000001</v>
      </c>
      <c r="G61" s="32">
        <f>-G55-('Debt'!G15-'Debt'!F15+'Debt'!G16-'Debt'!F16)+'Debt'!G45+'Debt'!G46+G16</f>
        <v>-28495.68995057023</v>
      </c>
      <c r="H61" s="32">
        <f>-H55-('Debt'!H15-'Debt'!G15+'Debt'!H16-'Debt'!G16)+'Debt'!H45+'Debt'!H46+H16</f>
        <v>-35945.47633718562</v>
      </c>
      <c r="I61" s="32">
        <f>-I55-('Debt'!I15-'Debt'!H15+'Debt'!I16-'Debt'!H16)+'Debt'!I45+'Debt'!I46+I16</f>
        <v>-29391.979145184345</v>
      </c>
      <c r="J61" s="32">
        <f>-J55-('Debt'!J15-'Debt'!I15+'Debt'!J16-'Debt'!I16)+'Debt'!J45+'Debt'!J46+J16+'Debt'!D12</f>
        <v>-8243.327435633904</v>
      </c>
      <c r="K61" s="32">
        <f>-K55-('Debt'!K15-'Debt'!J15+'Debt'!K16-'Debt'!J16)+'Debt'!K45+'Debt'!K46+K16</f>
        <v>1753.4487499999998</v>
      </c>
      <c r="L61" s="32">
        <f>-L55-('Debt'!L15-'Debt'!K15+'Debt'!L16-'Debt'!K16)+'Debt'!L45+'Debt'!L46+L16</f>
        <v>1753.4487499999998</v>
      </c>
      <c r="M61" s="32">
        <f>-M55-('Debt'!M15-'Debt'!L15+'Debt'!M16-'Debt'!L16)+'Debt'!M45+'Debt'!M46+M16</f>
        <v>1753.4487499999998</v>
      </c>
      <c r="N61" s="32">
        <f>-N55-('Debt'!N15-'Debt'!M15+'Debt'!N16-'Debt'!M16)+'Debt'!N45+'Debt'!N46+N16</f>
        <v>1753.4487499999998</v>
      </c>
      <c r="O61" s="32">
        <f>-O55-('Debt'!O15-'Debt'!N15+'Debt'!O16-'Debt'!N16)+'Debt'!O45+'Debt'!O46+O16</f>
        <v>3723.2768749999996</v>
      </c>
      <c r="P61" s="32">
        <f>-P55-('Debt'!P15-'Debt'!O15+'Debt'!P16-'Debt'!O16)+'Debt'!P45+'Debt'!P46+P16</f>
        <v>3695.87923828125</v>
      </c>
      <c r="Q61" s="32">
        <f>-Q55-('Debt'!Q15-'Debt'!P15+'Debt'!Q16-'Debt'!P16)+'Debt'!Q45+'Debt'!Q46+Q16</f>
        <v>3668.4816015625</v>
      </c>
      <c r="R61" s="32">
        <f>-R55-('Debt'!R15-'Debt'!Q15+'Debt'!R16-'Debt'!Q16)+'Debt'!R45+'Debt'!R46+R16</f>
        <v>3641.08396484375</v>
      </c>
      <c r="S61" s="32">
        <f>-S55-('Debt'!S15-'Debt'!R15+'Debt'!S16-'Debt'!R16)+'Debt'!S45+'Debt'!S46+S16</f>
        <v>3613.686328125</v>
      </c>
      <c r="T61" s="32">
        <f>-T55-('Debt'!T15-'Debt'!S15+'Debt'!T16-'Debt'!S16)+'Debt'!T45+'Debt'!T46+T16</f>
        <v>3586.28869140625</v>
      </c>
      <c r="U61" s="32">
        <f>-U55-('Debt'!U15-'Debt'!T15+'Debt'!U16-'Debt'!T16)+'Debt'!U45+'Debt'!U46+U16</f>
        <v>3558.8910546875</v>
      </c>
      <c r="V61" s="32">
        <f>-V55-('Debt'!V15-'Debt'!U15+'Debt'!V16-'Debt'!U16)+'Debt'!V45+'Debt'!V46+V16</f>
        <v>3531.49341796875</v>
      </c>
      <c r="W61" s="32">
        <f>-W55-('Debt'!W15-'Debt'!V15+'Debt'!W16-'Debt'!V16)+'Debt'!W45+'Debt'!W46+W16</f>
        <v>3504.09578125</v>
      </c>
      <c r="X61" s="32">
        <f>-X55-('Debt'!X15-'Debt'!W15+'Debt'!X16-'Debt'!W16)+'Debt'!X45+'Debt'!X46+X16</f>
        <v>3476.69814453125</v>
      </c>
      <c r="Y61" s="32">
        <f>-Y55-('Debt'!Y15-'Debt'!X15+'Debt'!Y16-'Debt'!X16)+'Debt'!Y45+'Debt'!Y46+Y16</f>
        <v>10918.208393590714</v>
      </c>
      <c r="Z61" s="32">
        <f>-Z55-('Debt'!Z15-'Debt'!Y15+'Debt'!Z16-'Debt'!Y16)+'Debt'!Z45+'Debt'!Z46+Z16</f>
        <v>3866.6657525074247</v>
      </c>
      <c r="AA61" s="32">
        <f>-AA55-('Debt'!AA15-'Debt'!Z15+'Debt'!AA16-'Debt'!Z16)+'Debt'!AA45+'Debt'!AA46+AA16</f>
        <v>3841.7112479153193</v>
      </c>
      <c r="AB61" s="32">
        <f>-AB55-('Debt'!AB15-'Debt'!AA15+'Debt'!AB16-'Debt'!AA16)+'Debt'!AB45+'Debt'!AB46+AB16</f>
        <v>3827.0936749933485</v>
      </c>
      <c r="AC61" s="32">
        <f>-AC55-('Debt'!AC15-'Debt'!AB15+'Debt'!AC16-'Debt'!AB16)+'Debt'!AC45+'Debt'!AC46+AC16</f>
        <v>3821.3766566605977</v>
      </c>
      <c r="AD61" s="32">
        <f>-AD55-('Debt'!AD15-'Debt'!AC15+'Debt'!AD16-'Debt'!AC16)+'Debt'!AD45+'Debt'!AD46+AD16</f>
        <v>3815.659638327843</v>
      </c>
      <c r="AE61" s="32">
        <f>-AE55-('Debt'!AE15-'Debt'!AD15+'Debt'!AE16-'Debt'!AD16)+'Debt'!AE45+'Debt'!AE46+AE16</f>
        <v>3790.6561020776926</v>
      </c>
      <c r="AF61" s="32">
        <f>-AF55-('Debt'!AF15-'Debt'!AE15+'Debt'!AF16-'Debt'!AE16)+'Debt'!AF45+'Debt'!AF46+AF16</f>
        <v>3776.039894622818</v>
      </c>
      <c r="AG61" s="32">
        <f>-AG55-('Debt'!AG15-'Debt'!AF15+'Debt'!AG16-'Debt'!AF16)+'Debt'!AG45+'Debt'!AG46+AG16</f>
        <v>3770.322131736632</v>
      </c>
      <c r="AH61" s="32">
        <f>-AH55-('Debt'!AH15-'Debt'!AG15+'Debt'!AH16-'Debt'!AG16)+'Debt'!AH45+'Debt'!AH46+AH16</f>
        <v>3764.6043688504474</v>
      </c>
      <c r="AI61" s="32">
        <f>-AI55-('Debt'!AI15-'Debt'!AH15+'Debt'!AI16-'Debt'!AH16)+'Debt'!AI45+'Debt'!AI46+AI16</f>
        <v>3739.5514157345388</v>
      </c>
      <c r="AJ61" s="32">
        <f>-AJ55-('Debt'!AJ15-'Debt'!AI15+'Debt'!AJ16-'Debt'!AI16)+'Debt'!AJ45+'Debt'!AJ46+AJ16</f>
        <v>3724.9363601043087</v>
      </c>
      <c r="AK61" s="32">
        <f>-AK55-('Debt'!AK15-'Debt'!AJ15+'Debt'!AK16-'Debt'!AJ16)+'Debt'!AK45+'Debt'!AK46+AK16</f>
        <v>3719.2179659237604</v>
      </c>
      <c r="AL61" s="32">
        <f>-AL55-('Debt'!AL15-'Debt'!AK15+'Debt'!AL16-'Debt'!AK16)+'Debt'!AL45+'Debt'!AL46+AL16</f>
        <v>3713.4995717432116</v>
      </c>
      <c r="AM61" s="32">
        <f>-AM55-('Debt'!AM15-'Debt'!AL15+'Debt'!AM16-'Debt'!AL16)+'Debt'!AM45+'Debt'!AM46+AM16</f>
        <v>3688.3968233276005</v>
      </c>
      <c r="AN61" s="32">
        <f>-AN55-('Debt'!AN15-'Debt'!AM15+'Debt'!AN16-'Debt'!AM16)+'Debt'!AN45+'Debt'!AN46+AN16</f>
        <v>3673.7827524635904</v>
      </c>
      <c r="AO61" s="32">
        <f>-AO55-('Debt'!AO15-'Debt'!AN15+'Debt'!AO16-'Debt'!AN16)+'Debt'!AO45+'Debt'!AO46+AO16</f>
        <v>3668.063816235024</v>
      </c>
      <c r="AP61" s="32">
        <f>-AP55-('Debt'!AP15-'Debt'!AO15+'Debt'!AP16-'Debt'!AO16)+'Debt'!AP45+'Debt'!AP46+AP16</f>
        <v>3662.3448800064602</v>
      </c>
      <c r="AQ61" s="32">
        <f>-AQ55-('Debt'!AQ15-'Debt'!AP15+'Debt'!AQ16-'Debt'!AP16)+'Debt'!AQ45+'Debt'!AQ46+AQ16</f>
        <v>3637.1919620166364</v>
      </c>
      <c r="AR61" s="32">
        <f>-AR55-('Debt'!AR15-'Debt'!AQ15+'Debt'!AR16-'Debt'!AQ16)+'Debt'!AR45+'Debt'!AR46+AR16</f>
        <v>3622.578742804988</v>
      </c>
      <c r="AS61" s="32">
        <f>-AS55-('Debt'!AS15-'Debt'!AR15+'Debt'!AS16-'Debt'!AR16)+'Debt'!AS45+'Debt'!AS46+AS16</f>
        <v>3616.8593361021017</v>
      </c>
      <c r="AT61" s="32">
        <f>-AT55-('Debt'!AT15-'Debt'!AS15+'Debt'!AT16-'Debt'!AS16)+'Debt'!AT45+'Debt'!AT46+AT16</f>
        <v>3611.1399293992117</v>
      </c>
      <c r="AU61" s="32">
        <f>-AU55-('Debt'!AU15-'Debt'!AT15+'Debt'!AU16-'Debt'!AT16)+'Debt'!AU45+'Debt'!AU46+AU16</f>
        <v>3585.936469962906</v>
      </c>
      <c r="AV61" s="32">
        <f>-AV55-('Debt'!AV15-'Debt'!AU15+'Debt'!AV16-'Debt'!AU16)+'Debt'!AV45+'Debt'!AV46+AV16</f>
        <v>3571.323994613296</v>
      </c>
      <c r="AW61" s="32">
        <f>-AW55-('Debt'!AW15-'Debt'!AV15+'Debt'!AW16-'Debt'!AV16)+'Debt'!AW45+'Debt'!AW46+AW16</f>
        <v>3565.604175714305</v>
      </c>
      <c r="AX61" s="32">
        <f>-AX55-('Debt'!AX15-'Debt'!AW15+'Debt'!AX16-'Debt'!AW16)+'Debt'!AX45+'Debt'!AX46+AX16</f>
        <v>3559.884356815316</v>
      </c>
      <c r="AY61" s="32">
        <f>-AY55-('Debt'!AY15-'Debt'!AX15+'Debt'!AY16-'Debt'!AX16)+'Debt'!AY45+'Debt'!AY46+AY16</f>
        <v>3534.629985243923</v>
      </c>
      <c r="AZ61" s="32">
        <f>-AZ55-('Debt'!AZ15-'Debt'!AY15+'Debt'!AZ16-'Debt'!AY16)+'Debt'!AZ45+'Debt'!AZ46+AZ16</f>
        <v>3520.018165244259</v>
      </c>
      <c r="BA61" s="32">
        <f>-BA55-('Debt'!BA15-'Debt'!AZ15+'Debt'!BA16-'Debt'!AZ16)+'Debt'!BA45+'Debt'!BA46+BA16</f>
        <v>3514.2979822329344</v>
      </c>
      <c r="BB61" s="32">
        <f>-BB55-('Debt'!BB15-'Debt'!BA15+'Debt'!BB16-'Debt'!BA16)+'Debt'!BB45+'Debt'!BB46+BB16</f>
        <v>3508.5777992216117</v>
      </c>
      <c r="BC61" s="32">
        <f>-BC55-('Debt'!BC15-'Debt'!BB15+'Debt'!BC16-'Debt'!BB16)+'Debt'!BC45+'Debt'!BC46+BC16</f>
        <v>3483.2721451417874</v>
      </c>
      <c r="BD61" s="32">
        <f>-BD55-('Debt'!BD15-'Debt'!BC15+'Debt'!BD16-'Debt'!BC16)+'Debt'!BD45+'Debt'!BD46+BD16</f>
        <v>3468.660906916569</v>
      </c>
      <c r="BE61" s="32">
        <f>-BE55-('Debt'!BE15-'Debt'!BD15+'Debt'!BE16-'Debt'!BD16)+'Debt'!BE45+'Debt'!BE46+BE16</f>
        <v>3462.940399928955</v>
      </c>
      <c r="BF61" s="32">
        <f>-BF55-('Debt'!BF15-'Debt'!BE15+'Debt'!BF16-'Debt'!BE16)+'Debt'!BF45+'Debt'!BF46+BF16</f>
        <v>3457.21989294134</v>
      </c>
      <c r="BG61" s="32">
        <f>-BG55-('Debt'!BG15-'Debt'!BF15+'Debt'!BG16-'Debt'!BF16)+'Debt'!BG45+'Debt'!BG46+BG16</f>
        <v>3431.8625856609633</v>
      </c>
      <c r="BH61" s="32">
        <f>-BH55-('Debt'!BH15-'Debt'!BG15+'Debt'!BH16-'Debt'!BG16)+'Debt'!BH45+'Debt'!BH46+BH16</f>
        <v>3417.2518673874883</v>
      </c>
      <c r="BI61" s="32">
        <f>-BI55-('Debt'!BI15-'Debt'!BH15+'Debt'!BI16-'Debt'!BH16)+'Debt'!BI45+'Debt'!BI46+BI16</f>
        <v>3411.5310702720217</v>
      </c>
      <c r="BJ61" s="32">
        <f>-BJ55-('Debt'!BJ15-'Debt'!BI15+'Debt'!BJ16-'Debt'!BI16)+'Debt'!BJ45+'Debt'!BJ46+BJ16</f>
        <v>3405.8102731565546</v>
      </c>
      <c r="BK61" s="32">
        <f>-BK55-('Debt'!BK15-'Debt'!BJ15+'Debt'!BK16-'Debt'!BJ16)+'Debt'!BK45+'Debt'!BK46+BK16</f>
        <v>3380.4009411915517</v>
      </c>
      <c r="BL61" s="32">
        <f>-BL55-('Debt'!BL15-'Debt'!BK15+'Debt'!BL16-'Debt'!BK16)+'Debt'!BL45+'Debt'!BL46+BL16</f>
        <v>3365.790690422013</v>
      </c>
      <c r="BM61" s="32">
        <f>-BM55-('Debt'!BM15-'Debt'!BL15+'Debt'!BM16-'Debt'!BL16)+'Debt'!BM45+'Debt'!BM46+BM16</f>
        <v>3360.0696319876984</v>
      </c>
      <c r="BN61" s="32">
        <f>-BN55-('Debt'!BN15-'Debt'!BM15+'Debt'!BN16-'Debt'!BM16)+'Debt'!BN45+'Debt'!BN46+BN16</f>
        <v>3354.348573553386</v>
      </c>
      <c r="BO61" s="32">
        <f>-BO55-('Debt'!BO15-'Debt'!BN15+'Debt'!BO16-'Debt'!BN16)+'Debt'!BO45+'Debt'!BO46+BO16</f>
        <v>3328.8868442675266</v>
      </c>
      <c r="BP61" s="32">
        <f>-BP55-('Debt'!BP15-'Debt'!BO15+'Debt'!BP16-'Debt'!BO16)+'Debt'!BP45+'Debt'!BP46+BP16</f>
        <v>3314.2770161238564</v>
      </c>
      <c r="BQ61" s="32">
        <f>-BQ55-('Debt'!BQ15-'Debt'!BP15+'Debt'!BQ16-'Debt'!BP16)+'Debt'!BQ45+'Debt'!BQ46+BQ16</f>
        <v>3308.5557210933616</v>
      </c>
      <c r="BR61" s="32">
        <f>-BR55-('Debt'!BR15-'Debt'!BQ15+'Debt'!BR16-'Debt'!BQ16)+'Debt'!BR45+'Debt'!BR46+BR16</f>
        <v>3302.8344260628687</v>
      </c>
      <c r="BS61" s="32">
        <f>-BS55-('Debt'!BS15-'Debt'!BR15+'Debt'!BS16-'Debt'!BR16)+'Debt'!BS45+'Debt'!BS46+BS16</f>
        <v>3277.3199253884072</v>
      </c>
      <c r="BT61" s="32">
        <f>-BT55-('Debt'!BT15-'Debt'!BS15+'Debt'!BT16-'Debt'!BS16)+'Debt'!BT45+'Debt'!BT46+BT16</f>
        <v>3262.7104811718746</v>
      </c>
      <c r="BU61" s="32">
        <f>-BU55-('Debt'!BU15-'Debt'!BT15+'Debt'!BU16-'Debt'!BT16)+'Debt'!BU45+'Debt'!BU46+BU16</f>
        <v>3256.9889709194686</v>
      </c>
      <c r="BV61" s="32">
        <f>-BV55-('Debt'!BV15-'Debt'!BU15+'Debt'!BV16-'Debt'!BU16)+'Debt'!BV45+'Debt'!BV46+BV16</f>
        <v>3251.267460667061</v>
      </c>
      <c r="BW61" s="32">
        <f>-BW55-('Debt'!BW15-'Debt'!BV15+'Debt'!BW16-'Debt'!BV16)+'Debt'!BW45+'Debt'!BW46+BW16</f>
        <v>3225.6998128843334</v>
      </c>
      <c r="BX61" s="32">
        <f>-BX55-('Debt'!BX15-'Debt'!BW15+'Debt'!BX16-'Debt'!BW16)+'Debt'!BX45+'Debt'!BX46+BX16</f>
        <v>3211.090718990474</v>
      </c>
      <c r="BY61" s="32">
        <f>-BY55-('Debt'!BY15-'Debt'!BX15+'Debt'!BY16-'Debt'!BX16)+'Debt'!BY45+'Debt'!BY46+BY16</f>
        <v>5175.197137120592</v>
      </c>
      <c r="BZ61" s="32">
        <f>-BZ55-('Debt'!BZ15-'Debt'!BY15+'Debt'!BZ16-'Debt'!BY16)+'Debt'!BZ45+'Debt'!BZ46+BZ16</f>
        <v>5142.077793531958</v>
      </c>
      <c r="CA61" s="32">
        <f>-CA55-('Debt'!CA15-'Debt'!BZ15+'Debt'!CA16-'Debt'!BZ16)+'Debt'!CA45+'Debt'!CA46+CA16</f>
        <v>3119.2308593738253</v>
      </c>
      <c r="CB61" s="32">
        <f>-CB55-('Debt'!CB15-'Debt'!CA15+'Debt'!CB16-'Debt'!CA16)+'Debt'!CB45+'Debt'!CB46+CB16</f>
        <v>3110.354576777292</v>
      </c>
      <c r="CC61" s="32">
        <f>-CC55-('Debt'!CC15-'Debt'!CB15+'Debt'!CC16-'Debt'!CB16)+'Debt'!CC45+'Debt'!CC46+CC16</f>
        <v>3110.354576777292</v>
      </c>
      <c r="CD61" s="32">
        <f>-CD55-('Debt'!CD15-'Debt'!CC15+'Debt'!CD16-'Debt'!CC16)+'Debt'!CD45+'Debt'!CD46+CD16</f>
        <v>3110.354576777292</v>
      </c>
      <c r="CE61" s="32">
        <f>-CE55-('Debt'!CE15-'Debt'!CD15+'Debt'!CE16-'Debt'!CD16)+'Debt'!CE45+'Debt'!CE46+CE16</f>
        <v>3090.401163565787</v>
      </c>
      <c r="CF61" s="32">
        <f>-CF55-('Debt'!CF15-'Debt'!CE15+'Debt'!CF16-'Debt'!CE16)+'Debt'!CF45+'Debt'!CF46+CF16</f>
        <v>3081.531510404308</v>
      </c>
      <c r="CG61" s="32">
        <f>-CG55-('Debt'!CG15-'Debt'!CF15+'Debt'!CG16-'Debt'!CF16)+'Debt'!CG45+'Debt'!CG46+CG16</f>
        <v>3081.531510404308</v>
      </c>
      <c r="CH61" s="32">
        <f>-CH55-('Debt'!CH15-'Debt'!CG15+'Debt'!CH16-'Debt'!CG16)+'Debt'!CH45+'Debt'!CH46+CH16</f>
        <v>3081.531510404308</v>
      </c>
      <c r="CI61" s="32">
        <f>-CI55-('Debt'!CI15-'Debt'!CH15+'Debt'!CI16-'Debt'!CH16)+'Debt'!CI45+'Debt'!CI46+CI16</f>
        <v>3061.523629006042</v>
      </c>
      <c r="CJ61" s="32">
        <f>-CJ55-('Debt'!CJ15-'Debt'!CI15+'Debt'!CJ16-'Debt'!CI16)+'Debt'!CJ45+'Debt'!CJ46+CJ16</f>
        <v>3193.819252680817</v>
      </c>
      <c r="CK61" s="32">
        <f>-CK55-('Debt'!CK15-'Debt'!CJ15+'Debt'!CK16-'Debt'!CJ16)+'Debt'!CK45+'Debt'!CK46+CK16</f>
        <v>3193.819252680817</v>
      </c>
      <c r="CL61" s="32">
        <f>-CL55-('Debt'!CL15-'Debt'!CK15+'Debt'!CL16-'Debt'!CK16)+'Debt'!CL45+'Debt'!CL46+CL16</f>
        <v>3800.288825180817</v>
      </c>
    </row>
    <row r="63" spans="2:4" x14ac:dyDescent="0.25">
      <c r="B63" s="47" t="s">
        <v>404</v>
      </c>
      <c r="C63" s="35" t="s">
        <v>303</v>
      </c>
      <c r="D63" s="15">
        <f>(1+IRR(E57:CL57,0.020547644500372275))^4-1</f>
        <v>0.08475869175628636</v>
      </c>
    </row>
    <row r="64" spans="2:4" x14ac:dyDescent="0.25">
      <c r="B64" s="47" t="s">
        <v>405</v>
      </c>
      <c r="C64" s="35" t="s">
        <v>303</v>
      </c>
      <c r="D64" s="15">
        <f>(1+IRR(E56:CL56,0.01870763734289671))^4-1</f>
        <v>0.07695671489781408</v>
      </c>
    </row>
    <row r="65" spans="2:4" x14ac:dyDescent="0.25">
      <c r="B65" s="47" t="s">
        <v>406</v>
      </c>
      <c r="C65" s="35" t="s">
        <v>303</v>
      </c>
      <c r="D65" s="15">
        <f>(1+IRR(E59:CL59,0.046036226027774685))^4-1</f>
        <v>0.19725566490532742</v>
      </c>
    </row>
    <row r="66" spans="2:4" x14ac:dyDescent="0.25">
      <c r="B66" s="47" t="s">
        <v>407</v>
      </c>
      <c r="C66" s="35" t="s">
        <v>303</v>
      </c>
      <c r="D66" s="15">
        <f>(1+IRR(E58:CL58,0.0389500374863605))^4-1</f>
        <v>0.16514144932737884</v>
      </c>
    </row>
    <row r="67" spans="2:4" x14ac:dyDescent="0.25">
      <c r="B67" s="47" t="s">
        <v>408</v>
      </c>
      <c r="C67" s="35" t="s">
        <v>303</v>
      </c>
      <c r="D67" s="15">
        <f>(1+IRR(E60:CL60,0.03510805448393617))^4-1</f>
        <v>0.14800228342574884</v>
      </c>
    </row>
    <row r="68" spans="2:4" x14ac:dyDescent="0.25">
      <c r="B68" s="47" t="s">
        <v>409</v>
      </c>
      <c r="C68" s="35" t="s">
        <v>303</v>
      </c>
      <c r="D68" s="15">
        <f>(1+IRR(E61:CL61,0.019272787932702595))^4-1</f>
        <v>0.07934856659168399</v>
      </c>
    </row>
    <row r="70" spans="2:2" x14ac:dyDescent="0.25">
      <c r="B70" s="38" t="s">
        <v>410</v>
      </c>
    </row>
    <row r="73" spans="2:91" x14ac:dyDescent="0.25">
      <c r="B73" s="9" t="s">
        <v>212</v>
      </c>
      <c r="C73" s="10"/>
      <c r="D73" s="44" t="s">
        <v>213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</row>
    <row r="74" spans="2:2" x14ac:dyDescent="0.25">
      <c r="B74" s="38" t="s">
        <v>214</v>
      </c>
    </row>
    <row r="75" spans="2:4" x14ac:dyDescent="0.25">
      <c r="B75" s="34" t="s">
        <v>340</v>
      </c>
      <c r="C75" s="45" t="s">
        <v>341</v>
      </c>
      <c r="D75" s="46">
        <f>'입력값'!C17</f>
        <v>20</v>
      </c>
    </row>
    <row r="76" spans="2:4" x14ac:dyDescent="0.25">
      <c r="B76" s="34" t="s">
        <v>411</v>
      </c>
      <c r="C76" s="45" t="s">
        <v>412</v>
      </c>
      <c r="D76" s="46">
        <f>'입력값'!C25</f>
        <v>10</v>
      </c>
    </row>
    <row r="77" spans="2:4" x14ac:dyDescent="0.25">
      <c r="B77" s="34" t="s">
        <v>413</v>
      </c>
      <c r="C77" s="45" t="s">
        <v>414</v>
      </c>
      <c r="D77" s="66">
        <f>'입력값'!C26</f>
        <v>1.1</v>
      </c>
    </row>
    <row r="78" spans="2:4" x14ac:dyDescent="0.25">
      <c r="B78" s="34" t="s">
        <v>415</v>
      </c>
      <c r="C78" s="45" t="s">
        <v>416</v>
      </c>
      <c r="D78" s="66">
        <f>'입력값'!C27</f>
        <v>1.15</v>
      </c>
    </row>
    <row r="79" spans="2:4" x14ac:dyDescent="0.25">
      <c r="B79" s="34" t="s">
        <v>417</v>
      </c>
      <c r="C79" s="45" t="s">
        <v>418</v>
      </c>
      <c r="D79" s="67">
        <f>'입력값'!C28</f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2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 t="str">
        <f>'입력값'!C6</f>
        <v>샘플 태양광 100MW</v>
      </c>
    </row>
    <row r="7" spans="2:4" x14ac:dyDescent="0.25">
      <c r="B7" s="5" t="s">
        <v>24</v>
      </c>
      <c r="D7" s="12">
        <f>'입력값'!C7</f>
        <v>100</v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'Funding'!C15</f>
        <v>144794.2771314259</v>
      </c>
    </row>
    <row r="14" spans="2:4" x14ac:dyDescent="0.25">
      <c r="B14" s="5" t="s">
        <v>30</v>
      </c>
      <c r="D14" s="14">
        <f>'Funding'!C14</f>
        <v>3725.2771314258844</v>
      </c>
    </row>
    <row r="15" spans="2:4" x14ac:dyDescent="0.25">
      <c r="B15" s="5" t="s">
        <v>31</v>
      </c>
      <c r="D15" s="14">
        <f>'Funding'!C7</f>
        <v>15000</v>
      </c>
    </row>
    <row r="16" spans="2:4" x14ac:dyDescent="0.25">
      <c r="B16" s="5" t="s">
        <v>32</v>
      </c>
      <c r="D16" s="14">
        <f>'Funding'!C10</f>
        <v>126069</v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5" x14ac:dyDescent="0.25">
      <c r="B20" s="5" t="s">
        <v>34</v>
      </c>
      <c r="D20" s="15">
        <f>'CF(Q)'!D67</f>
        <v>0.14800228342574884</v>
      </c>
      <c r="E20" s="16" t="s">
        <v>35</v>
      </c>
    </row>
    <row r="21" spans="2:5" x14ac:dyDescent="0.25">
      <c r="B21" s="5" t="s">
        <v>36</v>
      </c>
      <c r="D21" s="15">
        <f>'CF(Q)'!D65</f>
        <v>0.19725566490532742</v>
      </c>
      <c r="E21" s="16" t="s">
        <v>37</v>
      </c>
    </row>
    <row r="22" spans="2:5" x14ac:dyDescent="0.25">
      <c r="B22" s="5" t="s">
        <v>38</v>
      </c>
      <c r="D22" s="15">
        <f>'CF(Q)'!D66</f>
        <v>0.16514144932737884</v>
      </c>
      <c r="E22" s="16" t="s">
        <v>39</v>
      </c>
    </row>
    <row r="23" spans="2:5" x14ac:dyDescent="0.25">
      <c r="B23" s="5" t="s">
        <v>40</v>
      </c>
      <c r="D23" s="15">
        <f>'CF(Q)'!D63</f>
        <v>0.08475869175628636</v>
      </c>
      <c r="E23" s="16" t="s">
        <v>41</v>
      </c>
    </row>
    <row r="24" spans="2:5" x14ac:dyDescent="0.25">
      <c r="B24" s="5" t="s">
        <v>42</v>
      </c>
      <c r="D24" s="15">
        <f>'CF(Q)'!D64</f>
        <v>0.07695671489781408</v>
      </c>
      <c r="E24" s="16" t="s">
        <v>43</v>
      </c>
    </row>
    <row r="25" spans="2:5" x14ac:dyDescent="0.25">
      <c r="B25" s="5" t="s">
        <v>44</v>
      </c>
      <c r="D25" s="15">
        <f>'CF(Q)'!D68</f>
        <v>0.07934856659168399</v>
      </c>
      <c r="E25" s="16" t="s">
        <v>45</v>
      </c>
    </row>
    <row r="26" spans="2:4" x14ac:dyDescent="0.25">
      <c r="B26" s="5" t="s">
        <v>46</v>
      </c>
      <c r="D26" s="17">
        <f>'CF(Q)'!D47</f>
        <v>1.070325617877692</v>
      </c>
    </row>
    <row r="27" spans="2:4" x14ac:dyDescent="0.25">
      <c r="B27" s="5" t="s">
        <v>47</v>
      </c>
      <c r="D27" s="17">
        <f>'CF(Q)'!D48</f>
        <v>1.2548160097667855</v>
      </c>
    </row>
    <row r="28" spans="2:4" x14ac:dyDescent="0.25">
      <c r="B28" s="5" t="s">
        <v>48</v>
      </c>
      <c r="D28" s="14">
        <f>'Revenue'!D14</f>
        <v>405788.8886999999</v>
      </c>
    </row>
    <row r="29" spans="2:4" x14ac:dyDescent="0.25">
      <c r="B29" s="5" t="s">
        <v>49</v>
      </c>
      <c r="D29" s="14">
        <f>'Opex'!D10</f>
        <v>106510.04740942549</v>
      </c>
    </row>
    <row r="30" spans="2:4" x14ac:dyDescent="0.25">
      <c r="B30" s="5" t="s">
        <v>50</v>
      </c>
      <c r="D30" s="14">
        <f>'Debt'!D45</f>
        <v>64000.87937499999</v>
      </c>
    </row>
    <row r="31" spans="2:4" x14ac:dyDescent="0.25">
      <c r="B31" s="5" t="s">
        <v>51</v>
      </c>
      <c r="D31" s="14">
        <f>-'IS(Q)'!D28</f>
        <v>19544.190315910477</v>
      </c>
    </row>
    <row r="32" spans="2:4" x14ac:dyDescent="0.25">
      <c r="B32" s="5" t="s">
        <v>52</v>
      </c>
      <c r="D32" s="14">
        <f>'CF(Q)'!D16</f>
        <v>92664.77159966409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2026-10-02T05:45:55Z</dcterms:created>
  <dcterms:modified xsi:type="dcterms:W3CDTF">2026-10-02T05:45:55Z</dcterms:modified>
</cp:coreProperties>
</file>